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6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;(#,##0)"/>
    <numFmt numFmtId="187" formatCode="_(&quot;$&quot;* #,##0.00_);_(&quot;$&quot;* \(#,##0.00\);_(&quot;$&quot;* &quot;-&quot;??_);_(@_)"/>
    <numFmt numFmtId="188" formatCode="0_);\(0\)"/>
    <numFmt numFmtId="189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7" fontId="3" fillId="0" borderId="0"/>
    <xf numFmtId="188" fontId="21" fillId="0" borderId="0"/>
  </cellStyleXfs>
  <cellXfs count="26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0" fontId="0" fillId="16" borderId="0" pivotButton="0" quotePrefix="0" xfId="0"/>
    <xf numFmtId="189" fontId="0" fillId="0" borderId="0" pivotButton="0" quotePrefix="0" xfId="0"/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89" fontId="4" fillId="7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0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3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0.001</v>
      </c>
      <c r="D1" t="inlineStr">
        <is>
          <t>Alupar Investimento S.A. (ALUP11) - fonte: planilha de fundamentos do RI, aba "Consolidado" (IFRS, consolidado). Moeda: BRL. Unidade dos brutos: R$ mil. Fator converte p/ R$ milhoes.</t>
        </is>
      </c>
    </row>
    <row r="2">
      <c r="J2" t="inlineStr">
        <is>
          <t>Rotulo na fonte</t>
        </is>
      </c>
      <c r="K2" t="inlineStr">
        <is>
          <t>1T20</t>
        </is>
      </c>
      <c r="L2" t="inlineStr">
        <is>
          <t>2T20</t>
        </is>
      </c>
      <c r="M2" t="inlineStr">
        <is>
          <t>3T20</t>
        </is>
      </c>
      <c r="N2" t="inlineStr">
        <is>
          <t>4T20</t>
        </is>
      </c>
      <c r="O2" t="inlineStr">
        <is>
          <t>1T21</t>
        </is>
      </c>
      <c r="P2" t="inlineStr">
        <is>
          <t>2T21</t>
        </is>
      </c>
      <c r="Q2" t="inlineStr">
        <is>
          <t>3T21</t>
        </is>
      </c>
      <c r="R2" t="inlineStr">
        <is>
          <t>4T21</t>
        </is>
      </c>
      <c r="S2" t="inlineStr">
        <is>
          <t>1T22</t>
        </is>
      </c>
      <c r="T2" t="inlineStr">
        <is>
          <t>2T22</t>
        </is>
      </c>
      <c r="U2" t="inlineStr">
        <is>
          <t>3T22</t>
        </is>
      </c>
      <c r="V2" t="inlineStr">
        <is>
          <t>4T22</t>
        </is>
      </c>
      <c r="W2" t="inlineStr">
        <is>
          <t>1T23</t>
        </is>
      </c>
      <c r="X2" t="inlineStr">
        <is>
          <t>2T23</t>
        </is>
      </c>
      <c r="Y2" t="inlineStr">
        <is>
          <t>3T23</t>
        </is>
      </c>
      <c r="Z2" t="inlineStr">
        <is>
          <t>4T23</t>
        </is>
      </c>
      <c r="AA2" t="inlineStr">
        <is>
          <t>1T24</t>
        </is>
      </c>
      <c r="AB2" t="inlineStr">
        <is>
          <t>2T24</t>
        </is>
      </c>
      <c r="AC2" t="inlineStr">
        <is>
          <t>3T24</t>
        </is>
      </c>
      <c r="AD2" t="inlineStr">
        <is>
          <t>4T24</t>
        </is>
      </c>
      <c r="AE2" t="inlineStr">
        <is>
          <t>1T25</t>
        </is>
      </c>
      <c r="AF2" t="inlineStr">
        <is>
          <t>2T25</t>
        </is>
      </c>
      <c r="AG2" t="inlineStr">
        <is>
          <t>3T25</t>
        </is>
      </c>
      <c r="AH2" t="inlineStr">
        <is>
          <t>4T25</t>
        </is>
      </c>
      <c r="AI2" t="inlineStr">
        <is>
          <t>1T26</t>
        </is>
      </c>
      <c r="AJ2" t="inlineStr">
        <is>
          <t>2T26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(R$ mil, trimestre isolado; aba Consolidado IFRS). Receita = componentes da receita bruta + deducoes (subtotal); custos e despesas negativos na fonte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de transmissão de energia (RAP) / Energy Transmission System (l.104)</t>
        </is>
      </c>
      <c r="J6" t="inlineStr">
        <is>
          <t>fonte</t>
        </is>
      </c>
      <c r="K6" s="258" t="n">
        <v>54546</v>
      </c>
      <c r="L6" s="258" t="n">
        <v>78752</v>
      </c>
      <c r="M6" s="258" t="n">
        <v>80994</v>
      </c>
      <c r="N6" s="258" t="n">
        <v>376909</v>
      </c>
      <c r="O6" s="258" t="n">
        <v>94801</v>
      </c>
      <c r="P6" s="258" t="n">
        <v>101892</v>
      </c>
      <c r="Q6" s="258" t="n">
        <v>121340</v>
      </c>
      <c r="R6" s="258" t="n">
        <v>113606</v>
      </c>
      <c r="S6" s="258" t="n">
        <v>132054</v>
      </c>
      <c r="T6" s="258" t="n">
        <v>133093</v>
      </c>
      <c r="U6" s="258" t="n">
        <v>151165</v>
      </c>
      <c r="V6" s="258" t="n">
        <v>150308</v>
      </c>
      <c r="W6" s="258" t="n">
        <v>151077</v>
      </c>
      <c r="X6" s="258" t="n">
        <v>158369</v>
      </c>
      <c r="Y6" s="258" t="n">
        <v>147167</v>
      </c>
      <c r="Z6" s="258" t="n">
        <v>149544</v>
      </c>
      <c r="AA6" s="258" t="n">
        <v>153460</v>
      </c>
      <c r="AB6" s="258" t="n">
        <v>154759</v>
      </c>
      <c r="AC6" s="258" t="n">
        <v>162723</v>
      </c>
      <c r="AD6" s="258" t="n">
        <v>151746</v>
      </c>
      <c r="AE6" s="258" t="n">
        <v>159716</v>
      </c>
      <c r="AF6" s="258" t="n">
        <v>161370</v>
      </c>
      <c r="AG6" s="258" t="n">
        <v>172356</v>
      </c>
      <c r="AH6" s="258" t="n">
        <v>203391</v>
      </c>
      <c r="AI6" s="258" t="n">
        <v>221177</v>
      </c>
      <c r="AJ6" s="258" t="n">
        <v>213113</v>
      </c>
    </row>
    <row r="7">
      <c r="A7" t="n">
        <v>1</v>
      </c>
      <c r="B7" t="n">
        <v>1</v>
      </c>
      <c r="G7" t="inlineStr">
        <is>
          <t>moeda</t>
        </is>
      </c>
      <c r="H7" t="inlineStr">
        <is>
          <t>Suprimento de energia / Energy Supply (l.105)</t>
        </is>
      </c>
      <c r="J7" t="inlineStr">
        <is>
          <t>fonte</t>
        </is>
      </c>
      <c r="K7" s="258" t="n">
        <v>179039</v>
      </c>
      <c r="L7" s="258" t="n">
        <v>119215</v>
      </c>
      <c r="M7" s="258" t="n">
        <v>152402</v>
      </c>
      <c r="N7" s="258" t="n">
        <v>195219</v>
      </c>
      <c r="O7" s="258" t="n">
        <v>181526</v>
      </c>
      <c r="P7" s="258" t="n">
        <v>171678</v>
      </c>
      <c r="Q7" s="258" t="n">
        <v>237412</v>
      </c>
      <c r="R7" s="258" t="n">
        <v>207020</v>
      </c>
      <c r="S7" s="258" t="n">
        <v>185262</v>
      </c>
      <c r="T7" s="258" t="n">
        <v>160392</v>
      </c>
      <c r="U7" s="258" t="n">
        <v>167156</v>
      </c>
      <c r="V7" s="258" t="n">
        <v>182548</v>
      </c>
      <c r="W7" s="258" t="n">
        <v>199097</v>
      </c>
      <c r="X7" s="258" t="n">
        <v>199602</v>
      </c>
      <c r="Y7" s="258" t="n">
        <v>210009</v>
      </c>
      <c r="Z7" s="258" t="n">
        <v>207475</v>
      </c>
      <c r="AA7" s="258" t="n">
        <v>200808</v>
      </c>
      <c r="AB7" s="258" t="n">
        <v>193980</v>
      </c>
      <c r="AC7" s="258" t="n">
        <v>203699</v>
      </c>
      <c r="AD7" s="258" t="n">
        <v>257183</v>
      </c>
      <c r="AE7" s="258" t="n">
        <v>231888</v>
      </c>
      <c r="AF7" s="258" t="n">
        <v>242027</v>
      </c>
      <c r="AG7" s="258" t="n">
        <v>232259</v>
      </c>
      <c r="AH7" s="258" t="n">
        <v>237413</v>
      </c>
      <c r="AI7" s="258" t="n">
        <v>283621</v>
      </c>
      <c r="AJ7" s="258" t="n">
        <v>240198</v>
      </c>
    </row>
    <row r="8">
      <c r="A8" t="n">
        <v>1</v>
      </c>
      <c r="B8" t="n">
        <v>1</v>
      </c>
      <c r="G8" t="inlineStr">
        <is>
          <t>moeda</t>
        </is>
      </c>
      <c r="H8" t="inlineStr">
        <is>
          <t>Remuneração do ativo contratual da concessão / Remuneration of Contractual Assets (l.106)</t>
        </is>
      </c>
      <c r="J8" t="inlineStr">
        <is>
          <t>fonte</t>
        </is>
      </c>
      <c r="K8" s="258" t="n">
        <v>326415</v>
      </c>
      <c r="L8" s="258" t="n">
        <v>217093</v>
      </c>
      <c r="M8" s="258" t="n">
        <v>423869</v>
      </c>
      <c r="N8" s="258" t="n">
        <v>1298898</v>
      </c>
      <c r="O8" s="258" t="n">
        <v>976410</v>
      </c>
      <c r="P8" s="258" t="n">
        <v>1008846</v>
      </c>
      <c r="Q8" s="258" t="n">
        <v>674156</v>
      </c>
      <c r="R8" s="258" t="n">
        <v>881589</v>
      </c>
      <c r="S8" s="258" t="n">
        <v>985322</v>
      </c>
      <c r="T8" s="258" t="n">
        <v>610789</v>
      </c>
      <c r="U8" s="258" t="n">
        <v>401708</v>
      </c>
      <c r="V8" s="258" t="n">
        <v>354639</v>
      </c>
      <c r="W8" s="258" t="n">
        <v>483941</v>
      </c>
      <c r="X8" s="258" t="n">
        <v>397997</v>
      </c>
      <c r="Y8" s="258" t="n">
        <v>395714</v>
      </c>
      <c r="Z8" s="258" t="n">
        <v>395798</v>
      </c>
      <c r="AA8" s="258" t="n">
        <v>398299</v>
      </c>
      <c r="AB8" s="258" t="n">
        <v>401372</v>
      </c>
      <c r="AC8" s="258" t="n">
        <v>428451</v>
      </c>
      <c r="AD8" s="258" t="n">
        <v>407848</v>
      </c>
      <c r="AE8" s="258" t="n">
        <v>417301</v>
      </c>
      <c r="AF8" s="258" t="n">
        <v>418833</v>
      </c>
      <c r="AG8" s="258" t="n">
        <v>442498</v>
      </c>
      <c r="AH8" s="258" t="n">
        <v>468947</v>
      </c>
      <c r="AI8" s="258" t="n">
        <v>426713</v>
      </c>
      <c r="AJ8" s="258" t="n">
        <v>436556</v>
      </c>
    </row>
    <row r="9">
      <c r="A9" t="n">
        <v>1</v>
      </c>
      <c r="B9" t="n">
        <v>1</v>
      </c>
      <c r="G9" t="inlineStr">
        <is>
          <t>moeda</t>
        </is>
      </c>
      <c r="H9" t="inlineStr">
        <is>
          <t>Remuneração do ativo financeiro da concessão / Remuneration of Financial Assets (l.107)</t>
        </is>
      </c>
      <c r="J9" t="inlineStr">
        <is>
          <t>fonte</t>
        </is>
      </c>
      <c r="K9" s="258" t="n">
        <v>0</v>
      </c>
      <c r="L9" s="258" t="n">
        <v>0</v>
      </c>
      <c r="M9" s="258" t="n">
        <v>0</v>
      </c>
      <c r="N9" s="258" t="n">
        <v>0</v>
      </c>
      <c r="O9" s="258" t="n">
        <v>0</v>
      </c>
      <c r="P9" s="258" t="n">
        <v>0</v>
      </c>
      <c r="Q9" s="258" t="n">
        <v>0</v>
      </c>
      <c r="R9" s="258" t="n">
        <v>0</v>
      </c>
      <c r="S9" s="258" t="n">
        <v>0</v>
      </c>
      <c r="T9" s="258" t="n">
        <v>0</v>
      </c>
      <c r="U9" s="258" t="n">
        <v>0</v>
      </c>
      <c r="V9" s="258" t="n">
        <v>0</v>
      </c>
      <c r="W9" s="258" t="n">
        <v>0</v>
      </c>
      <c r="X9" s="258" t="n">
        <v>0</v>
      </c>
      <c r="Y9" s="258" t="n">
        <v>0</v>
      </c>
      <c r="Z9" s="258" t="n">
        <v>0</v>
      </c>
      <c r="AA9" s="258" t="n">
        <v>0</v>
      </c>
      <c r="AB9" s="258" t="n">
        <v>0</v>
      </c>
      <c r="AC9" s="258" t="n">
        <v>0</v>
      </c>
      <c r="AD9" s="258" t="n">
        <v>0</v>
      </c>
      <c r="AE9" s="258" t="n">
        <v>0</v>
      </c>
      <c r="AF9" s="258" t="n">
        <v>0</v>
      </c>
      <c r="AG9" s="258" t="n">
        <v>0</v>
      </c>
      <c r="AH9" s="258" t="n">
        <v>0</v>
      </c>
      <c r="AI9" s="258" t="n">
        <v>0</v>
      </c>
      <c r="AJ9" s="258" t="n">
        <v>0</v>
      </c>
    </row>
    <row r="10">
      <c r="A10" t="n">
        <v>1</v>
      </c>
      <c r="B10" t="n">
        <v>1</v>
      </c>
      <c r="G10" t="inlineStr">
        <is>
          <t>moeda</t>
        </is>
      </c>
      <c r="H10" t="inlineStr">
        <is>
          <t>Correção monetária do ativo contratual / Monetary Update of Contractual Assets (l.108)</t>
        </is>
      </c>
      <c r="J10" t="inlineStr">
        <is>
          <t>fonte</t>
        </is>
      </c>
      <c r="K10" s="258" t="n">
        <v>0</v>
      </c>
      <c r="L10" s="258" t="n">
        <v>0</v>
      </c>
      <c r="M10" s="258" t="n">
        <v>0</v>
      </c>
      <c r="N10" s="258" t="n">
        <v>0</v>
      </c>
      <c r="O10" s="258" t="n">
        <v>0</v>
      </c>
      <c r="P10" s="258" t="n">
        <v>0</v>
      </c>
      <c r="Q10" s="258" t="n">
        <v>0</v>
      </c>
      <c r="R10" s="258" t="n">
        <v>0</v>
      </c>
      <c r="S10" s="258" t="n">
        <v>0</v>
      </c>
      <c r="T10" s="258" t="n">
        <v>334986</v>
      </c>
      <c r="U10" s="258" t="n">
        <v>-25281</v>
      </c>
      <c r="V10" s="258" t="n">
        <v>75383</v>
      </c>
      <c r="W10" s="258" t="n">
        <v>191723</v>
      </c>
      <c r="X10" s="258" t="n">
        <v>39452</v>
      </c>
      <c r="Y10" s="258" t="n">
        <v>-61721</v>
      </c>
      <c r="Z10" s="258" t="n">
        <v>154100</v>
      </c>
      <c r="AA10" s="258" t="n">
        <v>243913</v>
      </c>
      <c r="AB10" s="258" t="n">
        <v>168422</v>
      </c>
      <c r="AC10" s="258" t="n">
        <v>128826</v>
      </c>
      <c r="AD10" s="258" t="n">
        <v>310931</v>
      </c>
      <c r="AE10" s="258" t="n">
        <v>359799</v>
      </c>
      <c r="AF10" s="258" t="n">
        <v>160033</v>
      </c>
      <c r="AG10" s="258" t="n">
        <v>-5485</v>
      </c>
      <c r="AH10" s="258" t="n">
        <v>136574</v>
      </c>
      <c r="AI10" s="258" t="n">
        <v>187379</v>
      </c>
      <c r="AJ10" s="258" t="n">
        <v>482966</v>
      </c>
    </row>
    <row r="11">
      <c r="A11" t="n">
        <v>1</v>
      </c>
      <c r="B11" t="n">
        <v>1</v>
      </c>
      <c r="G11" t="inlineStr">
        <is>
          <t>moeda</t>
        </is>
      </c>
      <c r="H11" t="inlineStr">
        <is>
          <t>Receita de infraestrutura / Infrastructure Revenue (l.109)</t>
        </is>
      </c>
      <c r="J11" t="inlineStr">
        <is>
          <t>fonte</t>
        </is>
      </c>
      <c r="K11" s="258" t="n">
        <v>778224</v>
      </c>
      <c r="L11" s="258" t="n">
        <v>716276</v>
      </c>
      <c r="M11" s="258" t="n">
        <v>980233</v>
      </c>
      <c r="N11" s="258" t="n">
        <v>766981</v>
      </c>
      <c r="O11" s="258" t="n">
        <v>505633</v>
      </c>
      <c r="P11" s="258" t="n">
        <v>190968</v>
      </c>
      <c r="Q11" s="258" t="n">
        <v>245421</v>
      </c>
      <c r="R11" s="258" t="n">
        <v>90901</v>
      </c>
      <c r="S11" s="258" t="n">
        <v>109284</v>
      </c>
      <c r="T11" s="258" t="n">
        <v>48345</v>
      </c>
      <c r="U11" s="258" t="n">
        <v>28371</v>
      </c>
      <c r="V11" s="258" t="n">
        <v>64481</v>
      </c>
      <c r="W11" s="258" t="n">
        <v>77474</v>
      </c>
      <c r="X11" s="258" t="n">
        <v>46838</v>
      </c>
      <c r="Y11" s="258" t="n">
        <v>33037</v>
      </c>
      <c r="Z11" s="258" t="n">
        <v>50753</v>
      </c>
      <c r="AA11" s="258" t="n">
        <v>103932</v>
      </c>
      <c r="AB11" s="258" t="n">
        <v>134115</v>
      </c>
      <c r="AC11" s="258" t="n">
        <v>102852</v>
      </c>
      <c r="AD11" s="258" t="n">
        <v>99966</v>
      </c>
      <c r="AE11" s="258" t="n">
        <v>168103</v>
      </c>
      <c r="AF11" s="258" t="n">
        <v>176178</v>
      </c>
      <c r="AG11" s="258" t="n">
        <v>228238</v>
      </c>
      <c r="AH11" s="258" t="n">
        <v>237882</v>
      </c>
      <c r="AI11" s="258" t="n">
        <v>266965</v>
      </c>
      <c r="AJ11" s="258" t="n">
        <v>419162</v>
      </c>
    </row>
    <row r="12">
      <c r="A12" t="n">
        <v>1</v>
      </c>
      <c r="B12" t="n">
        <v>1</v>
      </c>
      <c r="G12" t="inlineStr">
        <is>
          <t>moeda</t>
        </is>
      </c>
      <c r="H12" t="inlineStr">
        <is>
          <t>Prestação de serviços de garantia / Consultancy and advisory services in the regulatory area (l.110)</t>
        </is>
      </c>
      <c r="J12" t="inlineStr">
        <is>
          <t>fonte</t>
        </is>
      </c>
      <c r="K12" s="258" t="n">
        <v>0</v>
      </c>
      <c r="L12" s="258" t="n">
        <v>0</v>
      </c>
      <c r="M12" s="258" t="n">
        <v>0</v>
      </c>
      <c r="N12" s="258" t="n">
        <v>0</v>
      </c>
      <c r="O12" s="258" t="n">
        <v>0</v>
      </c>
      <c r="P12" s="258" t="n">
        <v>0</v>
      </c>
      <c r="Q12" s="258" t="n">
        <v>0</v>
      </c>
      <c r="R12" s="258" t="n">
        <v>0</v>
      </c>
      <c r="S12" s="258" t="n">
        <v>0</v>
      </c>
      <c r="T12" s="258" t="n">
        <v>0</v>
      </c>
      <c r="U12" s="258" t="n">
        <v>0</v>
      </c>
      <c r="V12" s="258" t="n">
        <v>0</v>
      </c>
      <c r="W12" s="258" t="n">
        <v>0</v>
      </c>
      <c r="X12" s="258" t="n">
        <v>0</v>
      </c>
      <c r="Y12" s="258" t="n">
        <v>0</v>
      </c>
      <c r="Z12" s="258" t="n">
        <v>0</v>
      </c>
      <c r="AA12" s="258" t="n">
        <v>0</v>
      </c>
      <c r="AB12" s="258" t="n">
        <v>0</v>
      </c>
      <c r="AC12" s="258" t="n">
        <v>0</v>
      </c>
      <c r="AD12" s="258" t="n">
        <v>0</v>
      </c>
      <c r="AE12" s="258" t="n">
        <v>0</v>
      </c>
      <c r="AF12" s="258" t="n">
        <v>0</v>
      </c>
      <c r="AG12" s="258" t="n">
        <v>0</v>
      </c>
      <c r="AH12" s="258" t="n">
        <v>0</v>
      </c>
      <c r="AI12" s="258" t="n">
        <v>0</v>
      </c>
      <c r="AJ12" s="258" t="n">
        <v>0</v>
      </c>
    </row>
    <row r="13">
      <c r="A13" t="n">
        <v>1</v>
      </c>
      <c r="B13" t="n">
        <v>1</v>
      </c>
      <c r="G13" t="inlineStr">
        <is>
          <t>moeda</t>
        </is>
      </c>
      <c r="H13" t="inlineStr">
        <is>
          <t>Outras receitas operacionais / O&amp;M Services (l.111)</t>
        </is>
      </c>
      <c r="J13" t="inlineStr">
        <is>
          <t>fonte</t>
        </is>
      </c>
      <c r="K13" s="258" t="n">
        <v>0</v>
      </c>
      <c r="L13" s="258" t="n">
        <v>0</v>
      </c>
      <c r="M13" s="258" t="n">
        <v>0</v>
      </c>
      <c r="N13" s="258" t="n">
        <v>0</v>
      </c>
      <c r="O13" s="258" t="n">
        <v>0</v>
      </c>
      <c r="P13" s="258" t="n">
        <v>0</v>
      </c>
      <c r="Q13" s="258" t="n">
        <v>0</v>
      </c>
      <c r="R13" s="258" t="n">
        <v>0</v>
      </c>
      <c r="S13" s="258" t="n">
        <v>0</v>
      </c>
      <c r="T13" s="258" t="n">
        <v>0</v>
      </c>
      <c r="U13" s="258" t="n">
        <v>0</v>
      </c>
      <c r="V13" s="258" t="n">
        <v>0</v>
      </c>
      <c r="W13" s="258" t="n">
        <v>8251</v>
      </c>
      <c r="X13" s="258" t="n">
        <v>-4736</v>
      </c>
      <c r="Y13" s="258" t="n">
        <v>1442</v>
      </c>
      <c r="Z13" s="258" t="n">
        <v>1502</v>
      </c>
      <c r="AA13" s="258" t="n">
        <v>1350</v>
      </c>
      <c r="AB13" s="258" t="n">
        <v>1437</v>
      </c>
      <c r="AC13" s="258" t="n">
        <v>1132</v>
      </c>
      <c r="AD13" s="258" t="n">
        <v>997</v>
      </c>
      <c r="AE13" s="258" t="n">
        <v>12156</v>
      </c>
      <c r="AF13" s="258" t="n">
        <v>135</v>
      </c>
      <c r="AG13" s="258" t="n">
        <v>132</v>
      </c>
      <c r="AH13" s="258" t="n">
        <v>133</v>
      </c>
      <c r="AI13" s="258" t="n">
        <v>4187</v>
      </c>
      <c r="AJ13" s="258" t="n">
        <v>124</v>
      </c>
    </row>
    <row r="14">
      <c r="A14" t="n">
        <v>1</v>
      </c>
      <c r="B14" t="n">
        <v>1</v>
      </c>
      <c r="G14" t="inlineStr">
        <is>
          <t>moeda</t>
        </is>
      </c>
      <c r="H14" t="inlineStr">
        <is>
          <t>Deduções da receita operacional / Deductions from operating revenues (l.113)</t>
        </is>
      </c>
      <c r="J14" t="inlineStr">
        <is>
          <t>fonte</t>
        </is>
      </c>
      <c r="K14" s="258" t="n">
        <v>-121297</v>
      </c>
      <c r="L14" s="258" t="n">
        <v>-104360</v>
      </c>
      <c r="M14" s="258" t="n">
        <v>-146175</v>
      </c>
      <c r="N14" s="258" t="n">
        <v>-232488</v>
      </c>
      <c r="O14" s="258" t="n">
        <v>-156896</v>
      </c>
      <c r="P14" s="258" t="n">
        <v>-136243</v>
      </c>
      <c r="Q14" s="258" t="n">
        <v>-110677</v>
      </c>
      <c r="R14" s="258" t="n">
        <v>-165175</v>
      </c>
      <c r="S14" s="258" t="n">
        <v>-131402</v>
      </c>
      <c r="T14" s="258" t="n">
        <v>-119362</v>
      </c>
      <c r="U14" s="258" t="n">
        <v>-70460</v>
      </c>
      <c r="V14" s="258" t="n">
        <v>-95073</v>
      </c>
      <c r="W14" s="258" t="n">
        <v>-107566</v>
      </c>
      <c r="X14" s="258" t="n">
        <v>-57366</v>
      </c>
      <c r="Y14" s="258" t="n">
        <v>-76691</v>
      </c>
      <c r="Z14" s="258" t="n">
        <v>-80901</v>
      </c>
      <c r="AA14" s="258" t="n">
        <v>-105227</v>
      </c>
      <c r="AB14" s="258" t="n">
        <v>-100393</v>
      </c>
      <c r="AC14" s="258" t="n">
        <v>-99116</v>
      </c>
      <c r="AD14" s="258" t="n">
        <v>-105361</v>
      </c>
      <c r="AE14" s="258" t="n">
        <v>-125232</v>
      </c>
      <c r="AF14" s="258" t="n">
        <v>-111436</v>
      </c>
      <c r="AG14" s="258" t="n">
        <v>-106645</v>
      </c>
      <c r="AH14" s="258" t="n">
        <v>-120681</v>
      </c>
      <c r="AI14" s="258" t="n">
        <v>-134407</v>
      </c>
      <c r="AJ14" s="258" t="n">
        <v>-164834</v>
      </c>
    </row>
    <row r="15">
      <c r="A15" t="n">
        <v>2</v>
      </c>
      <c r="B15" t="n">
        <v>1</v>
      </c>
      <c r="G15" t="inlineStr">
        <is>
          <t>moeda</t>
        </is>
      </c>
      <c r="H15" t="inlineStr">
        <is>
          <t>Compra de Energia / Energy purchase (l.130)</t>
        </is>
      </c>
      <c r="J15" t="inlineStr">
        <is>
          <t>fonte</t>
        </is>
      </c>
      <c r="K15" s="258" t="n">
        <v>-32699</v>
      </c>
      <c r="L15" s="258" t="n">
        <v>-26099</v>
      </c>
      <c r="M15" s="258" t="n">
        <v>-35062</v>
      </c>
      <c r="N15" s="258" t="n">
        <v>-47912</v>
      </c>
      <c r="O15" s="258" t="n">
        <v>-26695</v>
      </c>
      <c r="P15" s="258" t="n">
        <v>-33948</v>
      </c>
      <c r="Q15" s="258" t="n">
        <v>-50791</v>
      </c>
      <c r="R15" s="258" t="n">
        <v>-34731</v>
      </c>
      <c r="S15" s="258" t="n">
        <v>-12662</v>
      </c>
      <c r="T15" s="258" t="n">
        <v>-6806</v>
      </c>
      <c r="U15" s="258" t="n">
        <v>-14184</v>
      </c>
      <c r="V15" s="258" t="n">
        <v>-8829</v>
      </c>
      <c r="W15" s="258" t="n">
        <v>-12730</v>
      </c>
      <c r="X15" s="258" t="n">
        <v>-9126</v>
      </c>
      <c r="Y15" s="258" t="n">
        <v>-12693</v>
      </c>
      <c r="Z15" s="258" t="n">
        <v>-28433</v>
      </c>
      <c r="AA15" s="258" t="n">
        <v>-11597</v>
      </c>
      <c r="AB15" s="258" t="n">
        <v>-10327</v>
      </c>
      <c r="AC15" s="258" t="n">
        <v>-35334</v>
      </c>
      <c r="AD15" s="258" t="n">
        <v>-62038</v>
      </c>
      <c r="AE15" s="258" t="n">
        <v>-31340</v>
      </c>
      <c r="AF15" s="258" t="n">
        <v>-25294</v>
      </c>
      <c r="AG15" s="258" t="n">
        <v>-43664</v>
      </c>
      <c r="AH15" s="258" t="n">
        <v>-50722</v>
      </c>
      <c r="AI15" s="258" t="n">
        <v>-44591</v>
      </c>
      <c r="AJ15" s="258" t="n">
        <v>-38203</v>
      </c>
    </row>
    <row r="16">
      <c r="A16" t="n">
        <v>2</v>
      </c>
      <c r="B16" t="n">
        <v>1</v>
      </c>
      <c r="G16" t="inlineStr">
        <is>
          <t>moeda</t>
        </is>
      </c>
      <c r="H16" t="inlineStr">
        <is>
          <t>Custo dos serviços prestados / Cost of Rendered Services (l.131)</t>
        </is>
      </c>
      <c r="J16" t="inlineStr">
        <is>
          <t>fonte</t>
        </is>
      </c>
      <c r="K16" s="258" t="n">
        <v>-44865</v>
      </c>
      <c r="L16" s="258" t="n">
        <v>-49574</v>
      </c>
      <c r="M16" s="258" t="n">
        <v>-53418</v>
      </c>
      <c r="N16" s="258" t="n">
        <v>-77825</v>
      </c>
      <c r="O16" s="258" t="n">
        <v>-51089</v>
      </c>
      <c r="P16" s="258" t="n">
        <v>-56671</v>
      </c>
      <c r="Q16" s="258" t="n">
        <v>-72341</v>
      </c>
      <c r="R16" s="258" t="n">
        <v>-5524</v>
      </c>
      <c r="S16" s="258" t="n">
        <v>-62463</v>
      </c>
      <c r="T16" s="258" t="n">
        <v>-72183</v>
      </c>
      <c r="U16" s="258" t="n">
        <v>-79556</v>
      </c>
      <c r="V16" s="258" t="n">
        <v>-91088</v>
      </c>
      <c r="W16" s="258" t="n">
        <v>-78523</v>
      </c>
      <c r="X16" s="258" t="n">
        <v>-70345</v>
      </c>
      <c r="Y16" s="258" t="n">
        <v>-85709</v>
      </c>
      <c r="Z16" s="258" t="n">
        <v>-82765</v>
      </c>
      <c r="AA16" s="258" t="n">
        <v>-81490</v>
      </c>
      <c r="AB16" s="258" t="n">
        <v>-89146</v>
      </c>
      <c r="AC16" s="258" t="n">
        <v>-89797</v>
      </c>
      <c r="AD16" s="258" t="n">
        <v>-109700</v>
      </c>
      <c r="AE16" s="258" t="n">
        <v>-99565</v>
      </c>
      <c r="AF16" s="258" t="n">
        <v>-95678</v>
      </c>
      <c r="AG16" s="258" t="n">
        <v>-95957</v>
      </c>
      <c r="AH16" s="258" t="n">
        <v>-114899</v>
      </c>
      <c r="AI16" s="258" t="n">
        <v>-94540</v>
      </c>
      <c r="AJ16" s="258" t="n">
        <v>-106727</v>
      </c>
    </row>
    <row r="17">
      <c r="A17" t="n">
        <v>2</v>
      </c>
      <c r="B17" t="n">
        <v>1</v>
      </c>
      <c r="G17" t="inlineStr">
        <is>
          <t>moeda</t>
        </is>
      </c>
      <c r="H17" t="inlineStr">
        <is>
          <t>Custo de construção / Construction Costs (l.132)</t>
        </is>
      </c>
      <c r="J17" t="inlineStr">
        <is>
          <t>fonte</t>
        </is>
      </c>
      <c r="K17" s="258" t="n">
        <v>-500082</v>
      </c>
      <c r="L17" s="258" t="n">
        <v>-500547</v>
      </c>
      <c r="M17" s="258" t="n">
        <v>-653799</v>
      </c>
      <c r="N17" s="258" t="n">
        <v>-549845</v>
      </c>
      <c r="O17" s="258" t="n">
        <v>-393249</v>
      </c>
      <c r="P17" s="258" t="n">
        <v>-110635</v>
      </c>
      <c r="Q17" s="258" t="n">
        <v>-163915</v>
      </c>
      <c r="R17" s="258" t="n">
        <v>-265541</v>
      </c>
      <c r="S17" s="258" t="n">
        <v>-59664</v>
      </c>
      <c r="T17" s="258" t="n">
        <v>-44643</v>
      </c>
      <c r="U17" s="258" t="n">
        <v>-37678</v>
      </c>
      <c r="V17" s="258" t="n">
        <v>-61157</v>
      </c>
      <c r="W17" s="258" t="n">
        <v>-70465</v>
      </c>
      <c r="X17" s="258" t="n">
        <v>-57267</v>
      </c>
      <c r="Y17" s="258" t="n">
        <v>-63336</v>
      </c>
      <c r="Z17" s="258" t="n">
        <v>-78497</v>
      </c>
      <c r="AA17" s="258" t="n">
        <v>-75083</v>
      </c>
      <c r="AB17" s="258" t="n">
        <v>-80965</v>
      </c>
      <c r="AC17" s="258" t="n">
        <v>-121828</v>
      </c>
      <c r="AD17" s="258" t="n">
        <v>-155612</v>
      </c>
      <c r="AE17" s="258" t="n">
        <v>-164293</v>
      </c>
      <c r="AF17" s="258" t="n">
        <v>-161634</v>
      </c>
      <c r="AG17" s="258" t="n">
        <v>-106197</v>
      </c>
      <c r="AH17" s="258" t="n">
        <v>-170320</v>
      </c>
      <c r="AI17" s="258" t="n">
        <v>-269988</v>
      </c>
      <c r="AJ17" s="258" t="n">
        <v>-379246</v>
      </c>
    </row>
    <row r="18">
      <c r="A18" t="n">
        <v>4</v>
      </c>
      <c r="B18" t="n">
        <v>1</v>
      </c>
      <c r="G18" t="inlineStr">
        <is>
          <t>moeda</t>
        </is>
      </c>
      <c r="H18" t="inlineStr">
        <is>
          <t>Depreciação / Amortização Custos / Depreciation / Amortization (l.133)</t>
        </is>
      </c>
      <c r="J18" t="inlineStr">
        <is>
          <t>fonte</t>
        </is>
      </c>
      <c r="K18" s="258" t="n">
        <v>-26394</v>
      </c>
      <c r="L18" s="258" t="n">
        <v>-46879</v>
      </c>
      <c r="M18" s="258" t="n">
        <v>-27382</v>
      </c>
      <c r="N18" s="258" t="n">
        <v>-27173</v>
      </c>
      <c r="O18" s="258" t="n">
        <v>-27883</v>
      </c>
      <c r="P18" s="258" t="n">
        <v>-28297</v>
      </c>
      <c r="Q18" s="258" t="n">
        <v>-43536</v>
      </c>
      <c r="R18" s="258" t="n">
        <v>-34780</v>
      </c>
      <c r="S18" s="258" t="n">
        <v>-35500</v>
      </c>
      <c r="T18" s="258" t="n">
        <v>-34571</v>
      </c>
      <c r="U18" s="258" t="n">
        <v>-35262</v>
      </c>
      <c r="V18" s="258" t="n">
        <v>-36407</v>
      </c>
      <c r="W18" s="258" t="n">
        <v>-33198</v>
      </c>
      <c r="X18" s="258" t="n">
        <v>-34862</v>
      </c>
      <c r="Y18" s="258" t="n">
        <v>-39421</v>
      </c>
      <c r="Z18" s="258" t="n">
        <v>-40397</v>
      </c>
      <c r="AA18" s="258" t="n">
        <v>-41359</v>
      </c>
      <c r="AB18" s="258" t="n">
        <v>-42489</v>
      </c>
      <c r="AC18" s="258" t="n">
        <v>-44348</v>
      </c>
      <c r="AD18" s="258" t="n">
        <v>-43860</v>
      </c>
      <c r="AE18" s="258" t="n">
        <v>-39578</v>
      </c>
      <c r="AF18" s="258" t="n">
        <v>-43922</v>
      </c>
      <c r="AG18" s="258" t="n">
        <v>-45786</v>
      </c>
      <c r="AH18" s="258" t="n">
        <v>-49259</v>
      </c>
      <c r="AI18" s="258" t="n">
        <v>-51243</v>
      </c>
      <c r="AJ18" s="258" t="n">
        <v>-49480</v>
      </c>
    </row>
    <row r="19">
      <c r="A19" t="n">
        <v>3</v>
      </c>
      <c r="B19" t="n">
        <v>1</v>
      </c>
      <c r="G19" t="inlineStr">
        <is>
          <t>moeda</t>
        </is>
      </c>
      <c r="H19" t="inlineStr">
        <is>
          <t>Administrativas e gerais / General and Administrative (l.136)</t>
        </is>
      </c>
      <c r="J19" t="inlineStr">
        <is>
          <t>fonte</t>
        </is>
      </c>
      <c r="K19" s="258" t="n">
        <v>-14365</v>
      </c>
      <c r="L19" s="258" t="n">
        <v>-13755</v>
      </c>
      <c r="M19" s="258" t="n">
        <v>-9577</v>
      </c>
      <c r="N19" s="258" t="n">
        <v>-12110</v>
      </c>
      <c r="O19" s="258" t="n">
        <v>-9712</v>
      </c>
      <c r="P19" s="258" t="n">
        <v>-9273</v>
      </c>
      <c r="Q19" s="258" t="n">
        <v>-14756</v>
      </c>
      <c r="R19" s="258" t="n">
        <v>-23595</v>
      </c>
      <c r="S19" s="258" t="n">
        <v>-16230</v>
      </c>
      <c r="T19" s="258" t="n">
        <v>-5823</v>
      </c>
      <c r="U19" s="258" t="n">
        <v>-19617</v>
      </c>
      <c r="V19" s="258" t="n">
        <v>-17390</v>
      </c>
      <c r="W19" s="258" t="n">
        <v>-10934</v>
      </c>
      <c r="X19" s="258" t="n">
        <v>-13063</v>
      </c>
      <c r="Y19" s="258" t="n">
        <v>-16234</v>
      </c>
      <c r="Z19" s="258" t="n">
        <v>-40698</v>
      </c>
      <c r="AA19" s="258" t="n">
        <v>-9061</v>
      </c>
      <c r="AB19" s="258" t="n">
        <v>-14988</v>
      </c>
      <c r="AC19" s="258" t="n">
        <v>-13968</v>
      </c>
      <c r="AD19" s="258" t="n">
        <v>-26082</v>
      </c>
      <c r="AE19" s="258" t="n">
        <v>-10265</v>
      </c>
      <c r="AF19" s="258" t="n">
        <v>-18838</v>
      </c>
      <c r="AG19" s="258" t="n">
        <v>-23699</v>
      </c>
      <c r="AH19" s="258" t="n">
        <v>-36013</v>
      </c>
      <c r="AI19" s="258" t="n">
        <v>-27713</v>
      </c>
      <c r="AJ19" s="258" t="n">
        <v>-26123</v>
      </c>
    </row>
    <row r="20">
      <c r="A20" t="n">
        <v>4</v>
      </c>
      <c r="B20" t="n">
        <v>1</v>
      </c>
      <c r="G20" t="inlineStr">
        <is>
          <t>moeda</t>
        </is>
      </c>
      <c r="H20" t="inlineStr">
        <is>
          <t>Depreciação / Amortização Despesas / Depreciation and Amortization (l.137)</t>
        </is>
      </c>
      <c r="J20" t="inlineStr">
        <is>
          <t>fonte</t>
        </is>
      </c>
      <c r="K20" s="258" t="n">
        <v>-1570</v>
      </c>
      <c r="L20" s="258" t="n">
        <v>-3108</v>
      </c>
      <c r="M20" s="258" t="n">
        <v>-1073</v>
      </c>
      <c r="N20" s="258" t="n">
        <v>-1606</v>
      </c>
      <c r="O20" s="258" t="n">
        <v>-1553</v>
      </c>
      <c r="P20" s="258" t="n">
        <v>-1560</v>
      </c>
      <c r="Q20" s="258" t="n">
        <v>-865</v>
      </c>
      <c r="R20" s="258" t="n">
        <v>-1089</v>
      </c>
      <c r="S20" s="258" t="n">
        <v>-3007</v>
      </c>
      <c r="T20" s="258" t="n">
        <v>-1885</v>
      </c>
      <c r="U20" s="258" t="n">
        <v>-1478</v>
      </c>
      <c r="V20" s="258" t="n">
        <v>-1472</v>
      </c>
      <c r="W20" s="258" t="n">
        <v>-1588</v>
      </c>
      <c r="X20" s="258" t="n">
        <v>-1484</v>
      </c>
      <c r="Y20" s="258" t="n">
        <v>-1492</v>
      </c>
      <c r="Z20" s="258" t="n">
        <v>-1470</v>
      </c>
      <c r="AA20" s="258" t="n">
        <v>-1529</v>
      </c>
      <c r="AB20" s="258" t="n">
        <v>-1496</v>
      </c>
      <c r="AC20" s="258" t="n">
        <v>-1511</v>
      </c>
      <c r="AD20" s="258" t="n">
        <v>-1563</v>
      </c>
      <c r="AE20" s="258" t="n">
        <v>-1685</v>
      </c>
      <c r="AF20" s="258" t="n">
        <v>-1496</v>
      </c>
      <c r="AG20" s="258" t="n">
        <v>-1865</v>
      </c>
      <c r="AH20" s="258" t="n">
        <v>-2201</v>
      </c>
      <c r="AI20" s="258" t="n">
        <v>-4871</v>
      </c>
      <c r="AJ20" s="258" t="n">
        <v>-2109</v>
      </c>
    </row>
    <row r="21">
      <c r="A21" t="n">
        <v>3</v>
      </c>
      <c r="B21" t="n">
        <v>1</v>
      </c>
      <c r="G21" t="inlineStr">
        <is>
          <t>moeda</t>
        </is>
      </c>
      <c r="H21" t="inlineStr">
        <is>
          <t>Pessoal / Honorários da diretoria e conselho de administração / Personnel and Management (l.138)</t>
        </is>
      </c>
      <c r="J21" t="inlineStr">
        <is>
          <t>fonte</t>
        </is>
      </c>
      <c r="K21" s="258" t="n">
        <v>-14359</v>
      </c>
      <c r="L21" s="258" t="n">
        <v>-16120</v>
      </c>
      <c r="M21" s="258" t="n">
        <v>-14230</v>
      </c>
      <c r="N21" s="258" t="n">
        <v>-19021</v>
      </c>
      <c r="O21" s="258" t="n">
        <v>-14672</v>
      </c>
      <c r="P21" s="258" t="n">
        <v>-24285</v>
      </c>
      <c r="Q21" s="258" t="n">
        <v>-11032</v>
      </c>
      <c r="R21" s="258" t="n">
        <v>-21502</v>
      </c>
      <c r="S21" s="258" t="n">
        <v>-16610</v>
      </c>
      <c r="T21" s="258" t="n">
        <v>-24375</v>
      </c>
      <c r="U21" s="258" t="n">
        <v>-20006</v>
      </c>
      <c r="V21" s="258" t="n">
        <v>-26069</v>
      </c>
      <c r="W21" s="258" t="n">
        <v>-21402</v>
      </c>
      <c r="X21" s="258" t="n">
        <v>-27614</v>
      </c>
      <c r="Y21" s="258" t="n">
        <v>-23860</v>
      </c>
      <c r="Z21" s="258" t="n">
        <v>-24826</v>
      </c>
      <c r="AA21" s="258" t="n">
        <v>-24056</v>
      </c>
      <c r="AB21" s="258" t="n">
        <v>-32427</v>
      </c>
      <c r="AC21" s="258" t="n">
        <v>-25216</v>
      </c>
      <c r="AD21" s="258" t="n">
        <v>-26673</v>
      </c>
      <c r="AE21" s="258" t="n">
        <v>-26856</v>
      </c>
      <c r="AF21" s="258" t="n">
        <v>-39825</v>
      </c>
      <c r="AG21" s="258" t="n">
        <v>-30566</v>
      </c>
      <c r="AH21" s="258" t="n">
        <v>-20813</v>
      </c>
      <c r="AI21" s="258" t="n">
        <v>-32612</v>
      </c>
      <c r="AJ21" s="258" t="n">
        <v>-50314</v>
      </c>
    </row>
    <row r="22">
      <c r="A22" t="n">
        <v>8</v>
      </c>
      <c r="B22" t="n">
        <v>1</v>
      </c>
      <c r="G22" t="inlineStr">
        <is>
          <t>moeda</t>
        </is>
      </c>
      <c r="H22" t="inlineStr">
        <is>
          <t>Resultado de Equivalência Patrimonial / Equity Equivalence (l.139)</t>
        </is>
      </c>
      <c r="J22" t="inlineStr">
        <is>
          <t>fonte</t>
        </is>
      </c>
      <c r="K22" s="258" t="n">
        <v>-1451</v>
      </c>
      <c r="L22" s="258" t="n">
        <v>938.0000000000291</v>
      </c>
      <c r="M22" s="258" t="n">
        <v>426.9999999999709</v>
      </c>
      <c r="N22" s="258" t="n">
        <v>-9138</v>
      </c>
      <c r="O22" s="258" t="n">
        <v>1466</v>
      </c>
      <c r="P22" s="258" t="n">
        <v>2109</v>
      </c>
      <c r="Q22" s="258" t="n">
        <v>1143</v>
      </c>
      <c r="R22" s="258" t="n">
        <v>537</v>
      </c>
      <c r="S22" s="258" t="n">
        <v>-114</v>
      </c>
      <c r="T22" s="258" t="n">
        <v>2533</v>
      </c>
      <c r="U22" s="258" t="n">
        <v>1949</v>
      </c>
      <c r="V22" s="258" t="n">
        <v>1598</v>
      </c>
      <c r="W22" s="258" t="n">
        <v>859</v>
      </c>
      <c r="X22" s="258" t="n">
        <v>20152</v>
      </c>
      <c r="Y22" s="258" t="n">
        <v>6246</v>
      </c>
      <c r="Z22" s="258" t="n">
        <v>13911</v>
      </c>
      <c r="AA22" s="258" t="n">
        <v>16182</v>
      </c>
      <c r="AB22" s="258" t="n">
        <v>30808</v>
      </c>
      <c r="AC22" s="258" t="n">
        <v>48416</v>
      </c>
      <c r="AD22" s="258" t="n">
        <v>53597</v>
      </c>
      <c r="AE22" s="258" t="n">
        <v>49547</v>
      </c>
      <c r="AF22" s="258" t="n">
        <v>-79856</v>
      </c>
      <c r="AG22" s="258" t="n">
        <v>321289</v>
      </c>
      <c r="AH22" s="258" t="n">
        <v>10213</v>
      </c>
      <c r="AI22" s="258" t="n">
        <v>24985</v>
      </c>
      <c r="AJ22" s="258" t="n">
        <v>29861</v>
      </c>
    </row>
    <row r="23">
      <c r="A23" t="n">
        <v>3</v>
      </c>
      <c r="B23" t="n">
        <v>1</v>
      </c>
      <c r="G23" t="inlineStr">
        <is>
          <t>moeda</t>
        </is>
      </c>
      <c r="H23" t="inlineStr">
        <is>
          <t>Outras receitas / Other Revenues (l.140)</t>
        </is>
      </c>
      <c r="J23" t="inlineStr">
        <is>
          <t>fonte</t>
        </is>
      </c>
      <c r="K23" s="258" t="n">
        <v>661</v>
      </c>
      <c r="L23" s="258" t="n">
        <v>551</v>
      </c>
      <c r="M23" s="258" t="n">
        <v>2393</v>
      </c>
      <c r="N23" s="258" t="n">
        <v>4212</v>
      </c>
      <c r="O23" s="258" t="n">
        <v>1306</v>
      </c>
      <c r="P23" s="258" t="n">
        <v>25999</v>
      </c>
      <c r="Q23" s="258" t="n">
        <v>57276</v>
      </c>
      <c r="R23" s="258" t="n">
        <v>1323</v>
      </c>
      <c r="S23" s="258" t="n">
        <v>19113</v>
      </c>
      <c r="T23" s="258" t="n">
        <v>12932</v>
      </c>
      <c r="U23" s="258" t="n">
        <v>49271</v>
      </c>
      <c r="V23" s="258" t="n">
        <v>-5858</v>
      </c>
      <c r="W23" s="258" t="n">
        <v>939</v>
      </c>
      <c r="X23" s="258" t="n">
        <v>46975</v>
      </c>
      <c r="Y23" s="258" t="n">
        <v>1993</v>
      </c>
      <c r="Z23" s="258" t="n">
        <v>1705</v>
      </c>
      <c r="AA23" s="258" t="n">
        <v>707</v>
      </c>
      <c r="AB23" s="258" t="n">
        <v>29361</v>
      </c>
      <c r="AC23" s="258" t="n">
        <v>3425</v>
      </c>
      <c r="AD23" s="258" t="n">
        <v>-11435</v>
      </c>
      <c r="AE23" s="258" t="n">
        <v>1162</v>
      </c>
      <c r="AF23" s="258" t="n">
        <v>2453</v>
      </c>
      <c r="AG23" s="258" t="n">
        <v>689</v>
      </c>
      <c r="AH23" s="258" t="n">
        <v>2148</v>
      </c>
      <c r="AI23" s="258" t="n">
        <v>1557</v>
      </c>
      <c r="AJ23" s="258" t="n">
        <v>1167</v>
      </c>
    </row>
    <row r="24">
      <c r="A24" t="n">
        <v>3</v>
      </c>
      <c r="B24" t="n">
        <v>1</v>
      </c>
      <c r="G24" t="inlineStr">
        <is>
          <t>moeda</t>
        </is>
      </c>
      <c r="H24" t="inlineStr">
        <is>
          <t>Outras despesas / Other expenses (l.141)</t>
        </is>
      </c>
      <c r="J24" t="inlineStr">
        <is>
          <t>fonte</t>
        </is>
      </c>
      <c r="K24" s="258" t="n">
        <v>-3</v>
      </c>
      <c r="L24" s="258" t="n">
        <v>-250</v>
      </c>
      <c r="M24" s="258" t="n">
        <v>348</v>
      </c>
      <c r="N24" s="258" t="n">
        <v>-430</v>
      </c>
      <c r="O24" s="258" t="n">
        <v>-708</v>
      </c>
      <c r="P24" s="258" t="n">
        <v>-447</v>
      </c>
      <c r="Q24" s="258" t="n">
        <v>-10457</v>
      </c>
      <c r="R24" s="258" t="n">
        <v>-223</v>
      </c>
      <c r="S24" s="258" t="n">
        <v>-347</v>
      </c>
      <c r="T24" s="258" t="n">
        <v>-156749</v>
      </c>
      <c r="U24" s="258" t="n">
        <v>-45673</v>
      </c>
      <c r="V24" s="258" t="n">
        <v>207</v>
      </c>
      <c r="W24" s="258" t="n">
        <v>-181</v>
      </c>
      <c r="X24" s="258" t="n">
        <v>-33758</v>
      </c>
      <c r="Y24" s="258" t="n">
        <v>-288</v>
      </c>
      <c r="Z24" s="258" t="n">
        <v>-29807</v>
      </c>
      <c r="AA24" s="258" t="n">
        <v>-320</v>
      </c>
      <c r="AB24" s="258" t="n">
        <v>-333</v>
      </c>
      <c r="AC24" s="258" t="n">
        <v>-1468</v>
      </c>
      <c r="AD24" s="258" t="n">
        <v>-4865</v>
      </c>
      <c r="AE24" s="258" t="n">
        <v>-9584</v>
      </c>
      <c r="AF24" s="258" t="n">
        <v>-27948</v>
      </c>
      <c r="AG24" s="258" t="n">
        <v>-608</v>
      </c>
      <c r="AH24" s="258" t="n">
        <v>-639</v>
      </c>
      <c r="AI24" s="258" t="n">
        <v>-632</v>
      </c>
      <c r="AJ24" s="258" t="n">
        <v>-693</v>
      </c>
    </row>
    <row r="25">
      <c r="A25" t="n">
        <v>5</v>
      </c>
      <c r="B25" t="n">
        <v>1</v>
      </c>
      <c r="G25" t="inlineStr">
        <is>
          <t>moeda</t>
        </is>
      </c>
      <c r="H25" t="inlineStr">
        <is>
          <t>Encargos sobre dívidas / Charges and monetary variations from financing and loans (l.146)</t>
        </is>
      </c>
      <c r="J25" t="inlineStr">
        <is>
          <t>fonte</t>
        </is>
      </c>
      <c r="K25" s="258" t="n">
        <v>-86301</v>
      </c>
      <c r="L25" s="258" t="n">
        <v>-57992</v>
      </c>
      <c r="M25" s="258" t="n">
        <v>-81496</v>
      </c>
      <c r="N25" s="258" t="n">
        <v>-166642</v>
      </c>
      <c r="O25" s="258" t="n">
        <v>-181976</v>
      </c>
      <c r="P25" s="258" t="n">
        <v>-186631</v>
      </c>
      <c r="Q25" s="258" t="n">
        <v>-237760</v>
      </c>
      <c r="R25" s="258" t="n">
        <v>-278357</v>
      </c>
      <c r="S25" s="258" t="n">
        <v>-330641</v>
      </c>
      <c r="T25" s="258" t="n">
        <v>-370837</v>
      </c>
      <c r="U25" s="258" t="n">
        <v>-191864</v>
      </c>
      <c r="V25" s="258" t="n">
        <v>-287488</v>
      </c>
      <c r="W25" s="258" t="n">
        <v>-356946</v>
      </c>
      <c r="X25" s="258" t="n">
        <v>-285361</v>
      </c>
      <c r="Y25" s="258" t="n">
        <v>-260613</v>
      </c>
      <c r="Z25" s="258" t="n">
        <v>-263293</v>
      </c>
      <c r="AA25" s="258" t="n">
        <v>-322739</v>
      </c>
      <c r="AB25" s="258" t="n">
        <v>-285754</v>
      </c>
      <c r="AC25" s="258" t="n">
        <v>-282534</v>
      </c>
      <c r="AD25" s="258" t="n">
        <v>-331378</v>
      </c>
      <c r="AE25" s="258" t="n">
        <v>-385908</v>
      </c>
      <c r="AF25" s="258" t="n">
        <v>-306645</v>
      </c>
      <c r="AG25" s="258" t="n">
        <v>-311413</v>
      </c>
      <c r="AH25" s="258" t="n">
        <v>-320395</v>
      </c>
      <c r="AI25" s="258" t="n">
        <v>-362798</v>
      </c>
      <c r="AJ25" s="258" t="n">
        <v>-389195</v>
      </c>
    </row>
    <row r="26">
      <c r="A26" t="n">
        <v>6</v>
      </c>
      <c r="B26" t="n">
        <v>1</v>
      </c>
      <c r="G26" t="inlineStr">
        <is>
          <t>moeda</t>
        </is>
      </c>
      <c r="H26" t="inlineStr">
        <is>
          <t>Variações Cambiais / Currency Variations (l.147)</t>
        </is>
      </c>
      <c r="J26" t="inlineStr">
        <is>
          <t>fonte</t>
        </is>
      </c>
      <c r="K26" s="258" t="n">
        <v>-21987</v>
      </c>
      <c r="L26" s="258" t="n">
        <v>-22012</v>
      </c>
      <c r="M26" s="258" t="n">
        <v>-13231</v>
      </c>
      <c r="N26" s="258" t="n">
        <v>-1785</v>
      </c>
      <c r="O26" s="258" t="n">
        <v>-34291</v>
      </c>
      <c r="P26" s="258" t="n">
        <v>-20845</v>
      </c>
      <c r="Q26" s="258" t="n">
        <v>-57402</v>
      </c>
      <c r="R26" s="258" t="n">
        <v>16307</v>
      </c>
      <c r="S26" s="258" t="n">
        <v>59371</v>
      </c>
      <c r="T26" s="258" t="n">
        <v>-31390</v>
      </c>
      <c r="U26" s="258" t="n">
        <v>-51103</v>
      </c>
      <c r="V26" s="258" t="n">
        <v>15581</v>
      </c>
      <c r="W26" s="258" t="n">
        <v>8347</v>
      </c>
      <c r="X26" s="258" t="n">
        <v>26765</v>
      </c>
      <c r="Y26" s="258" t="n">
        <v>-20075</v>
      </c>
      <c r="Z26" s="258" t="n">
        <v>17624</v>
      </c>
      <c r="AA26" s="258" t="n">
        <v>1023</v>
      </c>
      <c r="AB26" s="258" t="n">
        <v>-22894</v>
      </c>
      <c r="AC26" s="258" t="n">
        <v>17483</v>
      </c>
      <c r="AD26" s="258" t="n">
        <v>-11427</v>
      </c>
      <c r="AE26" s="258" t="n">
        <v>17639</v>
      </c>
      <c r="AF26" s="258" t="n">
        <v>20954</v>
      </c>
      <c r="AG26" s="258" t="n">
        <v>11241</v>
      </c>
      <c r="AH26" s="258" t="n">
        <v>44210</v>
      </c>
      <c r="AI26" s="258" t="n">
        <v>-19853</v>
      </c>
      <c r="AJ26" s="258" t="n">
        <v>58014</v>
      </c>
    </row>
    <row r="27">
      <c r="A27" t="n">
        <v>6</v>
      </c>
      <c r="B27" t="n">
        <v>1</v>
      </c>
      <c r="G27" t="inlineStr">
        <is>
          <t>moeda</t>
        </is>
      </c>
      <c r="H27" t="inlineStr">
        <is>
          <t>Outras despesas financeiras / Other (l.148)</t>
        </is>
      </c>
      <c r="J27" t="inlineStr">
        <is>
          <t>fonte</t>
        </is>
      </c>
      <c r="K27" s="258" t="n">
        <v>-2032</v>
      </c>
      <c r="L27" s="258" t="n">
        <v>-4428</v>
      </c>
      <c r="M27" s="258" t="n">
        <v>-10069</v>
      </c>
      <c r="N27" s="258" t="n">
        <v>-45078</v>
      </c>
      <c r="O27" s="258" t="n">
        <v>-4658</v>
      </c>
      <c r="P27" s="258" t="n">
        <v>-13140</v>
      </c>
      <c r="Q27" s="258" t="n">
        <v>-16889</v>
      </c>
      <c r="R27" s="258" t="n">
        <v>-7726</v>
      </c>
      <c r="S27" s="258" t="n">
        <v>-3850</v>
      </c>
      <c r="T27" s="258" t="n">
        <v>-7521</v>
      </c>
      <c r="U27" s="258" t="n">
        <v>-12904</v>
      </c>
      <c r="V27" s="258" t="n">
        <v>-7380</v>
      </c>
      <c r="W27" s="258" t="n">
        <v>-5900</v>
      </c>
      <c r="X27" s="258" t="n">
        <v>-5601</v>
      </c>
      <c r="Y27" s="258" t="n">
        <v>-5567</v>
      </c>
      <c r="Z27" s="258" t="n">
        <v>-8763</v>
      </c>
      <c r="AA27" s="258" t="n">
        <v>-5139</v>
      </c>
      <c r="AB27" s="258" t="n">
        <v>-5503</v>
      </c>
      <c r="AC27" s="258" t="n">
        <v>-10423</v>
      </c>
      <c r="AD27" s="258" t="n">
        <v>-10522</v>
      </c>
      <c r="AE27" s="258" t="n">
        <v>-10789</v>
      </c>
      <c r="AF27" s="258" t="n">
        <v>-34740</v>
      </c>
      <c r="AG27" s="258" t="n">
        <v>-11133</v>
      </c>
      <c r="AH27" s="258" t="n">
        <v>-43264</v>
      </c>
      <c r="AI27" s="258" t="n">
        <v>-15610</v>
      </c>
      <c r="AJ27" s="258" t="n">
        <v>-36264</v>
      </c>
    </row>
    <row r="28">
      <c r="A28" t="n">
        <v>6</v>
      </c>
      <c r="B28" t="n">
        <v>1</v>
      </c>
      <c r="G28" t="inlineStr">
        <is>
          <t>moeda</t>
        </is>
      </c>
      <c r="H28" t="inlineStr">
        <is>
          <t>Receitas de aplicações financeiras / Revenue from Investments (l.150)</t>
        </is>
      </c>
      <c r="J28" t="inlineStr">
        <is>
          <t>fonte</t>
        </is>
      </c>
      <c r="K28" s="258" t="n">
        <v>16369</v>
      </c>
      <c r="L28" s="258" t="n">
        <v>11241</v>
      </c>
      <c r="M28" s="258" t="n">
        <v>6595</v>
      </c>
      <c r="N28" s="258" t="n">
        <v>7959</v>
      </c>
      <c r="O28" s="258" t="n">
        <v>6965</v>
      </c>
      <c r="P28" s="258" t="n">
        <v>11667</v>
      </c>
      <c r="Q28" s="258" t="n">
        <v>18905</v>
      </c>
      <c r="R28" s="258" t="n">
        <v>33419</v>
      </c>
      <c r="S28" s="258" t="n">
        <v>43957</v>
      </c>
      <c r="T28" s="258" t="n">
        <v>55910</v>
      </c>
      <c r="U28" s="258" t="n">
        <v>66541</v>
      </c>
      <c r="V28" s="258" t="n">
        <v>59117</v>
      </c>
      <c r="W28" s="258" t="n">
        <v>66976</v>
      </c>
      <c r="X28" s="258" t="n">
        <v>63131</v>
      </c>
      <c r="Y28" s="258" t="n">
        <v>68177</v>
      </c>
      <c r="Z28" s="258" t="n">
        <v>64033</v>
      </c>
      <c r="AA28" s="258" t="n">
        <v>68604</v>
      </c>
      <c r="AB28" s="258" t="n">
        <v>72093</v>
      </c>
      <c r="AC28" s="258" t="n">
        <v>80129</v>
      </c>
      <c r="AD28" s="258" t="n">
        <v>76316</v>
      </c>
      <c r="AE28" s="258" t="n">
        <v>93560</v>
      </c>
      <c r="AF28" s="258" t="n">
        <v>94541</v>
      </c>
      <c r="AG28" s="258" t="n">
        <v>104995</v>
      </c>
      <c r="AH28" s="258" t="n">
        <v>97989</v>
      </c>
      <c r="AI28" s="258" t="n">
        <v>91812</v>
      </c>
      <c r="AJ28" s="258" t="n">
        <v>85367</v>
      </c>
    </row>
    <row r="29">
      <c r="A29" t="n">
        <v>6</v>
      </c>
      <c r="B29" t="n">
        <v>1</v>
      </c>
      <c r="G29" t="inlineStr">
        <is>
          <t>moeda</t>
        </is>
      </c>
      <c r="H29" t="inlineStr">
        <is>
          <t>Outras receitas financeiras / Other (l.151)</t>
        </is>
      </c>
      <c r="J29" t="inlineStr">
        <is>
          <t>fonte</t>
        </is>
      </c>
      <c r="K29" s="258" t="n">
        <v>1681</v>
      </c>
      <c r="L29" s="258" t="n">
        <v>4120</v>
      </c>
      <c r="M29" s="258" t="n">
        <v>1087</v>
      </c>
      <c r="N29" s="258" t="n">
        <v>2262</v>
      </c>
      <c r="O29" s="258" t="n">
        <v>3850</v>
      </c>
      <c r="P29" s="258" t="n">
        <v>7814</v>
      </c>
      <c r="Q29" s="258" t="n">
        <v>5399</v>
      </c>
      <c r="R29" s="258" t="n">
        <v>19804</v>
      </c>
      <c r="S29" s="258" t="n">
        <v>5855</v>
      </c>
      <c r="T29" s="258" t="n">
        <v>12886</v>
      </c>
      <c r="U29" s="258" t="n">
        <v>6612</v>
      </c>
      <c r="V29" s="258" t="n">
        <v>3022</v>
      </c>
      <c r="W29" s="258" t="n">
        <v>2874</v>
      </c>
      <c r="X29" s="258" t="n">
        <v>6320</v>
      </c>
      <c r="Y29" s="258" t="n">
        <v>3891</v>
      </c>
      <c r="Z29" s="258" t="n">
        <v>6549</v>
      </c>
      <c r="AA29" s="258" t="n">
        <v>4370</v>
      </c>
      <c r="AB29" s="258" t="n">
        <v>7976</v>
      </c>
      <c r="AC29" s="258" t="n">
        <v>3904</v>
      </c>
      <c r="AD29" s="258" t="n">
        <v>5296</v>
      </c>
      <c r="AE29" s="258" t="n">
        <v>10761</v>
      </c>
      <c r="AF29" s="258" t="n">
        <v>19898</v>
      </c>
      <c r="AG29" s="258" t="n">
        <v>-6258</v>
      </c>
      <c r="AH29" s="258" t="n">
        <v>42920</v>
      </c>
      <c r="AI29" s="258" t="n">
        <v>4335</v>
      </c>
      <c r="AJ29" s="258" t="n">
        <v>44053</v>
      </c>
    </row>
    <row r="30">
      <c r="A30" t="n">
        <v>7</v>
      </c>
      <c r="B30" t="n">
        <v>1</v>
      </c>
      <c r="G30" t="inlineStr">
        <is>
          <t>moeda</t>
        </is>
      </c>
      <c r="H30" t="inlineStr">
        <is>
          <t>Imposto de Renda / Contribuição social / Social Contribution / Income Tax (l.155)</t>
        </is>
      </c>
      <c r="J30" t="inlineStr">
        <is>
          <t>fonte</t>
        </is>
      </c>
      <c r="K30" s="258" t="n">
        <v>-111997</v>
      </c>
      <c r="L30" s="258" t="n">
        <v>-105085</v>
      </c>
      <c r="M30" s="258" t="n">
        <v>-155754</v>
      </c>
      <c r="N30" s="258" t="n">
        <v>-428474</v>
      </c>
      <c r="O30" s="258" t="n">
        <v>-207688</v>
      </c>
      <c r="P30" s="258" t="n">
        <v>-222510</v>
      </c>
      <c r="Q30" s="258" t="n">
        <v>-141599</v>
      </c>
      <c r="R30" s="258" t="n">
        <v>-169854</v>
      </c>
      <c r="S30" s="258" t="n">
        <v>-128849</v>
      </c>
      <c r="T30" s="258" t="n">
        <v>-127790</v>
      </c>
      <c r="U30" s="258" t="n">
        <v>-17437</v>
      </c>
      <c r="V30" s="258" t="n">
        <v>38120</v>
      </c>
      <c r="W30" s="258" t="n">
        <v>-104797</v>
      </c>
      <c r="X30" s="258" t="n">
        <v>-65437</v>
      </c>
      <c r="Y30" s="258" t="n">
        <v>-32784</v>
      </c>
      <c r="Z30" s="258" t="n">
        <v>-126259</v>
      </c>
      <c r="AA30" s="258" t="n">
        <v>-112210</v>
      </c>
      <c r="AB30" s="258" t="n">
        <v>-114191</v>
      </c>
      <c r="AC30" s="258" t="n">
        <v>189882</v>
      </c>
      <c r="AD30" s="258" t="n">
        <v>-45092</v>
      </c>
      <c r="AE30" s="258" t="n">
        <v>-131237</v>
      </c>
      <c r="AF30" s="258" t="n">
        <v>-65277</v>
      </c>
      <c r="AG30" s="258" t="n">
        <v>-191825</v>
      </c>
      <c r="AH30" s="258" t="n">
        <v>-121150</v>
      </c>
      <c r="AI30" s="258" t="n">
        <v>-116027</v>
      </c>
      <c r="AJ30" s="258" t="n">
        <v>-54921</v>
      </c>
    </row>
    <row r="31">
      <c r="A31" t="n">
        <v>9</v>
      </c>
      <c r="B31" t="n">
        <v>1</v>
      </c>
      <c r="G31" t="inlineStr">
        <is>
          <t>moeda</t>
        </is>
      </c>
      <c r="H31" t="inlineStr">
        <is>
          <t>Participação de acionistas não controladores / Non-controlling interest (l.163)</t>
        </is>
      </c>
      <c r="J31" t="inlineStr">
        <is>
          <t>fonte</t>
        </is>
      </c>
      <c r="K31" s="258" t="n">
        <v>-198384</v>
      </c>
      <c r="L31" s="258" t="n">
        <v>-125868</v>
      </c>
      <c r="M31" s="258" t="n">
        <v>-265868</v>
      </c>
      <c r="N31" s="258" t="n">
        <v>-523297</v>
      </c>
      <c r="O31" s="258" t="n">
        <v>-337471</v>
      </c>
      <c r="P31" s="258" t="n">
        <v>-344143</v>
      </c>
      <c r="Q31" s="258" t="n">
        <v>-188716</v>
      </c>
      <c r="R31" s="258" t="n">
        <v>-137085</v>
      </c>
      <c r="S31" s="258" t="n">
        <v>-307900</v>
      </c>
      <c r="T31" s="258" t="n">
        <v>-187923</v>
      </c>
      <c r="U31" s="258" t="n">
        <v>-134594</v>
      </c>
      <c r="V31" s="258" t="n">
        <v>-114990</v>
      </c>
      <c r="W31" s="258" t="n">
        <v>-156618</v>
      </c>
      <c r="X31" s="258" t="n">
        <v>-117395</v>
      </c>
      <c r="Y31" s="258" t="n">
        <v>-67187</v>
      </c>
      <c r="Z31" s="258" t="n">
        <v>-115723</v>
      </c>
      <c r="AA31" s="258" t="n">
        <v>-147894</v>
      </c>
      <c r="AB31" s="258" t="n">
        <v>-156347</v>
      </c>
      <c r="AC31" s="258" t="n">
        <v>-281625</v>
      </c>
      <c r="AD31" s="258" t="n">
        <v>-187950</v>
      </c>
      <c r="AE31" s="258" t="n">
        <v>-186523</v>
      </c>
      <c r="AF31" s="258" t="n">
        <v>-138966</v>
      </c>
      <c r="AG31" s="258" t="n">
        <v>-43206</v>
      </c>
      <c r="AH31" s="258" t="n">
        <v>-148939</v>
      </c>
      <c r="AI31" s="258" t="n">
        <v>-139779</v>
      </c>
      <c r="AJ31" s="258" t="n">
        <v>-295846</v>
      </c>
    </row>
    <row r="32">
      <c r="H32" s="254" t="inlineStr">
        <is>
          <t>DRE - subtotais divulgados (memoria)</t>
        </is>
      </c>
    </row>
    <row r="33">
      <c r="G33" t="inlineStr">
        <is>
          <t>moeda</t>
        </is>
      </c>
      <c r="H33" t="inlineStr">
        <is>
          <t>Receita operacional bruta / Gross Operating Revenue (l.103)</t>
        </is>
      </c>
      <c r="J33" t="inlineStr">
        <is>
          <t>memoria</t>
        </is>
      </c>
      <c r="K33" s="258" t="n">
        <v>1338224</v>
      </c>
      <c r="L33" s="258" t="n">
        <v>1131336</v>
      </c>
      <c r="M33" s="258" t="n">
        <v>1637498</v>
      </c>
      <c r="N33" s="258" t="n">
        <v>2638007</v>
      </c>
      <c r="O33" s="258" t="n">
        <v>1758370</v>
      </c>
      <c r="P33" s="258" t="n">
        <v>1473384</v>
      </c>
      <c r="Q33" s="258" t="n">
        <v>1278329</v>
      </c>
      <c r="R33" s="258" t="n">
        <v>1293116</v>
      </c>
      <c r="S33" s="258" t="n">
        <v>1411922</v>
      </c>
      <c r="T33" s="258" t="n">
        <v>1287605</v>
      </c>
      <c r="U33" s="258" t="n">
        <v>723119</v>
      </c>
      <c r="V33" s="258" t="n">
        <v>827359</v>
      </c>
      <c r="W33" s="258" t="n">
        <v>1111563</v>
      </c>
      <c r="X33" s="258" t="n">
        <v>837522</v>
      </c>
      <c r="Y33" s="258" t="n">
        <v>725648</v>
      </c>
      <c r="Z33" s="258" t="n">
        <v>959172</v>
      </c>
      <c r="AA33" s="258" t="n">
        <v>1101762</v>
      </c>
      <c r="AB33" s="258" t="n">
        <v>1054085</v>
      </c>
      <c r="AC33" s="258" t="n">
        <v>1027683</v>
      </c>
      <c r="AD33" s="258" t="n">
        <v>1228671</v>
      </c>
      <c r="AE33" s="258" t="n">
        <v>1348963</v>
      </c>
      <c r="AF33" s="258" t="n">
        <v>1158576</v>
      </c>
      <c r="AG33" s="258" t="n">
        <v>1069998</v>
      </c>
      <c r="AH33" s="258" t="n">
        <v>1284340</v>
      </c>
      <c r="AI33" s="258" t="n">
        <v>1390042</v>
      </c>
      <c r="AJ33" s="258" t="n">
        <v>1792119</v>
      </c>
    </row>
    <row r="34">
      <c r="G34" t="inlineStr">
        <is>
          <t>moeda</t>
        </is>
      </c>
      <c r="H34" t="inlineStr">
        <is>
          <t>Custos / Costs (l.129)</t>
        </is>
      </c>
      <c r="J34" t="inlineStr">
        <is>
          <t>memoria</t>
        </is>
      </c>
      <c r="K34" s="258" t="n">
        <v>-604040</v>
      </c>
      <c r="L34" s="258" t="n">
        <v>-623099</v>
      </c>
      <c r="M34" s="258" t="n">
        <v>-769661</v>
      </c>
      <c r="N34" s="258" t="n">
        <v>-702755</v>
      </c>
      <c r="O34" s="258" t="n">
        <v>-498916</v>
      </c>
      <c r="P34" s="258" t="n">
        <v>-229551</v>
      </c>
      <c r="Q34" s="258" t="n">
        <v>-330583</v>
      </c>
      <c r="R34" s="258" t="n">
        <v>-340576</v>
      </c>
      <c r="S34" s="258" t="n">
        <v>-170289</v>
      </c>
      <c r="T34" s="258" t="n">
        <v>-158203</v>
      </c>
      <c r="U34" s="258" t="n">
        <v>-166680</v>
      </c>
      <c r="V34" s="258" t="n">
        <v>-197481</v>
      </c>
      <c r="W34" s="258" t="n">
        <v>-194916</v>
      </c>
      <c r="X34" s="258" t="n">
        <v>-171600</v>
      </c>
      <c r="Y34" s="258" t="n">
        <v>-201159</v>
      </c>
      <c r="Z34" s="258" t="n">
        <v>-230092</v>
      </c>
      <c r="AA34" s="258" t="n">
        <v>-209529</v>
      </c>
      <c r="AB34" s="258" t="n">
        <v>-222927</v>
      </c>
      <c r="AC34" s="258" t="n">
        <v>-291307</v>
      </c>
      <c r="AD34" s="258" t="n">
        <v>-371210</v>
      </c>
      <c r="AE34" s="258" t="n">
        <v>-334776</v>
      </c>
      <c r="AF34" s="258" t="n">
        <v>-326528</v>
      </c>
      <c r="AG34" s="258" t="n">
        <v>-291604</v>
      </c>
      <c r="AH34" s="258" t="n">
        <v>-385200</v>
      </c>
      <c r="AI34" s="258" t="n">
        <v>-460362</v>
      </c>
      <c r="AJ34" s="258" t="n">
        <v>-573656</v>
      </c>
    </row>
    <row r="35">
      <c r="G35" t="inlineStr">
        <is>
          <t>moeda</t>
        </is>
      </c>
      <c r="H35" t="inlineStr">
        <is>
          <t>Lucro antes do resultado financeiro / Income before financial result (l.143)</t>
        </is>
      </c>
      <c r="J35" t="inlineStr">
        <is>
          <t>memoria</t>
        </is>
      </c>
      <c r="K35" s="258" t="n">
        <v>581800</v>
      </c>
      <c r="L35" s="258" t="n">
        <v>372133</v>
      </c>
      <c r="M35" s="258" t="n">
        <v>699950</v>
      </c>
      <c r="N35" s="258" t="n">
        <v>1664671</v>
      </c>
      <c r="O35" s="258" t="n">
        <v>1078685</v>
      </c>
      <c r="P35" s="258" t="n">
        <v>1100133</v>
      </c>
      <c r="Q35" s="258" t="n">
        <v>858378</v>
      </c>
      <c r="R35" s="258" t="n">
        <v>742816</v>
      </c>
      <c r="S35" s="258" t="n">
        <v>1093036</v>
      </c>
      <c r="T35" s="258" t="n">
        <v>836673</v>
      </c>
      <c r="U35" s="258" t="n">
        <v>450425</v>
      </c>
      <c r="V35" s="258" t="n">
        <v>485821</v>
      </c>
      <c r="W35" s="258" t="n">
        <v>776774</v>
      </c>
      <c r="X35" s="258" t="n">
        <v>599764</v>
      </c>
      <c r="Y35" s="258" t="n">
        <v>414163</v>
      </c>
      <c r="Z35" s="258" t="n">
        <v>566994</v>
      </c>
      <c r="AA35" s="258" t="n">
        <v>768929</v>
      </c>
      <c r="AB35" s="258" t="n">
        <v>741690</v>
      </c>
      <c r="AC35" s="258" t="n">
        <v>646938</v>
      </c>
      <c r="AD35" s="258" t="n">
        <v>735079</v>
      </c>
      <c r="AE35" s="258" t="n">
        <v>891274</v>
      </c>
      <c r="AF35" s="258" t="n">
        <v>555102</v>
      </c>
      <c r="AG35" s="258" t="n">
        <v>936989</v>
      </c>
      <c r="AH35" s="258" t="n">
        <v>731154</v>
      </c>
      <c r="AI35" s="258" t="n">
        <v>755987</v>
      </c>
      <c r="AJ35" s="258" t="n">
        <v>1005418</v>
      </c>
    </row>
    <row r="36">
      <c r="G36" t="inlineStr">
        <is>
          <t>moeda</t>
        </is>
      </c>
      <c r="H36" t="inlineStr">
        <is>
          <t>Despesas financeiras / Financial Expenses (l.145)</t>
        </is>
      </c>
      <c r="J36" t="inlineStr">
        <is>
          <t>memoria</t>
        </is>
      </c>
      <c r="K36" s="258" t="n">
        <v>-110320</v>
      </c>
      <c r="L36" s="258" t="n">
        <v>-84432</v>
      </c>
      <c r="M36" s="258" t="n">
        <v>-104796</v>
      </c>
      <c r="N36" s="258" t="n">
        <v>-213505</v>
      </c>
      <c r="O36" s="258" t="n">
        <v>-220925</v>
      </c>
      <c r="P36" s="258" t="n">
        <v>-220616</v>
      </c>
      <c r="Q36" s="258" t="n">
        <v>-312051</v>
      </c>
      <c r="R36" s="258" t="n">
        <v>-269776</v>
      </c>
      <c r="S36" s="258" t="n">
        <v>-275120</v>
      </c>
      <c r="T36" s="258" t="n">
        <v>-409748</v>
      </c>
      <c r="U36" s="258" t="n">
        <v>-255871</v>
      </c>
      <c r="V36" s="258" t="n">
        <v>-279287</v>
      </c>
      <c r="W36" s="258" t="n">
        <v>-354499</v>
      </c>
      <c r="X36" s="258" t="n">
        <v>-264197</v>
      </c>
      <c r="Y36" s="258" t="n">
        <v>-286255</v>
      </c>
      <c r="Z36" s="258" t="n">
        <v>-254432</v>
      </c>
      <c r="AA36" s="258" t="n">
        <v>-326855</v>
      </c>
      <c r="AB36" s="258" t="n">
        <v>-314151</v>
      </c>
      <c r="AC36" s="258" t="n">
        <v>-275474</v>
      </c>
      <c r="AD36" s="258" t="n">
        <v>-353327</v>
      </c>
      <c r="AE36" s="258" t="n">
        <v>-379058</v>
      </c>
      <c r="AF36" s="258" t="n">
        <v>-320431</v>
      </c>
      <c r="AG36" s="258" t="n">
        <v>-311305</v>
      </c>
      <c r="AH36" s="258" t="n">
        <v>-319449</v>
      </c>
      <c r="AI36" s="258" t="n">
        <v>-398261</v>
      </c>
      <c r="AJ36" s="258" t="n">
        <v>-367445</v>
      </c>
    </row>
    <row r="37">
      <c r="G37" t="inlineStr">
        <is>
          <t>moeda</t>
        </is>
      </c>
      <c r="H37" t="inlineStr">
        <is>
          <t>Receitas financeiras / Financial Revenue (l.149)</t>
        </is>
      </c>
      <c r="J37" t="inlineStr">
        <is>
          <t>memoria</t>
        </is>
      </c>
      <c r="K37" s="258" t="n">
        <v>18050</v>
      </c>
      <c r="L37" s="258" t="n">
        <v>15361</v>
      </c>
      <c r="M37" s="258" t="n">
        <v>7682</v>
      </c>
      <c r="N37" s="258" t="n">
        <v>10221</v>
      </c>
      <c r="O37" s="258" t="n">
        <v>10815</v>
      </c>
      <c r="P37" s="258" t="n">
        <v>19481</v>
      </c>
      <c r="Q37" s="258" t="n">
        <v>24304</v>
      </c>
      <c r="R37" s="258" t="n">
        <v>53223</v>
      </c>
      <c r="S37" s="258" t="n">
        <v>49812</v>
      </c>
      <c r="T37" s="258" t="n">
        <v>68796</v>
      </c>
      <c r="U37" s="258" t="n">
        <v>73153</v>
      </c>
      <c r="V37" s="258" t="n">
        <v>62139</v>
      </c>
      <c r="W37" s="258" t="n">
        <v>69850</v>
      </c>
      <c r="X37" s="258" t="n">
        <v>69451</v>
      </c>
      <c r="Y37" s="258" t="n">
        <v>72068</v>
      </c>
      <c r="Z37" s="258" t="n">
        <v>70582</v>
      </c>
      <c r="AA37" s="258" t="n">
        <v>72974</v>
      </c>
      <c r="AB37" s="258" t="n">
        <v>80069</v>
      </c>
      <c r="AC37" s="258" t="n">
        <v>84033</v>
      </c>
      <c r="AD37" s="258" t="n">
        <v>81612</v>
      </c>
      <c r="AE37" s="258" t="n">
        <v>104321</v>
      </c>
      <c r="AF37" s="258" t="n">
        <v>114439</v>
      </c>
      <c r="AG37" s="258" t="n">
        <v>98737</v>
      </c>
      <c r="AH37" s="258" t="n">
        <v>140909</v>
      </c>
      <c r="AI37" s="258" t="n">
        <v>96147</v>
      </c>
      <c r="AJ37" s="258" t="n">
        <v>129420</v>
      </c>
    </row>
    <row r="38">
      <c r="G38" t="inlineStr">
        <is>
          <t>moeda</t>
        </is>
      </c>
      <c r="H38" t="inlineStr">
        <is>
          <t>Lucro antes da Contribuição social e Imposto de Renda / Income before social contribution and income tax (l.153)</t>
        </is>
      </c>
      <c r="J38" t="inlineStr">
        <is>
          <t>memoria</t>
        </is>
      </c>
      <c r="K38" s="258" t="n">
        <v>489530</v>
      </c>
      <c r="L38" s="258" t="n">
        <v>303062</v>
      </c>
      <c r="M38" s="258" t="n">
        <v>602836</v>
      </c>
      <c r="N38" s="258" t="n">
        <v>1461387</v>
      </c>
      <c r="O38" s="258" t="n">
        <v>868575</v>
      </c>
      <c r="P38" s="258" t="n">
        <v>898998</v>
      </c>
      <c r="Q38" s="258" t="n">
        <v>570631</v>
      </c>
      <c r="R38" s="258" t="n">
        <v>526263</v>
      </c>
      <c r="S38" s="258" t="n">
        <v>867728</v>
      </c>
      <c r="T38" s="258" t="n">
        <v>495721</v>
      </c>
      <c r="U38" s="258" t="n">
        <v>267707</v>
      </c>
      <c r="V38" s="258" t="n">
        <v>268673</v>
      </c>
      <c r="W38" s="258" t="n">
        <v>492125</v>
      </c>
      <c r="X38" s="258" t="n">
        <v>405018</v>
      </c>
      <c r="Y38" s="258" t="n">
        <v>199976</v>
      </c>
      <c r="Z38" s="258" t="n">
        <v>383144</v>
      </c>
      <c r="AA38" s="258" t="n">
        <v>515048</v>
      </c>
      <c r="AB38" s="258" t="n">
        <v>507608</v>
      </c>
      <c r="AC38" s="258" t="n">
        <v>455497</v>
      </c>
      <c r="AD38" s="258" t="n">
        <v>463364</v>
      </c>
      <c r="AE38" s="258" t="n">
        <v>616537</v>
      </c>
      <c r="AF38" s="258" t="n">
        <v>349110</v>
      </c>
      <c r="AG38" s="258" t="n">
        <v>724421</v>
      </c>
      <c r="AH38" s="258" t="n">
        <v>552614</v>
      </c>
      <c r="AI38" s="258" t="n">
        <v>453873</v>
      </c>
      <c r="AJ38" s="258" t="n">
        <v>767393</v>
      </c>
    </row>
    <row r="39">
      <c r="G39" t="inlineStr">
        <is>
          <t>moeda</t>
        </is>
      </c>
      <c r="H39" t="inlineStr">
        <is>
          <t>Lucro antes da participação de não controladores / Net Income before the non-controlling interest (l.161)</t>
        </is>
      </c>
      <c r="J39" t="inlineStr">
        <is>
          <t>memoria</t>
        </is>
      </c>
      <c r="K39" s="258" t="n">
        <v>377533</v>
      </c>
      <c r="L39" s="258" t="n">
        <v>197977</v>
      </c>
      <c r="M39" s="258" t="n">
        <v>447082</v>
      </c>
      <c r="N39" s="258" t="n">
        <v>1032913</v>
      </c>
      <c r="O39" s="258" t="n">
        <v>660887</v>
      </c>
      <c r="P39" s="258" t="n">
        <v>676488</v>
      </c>
      <c r="Q39" s="258" t="n">
        <v>429032</v>
      </c>
      <c r="R39" s="258" t="n">
        <v>356409</v>
      </c>
      <c r="S39" s="258" t="n">
        <v>738879</v>
      </c>
      <c r="T39" s="258" t="n">
        <v>367931</v>
      </c>
      <c r="U39" s="258" t="n">
        <v>250270</v>
      </c>
      <c r="V39" s="258" t="n">
        <v>306793</v>
      </c>
      <c r="W39" s="258" t="n">
        <v>387328</v>
      </c>
      <c r="X39" s="258" t="n">
        <v>339581</v>
      </c>
      <c r="Y39" s="258" t="n">
        <v>167192</v>
      </c>
      <c r="Z39" s="258" t="n">
        <v>256885</v>
      </c>
      <c r="AA39" s="258" t="n">
        <v>402838</v>
      </c>
      <c r="AB39" s="258" t="n">
        <v>393417</v>
      </c>
      <c r="AC39" s="258" t="n">
        <v>645379</v>
      </c>
      <c r="AD39" s="258" t="n">
        <v>418272</v>
      </c>
      <c r="AE39" s="258" t="n">
        <v>485300</v>
      </c>
      <c r="AF39" s="258" t="n">
        <v>283833</v>
      </c>
      <c r="AG39" s="258" t="n">
        <v>532596</v>
      </c>
      <c r="AH39" s="258" t="n">
        <v>431464</v>
      </c>
      <c r="AI39" s="258" t="n">
        <v>337846</v>
      </c>
      <c r="AJ39" s="258" t="n">
        <v>712472</v>
      </c>
    </row>
    <row r="40">
      <c r="A40" t="n">
        <v>44</v>
      </c>
      <c r="B40" t="n">
        <v>1</v>
      </c>
      <c r="G40" t="inlineStr">
        <is>
          <t>moeda</t>
        </is>
      </c>
      <c r="H40" t="inlineStr">
        <is>
          <t>Lucro Líquido do Exercício / Net Income (l.165) - COD 44 alimenta o check IS do Model (linha 4)</t>
        </is>
      </c>
      <c r="J40" t="inlineStr">
        <is>
          <t>memoria</t>
        </is>
      </c>
      <c r="K40" s="258" t="n">
        <v>179149</v>
      </c>
      <c r="L40" s="258" t="n">
        <v>72109</v>
      </c>
      <c r="M40" s="258" t="n">
        <v>181214</v>
      </c>
      <c r="N40" s="258" t="n">
        <v>509616</v>
      </c>
      <c r="O40" s="258" t="n">
        <v>323416</v>
      </c>
      <c r="P40" s="258" t="n">
        <v>332345</v>
      </c>
      <c r="Q40" s="258" t="n">
        <v>240316</v>
      </c>
      <c r="R40" s="258" t="n">
        <v>219324</v>
      </c>
      <c r="S40" s="258" t="n">
        <v>430979</v>
      </c>
      <c r="T40" s="258" t="n">
        <v>180008</v>
      </c>
      <c r="U40" s="258" t="n">
        <v>115676</v>
      </c>
      <c r="V40" s="258" t="n">
        <v>191803</v>
      </c>
      <c r="W40" s="258" t="n">
        <v>230710</v>
      </c>
      <c r="X40" s="258" t="n">
        <v>222186</v>
      </c>
      <c r="Y40" s="258" t="n">
        <v>100005</v>
      </c>
      <c r="Z40" s="258" t="n">
        <v>141162</v>
      </c>
      <c r="AA40" s="258" t="n">
        <v>254944</v>
      </c>
      <c r="AB40" s="258" t="n">
        <v>237070</v>
      </c>
      <c r="AC40" s="258" t="n">
        <v>363754</v>
      </c>
      <c r="AD40" s="258" t="n">
        <v>230322</v>
      </c>
      <c r="AE40" s="258" t="n">
        <v>298777</v>
      </c>
      <c r="AF40" s="258" t="n">
        <v>144867</v>
      </c>
      <c r="AG40" s="258" t="n">
        <v>489390</v>
      </c>
      <c r="AH40" s="258" t="n">
        <v>282525</v>
      </c>
      <c r="AI40" s="258" t="n">
        <v>198067</v>
      </c>
      <c r="AJ40" s="258" t="n">
        <v>416626</v>
      </c>
    </row>
    <row r="41">
      <c r="H41" s="254" t="inlineStr">
        <is>
          <t>BALANCO (R$ mil, saldo de fim de trimestre). 3T23: bloco do PL realinhado (ver nota na linha do capital social)</t>
        </is>
      </c>
    </row>
    <row r="42">
      <c r="A42" t="n">
        <v>11</v>
      </c>
      <c r="B42" t="n">
        <v>1</v>
      </c>
      <c r="G42" t="inlineStr">
        <is>
          <t>moeda</t>
        </is>
      </c>
      <c r="H42" t="inlineStr">
        <is>
          <t>Caixa equivalentes de caixa / Cash and Cash Equivalents (l.10)</t>
        </is>
      </c>
      <c r="J42" t="inlineStr">
        <is>
          <t>fonte</t>
        </is>
      </c>
      <c r="K42" s="258" t="n">
        <v>628105</v>
      </c>
      <c r="L42" s="258" t="n">
        <v>606617</v>
      </c>
      <c r="M42" s="258" t="n">
        <v>632296</v>
      </c>
      <c r="N42" s="258" t="n">
        <v>674609</v>
      </c>
      <c r="O42" s="258" t="n">
        <v>523159</v>
      </c>
      <c r="P42" s="258" t="n">
        <v>438465</v>
      </c>
      <c r="Q42" s="258" t="n">
        <v>409127</v>
      </c>
      <c r="R42" s="258" t="n">
        <v>377119</v>
      </c>
      <c r="S42" s="258" t="n">
        <v>449213</v>
      </c>
      <c r="T42" s="258" t="n">
        <v>545253</v>
      </c>
      <c r="U42" s="258" t="n">
        <v>864019</v>
      </c>
      <c r="V42" s="258" t="n">
        <v>850481</v>
      </c>
      <c r="W42" s="258" t="n">
        <v>1073717</v>
      </c>
      <c r="X42" s="258" t="n">
        <v>812592</v>
      </c>
      <c r="Y42" s="258" t="n">
        <v>935306</v>
      </c>
      <c r="Z42" s="258" t="n">
        <v>823209</v>
      </c>
      <c r="AA42" s="258" t="n">
        <v>949533</v>
      </c>
      <c r="AB42" s="258" t="n">
        <v>1172596</v>
      </c>
      <c r="AC42" s="258" t="n">
        <v>1193159</v>
      </c>
      <c r="AD42" s="258" t="n">
        <v>807229</v>
      </c>
      <c r="AE42" s="258" t="n">
        <v>957628</v>
      </c>
      <c r="AF42" s="258" t="n">
        <v>754650</v>
      </c>
      <c r="AG42" s="258" t="n">
        <v>569032</v>
      </c>
      <c r="AH42" s="258" t="n">
        <v>685881</v>
      </c>
      <c r="AI42" s="258" t="n">
        <v>792531</v>
      </c>
      <c r="AJ42" s="258" t="n">
        <v>759240</v>
      </c>
    </row>
    <row r="43">
      <c r="A43" t="n">
        <v>11</v>
      </c>
      <c r="B43" t="n">
        <v>1</v>
      </c>
      <c r="G43" t="inlineStr">
        <is>
          <t>moeda</t>
        </is>
      </c>
      <c r="H43" t="inlineStr">
        <is>
          <t>Investimento de curto prazo / Short-Term Investments (l.11)</t>
        </is>
      </c>
      <c r="J43" t="inlineStr">
        <is>
          <t>fonte</t>
        </is>
      </c>
      <c r="K43" s="258" t="n">
        <v>2791013</v>
      </c>
      <c r="L43" s="258" t="n">
        <v>2154637</v>
      </c>
      <c r="M43" s="258" t="n">
        <v>1727186</v>
      </c>
      <c r="N43" s="258" t="n">
        <v>1405506</v>
      </c>
      <c r="O43" s="258" t="n">
        <v>1365101</v>
      </c>
      <c r="P43" s="258" t="n">
        <v>1247469</v>
      </c>
      <c r="Q43" s="258" t="n">
        <v>1082196</v>
      </c>
      <c r="R43" s="258" t="n">
        <v>1553503</v>
      </c>
      <c r="S43" s="258" t="n">
        <v>1547125</v>
      </c>
      <c r="T43" s="258" t="n">
        <v>1759164</v>
      </c>
      <c r="U43" s="258" t="n">
        <v>1557031</v>
      </c>
      <c r="V43" s="258" t="n">
        <v>1836607</v>
      </c>
      <c r="W43" s="258" t="n">
        <v>1764906</v>
      </c>
      <c r="X43" s="258" t="n">
        <v>1638665</v>
      </c>
      <c r="Y43" s="258" t="n">
        <v>1621571</v>
      </c>
      <c r="Z43" s="258" t="n">
        <v>1852958</v>
      </c>
      <c r="AA43" s="258" t="n">
        <v>1864486</v>
      </c>
      <c r="AB43" s="258" t="n">
        <v>2427255</v>
      </c>
      <c r="AC43" s="258" t="n">
        <v>2142870</v>
      </c>
      <c r="AD43" s="258" t="n">
        <v>2571896</v>
      </c>
      <c r="AE43" s="258" t="n">
        <v>2537074</v>
      </c>
      <c r="AF43" s="258" t="n">
        <v>2789111</v>
      </c>
      <c r="AG43" s="258" t="n">
        <v>2470434</v>
      </c>
      <c r="AH43" s="258" t="n">
        <v>2387700</v>
      </c>
      <c r="AI43" s="258" t="n">
        <v>4262531</v>
      </c>
      <c r="AJ43" s="258" t="n">
        <v>4456479</v>
      </c>
    </row>
    <row r="44">
      <c r="A44" t="n">
        <v>11</v>
      </c>
      <c r="B44" t="n">
        <v>1</v>
      </c>
      <c r="G44" t="inlineStr">
        <is>
          <t>moeda</t>
        </is>
      </c>
      <c r="H44" t="inlineStr">
        <is>
          <t>Títulos e valores mobiliários / Marketable Securities (l.12)</t>
        </is>
      </c>
      <c r="J44" t="inlineStr">
        <is>
          <t>fonte</t>
        </is>
      </c>
      <c r="K44" s="258" t="n">
        <v>2730</v>
      </c>
      <c r="L44" s="258" t="n">
        <v>753</v>
      </c>
      <c r="M44" s="258" t="n">
        <v>2805</v>
      </c>
      <c r="N44" s="258" t="n">
        <v>767</v>
      </c>
      <c r="O44" s="258" t="n">
        <v>3118</v>
      </c>
      <c r="P44" s="258" t="n">
        <v>1390</v>
      </c>
      <c r="Q44" s="258" t="n">
        <v>3292</v>
      </c>
      <c r="R44" s="258" t="n">
        <v>971</v>
      </c>
      <c r="S44" s="258" t="n">
        <v>3843</v>
      </c>
      <c r="T44" s="258" t="n">
        <v>1000</v>
      </c>
      <c r="U44" s="258" t="n">
        <v>3919</v>
      </c>
      <c r="V44" s="258" t="n">
        <v>1304</v>
      </c>
      <c r="W44" s="258" t="n">
        <v>4726</v>
      </c>
      <c r="X44" s="258" t="n">
        <v>144573</v>
      </c>
      <c r="Y44" s="258" t="n">
        <v>159321</v>
      </c>
      <c r="Z44" s="258" t="n">
        <v>155384</v>
      </c>
      <c r="AA44" s="258" t="n">
        <v>176368</v>
      </c>
      <c r="AB44" s="258" t="n">
        <v>157159</v>
      </c>
      <c r="AC44" s="258" t="n">
        <v>173071</v>
      </c>
      <c r="AD44" s="258" t="n">
        <v>165134</v>
      </c>
      <c r="AE44" s="258" t="n">
        <v>183496</v>
      </c>
      <c r="AF44" s="258" t="n">
        <v>152659</v>
      </c>
      <c r="AG44" s="258" t="n">
        <v>184721</v>
      </c>
      <c r="AH44" s="258" t="n">
        <v>155040</v>
      </c>
      <c r="AI44" s="258" t="n">
        <v>191095</v>
      </c>
      <c r="AJ44" s="258" t="n">
        <v>156202</v>
      </c>
    </row>
    <row r="45">
      <c r="A45" t="n">
        <v>12</v>
      </c>
      <c r="B45" t="n">
        <v>1</v>
      </c>
      <c r="G45" t="inlineStr">
        <is>
          <t>moeda</t>
        </is>
      </c>
      <c r="H45" t="inlineStr">
        <is>
          <t>Contas a receber de clientes / Trade Accounts Receivable (l.13)</t>
        </is>
      </c>
      <c r="J45" t="inlineStr">
        <is>
          <t>fonte</t>
        </is>
      </c>
      <c r="K45" s="258" t="n">
        <v>330399</v>
      </c>
      <c r="L45" s="258" t="n">
        <v>328061</v>
      </c>
      <c r="M45" s="258" t="n">
        <v>365380</v>
      </c>
      <c r="N45" s="258" t="n">
        <v>415353</v>
      </c>
      <c r="O45" s="258" t="n">
        <v>338682</v>
      </c>
      <c r="P45" s="258" t="n">
        <v>345885</v>
      </c>
      <c r="Q45" s="258" t="n">
        <v>378626</v>
      </c>
      <c r="R45" s="258" t="n">
        <v>391698</v>
      </c>
      <c r="S45" s="258" t="n">
        <v>363277</v>
      </c>
      <c r="T45" s="258" t="n">
        <v>377686</v>
      </c>
      <c r="U45" s="258" t="n">
        <v>412736</v>
      </c>
      <c r="V45" s="258" t="n">
        <v>448279</v>
      </c>
      <c r="W45" s="258" t="n">
        <v>476539</v>
      </c>
      <c r="X45" s="258" t="n">
        <v>292699</v>
      </c>
      <c r="Y45" s="258" t="n">
        <v>338637</v>
      </c>
      <c r="Z45" s="258" t="n">
        <v>288702</v>
      </c>
      <c r="AA45" s="258" t="n">
        <v>262889</v>
      </c>
      <c r="AB45" s="258" t="n">
        <v>270403</v>
      </c>
      <c r="AC45" s="258" t="n">
        <v>274293</v>
      </c>
      <c r="AD45" s="258" t="n">
        <v>283923</v>
      </c>
      <c r="AE45" s="258" t="n">
        <v>259685</v>
      </c>
      <c r="AF45" s="258" t="n">
        <v>247846</v>
      </c>
      <c r="AG45" s="258" t="n">
        <v>212361</v>
      </c>
      <c r="AH45" s="258" t="n">
        <v>186798</v>
      </c>
      <c r="AI45" s="258" t="n">
        <v>191285</v>
      </c>
      <c r="AJ45" s="258" t="n">
        <v>349127</v>
      </c>
    </row>
    <row r="46">
      <c r="A46" t="n">
        <v>16</v>
      </c>
      <c r="B46" t="n">
        <v>1</v>
      </c>
      <c r="G46" t="inlineStr">
        <is>
          <t>moeda</t>
        </is>
      </c>
      <c r="H46" t="inlineStr">
        <is>
          <t>Partes relacionadas / Related Parties (l.14)</t>
        </is>
      </c>
      <c r="J46" t="inlineStr">
        <is>
          <t>fonte</t>
        </is>
      </c>
      <c r="K46" s="258" t="n">
        <v>175</v>
      </c>
      <c r="L46" s="258" t="n">
        <v>75</v>
      </c>
      <c r="M46" s="258" t="n">
        <v>75</v>
      </c>
      <c r="N46" s="258" t="n">
        <v>75</v>
      </c>
      <c r="O46" s="258" t="n">
        <v>75</v>
      </c>
      <c r="P46" s="258" t="n">
        <v>75</v>
      </c>
      <c r="Q46" s="258" t="n">
        <v>75</v>
      </c>
      <c r="R46" s="258" t="n">
        <v>75</v>
      </c>
      <c r="S46" s="258" t="n">
        <v>75</v>
      </c>
      <c r="T46" s="258" t="n">
        <v>75</v>
      </c>
      <c r="U46" s="258" t="n">
        <v>75</v>
      </c>
      <c r="V46" s="258" t="n">
        <v>75</v>
      </c>
      <c r="W46" s="258" t="n">
        <v>75</v>
      </c>
      <c r="X46" s="258" t="n">
        <v>75</v>
      </c>
      <c r="Y46" s="258" t="n">
        <v>75</v>
      </c>
      <c r="Z46" s="258" t="n">
        <v>75</v>
      </c>
      <c r="AA46" s="258" t="n">
        <v>75</v>
      </c>
      <c r="AB46" s="258" t="n">
        <v>75</v>
      </c>
      <c r="AC46" s="258" t="n">
        <v>75</v>
      </c>
      <c r="AD46" s="258" t="n">
        <v>75</v>
      </c>
      <c r="AE46" s="258" t="n">
        <v>75</v>
      </c>
      <c r="AF46" s="258" t="n">
        <v>75</v>
      </c>
      <c r="AG46" s="258" t="n">
        <v>75</v>
      </c>
      <c r="AH46" s="258" t="n">
        <v>75</v>
      </c>
      <c r="AI46" s="258" t="n">
        <v>75</v>
      </c>
      <c r="AJ46" s="258" t="n">
        <v>75</v>
      </c>
    </row>
    <row r="47">
      <c r="A47" t="n">
        <v>16</v>
      </c>
      <c r="B47" t="n">
        <v>1</v>
      </c>
      <c r="G47" t="inlineStr">
        <is>
          <t>moeda</t>
        </is>
      </c>
      <c r="H47" t="inlineStr">
        <is>
          <t>Impostos a recuperar / Taxes Recoverable (l.15)</t>
        </is>
      </c>
      <c r="J47" t="inlineStr">
        <is>
          <t>fonte</t>
        </is>
      </c>
      <c r="K47" s="258" t="n">
        <v>149911</v>
      </c>
      <c r="L47" s="258" t="n">
        <v>166766</v>
      </c>
      <c r="M47" s="258" t="n">
        <v>172836</v>
      </c>
      <c r="N47" s="258" t="n">
        <v>141160</v>
      </c>
      <c r="O47" s="258" t="n">
        <v>139170</v>
      </c>
      <c r="P47" s="258" t="n">
        <v>81235</v>
      </c>
      <c r="Q47" s="258" t="n">
        <v>85561</v>
      </c>
      <c r="R47" s="258" t="n">
        <v>98802</v>
      </c>
      <c r="S47" s="258" t="n">
        <v>105997</v>
      </c>
      <c r="T47" s="258" t="n">
        <v>117108</v>
      </c>
      <c r="U47" s="258" t="n">
        <v>121285</v>
      </c>
      <c r="V47" s="258" t="n">
        <v>173299</v>
      </c>
      <c r="W47" s="258" t="n">
        <v>171089</v>
      </c>
      <c r="X47" s="258" t="n">
        <v>189566</v>
      </c>
      <c r="Y47" s="258" t="n">
        <v>194828</v>
      </c>
      <c r="Z47" s="258" t="n">
        <v>178974</v>
      </c>
      <c r="AA47" s="258" t="n">
        <v>181205</v>
      </c>
      <c r="AB47" s="258" t="n">
        <v>207146</v>
      </c>
      <c r="AC47" s="258" t="n">
        <v>213207</v>
      </c>
      <c r="AD47" s="258" t="n">
        <v>208344</v>
      </c>
      <c r="AE47" s="258" t="n">
        <v>220975</v>
      </c>
      <c r="AF47" s="258" t="n">
        <v>239885</v>
      </c>
      <c r="AG47" s="258" t="n">
        <v>254571</v>
      </c>
      <c r="AH47" s="258" t="n">
        <v>251346</v>
      </c>
      <c r="AI47" s="258" t="n">
        <v>270761</v>
      </c>
      <c r="AJ47" s="258" t="n">
        <v>345598</v>
      </c>
    </row>
    <row r="48">
      <c r="A48" t="n">
        <v>16</v>
      </c>
      <c r="B48" t="n">
        <v>1</v>
      </c>
      <c r="G48" t="inlineStr">
        <is>
          <t>moeda</t>
        </is>
      </c>
      <c r="H48" t="inlineStr">
        <is>
          <t>Adiantamento a fornecedores / Advance for Suppliers (l.16)</t>
        </is>
      </c>
      <c r="J48" t="inlineStr">
        <is>
          <t>fonte</t>
        </is>
      </c>
      <c r="K48" s="258" t="n">
        <v>16951</v>
      </c>
      <c r="L48" s="258" t="n">
        <v>29556</v>
      </c>
      <c r="M48" s="258" t="n">
        <v>40329</v>
      </c>
      <c r="N48" s="258" t="n">
        <v>79744</v>
      </c>
      <c r="O48" s="258" t="n">
        <v>80879</v>
      </c>
      <c r="P48" s="258" t="n">
        <v>133118</v>
      </c>
      <c r="Q48" s="258" t="n">
        <v>137094</v>
      </c>
      <c r="R48" s="258" t="n">
        <v>171482</v>
      </c>
      <c r="S48" s="258" t="n">
        <v>86932</v>
      </c>
      <c r="T48" s="258" t="n">
        <v>92680</v>
      </c>
      <c r="U48" s="258" t="n">
        <v>86795</v>
      </c>
      <c r="V48" s="258" t="n">
        <v>87668</v>
      </c>
      <c r="W48" s="258" t="n">
        <v>64542</v>
      </c>
      <c r="X48" s="258" t="n">
        <v>64631</v>
      </c>
      <c r="Y48" s="258" t="n">
        <v>65819</v>
      </c>
      <c r="Z48" s="258" t="n">
        <v>50802</v>
      </c>
      <c r="AA48" s="258" t="n">
        <v>51187</v>
      </c>
      <c r="AB48" s="258" t="n">
        <v>42193</v>
      </c>
      <c r="AC48" s="258" t="n">
        <v>41413</v>
      </c>
      <c r="AD48" s="258" t="n">
        <v>44304</v>
      </c>
      <c r="AE48" s="258" t="n">
        <v>35956</v>
      </c>
      <c r="AF48" s="258" t="n">
        <v>47139</v>
      </c>
      <c r="AG48" s="258" t="n">
        <v>85990</v>
      </c>
      <c r="AH48" s="258" t="n">
        <v>135800</v>
      </c>
      <c r="AI48" s="258" t="n">
        <v>172192</v>
      </c>
      <c r="AJ48" s="258" t="n">
        <v>176510</v>
      </c>
    </row>
    <row r="49">
      <c r="A49" t="n">
        <v>13</v>
      </c>
      <c r="B49" t="n">
        <v>1</v>
      </c>
      <c r="G49" t="inlineStr">
        <is>
          <t>moeda</t>
        </is>
      </c>
      <c r="H49" t="inlineStr">
        <is>
          <t>Estoques / Inventories (l.17)</t>
        </is>
      </c>
      <c r="J49" t="inlineStr">
        <is>
          <t>fonte</t>
        </is>
      </c>
      <c r="K49" s="258" t="n">
        <v>9723</v>
      </c>
      <c r="L49" s="258" t="n">
        <v>8082</v>
      </c>
      <c r="M49" s="258" t="n">
        <v>8244</v>
      </c>
      <c r="N49" s="258" t="n">
        <v>7856</v>
      </c>
      <c r="O49" s="258" t="n">
        <v>7969</v>
      </c>
      <c r="P49" s="258" t="n">
        <v>8386</v>
      </c>
      <c r="Q49" s="258" t="n">
        <v>8389</v>
      </c>
      <c r="R49" s="258" t="n">
        <v>8245</v>
      </c>
      <c r="S49" s="258" t="n">
        <v>8368</v>
      </c>
      <c r="T49" s="258" t="n">
        <v>8455</v>
      </c>
      <c r="U49" s="258" t="n">
        <v>8952</v>
      </c>
      <c r="V49" s="258" t="n">
        <v>9201</v>
      </c>
      <c r="W49" s="258" t="n">
        <v>9061</v>
      </c>
      <c r="X49" s="258" t="n">
        <v>9397</v>
      </c>
      <c r="Y49" s="258" t="n">
        <v>17446</v>
      </c>
      <c r="Z49" s="258" t="n">
        <v>10278</v>
      </c>
      <c r="AA49" s="258" t="n">
        <v>9874</v>
      </c>
      <c r="AB49" s="258" t="n">
        <v>9229</v>
      </c>
      <c r="AC49" s="258" t="n">
        <v>9486</v>
      </c>
      <c r="AD49" s="258" t="n">
        <v>9766</v>
      </c>
      <c r="AE49" s="258" t="n">
        <v>10107</v>
      </c>
      <c r="AF49" s="258" t="n">
        <v>9833</v>
      </c>
      <c r="AG49" s="258" t="n">
        <v>9692</v>
      </c>
      <c r="AH49" s="258" t="n">
        <v>10472</v>
      </c>
      <c r="AI49" s="258" t="n">
        <v>10780</v>
      </c>
      <c r="AJ49" s="258" t="n">
        <v>11141</v>
      </c>
    </row>
    <row r="50">
      <c r="A50" t="n">
        <v>16</v>
      </c>
      <c r="B50" t="n">
        <v>1</v>
      </c>
      <c r="G50" t="inlineStr">
        <is>
          <t>moeda</t>
        </is>
      </c>
      <c r="H50" t="inlineStr">
        <is>
          <t>Cauções e depósitos judiciais / Judicial Deposits (l.18)</t>
        </is>
      </c>
      <c r="J50" t="inlineStr">
        <is>
          <t>fonte</t>
        </is>
      </c>
      <c r="K50" s="258" t="n">
        <v>550</v>
      </c>
      <c r="L50" s="258" t="n">
        <v>384</v>
      </c>
      <c r="M50" s="258" t="n">
        <v>384</v>
      </c>
      <c r="N50" s="258" t="n">
        <v>384</v>
      </c>
      <c r="O50" s="258" t="n">
        <v>384</v>
      </c>
      <c r="P50" s="258" t="n">
        <v>384</v>
      </c>
      <c r="Q50" s="258" t="n">
        <v>384</v>
      </c>
      <c r="R50" s="258" t="n">
        <v>384</v>
      </c>
      <c r="S50" s="258" t="n">
        <v>384</v>
      </c>
      <c r="T50" s="258" t="n">
        <v>384</v>
      </c>
      <c r="U50" s="258" t="n">
        <v>384</v>
      </c>
      <c r="V50" s="258" t="n">
        <v>384</v>
      </c>
      <c r="W50" s="258" t="n">
        <v>384</v>
      </c>
      <c r="X50" s="258" t="n">
        <v>384</v>
      </c>
      <c r="Y50" s="258" t="n">
        <v>384</v>
      </c>
      <c r="Z50" s="258" t="n">
        <v>384</v>
      </c>
      <c r="AA50" s="258" t="n">
        <v>384</v>
      </c>
      <c r="AB50" s="258" t="n">
        <v>384</v>
      </c>
      <c r="AC50" s="258" t="n">
        <v>384</v>
      </c>
      <c r="AD50" s="258" t="n">
        <v>120</v>
      </c>
      <c r="AE50" s="258" t="n">
        <v>120</v>
      </c>
      <c r="AF50" s="258" t="n">
        <v>0</v>
      </c>
      <c r="AG50" s="258" t="n">
        <v>0</v>
      </c>
      <c r="AH50" s="258" t="n">
        <v>0</v>
      </c>
      <c r="AI50" s="258" t="n">
        <v>0</v>
      </c>
      <c r="AJ50" s="258" t="n">
        <v>0</v>
      </c>
    </row>
    <row r="51">
      <c r="A51" t="n">
        <v>15</v>
      </c>
      <c r="B51" t="n">
        <v>1</v>
      </c>
      <c r="G51" t="inlineStr">
        <is>
          <t>moeda</t>
        </is>
      </c>
      <c r="H51" t="inlineStr">
        <is>
          <t>Despesas pagas antecipadamente / Prepaid Expenses (l.19)</t>
        </is>
      </c>
      <c r="J51" t="inlineStr">
        <is>
          <t>fonte</t>
        </is>
      </c>
      <c r="K51" s="258" t="n">
        <v>3616</v>
      </c>
      <c r="L51" s="258" t="n">
        <v>1454</v>
      </c>
      <c r="M51" s="258" t="n">
        <v>6391</v>
      </c>
      <c r="N51" s="258" t="n">
        <v>5828</v>
      </c>
      <c r="O51" s="258" t="n">
        <v>4979</v>
      </c>
      <c r="P51" s="258" t="n">
        <v>10437</v>
      </c>
      <c r="Q51" s="258" t="n">
        <v>9944</v>
      </c>
      <c r="R51" s="258" t="n">
        <v>8251</v>
      </c>
      <c r="S51" s="258" t="n">
        <v>7110</v>
      </c>
      <c r="T51" s="258" t="n">
        <v>11678</v>
      </c>
      <c r="U51" s="258" t="n">
        <v>13120</v>
      </c>
      <c r="V51" s="258" t="n">
        <v>13602</v>
      </c>
      <c r="W51" s="258" t="n">
        <v>7204</v>
      </c>
      <c r="X51" s="258" t="n">
        <v>9983</v>
      </c>
      <c r="Y51" s="258" t="n">
        <v>9189</v>
      </c>
      <c r="Z51" s="258" t="n">
        <v>12141</v>
      </c>
      <c r="AA51" s="258" t="n">
        <v>7964</v>
      </c>
      <c r="AB51" s="258" t="n">
        <v>11090</v>
      </c>
      <c r="AC51" s="258" t="n">
        <v>10329</v>
      </c>
      <c r="AD51" s="258" t="n">
        <v>9961</v>
      </c>
      <c r="AE51" s="258" t="n">
        <v>8499</v>
      </c>
      <c r="AF51" s="258" t="n">
        <v>9341</v>
      </c>
      <c r="AG51" s="258" t="n">
        <v>12455</v>
      </c>
      <c r="AH51" s="258" t="n">
        <v>10900</v>
      </c>
      <c r="AI51" s="258" t="n">
        <v>11131</v>
      </c>
      <c r="AJ51" s="258" t="n">
        <v>12761</v>
      </c>
    </row>
    <row r="52">
      <c r="A52" t="n">
        <v>16</v>
      </c>
      <c r="B52" t="n">
        <v>1</v>
      </c>
      <c r="G52" t="inlineStr">
        <is>
          <t>moeda</t>
        </is>
      </c>
      <c r="H52" t="inlineStr">
        <is>
          <t>Ativo financeiro da concessão / Accounts Receivable - Concession Assets (l.20)</t>
        </is>
      </c>
      <c r="J52" t="inlineStr">
        <is>
          <t>fonte</t>
        </is>
      </c>
      <c r="K52" s="258" t="n">
        <v>0</v>
      </c>
      <c r="L52" s="258" t="n">
        <v>0</v>
      </c>
      <c r="M52" s="258" t="n">
        <v>0</v>
      </c>
      <c r="N52" s="258" t="n">
        <v>0</v>
      </c>
      <c r="O52" s="258" t="n">
        <v>0</v>
      </c>
      <c r="P52" s="258" t="n">
        <v>0</v>
      </c>
      <c r="Q52" s="258" t="n">
        <v>0</v>
      </c>
      <c r="R52" s="258" t="n">
        <v>0</v>
      </c>
      <c r="S52" s="258" t="n">
        <v>0</v>
      </c>
      <c r="T52" s="258" t="n">
        <v>0</v>
      </c>
      <c r="U52" s="258" t="n">
        <v>0</v>
      </c>
      <c r="V52" s="258" t="n">
        <v>0</v>
      </c>
      <c r="W52" s="258" t="n">
        <v>0</v>
      </c>
      <c r="X52" s="258" t="n">
        <v>0</v>
      </c>
      <c r="Y52" s="258" t="n">
        <v>0</v>
      </c>
      <c r="Z52" s="258" t="n">
        <v>0</v>
      </c>
      <c r="AA52" s="258" t="n">
        <v>0</v>
      </c>
      <c r="AB52" s="258" t="n">
        <v>0</v>
      </c>
      <c r="AC52" s="258" t="n">
        <v>0</v>
      </c>
      <c r="AD52" s="258" t="n">
        <v>0</v>
      </c>
      <c r="AE52" s="258" t="n">
        <v>0</v>
      </c>
      <c r="AF52" s="258" t="n">
        <v>0</v>
      </c>
      <c r="AG52" s="258" t="n">
        <v>0</v>
      </c>
      <c r="AH52" s="258" t="n">
        <v>0</v>
      </c>
      <c r="AI52" s="258" t="n">
        <v>0</v>
      </c>
      <c r="AJ52" s="258" t="n">
        <v>0</v>
      </c>
    </row>
    <row r="53">
      <c r="A53" t="n">
        <v>16</v>
      </c>
      <c r="B53" t="n">
        <v>1</v>
      </c>
      <c r="G53" t="inlineStr">
        <is>
          <t>moeda</t>
        </is>
      </c>
      <c r="H53" t="inlineStr">
        <is>
          <t>Contas a receber ativo contratual / Accounts Receivable - Contractual Assets (l.21)</t>
        </is>
      </c>
      <c r="J53" t="inlineStr">
        <is>
          <t>fonte</t>
        </is>
      </c>
      <c r="K53" s="258" t="n">
        <v>977687</v>
      </c>
      <c r="L53" s="258" t="n">
        <v>920963</v>
      </c>
      <c r="M53" s="258" t="n">
        <v>1033622</v>
      </c>
      <c r="N53" s="258" t="n">
        <v>1290362</v>
      </c>
      <c r="O53" s="258" t="n">
        <v>1499674</v>
      </c>
      <c r="P53" s="258" t="n">
        <v>1581795</v>
      </c>
      <c r="Q53" s="258" t="n">
        <v>1596466</v>
      </c>
      <c r="R53" s="258" t="n">
        <v>1701139</v>
      </c>
      <c r="S53" s="258" t="n">
        <v>1869931</v>
      </c>
      <c r="T53" s="258" t="n">
        <v>1911593</v>
      </c>
      <c r="U53" s="258" t="n">
        <v>1897690</v>
      </c>
      <c r="V53" s="258" t="n">
        <v>1909364</v>
      </c>
      <c r="W53" s="258" t="n">
        <v>1980098</v>
      </c>
      <c r="X53" s="258" t="n">
        <v>1969683</v>
      </c>
      <c r="Y53" s="258" t="n">
        <v>1976654</v>
      </c>
      <c r="Z53" s="258" t="n">
        <v>1984827</v>
      </c>
      <c r="AA53" s="258" t="n">
        <v>2034340</v>
      </c>
      <c r="AB53" s="258" t="n">
        <v>2062113</v>
      </c>
      <c r="AC53" s="258" t="n">
        <v>2065735</v>
      </c>
      <c r="AD53" s="258" t="n">
        <v>2098105</v>
      </c>
      <c r="AE53" s="258" t="n">
        <v>2148936</v>
      </c>
      <c r="AF53" s="258" t="n">
        <v>2231278</v>
      </c>
      <c r="AG53" s="258" t="n">
        <v>2246629</v>
      </c>
      <c r="AH53" s="258" t="n">
        <v>2254400</v>
      </c>
      <c r="AI53" s="258" t="n">
        <v>2274328</v>
      </c>
      <c r="AJ53" s="258" t="n">
        <v>2359837</v>
      </c>
    </row>
    <row r="54">
      <c r="A54" t="n">
        <v>16</v>
      </c>
      <c r="B54" t="n">
        <v>1</v>
      </c>
      <c r="G54" t="inlineStr">
        <is>
          <t>moeda</t>
        </is>
      </c>
      <c r="H54" t="inlineStr">
        <is>
          <t>Ativos mantidos para venda / Assets for sale (l.22)</t>
        </is>
      </c>
      <c r="J54" t="inlineStr">
        <is>
          <t>fonte</t>
        </is>
      </c>
      <c r="K54" s="258" t="n">
        <v>0</v>
      </c>
      <c r="L54" s="258" t="n">
        <v>0</v>
      </c>
      <c r="M54" s="258" t="n">
        <v>0</v>
      </c>
      <c r="N54" s="258" t="n">
        <v>0</v>
      </c>
      <c r="O54" s="258" t="n">
        <v>0</v>
      </c>
      <c r="P54" s="258" t="n">
        <v>0</v>
      </c>
      <c r="Q54" s="258" t="n">
        <v>0</v>
      </c>
      <c r="R54" s="258" t="n">
        <v>0</v>
      </c>
      <c r="S54" s="258" t="n">
        <v>0</v>
      </c>
      <c r="T54" s="258" t="n">
        <v>0</v>
      </c>
      <c r="U54" s="258" t="n">
        <v>0</v>
      </c>
      <c r="V54" s="258" t="n">
        <v>0</v>
      </c>
      <c r="W54" s="258" t="n">
        <v>0</v>
      </c>
      <c r="X54" s="258" t="n">
        <v>0</v>
      </c>
      <c r="Y54" s="258" t="n">
        <v>0</v>
      </c>
      <c r="Z54" s="258" t="n">
        <v>0</v>
      </c>
      <c r="AA54" s="258" t="n">
        <v>0</v>
      </c>
      <c r="AB54" s="258" t="n">
        <v>330</v>
      </c>
      <c r="AC54" s="258" t="n">
        <v>0</v>
      </c>
      <c r="AD54" s="258" t="n">
        <v>0</v>
      </c>
      <c r="AE54" s="258" t="n">
        <v>0</v>
      </c>
      <c r="AF54" s="258" t="n">
        <v>0</v>
      </c>
      <c r="AG54" s="258" t="n">
        <v>0</v>
      </c>
      <c r="AH54" s="258" t="n">
        <v>0</v>
      </c>
      <c r="AI54" s="258" t="n">
        <v>0</v>
      </c>
      <c r="AJ54" s="258" t="n">
        <v>0</v>
      </c>
    </row>
    <row r="55">
      <c r="A55" t="n">
        <v>16</v>
      </c>
      <c r="B55" t="n">
        <v>1</v>
      </c>
      <c r="G55" t="inlineStr">
        <is>
          <t>moeda</t>
        </is>
      </c>
      <c r="H55" t="inlineStr">
        <is>
          <t>Instrumentos financeiros derIvativos / Financial instruments derivatives (l.23) [0 em 9 per. (1Q20..1Q22): celula vazia ou "-" na fonte; total divulgado confirma]</t>
        </is>
      </c>
      <c r="J55" t="inlineStr">
        <is>
          <t>fonte</t>
        </is>
      </c>
      <c r="K55" s="258" t="n">
        <v>0</v>
      </c>
      <c r="L55" s="258" t="n">
        <v>0</v>
      </c>
      <c r="M55" s="258" t="n">
        <v>0</v>
      </c>
      <c r="N55" s="258" t="n">
        <v>0</v>
      </c>
      <c r="O55" s="258" t="n">
        <v>0</v>
      </c>
      <c r="P55" s="258" t="n">
        <v>0</v>
      </c>
      <c r="Q55" s="258" t="n">
        <v>0</v>
      </c>
      <c r="R55" s="258" t="n">
        <v>0</v>
      </c>
      <c r="S55" s="258" t="n">
        <v>0</v>
      </c>
      <c r="T55" s="258" t="n">
        <v>8199</v>
      </c>
      <c r="U55" s="258" t="n">
        <v>0</v>
      </c>
      <c r="V55" s="258" t="n">
        <v>0</v>
      </c>
      <c r="W55" s="258" t="n">
        <v>0</v>
      </c>
      <c r="X55" s="258" t="n">
        <v>0</v>
      </c>
      <c r="Y55" s="258" t="n">
        <v>0</v>
      </c>
      <c r="Z55" s="258" t="n">
        <v>0</v>
      </c>
      <c r="AA55" s="258" t="n">
        <v>0</v>
      </c>
      <c r="AB55" s="258" t="n">
        <v>0</v>
      </c>
      <c r="AC55" s="258" t="n">
        <v>2016</v>
      </c>
      <c r="AD55" s="258" t="n">
        <v>0</v>
      </c>
      <c r="AE55" s="258" t="n">
        <v>1283</v>
      </c>
      <c r="AF55" s="258" t="n">
        <v>29270</v>
      </c>
      <c r="AG55" s="258" t="n">
        <v>3001</v>
      </c>
      <c r="AH55" s="258" t="n">
        <v>64631</v>
      </c>
      <c r="AI55" s="258" t="n">
        <v>45871</v>
      </c>
      <c r="AJ55" s="258" t="n">
        <v>99615</v>
      </c>
    </row>
    <row r="56">
      <c r="A56" t="n">
        <v>16</v>
      </c>
      <c r="B56" t="n">
        <v>1</v>
      </c>
      <c r="G56" t="inlineStr">
        <is>
          <t>moeda</t>
        </is>
      </c>
      <c r="H56" t="inlineStr">
        <is>
          <t>Outros ativos / Other Assets (l.24)</t>
        </is>
      </c>
      <c r="J56" t="inlineStr">
        <is>
          <t>fonte</t>
        </is>
      </c>
      <c r="K56" s="258" t="n">
        <v>57105</v>
      </c>
      <c r="L56" s="258" t="n">
        <v>71127</v>
      </c>
      <c r="M56" s="258" t="n">
        <v>70468</v>
      </c>
      <c r="N56" s="258" t="n">
        <v>62750</v>
      </c>
      <c r="O56" s="258" t="n">
        <v>61106</v>
      </c>
      <c r="P56" s="258" t="n">
        <v>61058</v>
      </c>
      <c r="Q56" s="258" t="n">
        <v>62685</v>
      </c>
      <c r="R56" s="258" t="n">
        <v>89008</v>
      </c>
      <c r="S56" s="258" t="n">
        <v>58272</v>
      </c>
      <c r="T56" s="258" t="n">
        <v>73339</v>
      </c>
      <c r="U56" s="258" t="n">
        <v>58290</v>
      </c>
      <c r="V56" s="258" t="n">
        <v>43181</v>
      </c>
      <c r="W56" s="258" t="n">
        <v>47607</v>
      </c>
      <c r="X56" s="258" t="n">
        <v>97702</v>
      </c>
      <c r="Y56" s="258" t="n">
        <v>63052</v>
      </c>
      <c r="Z56" s="258" t="n">
        <v>61907</v>
      </c>
      <c r="AA56" s="258" t="n">
        <v>50850</v>
      </c>
      <c r="AB56" s="258" t="n">
        <v>41297</v>
      </c>
      <c r="AC56" s="258" t="n">
        <v>49620</v>
      </c>
      <c r="AD56" s="258" t="n">
        <v>45282</v>
      </c>
      <c r="AE56" s="258" t="n">
        <v>49651</v>
      </c>
      <c r="AF56" s="258" t="n">
        <v>45461</v>
      </c>
      <c r="AG56" s="258" t="n">
        <v>38207</v>
      </c>
      <c r="AH56" s="258" t="n">
        <v>82791</v>
      </c>
      <c r="AI56" s="258" t="n">
        <v>75339</v>
      </c>
      <c r="AJ56" s="258" t="n">
        <v>80790</v>
      </c>
    </row>
    <row r="57">
      <c r="A57" t="n">
        <v>22</v>
      </c>
      <c r="B57" t="n">
        <v>1</v>
      </c>
      <c r="G57" t="inlineStr">
        <is>
          <t>moeda</t>
        </is>
      </c>
      <c r="H57" t="inlineStr">
        <is>
          <t>Contas a receber de clientes / Trade Accounts Receivable (l.27)</t>
        </is>
      </c>
      <c r="J57" t="inlineStr">
        <is>
          <t>fonte</t>
        </is>
      </c>
      <c r="K57" s="258" t="n">
        <v>14613</v>
      </c>
      <c r="L57" s="258" t="n">
        <v>23230</v>
      </c>
      <c r="M57" s="258" t="n">
        <v>20186</v>
      </c>
      <c r="N57" s="258" t="n">
        <v>20903</v>
      </c>
      <c r="O57" s="258" t="n">
        <v>25705</v>
      </c>
      <c r="P57" s="258" t="n">
        <v>25346</v>
      </c>
      <c r="Q57" s="258" t="n">
        <v>26014</v>
      </c>
      <c r="R57" s="258" t="n">
        <v>24533</v>
      </c>
      <c r="S57" s="258" t="n">
        <v>32922</v>
      </c>
      <c r="T57" s="258" t="n">
        <v>26438</v>
      </c>
      <c r="U57" s="258" t="n">
        <v>35217</v>
      </c>
      <c r="V57" s="258" t="n">
        <v>52922</v>
      </c>
      <c r="W57" s="258" t="n">
        <v>65440</v>
      </c>
      <c r="X57" s="258" t="n">
        <v>35995</v>
      </c>
      <c r="Y57" s="258" t="n">
        <v>46143</v>
      </c>
      <c r="Z57" s="258" t="n">
        <v>52449</v>
      </c>
      <c r="AA57" s="258" t="n">
        <v>69185</v>
      </c>
      <c r="AB57" s="258" t="n">
        <v>59992</v>
      </c>
      <c r="AC57" s="258" t="n">
        <v>98059</v>
      </c>
      <c r="AD57" s="258" t="n">
        <v>121676</v>
      </c>
      <c r="AE57" s="258" t="n">
        <v>159688</v>
      </c>
      <c r="AF57" s="258" t="n">
        <v>124393</v>
      </c>
      <c r="AG57" s="258" t="n">
        <v>161128</v>
      </c>
      <c r="AH57" s="258" t="n">
        <v>188110</v>
      </c>
      <c r="AI57" s="258" t="n">
        <v>216366</v>
      </c>
      <c r="AJ57" s="258" t="n">
        <v>29156</v>
      </c>
    </row>
    <row r="58">
      <c r="A58" t="n">
        <v>22</v>
      </c>
      <c r="B58" t="n">
        <v>1</v>
      </c>
      <c r="G58" t="inlineStr">
        <is>
          <t>moeda</t>
        </is>
      </c>
      <c r="H58" t="inlineStr">
        <is>
          <t>Partes relacionadas / Related Parties (l.28)</t>
        </is>
      </c>
      <c r="J58" t="inlineStr">
        <is>
          <t>fonte</t>
        </is>
      </c>
      <c r="K58" s="258" t="n">
        <v>0</v>
      </c>
      <c r="L58" s="258" t="n">
        <v>0</v>
      </c>
      <c r="M58" s="258" t="n">
        <v>0</v>
      </c>
      <c r="N58" s="258" t="n">
        <v>0</v>
      </c>
      <c r="O58" s="258" t="n">
        <v>0</v>
      </c>
      <c r="P58" s="258" t="n">
        <v>0</v>
      </c>
      <c r="Q58" s="258" t="n">
        <v>0</v>
      </c>
      <c r="R58" s="258" t="n">
        <v>0</v>
      </c>
      <c r="S58" s="258" t="n">
        <v>0</v>
      </c>
      <c r="T58" s="258" t="n">
        <v>0</v>
      </c>
      <c r="U58" s="258" t="n">
        <v>0</v>
      </c>
      <c r="V58" s="258" t="n">
        <v>0</v>
      </c>
      <c r="W58" s="258" t="n">
        <v>0</v>
      </c>
      <c r="X58" s="258" t="n">
        <v>0</v>
      </c>
      <c r="Y58" s="258" t="n">
        <v>0</v>
      </c>
      <c r="Z58" s="258" t="n">
        <v>0</v>
      </c>
      <c r="AA58" s="258" t="n">
        <v>0</v>
      </c>
      <c r="AB58" s="258" t="n">
        <v>0</v>
      </c>
      <c r="AC58" s="258" t="n">
        <v>0</v>
      </c>
      <c r="AD58" s="258" t="n">
        <v>0</v>
      </c>
      <c r="AE58" s="258" t="n">
        <v>0</v>
      </c>
      <c r="AF58" s="258" t="n">
        <v>0</v>
      </c>
      <c r="AG58" s="258" t="n">
        <v>0</v>
      </c>
      <c r="AH58" s="258" t="n">
        <v>0</v>
      </c>
      <c r="AI58" s="258" t="n">
        <v>0</v>
      </c>
      <c r="AJ58" s="258" t="n">
        <v>0</v>
      </c>
    </row>
    <row r="59">
      <c r="A59" t="n">
        <v>22</v>
      </c>
      <c r="B59" t="n">
        <v>1</v>
      </c>
      <c r="G59" t="inlineStr">
        <is>
          <t>moeda</t>
        </is>
      </c>
      <c r="H59" t="inlineStr">
        <is>
          <t>Adiantamento para futuro aumento de capital / Advance for future capital increase (l.29)</t>
        </is>
      </c>
      <c r="J59" t="inlineStr">
        <is>
          <t>fonte</t>
        </is>
      </c>
      <c r="K59" s="258" t="n">
        <v>0</v>
      </c>
      <c r="L59" s="258" t="n">
        <v>0</v>
      </c>
      <c r="M59" s="258" t="n">
        <v>0</v>
      </c>
      <c r="N59" s="258" t="n">
        <v>0</v>
      </c>
      <c r="O59" s="258" t="n">
        <v>0</v>
      </c>
      <c r="P59" s="258" t="n">
        <v>0</v>
      </c>
      <c r="Q59" s="258" t="n">
        <v>0</v>
      </c>
      <c r="R59" s="258" t="n">
        <v>26520</v>
      </c>
      <c r="S59" s="258" t="n">
        <v>0</v>
      </c>
      <c r="T59" s="258" t="n">
        <v>0</v>
      </c>
      <c r="U59" s="258" t="n">
        <v>0</v>
      </c>
      <c r="V59" s="258" t="n">
        <v>0</v>
      </c>
      <c r="W59" s="258" t="n">
        <v>0</v>
      </c>
      <c r="X59" s="258" t="n">
        <v>0</v>
      </c>
      <c r="Y59" s="258" t="n">
        <v>0</v>
      </c>
      <c r="Z59" s="258" t="n">
        <v>0</v>
      </c>
      <c r="AA59" s="258" t="n">
        <v>0</v>
      </c>
      <c r="AB59" s="258" t="n">
        <v>0</v>
      </c>
      <c r="AC59" s="258" t="n">
        <v>0</v>
      </c>
      <c r="AD59" s="258" t="n">
        <v>0</v>
      </c>
      <c r="AE59" s="258" t="n">
        <v>0</v>
      </c>
      <c r="AF59" s="258" t="n">
        <v>0</v>
      </c>
      <c r="AG59" s="258" t="n">
        <v>0</v>
      </c>
      <c r="AH59" s="258" t="n">
        <v>45653</v>
      </c>
      <c r="AI59" s="258" t="n">
        <v>45653</v>
      </c>
      <c r="AJ59" s="258" t="n">
        <v>45653</v>
      </c>
    </row>
    <row r="60">
      <c r="A60" t="n">
        <v>22</v>
      </c>
      <c r="B60" t="n">
        <v>1</v>
      </c>
      <c r="G60" t="inlineStr">
        <is>
          <t>moeda</t>
        </is>
      </c>
      <c r="H60" t="inlineStr">
        <is>
          <t>Instrumentos financeiros derivativos / Financial instruments derivatives (l.30)</t>
        </is>
      </c>
      <c r="J60" t="inlineStr">
        <is>
          <t>fonte</t>
        </is>
      </c>
      <c r="K60" s="258" t="n">
        <v>0</v>
      </c>
      <c r="L60" s="258" t="n">
        <v>0</v>
      </c>
      <c r="M60" s="258" t="n">
        <v>0</v>
      </c>
      <c r="N60" s="258" t="n">
        <v>0</v>
      </c>
      <c r="O60" s="258" t="n">
        <v>0</v>
      </c>
      <c r="P60" s="258" t="n">
        <v>0</v>
      </c>
      <c r="Q60" s="258" t="n">
        <v>0</v>
      </c>
      <c r="R60" s="258" t="n">
        <v>0</v>
      </c>
      <c r="S60" s="258" t="n">
        <v>0</v>
      </c>
      <c r="T60" s="258" t="n">
        <v>0</v>
      </c>
      <c r="U60" s="258" t="n">
        <v>0</v>
      </c>
      <c r="V60" s="258" t="n">
        <v>0</v>
      </c>
      <c r="W60" s="258" t="n">
        <v>0</v>
      </c>
      <c r="X60" s="258" t="n">
        <v>0</v>
      </c>
      <c r="Y60" s="258" t="n">
        <v>0</v>
      </c>
      <c r="Z60" s="258" t="n">
        <v>0</v>
      </c>
      <c r="AA60" s="258" t="n">
        <v>0</v>
      </c>
      <c r="AB60" s="258" t="n">
        <v>0</v>
      </c>
      <c r="AC60" s="258" t="n">
        <v>0</v>
      </c>
      <c r="AD60" s="258" t="n">
        <v>0</v>
      </c>
      <c r="AE60" s="258" t="n">
        <v>0</v>
      </c>
      <c r="AF60" s="258" t="n">
        <v>0</v>
      </c>
      <c r="AG60" s="258" t="n">
        <v>0</v>
      </c>
      <c r="AH60" s="258" t="n">
        <v>7302</v>
      </c>
      <c r="AI60" s="258" t="n">
        <v>7885</v>
      </c>
      <c r="AJ60" s="258" t="n">
        <v>12060</v>
      </c>
    </row>
    <row r="61">
      <c r="A61" t="n">
        <v>22</v>
      </c>
      <c r="B61" t="n">
        <v>1</v>
      </c>
      <c r="G61" t="inlineStr">
        <is>
          <t>moeda</t>
        </is>
      </c>
      <c r="H61" t="inlineStr">
        <is>
          <t>Títulos e valores mobiliários / Marketable Securities (l.31)</t>
        </is>
      </c>
      <c r="J61" t="inlineStr">
        <is>
          <t>fonte</t>
        </is>
      </c>
      <c r="K61" s="258" t="n">
        <v>103881</v>
      </c>
      <c r="L61" s="258" t="n">
        <v>97122</v>
      </c>
      <c r="M61" s="258" t="n">
        <v>105285</v>
      </c>
      <c r="N61" s="258" t="n">
        <v>102852</v>
      </c>
      <c r="O61" s="258" t="n">
        <v>104802</v>
      </c>
      <c r="P61" s="258" t="n">
        <v>103312</v>
      </c>
      <c r="Q61" s="258" t="n">
        <v>117664</v>
      </c>
      <c r="R61" s="258" t="n">
        <v>120695</v>
      </c>
      <c r="S61" s="258" t="n">
        <v>127867</v>
      </c>
      <c r="T61" s="258" t="n">
        <v>127975</v>
      </c>
      <c r="U61" s="258" t="n">
        <v>135433</v>
      </c>
      <c r="V61" s="258" t="n">
        <v>136790</v>
      </c>
      <c r="W61" s="258" t="n">
        <v>160181</v>
      </c>
      <c r="X61" s="258" t="n">
        <v>0</v>
      </c>
      <c r="Y61" s="258" t="n">
        <v>0</v>
      </c>
      <c r="Z61" s="258" t="n">
        <v>0</v>
      </c>
      <c r="AA61" s="258" t="n">
        <v>0</v>
      </c>
      <c r="AB61" s="258" t="n">
        <v>0</v>
      </c>
      <c r="AC61" s="258" t="n">
        <v>0</v>
      </c>
      <c r="AD61" s="258" t="n">
        <v>0</v>
      </c>
      <c r="AE61" s="258" t="n">
        <v>0</v>
      </c>
      <c r="AF61" s="258" t="n">
        <v>0</v>
      </c>
      <c r="AG61" s="258" t="n">
        <v>0</v>
      </c>
      <c r="AH61" s="258" t="n">
        <v>0</v>
      </c>
      <c r="AI61" s="258" t="n">
        <v>0</v>
      </c>
      <c r="AJ61" s="258" t="n">
        <v>0</v>
      </c>
    </row>
    <row r="62">
      <c r="A62" t="n">
        <v>22</v>
      </c>
      <c r="B62" t="n">
        <v>1</v>
      </c>
      <c r="G62" t="inlineStr">
        <is>
          <t>moeda</t>
        </is>
      </c>
      <c r="H62" t="inlineStr">
        <is>
          <t>Impostos a recuperar / Taxes Recoverable (l.32)</t>
        </is>
      </c>
      <c r="J62" t="inlineStr">
        <is>
          <t>fonte</t>
        </is>
      </c>
      <c r="K62" s="258" t="n">
        <v>6069</v>
      </c>
      <c r="L62" s="258" t="n">
        <v>5961</v>
      </c>
      <c r="M62" s="258" t="n">
        <v>6549</v>
      </c>
      <c r="N62" s="258" t="n">
        <v>6827</v>
      </c>
      <c r="O62" s="258" t="n">
        <v>6827</v>
      </c>
      <c r="P62" s="258" t="n">
        <v>53535</v>
      </c>
      <c r="Q62" s="258" t="n">
        <v>52386</v>
      </c>
      <c r="R62" s="258" t="n">
        <v>28356</v>
      </c>
      <c r="S62" s="258" t="n">
        <v>25045</v>
      </c>
      <c r="T62" s="258" t="n">
        <v>24708</v>
      </c>
      <c r="U62" s="258" t="n">
        <v>10430</v>
      </c>
      <c r="V62" s="258" t="n">
        <v>21609</v>
      </c>
      <c r="W62" s="258" t="n">
        <v>7008</v>
      </c>
      <c r="X62" s="258" t="n">
        <v>8271</v>
      </c>
      <c r="Y62" s="258" t="n">
        <v>9549</v>
      </c>
      <c r="Z62" s="258" t="n">
        <v>9164</v>
      </c>
      <c r="AA62" s="258" t="n">
        <v>6650</v>
      </c>
      <c r="AB62" s="258" t="n">
        <v>12615</v>
      </c>
      <c r="AC62" s="258" t="n">
        <v>14152</v>
      </c>
      <c r="AD62" s="258" t="n">
        <v>16362</v>
      </c>
      <c r="AE62" s="258" t="n">
        <v>11378</v>
      </c>
      <c r="AF62" s="258" t="n">
        <v>24949</v>
      </c>
      <c r="AG62" s="258" t="n">
        <v>21495</v>
      </c>
      <c r="AH62" s="258" t="n">
        <v>23020</v>
      </c>
      <c r="AI62" s="258" t="n">
        <v>16570</v>
      </c>
      <c r="AJ62" s="258" t="n">
        <v>17827</v>
      </c>
    </row>
    <row r="63">
      <c r="A63" t="n">
        <v>14</v>
      </c>
      <c r="B63" t="n">
        <v>1</v>
      </c>
      <c r="G63" t="inlineStr">
        <is>
          <t>moeda</t>
        </is>
      </c>
      <c r="H63" t="inlineStr">
        <is>
          <t>Imposto de Renda e Contribuição social diferidos / Deferred Income and Social Contribution Taxes (l.33)</t>
        </is>
      </c>
      <c r="J63" t="inlineStr">
        <is>
          <t>fonte</t>
        </is>
      </c>
      <c r="K63" s="258" t="n">
        <v>6169</v>
      </c>
      <c r="L63" s="258" t="n">
        <v>6154</v>
      </c>
      <c r="M63" s="258" t="n">
        <v>7832</v>
      </c>
      <c r="N63" s="258" t="n">
        <v>6688</v>
      </c>
      <c r="O63" s="258" t="n">
        <v>10135</v>
      </c>
      <c r="P63" s="258" t="n">
        <v>12177</v>
      </c>
      <c r="Q63" s="258" t="n">
        <v>15428</v>
      </c>
      <c r="R63" s="258" t="n">
        <v>20207</v>
      </c>
      <c r="S63" s="258" t="n">
        <v>19288</v>
      </c>
      <c r="T63" s="258" t="n">
        <v>27136</v>
      </c>
      <c r="U63" s="258" t="n">
        <v>34574</v>
      </c>
      <c r="V63" s="258" t="n">
        <v>53272</v>
      </c>
      <c r="W63" s="258" t="n">
        <v>61005</v>
      </c>
      <c r="X63" s="258" t="n">
        <v>58623</v>
      </c>
      <c r="Y63" s="258" t="n">
        <v>56088</v>
      </c>
      <c r="Z63" s="258" t="n">
        <v>58800</v>
      </c>
      <c r="AA63" s="258" t="n">
        <v>68294</v>
      </c>
      <c r="AB63" s="258" t="n">
        <v>78767</v>
      </c>
      <c r="AC63" s="258" t="n">
        <v>86458</v>
      </c>
      <c r="AD63" s="258" t="n">
        <v>110608</v>
      </c>
      <c r="AE63" s="258" t="n">
        <v>180122</v>
      </c>
      <c r="AF63" s="258" t="n">
        <v>174995</v>
      </c>
      <c r="AG63" s="258" t="n">
        <v>177276</v>
      </c>
      <c r="AH63" s="258" t="n">
        <v>173786</v>
      </c>
      <c r="AI63" s="258" t="n">
        <v>175309</v>
      </c>
      <c r="AJ63" s="258" t="n">
        <v>173589</v>
      </c>
    </row>
    <row r="64">
      <c r="A64" t="n">
        <v>22</v>
      </c>
      <c r="B64" t="n">
        <v>1</v>
      </c>
      <c r="G64" t="inlineStr">
        <is>
          <t>moeda</t>
        </is>
      </c>
      <c r="H64" t="inlineStr">
        <is>
          <t>Adiantamento a fornecedores / Advance for Suppliers (l.34)</t>
        </is>
      </c>
      <c r="J64" t="inlineStr">
        <is>
          <t>fonte</t>
        </is>
      </c>
      <c r="K64" s="258" t="n">
        <v>11912</v>
      </c>
      <c r="L64" s="258" t="n">
        <v>11584</v>
      </c>
      <c r="M64" s="258" t="n">
        <v>11268</v>
      </c>
      <c r="N64" s="258" t="n">
        <v>9203</v>
      </c>
      <c r="O64" s="258" t="n">
        <v>8886</v>
      </c>
      <c r="P64" s="258" t="n">
        <v>8567</v>
      </c>
      <c r="Q64" s="258" t="n">
        <v>8363</v>
      </c>
      <c r="R64" s="258" t="n">
        <v>11303</v>
      </c>
      <c r="S64" s="258" t="n">
        <v>9592</v>
      </c>
      <c r="T64" s="258" t="n">
        <v>8116</v>
      </c>
      <c r="U64" s="258" t="n">
        <v>10696</v>
      </c>
      <c r="V64" s="258" t="n">
        <v>6723</v>
      </c>
      <c r="W64" s="258" t="n">
        <v>8357</v>
      </c>
      <c r="X64" s="258" t="n">
        <v>7041</v>
      </c>
      <c r="Y64" s="258" t="n">
        <v>6060</v>
      </c>
      <c r="Z64" s="258" t="n">
        <v>8201</v>
      </c>
      <c r="AA64" s="258" t="n">
        <v>7084</v>
      </c>
      <c r="AB64" s="258" t="n">
        <v>6009</v>
      </c>
      <c r="AC64" s="258" t="n">
        <v>4762</v>
      </c>
      <c r="AD64" s="258" t="n">
        <v>7215</v>
      </c>
      <c r="AE64" s="258" t="n">
        <v>5911</v>
      </c>
      <c r="AF64" s="258" t="n">
        <v>4756</v>
      </c>
      <c r="AG64" s="258" t="n">
        <v>3599</v>
      </c>
      <c r="AH64" s="258" t="n">
        <v>5661</v>
      </c>
      <c r="AI64" s="258" t="n">
        <v>4475</v>
      </c>
      <c r="AJ64" s="258" t="n">
        <v>3520</v>
      </c>
    </row>
    <row r="65">
      <c r="A65" t="n">
        <v>22</v>
      </c>
      <c r="B65" t="n">
        <v>1</v>
      </c>
      <c r="G65" t="inlineStr">
        <is>
          <t>moeda</t>
        </is>
      </c>
      <c r="H65" t="inlineStr">
        <is>
          <t>Estoques / Inventories (l.35)</t>
        </is>
      </c>
      <c r="J65" t="inlineStr">
        <is>
          <t>fonte</t>
        </is>
      </c>
      <c r="K65" s="258" t="n">
        <v>0</v>
      </c>
      <c r="L65" s="258" t="n">
        <v>0</v>
      </c>
      <c r="M65" s="258" t="n">
        <v>0</v>
      </c>
      <c r="N65" s="258" t="n">
        <v>0</v>
      </c>
      <c r="O65" s="258" t="n">
        <v>0</v>
      </c>
      <c r="P65" s="258" t="n">
        <v>0</v>
      </c>
      <c r="Q65" s="258" t="n">
        <v>0</v>
      </c>
      <c r="R65" s="258" t="n">
        <v>0</v>
      </c>
      <c r="S65" s="258" t="n">
        <v>0</v>
      </c>
      <c r="T65" s="258" t="n">
        <v>0</v>
      </c>
      <c r="U65" s="258" t="n">
        <v>6728</v>
      </c>
      <c r="V65" s="258" t="n">
        <v>7088</v>
      </c>
      <c r="W65" s="258" t="n">
        <v>0</v>
      </c>
      <c r="X65" s="258" t="n">
        <v>0</v>
      </c>
      <c r="Y65" s="258" t="n">
        <v>0</v>
      </c>
      <c r="Z65" s="258" t="n">
        <v>0</v>
      </c>
      <c r="AA65" s="258" t="n">
        <v>0</v>
      </c>
      <c r="AB65" s="258" t="n">
        <v>0</v>
      </c>
      <c r="AC65" s="258" t="n">
        <v>0</v>
      </c>
      <c r="AD65" s="258" t="n">
        <v>0</v>
      </c>
      <c r="AE65" s="258" t="n">
        <v>0</v>
      </c>
      <c r="AF65" s="258" t="n">
        <v>0</v>
      </c>
      <c r="AG65" s="258" t="n">
        <v>0</v>
      </c>
      <c r="AH65" s="258" t="n">
        <v>0</v>
      </c>
      <c r="AI65" s="258" t="n">
        <v>0</v>
      </c>
      <c r="AJ65" s="258" t="n">
        <v>0</v>
      </c>
    </row>
    <row r="66">
      <c r="A66" t="n">
        <v>22</v>
      </c>
      <c r="B66" t="n">
        <v>1</v>
      </c>
      <c r="G66" t="inlineStr">
        <is>
          <t>moeda</t>
        </is>
      </c>
      <c r="H66" t="inlineStr">
        <is>
          <t>Cauções e depósitos judiciais / Collaterals and Judicial Deposits (l.36)</t>
        </is>
      </c>
      <c r="J66" t="inlineStr">
        <is>
          <t>fonte</t>
        </is>
      </c>
      <c r="K66" s="258" t="n">
        <v>14576</v>
      </c>
      <c r="L66" s="258" t="n">
        <v>14247</v>
      </c>
      <c r="M66" s="258" t="n">
        <v>14854</v>
      </c>
      <c r="N66" s="258" t="n">
        <v>15333</v>
      </c>
      <c r="O66" s="258" t="n">
        <v>15298</v>
      </c>
      <c r="P66" s="258" t="n">
        <v>15936</v>
      </c>
      <c r="Q66" s="258" t="n">
        <v>15198</v>
      </c>
      <c r="R66" s="258" t="n">
        <v>15478</v>
      </c>
      <c r="S66" s="258" t="n">
        <v>15719</v>
      </c>
      <c r="T66" s="258" t="n">
        <v>15449</v>
      </c>
      <c r="U66" s="258" t="n">
        <v>15849</v>
      </c>
      <c r="V66" s="258" t="n">
        <v>15854</v>
      </c>
      <c r="W66" s="258" t="n">
        <v>14245</v>
      </c>
      <c r="X66" s="258" t="n">
        <v>14387</v>
      </c>
      <c r="Y66" s="258" t="n">
        <v>14187</v>
      </c>
      <c r="Z66" s="258" t="n">
        <v>14877</v>
      </c>
      <c r="AA66" s="258" t="n">
        <v>15827</v>
      </c>
      <c r="AB66" s="258" t="n">
        <v>15822</v>
      </c>
      <c r="AC66" s="258" t="n">
        <v>16222</v>
      </c>
      <c r="AD66" s="258" t="n">
        <v>15536</v>
      </c>
      <c r="AE66" s="258" t="n">
        <v>16040</v>
      </c>
      <c r="AF66" s="258" t="n">
        <v>16564</v>
      </c>
      <c r="AG66" s="258" t="n">
        <v>40670</v>
      </c>
      <c r="AH66" s="258" t="n">
        <v>39846</v>
      </c>
      <c r="AI66" s="258" t="n">
        <v>39628</v>
      </c>
      <c r="AJ66" s="258" t="n">
        <v>40290</v>
      </c>
    </row>
    <row r="67">
      <c r="A67" t="n">
        <v>22</v>
      </c>
      <c r="B67" t="n">
        <v>1</v>
      </c>
      <c r="G67" t="inlineStr">
        <is>
          <t>moeda</t>
        </is>
      </c>
      <c r="H67" t="inlineStr">
        <is>
          <t>Ativo financeiro da concessão / Accounts Receivable - Concession Assets (l.37)</t>
        </is>
      </c>
      <c r="J67" t="inlineStr">
        <is>
          <t>fonte</t>
        </is>
      </c>
      <c r="K67" s="258" t="n">
        <v>0</v>
      </c>
      <c r="L67" s="258" t="n">
        <v>0</v>
      </c>
      <c r="M67" s="258" t="n">
        <v>0</v>
      </c>
      <c r="N67" s="258" t="n">
        <v>0</v>
      </c>
      <c r="O67" s="258" t="n">
        <v>0</v>
      </c>
      <c r="P67" s="258" t="n">
        <v>0</v>
      </c>
      <c r="Q67" s="258" t="n">
        <v>0</v>
      </c>
      <c r="R67" s="258" t="n">
        <v>0</v>
      </c>
      <c r="S67" s="258" t="n">
        <v>0</v>
      </c>
      <c r="T67" s="258" t="n">
        <v>0</v>
      </c>
      <c r="U67" s="258" t="n">
        <v>0</v>
      </c>
      <c r="V67" s="258" t="n">
        <v>0</v>
      </c>
      <c r="W67" s="258" t="n">
        <v>0</v>
      </c>
      <c r="X67" s="258" t="n">
        <v>0</v>
      </c>
      <c r="Y67" s="258" t="n">
        <v>0</v>
      </c>
      <c r="Z67" s="258" t="n">
        <v>0</v>
      </c>
      <c r="AA67" s="258" t="n">
        <v>0</v>
      </c>
      <c r="AB67" s="258" t="n">
        <v>0</v>
      </c>
      <c r="AC67" s="258" t="n">
        <v>0</v>
      </c>
      <c r="AD67" s="258" t="n">
        <v>0</v>
      </c>
      <c r="AE67" s="258" t="n">
        <v>0</v>
      </c>
      <c r="AF67" s="258" t="n">
        <v>0</v>
      </c>
      <c r="AG67" s="258" t="n">
        <v>0</v>
      </c>
      <c r="AH67" s="258" t="n">
        <v>0</v>
      </c>
      <c r="AI67" s="258" t="n">
        <v>0</v>
      </c>
      <c r="AJ67" s="258" t="n">
        <v>0</v>
      </c>
    </row>
    <row r="68">
      <c r="A68" t="n">
        <v>22</v>
      </c>
      <c r="B68" t="n">
        <v>1</v>
      </c>
      <c r="G68" t="inlineStr">
        <is>
          <t>moeda</t>
        </is>
      </c>
      <c r="H68" t="inlineStr">
        <is>
          <t>Contas a receber ativo contratual / Accounts Receivable - Contractual Assets (l.38)</t>
        </is>
      </c>
      <c r="J68" t="inlineStr">
        <is>
          <t>fonte</t>
        </is>
      </c>
      <c r="K68" s="258" t="n">
        <v>9789572</v>
      </c>
      <c r="L68" s="258" t="n">
        <v>10524564</v>
      </c>
      <c r="M68" s="258" t="n">
        <v>11538140</v>
      </c>
      <c r="N68" s="258" t="n">
        <v>13310348</v>
      </c>
      <c r="O68" s="258" t="n">
        <v>14229758</v>
      </c>
      <c r="P68" s="258" t="n">
        <v>14964383</v>
      </c>
      <c r="Q68" s="258" t="n">
        <v>15475890</v>
      </c>
      <c r="R68" s="258" t="n">
        <v>15902984</v>
      </c>
      <c r="S68" s="258" t="n">
        <v>16338099</v>
      </c>
      <c r="T68" s="258" t="n">
        <v>16632958</v>
      </c>
      <c r="U68" s="258" t="n">
        <v>16507086</v>
      </c>
      <c r="V68" s="258" t="n">
        <v>16448446</v>
      </c>
      <c r="W68" s="258" t="n">
        <v>16792508</v>
      </c>
      <c r="X68" s="258" t="n">
        <v>16787094</v>
      </c>
      <c r="Y68" s="258" t="n">
        <v>16626838</v>
      </c>
      <c r="Z68" s="258" t="n">
        <v>16688963</v>
      </c>
      <c r="AA68" s="258" t="n">
        <v>16866885</v>
      </c>
      <c r="AB68" s="258" t="n">
        <v>17050027</v>
      </c>
      <c r="AC68" s="258" t="n">
        <v>17164621</v>
      </c>
      <c r="AD68" s="258" t="n">
        <v>17336317</v>
      </c>
      <c r="AE68" s="258" t="n">
        <v>17686956</v>
      </c>
      <c r="AF68" s="258" t="n">
        <v>17776919</v>
      </c>
      <c r="AG68" s="258" t="n">
        <v>17998971</v>
      </c>
      <c r="AH68" s="258" t="n">
        <v>18185775</v>
      </c>
      <c r="AI68" s="258" t="n">
        <v>18428478</v>
      </c>
      <c r="AJ68" s="258" t="n">
        <v>18976628</v>
      </c>
    </row>
    <row r="69">
      <c r="A69" t="n">
        <v>22</v>
      </c>
      <c r="B69" t="n">
        <v>1</v>
      </c>
      <c r="G69" t="inlineStr">
        <is>
          <t>moeda</t>
        </is>
      </c>
      <c r="H69" t="inlineStr">
        <is>
          <t>Outros ativos / Other Assets (l.39)</t>
        </is>
      </c>
      <c r="J69" t="inlineStr">
        <is>
          <t>fonte</t>
        </is>
      </c>
      <c r="K69" s="258" t="n">
        <v>16604</v>
      </c>
      <c r="L69" s="258" t="n">
        <v>16757</v>
      </c>
      <c r="M69" s="258" t="n">
        <v>15811</v>
      </c>
      <c r="N69" s="258" t="n">
        <v>14342</v>
      </c>
      <c r="O69" s="258" t="n">
        <v>13972</v>
      </c>
      <c r="P69" s="258" t="n">
        <v>48402</v>
      </c>
      <c r="Q69" s="258" t="n">
        <v>52446</v>
      </c>
      <c r="R69" s="258" t="n">
        <v>52977</v>
      </c>
      <c r="S69" s="258" t="n">
        <v>50350</v>
      </c>
      <c r="T69" s="258" t="n">
        <v>46923</v>
      </c>
      <c r="U69" s="258" t="n">
        <v>47900</v>
      </c>
      <c r="V69" s="258" t="n">
        <v>47439</v>
      </c>
      <c r="W69" s="258" t="n">
        <v>78486</v>
      </c>
      <c r="X69" s="258" t="n">
        <v>83059</v>
      </c>
      <c r="Y69" s="258" t="n">
        <v>108799</v>
      </c>
      <c r="Z69" s="258" t="n">
        <v>93789</v>
      </c>
      <c r="AA69" s="258" t="n">
        <v>104532</v>
      </c>
      <c r="AB69" s="258" t="n">
        <v>113410</v>
      </c>
      <c r="AC69" s="258" t="n">
        <v>68976</v>
      </c>
      <c r="AD69" s="258" t="n">
        <v>94478</v>
      </c>
      <c r="AE69" s="258" t="n">
        <v>82697</v>
      </c>
      <c r="AF69" s="258" t="n">
        <v>90136</v>
      </c>
      <c r="AG69" s="258" t="n">
        <v>75145</v>
      </c>
      <c r="AH69" s="258" t="n">
        <v>76673</v>
      </c>
      <c r="AI69" s="258" t="n">
        <v>79628</v>
      </c>
      <c r="AJ69" s="258" t="n">
        <v>81680</v>
      </c>
    </row>
    <row r="70">
      <c r="A70" t="n">
        <v>17</v>
      </c>
      <c r="B70" t="n">
        <v>1</v>
      </c>
      <c r="G70" t="inlineStr">
        <is>
          <t>moeda</t>
        </is>
      </c>
      <c r="H70" t="inlineStr">
        <is>
          <t>Investimentos / Investments (l.40)</t>
        </is>
      </c>
      <c r="J70" t="inlineStr">
        <is>
          <t>fonte</t>
        </is>
      </c>
      <c r="K70" s="258" t="n">
        <v>143332</v>
      </c>
      <c r="L70" s="258" t="n">
        <v>144271</v>
      </c>
      <c r="M70" s="258" t="n">
        <v>144602</v>
      </c>
      <c r="N70" s="258" t="n">
        <v>135464</v>
      </c>
      <c r="O70" s="258" t="n">
        <v>136930</v>
      </c>
      <c r="P70" s="258" t="n">
        <v>139039</v>
      </c>
      <c r="Q70" s="258" t="n">
        <v>140182</v>
      </c>
      <c r="R70" s="258" t="n">
        <v>150920</v>
      </c>
      <c r="S70" s="258" t="n">
        <v>150555</v>
      </c>
      <c r="T70" s="258" t="n">
        <v>153088</v>
      </c>
      <c r="U70" s="258" t="n">
        <v>168252</v>
      </c>
      <c r="V70" s="258" t="n">
        <v>176062</v>
      </c>
      <c r="W70" s="258" t="n">
        <v>186664</v>
      </c>
      <c r="X70" s="258" t="n">
        <v>212488</v>
      </c>
      <c r="Y70" s="258" t="n">
        <v>218734</v>
      </c>
      <c r="Z70" s="258" t="n">
        <v>232644</v>
      </c>
      <c r="AA70" s="258" t="n">
        <v>248826</v>
      </c>
      <c r="AB70" s="258" t="n">
        <v>279634</v>
      </c>
      <c r="AC70" s="258" t="n">
        <v>328050</v>
      </c>
      <c r="AD70" s="258" t="n">
        <v>381647</v>
      </c>
      <c r="AE70" s="258" t="n">
        <v>431194</v>
      </c>
      <c r="AF70" s="258" t="n">
        <v>324079</v>
      </c>
      <c r="AG70" s="258" t="n">
        <v>807382</v>
      </c>
      <c r="AH70" s="258" t="n">
        <v>817595</v>
      </c>
      <c r="AI70" s="258" t="n">
        <v>842580</v>
      </c>
      <c r="AJ70" s="258" t="n">
        <v>872439</v>
      </c>
    </row>
    <row r="71">
      <c r="A71" t="n">
        <v>18</v>
      </c>
      <c r="B71" t="n">
        <v>1</v>
      </c>
      <c r="G71" t="inlineStr">
        <is>
          <t>moeda</t>
        </is>
      </c>
      <c r="H71" t="inlineStr">
        <is>
          <t>Imobilizado / Property, plant and Equipment (l.41)</t>
        </is>
      </c>
      <c r="J71" t="inlineStr">
        <is>
          <t>fonte</t>
        </is>
      </c>
      <c r="K71" s="258" t="n">
        <v>4652854</v>
      </c>
      <c r="L71" s="258" t="n">
        <v>4689746</v>
      </c>
      <c r="M71" s="258" t="n">
        <v>4712887</v>
      </c>
      <c r="N71" s="258" t="n">
        <v>4672156</v>
      </c>
      <c r="O71" s="258" t="n">
        <v>4756788</v>
      </c>
      <c r="P71" s="258" t="n">
        <v>4610024</v>
      </c>
      <c r="Q71" s="258" t="n">
        <v>4624455</v>
      </c>
      <c r="R71" s="258" t="n">
        <v>4710238</v>
      </c>
      <c r="S71" s="258" t="n">
        <v>5013953</v>
      </c>
      <c r="T71" s="258" t="n">
        <v>4946807</v>
      </c>
      <c r="U71" s="258" t="n">
        <v>5109731</v>
      </c>
      <c r="V71" s="258" t="n">
        <v>5324416</v>
      </c>
      <c r="W71" s="258" t="n">
        <v>5372552</v>
      </c>
      <c r="X71" s="258" t="n">
        <v>5408683</v>
      </c>
      <c r="Y71" s="258" t="n">
        <v>5530079</v>
      </c>
      <c r="Z71" s="258" t="n">
        <v>5589542</v>
      </c>
      <c r="AA71" s="258" t="n">
        <v>5635290</v>
      </c>
      <c r="AB71" s="258" t="n">
        <v>5779312</v>
      </c>
      <c r="AC71" s="258" t="n">
        <v>5746537</v>
      </c>
      <c r="AD71" s="258" t="n">
        <v>5996226</v>
      </c>
      <c r="AE71" s="258" t="n">
        <v>5831673</v>
      </c>
      <c r="AF71" s="258" t="n">
        <v>5764356</v>
      </c>
      <c r="AG71" s="258" t="n">
        <v>5730090</v>
      </c>
      <c r="AH71" s="258" t="n">
        <v>5878065</v>
      </c>
      <c r="AI71" s="258" t="n">
        <v>5718153</v>
      </c>
      <c r="AJ71" s="258" t="n">
        <v>5795449</v>
      </c>
    </row>
    <row r="72">
      <c r="A72" t="n">
        <v>21</v>
      </c>
      <c r="B72" t="n">
        <v>1</v>
      </c>
      <c r="G72" t="inlineStr">
        <is>
          <t>moeda</t>
        </is>
      </c>
      <c r="H72" t="inlineStr">
        <is>
          <t>Intangível / Intangibles Assets (l.42)</t>
        </is>
      </c>
      <c r="J72" t="inlineStr">
        <is>
          <t>fonte</t>
        </is>
      </c>
      <c r="K72" s="258" t="n">
        <v>192933</v>
      </c>
      <c r="L72" s="258" t="n">
        <v>179517</v>
      </c>
      <c r="M72" s="258" t="n">
        <v>191981</v>
      </c>
      <c r="N72" s="258" t="n">
        <v>198000</v>
      </c>
      <c r="O72" s="258" t="n">
        <v>200570</v>
      </c>
      <c r="P72" s="258" t="n">
        <v>197429</v>
      </c>
      <c r="Q72" s="258" t="n">
        <v>200395</v>
      </c>
      <c r="R72" s="258" t="n">
        <v>281564</v>
      </c>
      <c r="S72" s="258" t="n">
        <v>277134</v>
      </c>
      <c r="T72" s="258" t="n">
        <v>280249</v>
      </c>
      <c r="U72" s="258" t="n">
        <v>277968</v>
      </c>
      <c r="V72" s="258" t="n">
        <v>269693</v>
      </c>
      <c r="W72" s="258" t="n">
        <v>268323</v>
      </c>
      <c r="X72" s="258" t="n">
        <v>266404</v>
      </c>
      <c r="Y72" s="258" t="n">
        <v>273890</v>
      </c>
      <c r="Z72" s="258" t="n">
        <v>268011</v>
      </c>
      <c r="AA72" s="258" t="n">
        <v>284175</v>
      </c>
      <c r="AB72" s="258" t="n">
        <v>291913</v>
      </c>
      <c r="AC72" s="258" t="n">
        <v>299502</v>
      </c>
      <c r="AD72" s="258" t="n">
        <v>364832</v>
      </c>
      <c r="AE72" s="258" t="n">
        <v>354539</v>
      </c>
      <c r="AF72" s="258" t="n">
        <v>350904</v>
      </c>
      <c r="AG72" s="258" t="n">
        <v>374853</v>
      </c>
      <c r="AH72" s="258" t="n">
        <v>446996</v>
      </c>
      <c r="AI72" s="258" t="n">
        <v>469158</v>
      </c>
      <c r="AJ72" s="258" t="n">
        <v>593425</v>
      </c>
    </row>
    <row r="73">
      <c r="A73" t="n">
        <v>27</v>
      </c>
      <c r="B73" t="n">
        <v>1</v>
      </c>
      <c r="G73" t="inlineStr">
        <is>
          <t>moeda</t>
        </is>
      </c>
      <c r="H73" t="inlineStr">
        <is>
          <t>Empréstimos e financiamentos / Loans and Financing (l.48)</t>
        </is>
      </c>
      <c r="J73" t="inlineStr">
        <is>
          <t>fonte</t>
        </is>
      </c>
      <c r="K73" s="258" t="n">
        <v>388892</v>
      </c>
      <c r="L73" s="258" t="n">
        <v>439012</v>
      </c>
      <c r="M73" s="258" t="n">
        <v>472967</v>
      </c>
      <c r="N73" s="258" t="n">
        <v>363798</v>
      </c>
      <c r="O73" s="258" t="n">
        <v>576435</v>
      </c>
      <c r="P73" s="258" t="n">
        <v>788247</v>
      </c>
      <c r="Q73" s="258" t="n">
        <v>845714</v>
      </c>
      <c r="R73" s="258" t="n">
        <v>634414</v>
      </c>
      <c r="S73" s="258" t="n">
        <v>602627</v>
      </c>
      <c r="T73" s="258" t="n">
        <v>403227</v>
      </c>
      <c r="U73" s="258" t="n">
        <v>174118</v>
      </c>
      <c r="V73" s="258" t="n">
        <v>653418</v>
      </c>
      <c r="W73" s="258" t="n">
        <v>691510</v>
      </c>
      <c r="X73" s="258" t="n">
        <v>702884</v>
      </c>
      <c r="Y73" s="258" t="n">
        <v>722950</v>
      </c>
      <c r="Z73" s="258" t="n">
        <v>472270</v>
      </c>
      <c r="AA73" s="258" t="n">
        <v>569445</v>
      </c>
      <c r="AB73" s="258" t="n">
        <v>759466</v>
      </c>
      <c r="AC73" s="258" t="n">
        <v>678862</v>
      </c>
      <c r="AD73" s="258" t="n">
        <v>549204</v>
      </c>
      <c r="AE73" s="258" t="n">
        <v>509000</v>
      </c>
      <c r="AF73" s="258" t="n">
        <v>500117</v>
      </c>
      <c r="AG73" s="258" t="n">
        <v>414771</v>
      </c>
      <c r="AH73" s="258" t="n">
        <v>428606</v>
      </c>
      <c r="AI73" s="258" t="n">
        <v>465936</v>
      </c>
      <c r="AJ73" s="258" t="n">
        <v>581375</v>
      </c>
    </row>
    <row r="74">
      <c r="A74" t="n">
        <v>27</v>
      </c>
      <c r="B74" t="n">
        <v>1</v>
      </c>
      <c r="G74" t="inlineStr">
        <is>
          <t>moeda</t>
        </is>
      </c>
      <c r="H74" t="inlineStr">
        <is>
          <t>Debêntures / Debentures (l.49)</t>
        </is>
      </c>
      <c r="J74" t="inlineStr">
        <is>
          <t>fonte</t>
        </is>
      </c>
      <c r="K74" s="258" t="n">
        <v>427114</v>
      </c>
      <c r="L74" s="258" t="n">
        <v>416672</v>
      </c>
      <c r="M74" s="258" t="n">
        <v>409762</v>
      </c>
      <c r="N74" s="258" t="n">
        <v>459821</v>
      </c>
      <c r="O74" s="258" t="n">
        <v>433723</v>
      </c>
      <c r="P74" s="258" t="n">
        <v>337230</v>
      </c>
      <c r="Q74" s="258" t="n">
        <v>268103</v>
      </c>
      <c r="R74" s="258" t="n">
        <v>316779</v>
      </c>
      <c r="S74" s="258" t="n">
        <v>339002</v>
      </c>
      <c r="T74" s="258" t="n">
        <v>363812</v>
      </c>
      <c r="U74" s="258" t="n">
        <v>443940</v>
      </c>
      <c r="V74" s="258" t="n">
        <v>497611</v>
      </c>
      <c r="W74" s="258" t="n">
        <v>576010</v>
      </c>
      <c r="X74" s="258" t="n">
        <v>571994</v>
      </c>
      <c r="Y74" s="258" t="n">
        <v>1095084</v>
      </c>
      <c r="Z74" s="258" t="n">
        <v>1663287</v>
      </c>
      <c r="AA74" s="258" t="n">
        <v>1703871</v>
      </c>
      <c r="AB74" s="258" t="n">
        <v>2082167</v>
      </c>
      <c r="AC74" s="258" t="n">
        <v>1699979</v>
      </c>
      <c r="AD74" s="258" t="n">
        <v>1419847</v>
      </c>
      <c r="AE74" s="258" t="n">
        <v>1453814</v>
      </c>
      <c r="AF74" s="258" t="n">
        <v>1488668</v>
      </c>
      <c r="AG74" s="258" t="n">
        <v>1004834</v>
      </c>
      <c r="AH74" s="258" t="n">
        <v>1016041</v>
      </c>
      <c r="AI74" s="258" t="n">
        <v>1027042</v>
      </c>
      <c r="AJ74" s="258" t="n">
        <v>1028765</v>
      </c>
    </row>
    <row r="75">
      <c r="A75" t="n">
        <v>29</v>
      </c>
      <c r="B75" t="n">
        <v>1</v>
      </c>
      <c r="G75" t="inlineStr">
        <is>
          <t>moeda</t>
        </is>
      </c>
      <c r="H75" t="inlineStr">
        <is>
          <t>Arrendamento Mercantil / Leasing (l.50)</t>
        </is>
      </c>
      <c r="J75" t="inlineStr">
        <is>
          <t>fonte</t>
        </is>
      </c>
      <c r="K75" s="258" t="n">
        <v>6214</v>
      </c>
      <c r="L75" s="258" t="n">
        <v>7883</v>
      </c>
      <c r="M75" s="258" t="n">
        <v>8066</v>
      </c>
      <c r="N75" s="258" t="n">
        <v>7392</v>
      </c>
      <c r="O75" s="258" t="n">
        <v>9107</v>
      </c>
      <c r="P75" s="258" t="n">
        <v>11232</v>
      </c>
      <c r="Q75" s="258" t="n">
        <v>9893</v>
      </c>
      <c r="R75" s="258" t="n">
        <v>9706</v>
      </c>
      <c r="S75" s="258" t="n">
        <v>10058</v>
      </c>
      <c r="T75" s="258" t="n">
        <v>8535</v>
      </c>
      <c r="U75" s="258" t="n">
        <v>8529</v>
      </c>
      <c r="V75" s="258" t="n">
        <v>8531</v>
      </c>
      <c r="W75" s="258" t="n">
        <v>8453</v>
      </c>
      <c r="X75" s="258" t="n">
        <v>7480</v>
      </c>
      <c r="Y75" s="258" t="n">
        <v>7380</v>
      </c>
      <c r="Z75" s="258" t="n">
        <v>8075</v>
      </c>
      <c r="AA75" s="258" t="n">
        <v>9028</v>
      </c>
      <c r="AB75" s="258" t="n">
        <v>9055</v>
      </c>
      <c r="AC75" s="258" t="n">
        <v>9088</v>
      </c>
      <c r="AD75" s="258" t="n">
        <v>9413</v>
      </c>
      <c r="AE75" s="258" t="n">
        <v>9545</v>
      </c>
      <c r="AF75" s="258" t="n">
        <v>9268</v>
      </c>
      <c r="AG75" s="258" t="n">
        <v>9962</v>
      </c>
      <c r="AH75" s="258" t="n">
        <v>5995</v>
      </c>
      <c r="AI75" s="258" t="n">
        <v>5772</v>
      </c>
      <c r="AJ75" s="258" t="n">
        <v>6263</v>
      </c>
    </row>
    <row r="76">
      <c r="A76" t="n">
        <v>23</v>
      </c>
      <c r="B76" t="n">
        <v>1</v>
      </c>
      <c r="G76" t="inlineStr">
        <is>
          <t>moeda</t>
        </is>
      </c>
      <c r="H76" t="inlineStr">
        <is>
          <t>Fornecedores / Suppliers (l.51)</t>
        </is>
      </c>
      <c r="J76" t="inlineStr">
        <is>
          <t>fonte</t>
        </is>
      </c>
      <c r="K76" s="258" t="n">
        <v>342367</v>
      </c>
      <c r="L76" s="258" t="n">
        <v>360587</v>
      </c>
      <c r="M76" s="258" t="n">
        <v>366682</v>
      </c>
      <c r="N76" s="258" t="n">
        <v>385127</v>
      </c>
      <c r="O76" s="258" t="n">
        <v>196576</v>
      </c>
      <c r="P76" s="258" t="n">
        <v>245687</v>
      </c>
      <c r="Q76" s="258" t="n">
        <v>217738</v>
      </c>
      <c r="R76" s="258" t="n">
        <v>203987</v>
      </c>
      <c r="S76" s="258" t="n">
        <v>460822</v>
      </c>
      <c r="T76" s="258" t="n">
        <v>195507</v>
      </c>
      <c r="U76" s="258" t="n">
        <v>299810</v>
      </c>
      <c r="V76" s="258" t="n">
        <v>239119</v>
      </c>
      <c r="W76" s="258" t="n">
        <v>193047</v>
      </c>
      <c r="X76" s="258" t="n">
        <v>183047</v>
      </c>
      <c r="Y76" s="258" t="n">
        <v>173733</v>
      </c>
      <c r="Z76" s="258" t="n">
        <v>191620</v>
      </c>
      <c r="AA76" s="258" t="n">
        <v>189720</v>
      </c>
      <c r="AB76" s="258" t="n">
        <v>185821</v>
      </c>
      <c r="AC76" s="258" t="n">
        <v>182751</v>
      </c>
      <c r="AD76" s="258" t="n">
        <v>195371</v>
      </c>
      <c r="AE76" s="258" t="n">
        <v>219347</v>
      </c>
      <c r="AF76" s="258" t="n">
        <v>211938</v>
      </c>
      <c r="AG76" s="258" t="n">
        <v>157703</v>
      </c>
      <c r="AH76" s="258" t="n">
        <v>190734</v>
      </c>
      <c r="AI76" s="258" t="n">
        <v>290279</v>
      </c>
      <c r="AJ76" s="258" t="n">
        <v>306514</v>
      </c>
    </row>
    <row r="77">
      <c r="A77" t="n">
        <v>24</v>
      </c>
      <c r="B77" t="n">
        <v>1</v>
      </c>
      <c r="G77" t="inlineStr">
        <is>
          <t>moeda</t>
        </is>
      </c>
      <c r="H77" t="inlineStr">
        <is>
          <t>Salários, férias e encargos sociais / Salaries, vacation pay and social charges (l.52)</t>
        </is>
      </c>
      <c r="J77" t="inlineStr">
        <is>
          <t>fonte</t>
        </is>
      </c>
      <c r="K77" s="258" t="n">
        <v>38585</v>
      </c>
      <c r="L77" s="258" t="n">
        <v>30365</v>
      </c>
      <c r="M77" s="258" t="n">
        <v>35269</v>
      </c>
      <c r="N77" s="258" t="n">
        <v>57783</v>
      </c>
      <c r="O77" s="258" t="n">
        <v>57887</v>
      </c>
      <c r="P77" s="258" t="n">
        <v>33676</v>
      </c>
      <c r="Q77" s="258" t="n">
        <v>38093</v>
      </c>
      <c r="R77" s="258" t="n">
        <v>44866</v>
      </c>
      <c r="S77" s="258" t="n">
        <v>49435</v>
      </c>
      <c r="T77" s="258" t="n">
        <v>37285</v>
      </c>
      <c r="U77" s="258" t="n">
        <v>40193</v>
      </c>
      <c r="V77" s="258" t="n">
        <v>45325</v>
      </c>
      <c r="W77" s="258" t="n">
        <v>51044</v>
      </c>
      <c r="X77" s="258" t="n">
        <v>38889</v>
      </c>
      <c r="Y77" s="258" t="n">
        <v>46145</v>
      </c>
      <c r="Z77" s="258" t="n">
        <v>45654</v>
      </c>
      <c r="AA77" s="258" t="n">
        <v>51718</v>
      </c>
      <c r="AB77" s="258" t="n">
        <v>40977</v>
      </c>
      <c r="AC77" s="258" t="n">
        <v>48767</v>
      </c>
      <c r="AD77" s="258" t="n">
        <v>47338</v>
      </c>
      <c r="AE77" s="258" t="n">
        <v>53835</v>
      </c>
      <c r="AF77" s="258" t="n">
        <v>47121</v>
      </c>
      <c r="AG77" s="258" t="n">
        <v>51610</v>
      </c>
      <c r="AH77" s="258" t="n">
        <v>47332</v>
      </c>
      <c r="AI77" s="258" t="n">
        <v>54256</v>
      </c>
      <c r="AJ77" s="258" t="n">
        <v>47161</v>
      </c>
    </row>
    <row r="78">
      <c r="A78" t="n">
        <v>25</v>
      </c>
      <c r="B78" t="n">
        <v>1</v>
      </c>
      <c r="G78" t="inlineStr">
        <is>
          <t>moeda</t>
        </is>
      </c>
      <c r="H78" t="inlineStr">
        <is>
          <t>Tributos e contribuições sociais a recolher / Taxes payable (l.53)</t>
        </is>
      </c>
      <c r="J78" t="inlineStr">
        <is>
          <t>fonte</t>
        </is>
      </c>
      <c r="K78" s="258" t="n">
        <v>77483</v>
      </c>
      <c r="L78" s="258" t="n">
        <v>112208</v>
      </c>
      <c r="M78" s="258" t="n">
        <v>113472</v>
      </c>
      <c r="N78" s="258" t="n">
        <v>112916</v>
      </c>
      <c r="O78" s="258" t="n">
        <v>68110</v>
      </c>
      <c r="P78" s="258" t="n">
        <v>87520</v>
      </c>
      <c r="Q78" s="258" t="n">
        <v>104389</v>
      </c>
      <c r="R78" s="258" t="n">
        <v>115952</v>
      </c>
      <c r="S78" s="258" t="n">
        <v>89648</v>
      </c>
      <c r="T78" s="258" t="n">
        <v>103913</v>
      </c>
      <c r="U78" s="258" t="n">
        <v>147667</v>
      </c>
      <c r="V78" s="258" t="n">
        <v>197448</v>
      </c>
      <c r="W78" s="258" t="n">
        <v>122435</v>
      </c>
      <c r="X78" s="258" t="n">
        <v>155508</v>
      </c>
      <c r="Y78" s="258" t="n">
        <v>184291</v>
      </c>
      <c r="Z78" s="258" t="n">
        <v>161876</v>
      </c>
      <c r="AA78" s="258" t="n">
        <v>140937</v>
      </c>
      <c r="AB78" s="258" t="n">
        <v>166263</v>
      </c>
      <c r="AC78" s="258" t="n">
        <v>177287</v>
      </c>
      <c r="AD78" s="258" t="n">
        <v>158950</v>
      </c>
      <c r="AE78" s="258" t="n">
        <v>128376</v>
      </c>
      <c r="AF78" s="258" t="n">
        <v>157779</v>
      </c>
      <c r="AG78" s="258" t="n">
        <v>185597</v>
      </c>
      <c r="AH78" s="258" t="n">
        <v>160407</v>
      </c>
      <c r="AI78" s="258" t="n">
        <v>176219</v>
      </c>
      <c r="AJ78" s="258" t="n">
        <v>208403</v>
      </c>
    </row>
    <row r="79">
      <c r="A79" t="n">
        <v>26</v>
      </c>
      <c r="B79" t="n">
        <v>1</v>
      </c>
      <c r="G79" t="inlineStr">
        <is>
          <t>moeda</t>
        </is>
      </c>
      <c r="H79" t="inlineStr">
        <is>
          <t>Provisões de constituição dos ativos / Other levies payable (l.54)</t>
        </is>
      </c>
      <c r="J79" t="inlineStr">
        <is>
          <t>fonte</t>
        </is>
      </c>
      <c r="K79" s="258" t="n">
        <v>72242</v>
      </c>
      <c r="L79" s="258" t="n">
        <v>61676</v>
      </c>
      <c r="M79" s="258" t="n">
        <v>90778</v>
      </c>
      <c r="N79" s="258" t="n">
        <v>180958</v>
      </c>
      <c r="O79" s="258" t="n">
        <v>296479</v>
      </c>
      <c r="P79" s="258" t="n">
        <v>200313</v>
      </c>
      <c r="Q79" s="258" t="n">
        <v>178837</v>
      </c>
      <c r="R79" s="258" t="n">
        <v>324502</v>
      </c>
      <c r="S79" s="258" t="n">
        <v>191890</v>
      </c>
      <c r="T79" s="258" t="n">
        <v>97516</v>
      </c>
      <c r="U79" s="258" t="n">
        <v>86033</v>
      </c>
      <c r="V79" s="258" t="n">
        <v>83170</v>
      </c>
      <c r="W79" s="258" t="n">
        <v>73491</v>
      </c>
      <c r="X79" s="258" t="n">
        <v>72201</v>
      </c>
      <c r="Y79" s="258" t="n">
        <v>93903</v>
      </c>
      <c r="Z79" s="258" t="n">
        <v>102347</v>
      </c>
      <c r="AA79" s="258" t="n">
        <v>83959</v>
      </c>
      <c r="AB79" s="258" t="n">
        <v>79609</v>
      </c>
      <c r="AC79" s="258" t="n">
        <v>76945</v>
      </c>
      <c r="AD79" s="258" t="n">
        <v>68749</v>
      </c>
      <c r="AE79" s="258" t="n">
        <v>72982</v>
      </c>
      <c r="AF79" s="258" t="n">
        <v>125638</v>
      </c>
      <c r="AG79" s="258" t="n">
        <v>59940</v>
      </c>
      <c r="AH79" s="258" t="n">
        <v>57785</v>
      </c>
      <c r="AI79" s="258" t="n">
        <v>54217</v>
      </c>
      <c r="AJ79" s="258" t="n">
        <v>42128</v>
      </c>
    </row>
    <row r="80">
      <c r="A80" t="n">
        <v>26</v>
      </c>
      <c r="B80" t="n">
        <v>1</v>
      </c>
      <c r="G80" t="inlineStr">
        <is>
          <t>moeda</t>
        </is>
      </c>
      <c r="H80" t="inlineStr">
        <is>
          <t>Instrumentos financeiros derIvativos / Financial instruments derivatives (l.55) [0 em 9 per. (1Q20..1Q22): celula vazia ou "-" na fonte; total divulgado confirma]</t>
        </is>
      </c>
      <c r="J80" t="inlineStr">
        <is>
          <t>fonte</t>
        </is>
      </c>
      <c r="K80" s="258" t="n">
        <v>0</v>
      </c>
      <c r="L80" s="258" t="n">
        <v>0</v>
      </c>
      <c r="M80" s="258" t="n">
        <v>0</v>
      </c>
      <c r="N80" s="258" t="n">
        <v>0</v>
      </c>
      <c r="O80" s="258" t="n">
        <v>0</v>
      </c>
      <c r="P80" s="258" t="n">
        <v>0</v>
      </c>
      <c r="Q80" s="258" t="n">
        <v>0</v>
      </c>
      <c r="R80" s="258" t="n">
        <v>0</v>
      </c>
      <c r="S80" s="258" t="n">
        <v>0</v>
      </c>
      <c r="T80" s="258" t="n">
        <v>1284</v>
      </c>
      <c r="U80" s="258" t="n">
        <v>1872</v>
      </c>
      <c r="V80" s="258" t="n">
        <v>0</v>
      </c>
      <c r="W80" s="258" t="n">
        <v>0</v>
      </c>
      <c r="X80" s="258" t="n">
        <v>0</v>
      </c>
      <c r="Y80" s="258" t="n">
        <v>0</v>
      </c>
      <c r="Z80" s="258" t="n">
        <v>0</v>
      </c>
      <c r="AA80" s="258" t="n">
        <v>0</v>
      </c>
      <c r="AB80" s="258" t="n">
        <v>0</v>
      </c>
      <c r="AC80" s="258" t="n">
        <v>1684</v>
      </c>
      <c r="AD80" s="258" t="n">
        <v>72734</v>
      </c>
      <c r="AE80" s="258" t="n">
        <v>58274</v>
      </c>
      <c r="AF80" s="258" t="n">
        <v>21632</v>
      </c>
      <c r="AG80" s="258" t="n">
        <v>45161</v>
      </c>
      <c r="AH80" s="258" t="n">
        <v>4516</v>
      </c>
      <c r="AI80" s="258" t="n">
        <v>33901</v>
      </c>
      <c r="AJ80" s="258" t="n">
        <v>44454</v>
      </c>
    </row>
    <row r="81">
      <c r="A81" t="n">
        <v>26</v>
      </c>
      <c r="B81" t="n">
        <v>1</v>
      </c>
      <c r="G81" t="inlineStr">
        <is>
          <t>moeda</t>
        </is>
      </c>
      <c r="H81" t="inlineStr">
        <is>
          <t>Dividendos a pagar / Dividends payable (l.56)</t>
        </is>
      </c>
      <c r="J81" t="inlineStr">
        <is>
          <t>fonte</t>
        </is>
      </c>
      <c r="K81" s="258" t="n">
        <v>492729</v>
      </c>
      <c r="L81" s="258" t="n">
        <v>373673</v>
      </c>
      <c r="M81" s="258" t="n">
        <v>251907</v>
      </c>
      <c r="N81" s="258" t="n">
        <v>509475</v>
      </c>
      <c r="O81" s="258" t="n">
        <v>493831</v>
      </c>
      <c r="P81" s="258" t="n">
        <v>295943</v>
      </c>
      <c r="Q81" s="258" t="n">
        <v>150565</v>
      </c>
      <c r="R81" s="258" t="n">
        <v>202377</v>
      </c>
      <c r="S81" s="258" t="n">
        <v>528103</v>
      </c>
      <c r="T81" s="258" t="n">
        <v>325971</v>
      </c>
      <c r="U81" s="258" t="n">
        <v>298560</v>
      </c>
      <c r="V81" s="258" t="n">
        <v>552380</v>
      </c>
      <c r="W81" s="258" t="n">
        <v>553344</v>
      </c>
      <c r="X81" s="258" t="n">
        <v>145897</v>
      </c>
      <c r="Y81" s="258" t="n">
        <v>249876</v>
      </c>
      <c r="Z81" s="258" t="n">
        <v>331379</v>
      </c>
      <c r="AA81" s="258" t="n">
        <v>296094</v>
      </c>
      <c r="AB81" s="258" t="n">
        <v>394956</v>
      </c>
      <c r="AC81" s="258" t="n">
        <v>65435</v>
      </c>
      <c r="AD81" s="258" t="n">
        <v>212516</v>
      </c>
      <c r="AE81" s="258" t="n">
        <v>139530</v>
      </c>
      <c r="AF81" s="258" t="n">
        <v>110022</v>
      </c>
      <c r="AG81" s="258" t="n">
        <v>126500</v>
      </c>
      <c r="AH81" s="258" t="n">
        <v>286810</v>
      </c>
      <c r="AI81" s="258" t="n">
        <v>73629</v>
      </c>
      <c r="AJ81" s="258" t="n">
        <v>141938</v>
      </c>
    </row>
    <row r="82">
      <c r="A82" t="n">
        <v>26</v>
      </c>
      <c r="B82" t="n">
        <v>1</v>
      </c>
      <c r="G82" t="inlineStr">
        <is>
          <t>moeda</t>
        </is>
      </c>
      <c r="H82" t="inlineStr">
        <is>
          <t>Provisão para gastos ambientais / Environmental liability accrual (l.57)</t>
        </is>
      </c>
      <c r="J82" t="inlineStr">
        <is>
          <t>fonte</t>
        </is>
      </c>
      <c r="K82" s="258" t="n">
        <v>19206</v>
      </c>
      <c r="L82" s="258" t="n">
        <v>13617</v>
      </c>
      <c r="M82" s="258" t="n">
        <v>13607</v>
      </c>
      <c r="N82" s="258" t="n">
        <v>13720</v>
      </c>
      <c r="O82" s="258" t="n">
        <v>13619</v>
      </c>
      <c r="P82" s="258" t="n">
        <v>8145</v>
      </c>
      <c r="Q82" s="258" t="n">
        <v>7883</v>
      </c>
      <c r="R82" s="258" t="n">
        <v>7475</v>
      </c>
      <c r="S82" s="258" t="n">
        <v>7560</v>
      </c>
      <c r="T82" s="258" t="n">
        <v>7630</v>
      </c>
      <c r="U82" s="258" t="n">
        <v>7602</v>
      </c>
      <c r="V82" s="258" t="n">
        <v>8697</v>
      </c>
      <c r="W82" s="258" t="n">
        <v>8834</v>
      </c>
      <c r="X82" s="258" t="n">
        <v>8892</v>
      </c>
      <c r="Y82" s="258" t="n">
        <v>9594</v>
      </c>
      <c r="Z82" s="258" t="n">
        <v>7104</v>
      </c>
      <c r="AA82" s="258" t="n">
        <v>7055</v>
      </c>
      <c r="AB82" s="258" t="n">
        <v>6944</v>
      </c>
      <c r="AC82" s="258" t="n">
        <v>6919</v>
      </c>
      <c r="AD82" s="258" t="n">
        <v>6294</v>
      </c>
      <c r="AE82" s="258" t="n">
        <v>6470</v>
      </c>
      <c r="AF82" s="258" t="n">
        <v>6340</v>
      </c>
      <c r="AG82" s="258" t="n">
        <v>7084</v>
      </c>
      <c r="AH82" s="258" t="n">
        <v>5743</v>
      </c>
      <c r="AI82" s="258" t="n">
        <v>8610</v>
      </c>
      <c r="AJ82" s="258" t="n">
        <v>7954</v>
      </c>
    </row>
    <row r="83">
      <c r="A83" t="n">
        <v>26</v>
      </c>
      <c r="B83" t="n">
        <v>1</v>
      </c>
      <c r="G83" t="inlineStr">
        <is>
          <t>moeda</t>
        </is>
      </c>
      <c r="H83" t="inlineStr">
        <is>
          <t>Taxas regulamentares e setoriais diferidas / Deferred Regulatory charges payable (l.58)</t>
        </is>
      </c>
      <c r="J83" t="inlineStr">
        <is>
          <t>fonte</t>
        </is>
      </c>
      <c r="K83" s="258" t="n">
        <v>63651</v>
      </c>
      <c r="L83" s="258" t="n">
        <v>66348</v>
      </c>
      <c r="M83" s="258" t="n">
        <v>63467</v>
      </c>
      <c r="N83" s="258" t="n">
        <v>58781</v>
      </c>
      <c r="O83" s="258" t="n">
        <v>63146</v>
      </c>
      <c r="P83" s="258" t="n">
        <v>56544</v>
      </c>
      <c r="Q83" s="258" t="n">
        <v>60398</v>
      </c>
      <c r="R83" s="258" t="n">
        <v>54596</v>
      </c>
      <c r="S83" s="258" t="n">
        <v>58394</v>
      </c>
      <c r="T83" s="258" t="n">
        <v>57160</v>
      </c>
      <c r="U83" s="258" t="n">
        <v>56153</v>
      </c>
      <c r="V83" s="258" t="n">
        <v>170347</v>
      </c>
      <c r="W83" s="258" t="n">
        <v>170981</v>
      </c>
      <c r="X83" s="258" t="n">
        <v>170307</v>
      </c>
      <c r="Y83" s="258" t="n">
        <v>172008</v>
      </c>
      <c r="Z83" s="258" t="n">
        <v>172507</v>
      </c>
      <c r="AA83" s="258" t="n">
        <v>190567</v>
      </c>
      <c r="AB83" s="258" t="n">
        <v>179850</v>
      </c>
      <c r="AC83" s="258" t="n">
        <v>178916</v>
      </c>
      <c r="AD83" s="258" t="n">
        <v>182459</v>
      </c>
      <c r="AE83" s="258" t="n">
        <v>186819</v>
      </c>
      <c r="AF83" s="258" t="n">
        <v>194324</v>
      </c>
      <c r="AG83" s="258" t="n">
        <v>194848</v>
      </c>
      <c r="AH83" s="258" t="n">
        <v>195594</v>
      </c>
      <c r="AI83" s="258" t="n">
        <v>197533</v>
      </c>
      <c r="AJ83" s="258" t="n">
        <v>205273</v>
      </c>
    </row>
    <row r="84">
      <c r="A84" t="n">
        <v>26</v>
      </c>
      <c r="B84" t="n">
        <v>1</v>
      </c>
      <c r="G84" t="inlineStr">
        <is>
          <t>moeda</t>
        </is>
      </c>
      <c r="H84" t="inlineStr">
        <is>
          <t>Taxas regulamentares e setoriais correntes / Currente Regulatory charges payable (l.59)</t>
        </is>
      </c>
      <c r="J84" t="inlineStr">
        <is>
          <t>fonte</t>
        </is>
      </c>
      <c r="K84" s="258" t="n">
        <v>67521</v>
      </c>
      <c r="L84" s="258" t="n">
        <v>64856</v>
      </c>
      <c r="M84" s="258" t="n">
        <v>77331</v>
      </c>
      <c r="N84" s="258" t="n">
        <v>100012</v>
      </c>
      <c r="O84" s="258" t="n">
        <v>118567</v>
      </c>
      <c r="P84" s="258" t="n">
        <v>126666</v>
      </c>
      <c r="Q84" s="258" t="n">
        <v>127243</v>
      </c>
      <c r="R84" s="258" t="n">
        <v>138539</v>
      </c>
      <c r="S84" s="258" t="n">
        <v>153276</v>
      </c>
      <c r="T84" s="258" t="n">
        <v>159191</v>
      </c>
      <c r="U84" s="258" t="n">
        <v>158614</v>
      </c>
      <c r="V84" s="258" t="n">
        <v>53767</v>
      </c>
      <c r="W84" s="258" t="n">
        <v>56946</v>
      </c>
      <c r="X84" s="258" t="n">
        <v>62628</v>
      </c>
      <c r="Y84" s="258" t="n">
        <v>52592</v>
      </c>
      <c r="Z84" s="258" t="n">
        <v>41978</v>
      </c>
      <c r="AA84" s="258" t="n">
        <v>44791</v>
      </c>
      <c r="AB84" s="258" t="n">
        <v>44501</v>
      </c>
      <c r="AC84" s="258" t="n">
        <v>47858</v>
      </c>
      <c r="AD84" s="258" t="n">
        <v>45336</v>
      </c>
      <c r="AE84" s="258" t="n">
        <v>46560</v>
      </c>
      <c r="AF84" s="258" t="n">
        <v>49463</v>
      </c>
      <c r="AG84" s="258" t="n">
        <v>47108</v>
      </c>
      <c r="AH84" s="258" t="n">
        <v>47956</v>
      </c>
      <c r="AI84" s="258" t="n">
        <v>53008</v>
      </c>
      <c r="AJ84" s="258" t="n">
        <v>58261</v>
      </c>
    </row>
    <row r="85">
      <c r="A85" t="n">
        <v>26</v>
      </c>
      <c r="B85" t="n">
        <v>1</v>
      </c>
      <c r="G85" t="inlineStr">
        <is>
          <t>moeda</t>
        </is>
      </c>
      <c r="H85" t="inlineStr">
        <is>
          <t>Provisões para contingências / Provision for litigation (l.60)</t>
        </is>
      </c>
      <c r="J85" t="inlineStr">
        <is>
          <t>fonte</t>
        </is>
      </c>
      <c r="K85" s="258" t="n">
        <v>798</v>
      </c>
      <c r="L85" s="258" t="n">
        <v>218</v>
      </c>
      <c r="M85" s="258" t="n">
        <v>305</v>
      </c>
      <c r="N85" s="258" t="n">
        <v>2712</v>
      </c>
      <c r="O85" s="258" t="n">
        <v>0</v>
      </c>
      <c r="P85" s="258" t="n">
        <v>0</v>
      </c>
      <c r="Q85" s="258" t="n">
        <v>0</v>
      </c>
      <c r="R85" s="258" t="n">
        <v>0</v>
      </c>
      <c r="S85" s="258" t="n">
        <v>0</v>
      </c>
      <c r="T85" s="258" t="n">
        <v>0</v>
      </c>
      <c r="U85" s="258" t="n">
        <v>0</v>
      </c>
      <c r="V85" s="258" t="n">
        <v>0</v>
      </c>
      <c r="W85" s="258" t="n">
        <v>0</v>
      </c>
      <c r="X85" s="258" t="n">
        <v>0</v>
      </c>
      <c r="Y85" s="258" t="n">
        <v>0</v>
      </c>
      <c r="Z85" s="258" t="n">
        <v>0</v>
      </c>
      <c r="AA85" s="258" t="n">
        <v>0</v>
      </c>
      <c r="AB85" s="258" t="n">
        <v>0</v>
      </c>
      <c r="AC85" s="258" t="n">
        <v>0</v>
      </c>
      <c r="AD85" s="258" t="n">
        <v>0</v>
      </c>
      <c r="AE85" s="258" t="n">
        <v>527</v>
      </c>
      <c r="AF85" s="258" t="n">
        <v>322</v>
      </c>
      <c r="AG85" s="258" t="n">
        <v>54</v>
      </c>
      <c r="AH85" s="258" t="n">
        <v>54</v>
      </c>
      <c r="AI85" s="258" t="n">
        <v>54</v>
      </c>
      <c r="AJ85" s="258" t="n">
        <v>54</v>
      </c>
    </row>
    <row r="86">
      <c r="A86" t="n">
        <v>26</v>
      </c>
      <c r="B86" t="n">
        <v>1</v>
      </c>
      <c r="G86" t="inlineStr">
        <is>
          <t>moeda</t>
        </is>
      </c>
      <c r="H86" t="inlineStr">
        <is>
          <t>Adiantamentos de clientes / Advances from customers (l.61)</t>
        </is>
      </c>
      <c r="J86" t="inlineStr">
        <is>
          <t>fonte</t>
        </is>
      </c>
      <c r="K86" s="258" t="n">
        <v>6215</v>
      </c>
      <c r="L86" s="258" t="n">
        <v>247</v>
      </c>
      <c r="M86" s="258" t="n">
        <v>245</v>
      </c>
      <c r="N86" s="258" t="n">
        <v>1456</v>
      </c>
      <c r="O86" s="258" t="n">
        <v>2064</v>
      </c>
      <c r="P86" s="258" t="n">
        <v>2091</v>
      </c>
      <c r="Q86" s="258" t="n">
        <v>2444</v>
      </c>
      <c r="R86" s="258" t="n">
        <v>2444</v>
      </c>
      <c r="S86" s="258" t="n">
        <v>2543</v>
      </c>
      <c r="T86" s="258" t="n">
        <v>6632</v>
      </c>
      <c r="U86" s="258" t="n">
        <v>6730</v>
      </c>
      <c r="V86" s="258" t="n">
        <v>6779</v>
      </c>
      <c r="W86" s="258" t="n">
        <v>62680</v>
      </c>
      <c r="X86" s="258" t="n">
        <v>7609</v>
      </c>
      <c r="Y86" s="258" t="n">
        <v>21409</v>
      </c>
      <c r="Z86" s="258" t="n">
        <v>21296</v>
      </c>
      <c r="AA86" s="258" t="n">
        <v>24331</v>
      </c>
      <c r="AB86" s="258" t="n">
        <v>34978</v>
      </c>
      <c r="AC86" s="258" t="n">
        <v>34791</v>
      </c>
      <c r="AD86" s="258" t="n">
        <v>35871</v>
      </c>
      <c r="AE86" s="258" t="n">
        <v>55575</v>
      </c>
      <c r="AF86" s="258" t="n">
        <v>29197</v>
      </c>
      <c r="AG86" s="258" t="n">
        <v>29964</v>
      </c>
      <c r="AH86" s="258" t="n">
        <v>34775</v>
      </c>
      <c r="AI86" s="258" t="n">
        <v>32309</v>
      </c>
      <c r="AJ86" s="258" t="n">
        <v>33681</v>
      </c>
    </row>
    <row r="87">
      <c r="A87" t="n">
        <v>26</v>
      </c>
      <c r="B87" t="n">
        <v>1</v>
      </c>
      <c r="G87" t="inlineStr">
        <is>
          <t>moeda</t>
        </is>
      </c>
      <c r="H87" t="inlineStr">
        <is>
          <t>Opções de compra de ações outorgadas / Stock options granted (l.62) [0 em 14 per. (1Q20..2Q23): celula vazia ou "-" na fonte; total divulgado confirma]</t>
        </is>
      </c>
      <c r="J87" t="inlineStr">
        <is>
          <t>fonte</t>
        </is>
      </c>
      <c r="K87" s="258" t="n">
        <v>0</v>
      </c>
      <c r="L87" s="258" t="n">
        <v>0</v>
      </c>
      <c r="M87" s="258" t="n">
        <v>0</v>
      </c>
      <c r="N87" s="258" t="n">
        <v>0</v>
      </c>
      <c r="O87" s="258" t="n">
        <v>0</v>
      </c>
      <c r="P87" s="258" t="n">
        <v>0</v>
      </c>
      <c r="Q87" s="258" t="n">
        <v>0</v>
      </c>
      <c r="R87" s="258" t="n">
        <v>0</v>
      </c>
      <c r="S87" s="258" t="n">
        <v>0</v>
      </c>
      <c r="T87" s="258" t="n">
        <v>0</v>
      </c>
      <c r="U87" s="258" t="n">
        <v>0</v>
      </c>
      <c r="V87" s="258" t="n">
        <v>0</v>
      </c>
      <c r="W87" s="258" t="n">
        <v>0</v>
      </c>
      <c r="X87" s="258" t="n">
        <v>0</v>
      </c>
      <c r="Y87" s="258" t="n">
        <v>13236</v>
      </c>
      <c r="Z87" s="258" t="n">
        <v>10734</v>
      </c>
      <c r="AA87" s="258" t="n">
        <v>10978</v>
      </c>
      <c r="AB87" s="258" t="n">
        <v>11061</v>
      </c>
      <c r="AC87" s="258" t="n">
        <v>11088</v>
      </c>
      <c r="AD87" s="258" t="n">
        <v>11274</v>
      </c>
      <c r="AE87" s="258" t="n">
        <v>11571</v>
      </c>
      <c r="AF87" s="258" t="n">
        <v>11634</v>
      </c>
      <c r="AG87" s="258" t="n">
        <v>11725</v>
      </c>
      <c r="AH87" s="258" t="n">
        <v>11817</v>
      </c>
      <c r="AI87" s="258" t="n">
        <v>11974</v>
      </c>
      <c r="AJ87" s="258" t="n">
        <v>12220</v>
      </c>
    </row>
    <row r="88">
      <c r="A88" t="n">
        <v>26</v>
      </c>
      <c r="B88" t="n">
        <v>1</v>
      </c>
      <c r="G88" t="inlineStr">
        <is>
          <t>moeda</t>
        </is>
      </c>
      <c r="H88" t="inlineStr">
        <is>
          <t>Outras obrigações / Other liabilities (l.63) [0 em 1 per. (3Q23..3Q23): celula vazia ou "-" na fonte; total divulgado confirma]</t>
        </is>
      </c>
      <c r="J88" t="inlineStr">
        <is>
          <t>fonte</t>
        </is>
      </c>
      <c r="K88" s="258" t="n">
        <v>45561</v>
      </c>
      <c r="L88" s="258" t="n">
        <v>30482</v>
      </c>
      <c r="M88" s="258" t="n">
        <v>28651</v>
      </c>
      <c r="N88" s="258" t="n">
        <v>36204</v>
      </c>
      <c r="O88" s="258" t="n">
        <v>29815</v>
      </c>
      <c r="P88" s="258" t="n">
        <v>26558</v>
      </c>
      <c r="Q88" s="258" t="n">
        <v>25951</v>
      </c>
      <c r="R88" s="258" t="n">
        <v>58002</v>
      </c>
      <c r="S88" s="258" t="n">
        <v>28970</v>
      </c>
      <c r="T88" s="258" t="n">
        <v>28772</v>
      </c>
      <c r="U88" s="258" t="n">
        <v>29650</v>
      </c>
      <c r="V88" s="258" t="n">
        <v>41603</v>
      </c>
      <c r="W88" s="258" t="n">
        <v>41769</v>
      </c>
      <c r="X88" s="258" t="n">
        <v>14616</v>
      </c>
      <c r="Y88" s="258" t="n">
        <v>0</v>
      </c>
      <c r="Z88" s="258" t="n">
        <v>18591</v>
      </c>
      <c r="AA88" s="258" t="n">
        <v>17923</v>
      </c>
      <c r="AB88" s="258" t="n">
        <v>21991</v>
      </c>
      <c r="AC88" s="258" t="n">
        <v>41607</v>
      </c>
      <c r="AD88" s="258" t="n">
        <v>38633</v>
      </c>
      <c r="AE88" s="258" t="n">
        <v>33096</v>
      </c>
      <c r="AF88" s="258" t="n">
        <v>111579</v>
      </c>
      <c r="AG88" s="258" t="n">
        <v>43212</v>
      </c>
      <c r="AH88" s="258" t="n">
        <v>50198</v>
      </c>
      <c r="AI88" s="258" t="n">
        <v>32869</v>
      </c>
      <c r="AJ88" s="258" t="n">
        <v>50120</v>
      </c>
    </row>
    <row r="89">
      <c r="A89" t="n">
        <v>30</v>
      </c>
      <c r="B89" t="n">
        <v>1</v>
      </c>
      <c r="G89" t="inlineStr">
        <is>
          <t>moeda</t>
        </is>
      </c>
      <c r="H89" t="inlineStr">
        <is>
          <t>Empréstimos e financiamentos / Loans and Financing (l.66) [3T23 lido da linha de cima na fonte (deslocamento de uma linha no 3T23)]</t>
        </is>
      </c>
      <c r="J89" t="inlineStr">
        <is>
          <t>fonte</t>
        </is>
      </c>
      <c r="K89" s="258" t="n">
        <v>1756138</v>
      </c>
      <c r="L89" s="258" t="n">
        <v>1800373</v>
      </c>
      <c r="M89" s="258" t="n">
        <v>2072481</v>
      </c>
      <c r="N89" s="258" t="n">
        <v>2155652</v>
      </c>
      <c r="O89" s="258" t="n">
        <v>2021324</v>
      </c>
      <c r="P89" s="258" t="n">
        <v>1649919</v>
      </c>
      <c r="Q89" s="258" t="n">
        <v>1671089</v>
      </c>
      <c r="R89" s="258" t="n">
        <v>1753179</v>
      </c>
      <c r="S89" s="258" t="n">
        <v>1584319</v>
      </c>
      <c r="T89" s="258" t="n">
        <v>1891161</v>
      </c>
      <c r="U89" s="258" t="n">
        <v>2291563</v>
      </c>
      <c r="V89" s="258" t="n">
        <v>1866200</v>
      </c>
      <c r="W89" s="258" t="n">
        <v>1866314</v>
      </c>
      <c r="X89" s="258" t="n">
        <v>1768280</v>
      </c>
      <c r="Y89" s="258" t="n">
        <v>1777277</v>
      </c>
      <c r="Z89" s="258" t="n">
        <v>1867508</v>
      </c>
      <c r="AA89" s="258" t="n">
        <v>1687963</v>
      </c>
      <c r="AB89" s="258" t="n">
        <v>1674398</v>
      </c>
      <c r="AC89" s="258" t="n">
        <v>1711790</v>
      </c>
      <c r="AD89" s="258" t="n">
        <v>2068616</v>
      </c>
      <c r="AE89" s="258" t="n">
        <v>1933844</v>
      </c>
      <c r="AF89" s="258" t="n">
        <v>1856302</v>
      </c>
      <c r="AG89" s="258" t="n">
        <v>2013354</v>
      </c>
      <c r="AH89" s="258" t="n">
        <v>2182247</v>
      </c>
      <c r="AI89" s="258" t="n">
        <v>2082128</v>
      </c>
      <c r="AJ89" s="258" t="n">
        <v>2215470</v>
      </c>
    </row>
    <row r="90">
      <c r="A90" t="n">
        <v>30</v>
      </c>
      <c r="B90" t="n">
        <v>1</v>
      </c>
      <c r="G90" t="inlineStr">
        <is>
          <t>moeda</t>
        </is>
      </c>
      <c r="H90" t="inlineStr">
        <is>
          <t>Debêntures / Debentures (l.67) [3T23 lido da linha de cima na fonte (deslocamento de uma linha no 3T23)]</t>
        </is>
      </c>
      <c r="J90" t="inlineStr">
        <is>
          <t>fonte</t>
        </is>
      </c>
      <c r="K90" s="258" t="n">
        <v>6029473</v>
      </c>
      <c r="L90" s="258" t="n">
        <v>5814509</v>
      </c>
      <c r="M90" s="258" t="n">
        <v>5783996</v>
      </c>
      <c r="N90" s="258" t="n">
        <v>5996185</v>
      </c>
      <c r="O90" s="258" t="n">
        <v>6083986</v>
      </c>
      <c r="P90" s="258" t="n">
        <v>6505175</v>
      </c>
      <c r="Q90" s="258" t="n">
        <v>6609688</v>
      </c>
      <c r="R90" s="258" t="n">
        <v>7343384</v>
      </c>
      <c r="S90" s="258" t="n">
        <v>7411791</v>
      </c>
      <c r="T90" s="258" t="n">
        <v>8076329</v>
      </c>
      <c r="U90" s="258" t="n">
        <v>8105459</v>
      </c>
      <c r="V90" s="258" t="n">
        <v>8618877</v>
      </c>
      <c r="W90" s="258" t="n">
        <v>8594539</v>
      </c>
      <c r="X90" s="258" t="n">
        <v>8605883</v>
      </c>
      <c r="Y90" s="258" t="n">
        <v>7983163</v>
      </c>
      <c r="Z90" s="258" t="n">
        <v>7771366</v>
      </c>
      <c r="AA90" s="258" t="n">
        <v>7763773</v>
      </c>
      <c r="AB90" s="258" t="n">
        <v>7917412</v>
      </c>
      <c r="AC90" s="258" t="n">
        <v>8180184</v>
      </c>
      <c r="AD90" s="258" t="n">
        <v>8645404</v>
      </c>
      <c r="AE90" s="258" t="n">
        <v>8690944</v>
      </c>
      <c r="AF90" s="258" t="n">
        <v>8887472</v>
      </c>
      <c r="AG90" s="258" t="n">
        <v>9002298</v>
      </c>
      <c r="AH90" s="258" t="n">
        <v>8960457</v>
      </c>
      <c r="AI90" s="258" t="n">
        <v>10974811</v>
      </c>
      <c r="AJ90" s="258" t="n">
        <v>11045819</v>
      </c>
    </row>
    <row r="91">
      <c r="A91" t="n">
        <v>31</v>
      </c>
      <c r="B91" t="n">
        <v>1</v>
      </c>
      <c r="G91" t="inlineStr">
        <is>
          <t>moeda</t>
        </is>
      </c>
      <c r="H91" t="inlineStr">
        <is>
          <t>Arrendamento Mercantil / Leasing (l.68) [3T23 lido da linha de cima na fonte (deslocamento de uma linha no 3T23)]</t>
        </is>
      </c>
      <c r="J91" t="inlineStr">
        <is>
          <t>fonte</t>
        </is>
      </c>
      <c r="K91" s="258" t="n">
        <v>27026</v>
      </c>
      <c r="L91" s="258" t="n">
        <v>30269</v>
      </c>
      <c r="M91" s="258" t="n">
        <v>29220</v>
      </c>
      <c r="N91" s="258" t="n">
        <v>28300</v>
      </c>
      <c r="O91" s="258" t="n">
        <v>29628</v>
      </c>
      <c r="P91" s="258" t="n">
        <v>31829</v>
      </c>
      <c r="Q91" s="258" t="n">
        <v>42853</v>
      </c>
      <c r="R91" s="258" t="n">
        <v>38707</v>
      </c>
      <c r="S91" s="258" t="n">
        <v>34871</v>
      </c>
      <c r="T91" s="258" t="n">
        <v>38958</v>
      </c>
      <c r="U91" s="258" t="n">
        <v>37657</v>
      </c>
      <c r="V91" s="258" t="n">
        <v>36263</v>
      </c>
      <c r="W91" s="258" t="n">
        <v>35228</v>
      </c>
      <c r="X91" s="258" t="n">
        <v>30830</v>
      </c>
      <c r="Y91" s="258" t="n">
        <v>34263</v>
      </c>
      <c r="Z91" s="258" t="n">
        <v>38010</v>
      </c>
      <c r="AA91" s="258" t="n">
        <v>38520</v>
      </c>
      <c r="AB91" s="258" t="n">
        <v>37493</v>
      </c>
      <c r="AC91" s="258" t="n">
        <v>36726</v>
      </c>
      <c r="AD91" s="258" t="n">
        <v>37142</v>
      </c>
      <c r="AE91" s="258" t="n">
        <v>32379</v>
      </c>
      <c r="AF91" s="258" t="n">
        <v>33248</v>
      </c>
      <c r="AG91" s="258" t="n">
        <v>32320</v>
      </c>
      <c r="AH91" s="258" t="n">
        <v>18089</v>
      </c>
      <c r="AI91" s="258" t="n">
        <v>15954</v>
      </c>
      <c r="AJ91" s="258" t="n">
        <v>16910</v>
      </c>
    </row>
    <row r="92">
      <c r="A92" t="n">
        <v>34</v>
      </c>
      <c r="B92" t="n">
        <v>1</v>
      </c>
      <c r="G92" t="inlineStr">
        <is>
          <t>moeda</t>
        </is>
      </c>
      <c r="H92" t="inlineStr">
        <is>
          <t>Fornecedores / Suppliers (l.69) [3T23 lido da linha de cima na fonte (deslocamento de uma linha no 3T23)]</t>
        </is>
      </c>
      <c r="J92" t="inlineStr">
        <is>
          <t>fonte</t>
        </is>
      </c>
      <c r="K92" s="258" t="n">
        <v>850</v>
      </c>
      <c r="L92" s="258" t="n">
        <v>850</v>
      </c>
      <c r="M92" s="258" t="n">
        <v>850</v>
      </c>
      <c r="N92" s="258" t="n">
        <v>850</v>
      </c>
      <c r="O92" s="258" t="n">
        <v>850</v>
      </c>
      <c r="P92" s="258" t="n">
        <v>850</v>
      </c>
      <c r="Q92" s="258" t="n">
        <v>850</v>
      </c>
      <c r="R92" s="258" t="n">
        <v>850</v>
      </c>
      <c r="S92" s="258" t="n">
        <v>850</v>
      </c>
      <c r="T92" s="258" t="n">
        <v>850</v>
      </c>
      <c r="U92" s="258" t="n">
        <v>850</v>
      </c>
      <c r="V92" s="258" t="n">
        <v>850</v>
      </c>
      <c r="W92" s="258" t="n">
        <v>850</v>
      </c>
      <c r="X92" s="258" t="n">
        <v>850</v>
      </c>
      <c r="Y92" s="258" t="n">
        <v>850</v>
      </c>
      <c r="Z92" s="258" t="n">
        <v>850</v>
      </c>
      <c r="AA92" s="258" t="n">
        <v>850</v>
      </c>
      <c r="AB92" s="258" t="n">
        <v>850</v>
      </c>
      <c r="AC92" s="258" t="n">
        <v>850</v>
      </c>
      <c r="AD92" s="258" t="n">
        <v>850</v>
      </c>
      <c r="AE92" s="258" t="n">
        <v>850</v>
      </c>
      <c r="AF92" s="258" t="n">
        <v>850</v>
      </c>
      <c r="AG92" s="258" t="n">
        <v>850</v>
      </c>
      <c r="AH92" s="258" t="n">
        <v>850</v>
      </c>
      <c r="AI92" s="258" t="n">
        <v>850</v>
      </c>
      <c r="AJ92" s="258" t="n">
        <v>850</v>
      </c>
    </row>
    <row r="93">
      <c r="A93" t="n">
        <v>34</v>
      </c>
      <c r="B93" t="n">
        <v>1</v>
      </c>
      <c r="G93" t="inlineStr">
        <is>
          <t>moeda</t>
        </is>
      </c>
      <c r="H93" t="inlineStr">
        <is>
          <t>Adiantamento para futuro aumento de capital / Advance for future capital increase (l.70) [3T23 lido da linha de cima na fonte (deslocamento de uma linha no 3T23)]</t>
        </is>
      </c>
      <c r="J93" t="inlineStr">
        <is>
          <t>fonte</t>
        </is>
      </c>
      <c r="K93" s="258" t="n">
        <v>354</v>
      </c>
      <c r="L93" s="258" t="n">
        <v>293</v>
      </c>
      <c r="M93" s="258" t="n">
        <v>341</v>
      </c>
      <c r="N93" s="258" t="n">
        <v>292</v>
      </c>
      <c r="O93" s="258" t="n">
        <v>293</v>
      </c>
      <c r="P93" s="258" t="n">
        <v>258</v>
      </c>
      <c r="Q93" s="258" t="n">
        <v>257</v>
      </c>
      <c r="R93" s="258" t="n">
        <v>36941</v>
      </c>
      <c r="S93" s="258" t="n">
        <v>293</v>
      </c>
      <c r="T93" s="258" t="n">
        <v>292</v>
      </c>
      <c r="U93" s="258" t="n">
        <v>280</v>
      </c>
      <c r="V93" s="258" t="n">
        <v>293</v>
      </c>
      <c r="W93" s="258" t="n">
        <v>293</v>
      </c>
      <c r="X93" s="258" t="n">
        <v>293</v>
      </c>
      <c r="Y93" s="258" t="n">
        <v>293</v>
      </c>
      <c r="Z93" s="258" t="n">
        <v>293</v>
      </c>
      <c r="AA93" s="258" t="n">
        <v>294</v>
      </c>
      <c r="AB93" s="258" t="n">
        <v>295</v>
      </c>
      <c r="AC93" s="258" t="n">
        <v>298</v>
      </c>
      <c r="AD93" s="258" t="n">
        <v>1991</v>
      </c>
      <c r="AE93" s="258" t="n">
        <v>1991</v>
      </c>
      <c r="AF93" s="258" t="n">
        <v>1991</v>
      </c>
      <c r="AG93" s="258" t="n">
        <v>1991</v>
      </c>
      <c r="AH93" s="258" t="n">
        <v>1991</v>
      </c>
      <c r="AI93" s="258" t="n">
        <v>17017</v>
      </c>
      <c r="AJ93" s="258" t="n">
        <v>17142</v>
      </c>
    </row>
    <row r="94">
      <c r="A94" t="n">
        <v>34</v>
      </c>
      <c r="B94" t="n">
        <v>1</v>
      </c>
      <c r="G94" t="inlineStr">
        <is>
          <t>moeda</t>
        </is>
      </c>
      <c r="H94" t="inlineStr">
        <is>
          <t>Tributos e contribuições sociais a recolher / Taxes payable (l.71) [3T23 lido da linha de cima na fonte (deslocamento de uma linha no 3T23)]</t>
        </is>
      </c>
      <c r="J94" t="inlineStr">
        <is>
          <t>fonte</t>
        </is>
      </c>
      <c r="K94" s="258" t="n">
        <v>0</v>
      </c>
      <c r="L94" s="258" t="n">
        <v>0</v>
      </c>
      <c r="M94" s="258" t="n">
        <v>0</v>
      </c>
      <c r="N94" s="258" t="n">
        <v>0</v>
      </c>
      <c r="O94" s="258" t="n">
        <v>0</v>
      </c>
      <c r="P94" s="258" t="n">
        <v>0</v>
      </c>
      <c r="Q94" s="258" t="n">
        <v>0</v>
      </c>
      <c r="R94" s="258" t="n">
        <v>0</v>
      </c>
      <c r="S94" s="258" t="n">
        <v>0</v>
      </c>
      <c r="T94" s="258" t="n">
        <v>0</v>
      </c>
      <c r="U94" s="258" t="n">
        <v>0</v>
      </c>
      <c r="V94" s="258" t="n">
        <v>0</v>
      </c>
      <c r="W94" s="258" t="n">
        <v>0</v>
      </c>
      <c r="X94" s="258" t="n">
        <v>0</v>
      </c>
      <c r="Y94" s="258" t="n">
        <v>0</v>
      </c>
      <c r="Z94" s="258" t="n">
        <v>0</v>
      </c>
      <c r="AA94" s="258" t="n">
        <v>0</v>
      </c>
      <c r="AB94" s="258" t="n">
        <v>0</v>
      </c>
      <c r="AC94" s="258" t="n">
        <v>0</v>
      </c>
      <c r="AD94" s="258" t="n">
        <v>0</v>
      </c>
      <c r="AE94" s="258" t="n">
        <v>0</v>
      </c>
      <c r="AF94" s="258" t="n">
        <v>0</v>
      </c>
      <c r="AG94" s="258" t="n">
        <v>0</v>
      </c>
      <c r="AH94" s="258" t="n">
        <v>0</v>
      </c>
      <c r="AI94" s="258" t="n">
        <v>0</v>
      </c>
      <c r="AJ94" s="258" t="n">
        <v>0</v>
      </c>
    </row>
    <row r="95">
      <c r="A95" t="n">
        <v>33</v>
      </c>
      <c r="B95" t="n">
        <v>1</v>
      </c>
      <c r="G95" t="inlineStr">
        <is>
          <t>moeda</t>
        </is>
      </c>
      <c r="H95" t="inlineStr">
        <is>
          <t>Imposto de Renda e Contribuição social diferidos / Deferred income and social contribution taxes (l.72) [3T23 lido da linha de cima na fonte (deslocamento de uma linha no 3T23)]</t>
        </is>
      </c>
      <c r="J95" t="inlineStr">
        <is>
          <t>fonte</t>
        </is>
      </c>
      <c r="K95" s="258" t="n">
        <v>1305556</v>
      </c>
      <c r="L95" s="258" t="n">
        <v>1387454</v>
      </c>
      <c r="M95" s="258" t="n">
        <v>1522844</v>
      </c>
      <c r="N95" s="258" t="n">
        <v>1925824</v>
      </c>
      <c r="O95" s="258" t="n">
        <v>2111989</v>
      </c>
      <c r="P95" s="258" t="n">
        <v>2309438</v>
      </c>
      <c r="Q95" s="258" t="n">
        <v>2427741</v>
      </c>
      <c r="R95" s="258" t="n">
        <v>2571980</v>
      </c>
      <c r="S95" s="258" t="n">
        <v>2669434</v>
      </c>
      <c r="T95" s="258" t="n">
        <v>2780910</v>
      </c>
      <c r="U95" s="258" t="n">
        <v>2759057</v>
      </c>
      <c r="V95" s="258" t="n">
        <v>2700528</v>
      </c>
      <c r="W95" s="258" t="n">
        <v>2779092</v>
      </c>
      <c r="X95" s="258" t="n">
        <v>2808619</v>
      </c>
      <c r="Y95" s="258" t="n">
        <v>2795307</v>
      </c>
      <c r="Z95" s="258" t="n">
        <v>2890782</v>
      </c>
      <c r="AA95" s="258" t="n">
        <v>2970165</v>
      </c>
      <c r="AB95" s="258" t="n">
        <v>3046672</v>
      </c>
      <c r="AC95" s="258" t="n">
        <v>2835961</v>
      </c>
      <c r="AD95" s="258" t="n">
        <v>2881281</v>
      </c>
      <c r="AE95" s="258" t="n">
        <v>3038628</v>
      </c>
      <c r="AF95" s="258" t="n">
        <v>3081852</v>
      </c>
      <c r="AG95" s="258" t="n">
        <v>3236041</v>
      </c>
      <c r="AH95" s="258" t="n">
        <v>3333016</v>
      </c>
      <c r="AI95" s="258" t="n">
        <v>3376715</v>
      </c>
      <c r="AJ95" s="258" t="n">
        <v>3390710</v>
      </c>
    </row>
    <row r="96">
      <c r="A96" t="n">
        <v>34</v>
      </c>
      <c r="B96" t="n">
        <v>1</v>
      </c>
      <c r="G96" t="inlineStr">
        <is>
          <t>moeda</t>
        </is>
      </c>
      <c r="H96" t="inlineStr">
        <is>
          <t>PIS/COFINS Diferidos / Deferred PIS/COFINS taxes (l.73) [3T23 lido da linha de cima na fonte (deslocamento de uma linha no 3T23)]</t>
        </is>
      </c>
      <c r="J96" t="inlineStr">
        <is>
          <t>fonte</t>
        </is>
      </c>
      <c r="K96" s="258" t="n">
        <v>686776</v>
      </c>
      <c r="L96" s="258" t="n">
        <v>752865</v>
      </c>
      <c r="M96" s="258" t="n">
        <v>839201</v>
      </c>
      <c r="N96" s="258" t="n">
        <v>983086</v>
      </c>
      <c r="O96" s="258" t="n">
        <v>1059732</v>
      </c>
      <c r="P96" s="258" t="n">
        <v>1113108</v>
      </c>
      <c r="Q96" s="258" t="n">
        <v>1150704</v>
      </c>
      <c r="R96" s="258" t="n">
        <v>1234120</v>
      </c>
      <c r="S96" s="258" t="n">
        <v>1270698</v>
      </c>
      <c r="T96" s="258" t="n">
        <v>1292527</v>
      </c>
      <c r="U96" s="258" t="n">
        <v>1282893</v>
      </c>
      <c r="V96" s="258" t="n">
        <v>1280762</v>
      </c>
      <c r="W96" s="258" t="n">
        <v>1302887</v>
      </c>
      <c r="X96" s="258" t="n">
        <v>1310435</v>
      </c>
      <c r="Y96" s="258" t="n">
        <v>1304573</v>
      </c>
      <c r="Z96" s="258" t="n">
        <v>1311963</v>
      </c>
      <c r="AA96" s="258" t="n">
        <v>1331485</v>
      </c>
      <c r="AB96" s="258" t="n">
        <v>1349454</v>
      </c>
      <c r="AC96" s="258" t="n">
        <v>1362137</v>
      </c>
      <c r="AD96" s="258" t="n">
        <v>1377334</v>
      </c>
      <c r="AE96" s="258" t="n">
        <v>1410095</v>
      </c>
      <c r="AF96" s="258" t="n">
        <v>1423843</v>
      </c>
      <c r="AG96" s="258" t="n">
        <v>1444208</v>
      </c>
      <c r="AH96" s="258" t="n">
        <v>1464323</v>
      </c>
      <c r="AI96" s="258" t="n">
        <v>1491910</v>
      </c>
      <c r="AJ96" s="258" t="n">
        <v>1541577</v>
      </c>
    </row>
    <row r="97">
      <c r="A97" t="n">
        <v>34</v>
      </c>
      <c r="B97" t="n">
        <v>1</v>
      </c>
      <c r="G97" t="inlineStr">
        <is>
          <t>moeda</t>
        </is>
      </c>
      <c r="H97" t="inlineStr">
        <is>
          <t>Taxas setoriais Diferidas - RGR / TFSEE / Sectorial Taxes - RGR / TFSEE (l.74) [3T23 lido da linha de cima na fonte (deslocamento de uma linha no 3T23)]</t>
        </is>
      </c>
      <c r="J97" t="inlineStr">
        <is>
          <t>fonte</t>
        </is>
      </c>
      <c r="K97" s="258" t="n">
        <v>155932</v>
      </c>
      <c r="L97" s="258" t="n">
        <v>156704</v>
      </c>
      <c r="M97" s="258" t="n">
        <v>162541</v>
      </c>
      <c r="N97" s="258" t="n">
        <v>172744</v>
      </c>
      <c r="O97" s="258" t="n">
        <v>178356</v>
      </c>
      <c r="P97" s="258" t="n">
        <v>184986</v>
      </c>
      <c r="Q97" s="258" t="n">
        <v>192084</v>
      </c>
      <c r="R97" s="258" t="n">
        <v>191960</v>
      </c>
      <c r="S97" s="258" t="n">
        <v>196936</v>
      </c>
      <c r="T97" s="258" t="n">
        <v>200967</v>
      </c>
      <c r="U97" s="258" t="n">
        <v>200045</v>
      </c>
      <c r="V97" s="258" t="n">
        <v>193224</v>
      </c>
      <c r="W97" s="258" t="n">
        <v>195856</v>
      </c>
      <c r="X97" s="258" t="n">
        <v>188991</v>
      </c>
      <c r="Y97" s="258" t="n">
        <v>188344</v>
      </c>
      <c r="Z97" s="258" t="n">
        <v>187096</v>
      </c>
      <c r="AA97" s="258" t="n">
        <v>171840</v>
      </c>
      <c r="AB97" s="258" t="n">
        <v>184933</v>
      </c>
      <c r="AC97" s="258" t="n">
        <v>184219</v>
      </c>
      <c r="AD97" s="258" t="n">
        <v>184773</v>
      </c>
      <c r="AE97" s="258" t="n">
        <v>185131</v>
      </c>
      <c r="AF97" s="258" t="n">
        <v>181284</v>
      </c>
      <c r="AG97" s="258" t="n">
        <v>177794</v>
      </c>
      <c r="AH97" s="258" t="n">
        <v>176910</v>
      </c>
      <c r="AI97" s="258" t="n">
        <v>177158</v>
      </c>
      <c r="AJ97" s="258" t="n">
        <v>182410</v>
      </c>
    </row>
    <row r="98">
      <c r="A98" t="n">
        <v>34</v>
      </c>
      <c r="B98" t="n">
        <v>1</v>
      </c>
      <c r="G98" t="inlineStr">
        <is>
          <t>moeda</t>
        </is>
      </c>
      <c r="H98" t="inlineStr">
        <is>
          <t>Instrumentos financeiros derivativos / Derivative Financial Instruments (l.75) [3T23 lido da linha de cima na fonte (deslocamento de uma linha no 3T23)] [0 em 10 per. (1Q20..2Q22): celula vazia ou "-" na fonte; total divulgado confirma]</t>
        </is>
      </c>
      <c r="J98" t="inlineStr">
        <is>
          <t>fonte</t>
        </is>
      </c>
      <c r="K98" s="258" t="n">
        <v>0</v>
      </c>
      <c r="L98" s="258" t="n">
        <v>0</v>
      </c>
      <c r="M98" s="258" t="n">
        <v>0</v>
      </c>
      <c r="N98" s="258" t="n">
        <v>0</v>
      </c>
      <c r="O98" s="258" t="n">
        <v>0</v>
      </c>
      <c r="P98" s="258" t="n">
        <v>0</v>
      </c>
      <c r="Q98" s="258" t="n">
        <v>0</v>
      </c>
      <c r="R98" s="258" t="n">
        <v>0</v>
      </c>
      <c r="S98" s="258" t="n">
        <v>0</v>
      </c>
      <c r="T98" s="258" t="n">
        <v>0</v>
      </c>
      <c r="U98" s="258" t="n">
        <v>8854</v>
      </c>
      <c r="V98" s="258" t="n">
        <v>8860</v>
      </c>
      <c r="W98" s="258" t="n">
        <v>0</v>
      </c>
      <c r="X98" s="258" t="n">
        <v>0</v>
      </c>
      <c r="Y98" s="258" t="n">
        <v>0</v>
      </c>
      <c r="Z98" s="258" t="n">
        <v>0</v>
      </c>
      <c r="AA98" s="258" t="n">
        <v>0</v>
      </c>
      <c r="AB98" s="258" t="n">
        <v>0</v>
      </c>
      <c r="AC98" s="258" t="n">
        <v>0</v>
      </c>
      <c r="AD98" s="258" t="n">
        <v>0</v>
      </c>
      <c r="AE98" s="258" t="n">
        <v>0</v>
      </c>
      <c r="AF98" s="258" t="n">
        <v>0</v>
      </c>
      <c r="AG98" s="258" t="n">
        <v>0</v>
      </c>
      <c r="AH98" s="258" t="n">
        <v>0</v>
      </c>
      <c r="AI98" s="258" t="n">
        <v>0</v>
      </c>
      <c r="AJ98" s="258" t="n">
        <v>0</v>
      </c>
    </row>
    <row r="99">
      <c r="A99" t="n">
        <v>34</v>
      </c>
      <c r="B99" t="n">
        <v>1</v>
      </c>
      <c r="G99" t="inlineStr">
        <is>
          <t>moeda</t>
        </is>
      </c>
      <c r="H99" t="inlineStr">
        <is>
          <t>Provisões para contingências / Provision for litigation (l.76) [3T23 lido da linha de cima na fonte (deslocamento de uma linha no 3T23)]</t>
        </is>
      </c>
      <c r="J99" t="inlineStr">
        <is>
          <t>fonte</t>
        </is>
      </c>
      <c r="K99" s="258" t="n">
        <v>24408</v>
      </c>
      <c r="L99" s="258" t="n">
        <v>15351</v>
      </c>
      <c r="M99" s="258" t="n">
        <v>16402</v>
      </c>
      <c r="N99" s="258" t="n">
        <v>15750</v>
      </c>
      <c r="O99" s="258" t="n">
        <v>15055</v>
      </c>
      <c r="P99" s="258" t="n">
        <v>11968</v>
      </c>
      <c r="Q99" s="258" t="n">
        <v>8200</v>
      </c>
      <c r="R99" s="258" t="n">
        <v>6152</v>
      </c>
      <c r="S99" s="258" t="n">
        <v>8193</v>
      </c>
      <c r="T99" s="258" t="n">
        <v>12382</v>
      </c>
      <c r="U99" s="258" t="n">
        <v>14797</v>
      </c>
      <c r="V99" s="258" t="n">
        <v>10432</v>
      </c>
      <c r="W99" s="258" t="n">
        <v>10968</v>
      </c>
      <c r="X99" s="258" t="n">
        <v>33756</v>
      </c>
      <c r="Y99" s="258" t="n">
        <v>35758</v>
      </c>
      <c r="Z99" s="258" t="n">
        <v>36341</v>
      </c>
      <c r="AA99" s="258" t="n">
        <v>38536</v>
      </c>
      <c r="AB99" s="258" t="n">
        <v>38601</v>
      </c>
      <c r="AC99" s="258" t="n">
        <v>36541</v>
      </c>
      <c r="AD99" s="258" t="n">
        <v>41633</v>
      </c>
      <c r="AE99" s="258" t="n">
        <v>37056</v>
      </c>
      <c r="AF99" s="258" t="n">
        <v>37443</v>
      </c>
      <c r="AG99" s="258" t="n">
        <v>37370</v>
      </c>
      <c r="AH99" s="258" t="n">
        <v>36384</v>
      </c>
      <c r="AI99" s="258" t="n">
        <v>35657</v>
      </c>
      <c r="AJ99" s="258" t="n">
        <v>35582</v>
      </c>
    </row>
    <row r="100">
      <c r="A100" t="n">
        <v>34</v>
      </c>
      <c r="B100" t="n">
        <v>1</v>
      </c>
      <c r="G100" t="inlineStr">
        <is>
          <t>moeda</t>
        </is>
      </c>
      <c r="H100" t="inlineStr">
        <is>
          <t>Adiantamentos de clientes / Advances from customers (l.77) [3T23 lido da linha de cima na fonte (deslocamento de uma linha no 3T23)]</t>
        </is>
      </c>
      <c r="J100" t="inlineStr">
        <is>
          <t>fonte</t>
        </is>
      </c>
      <c r="K100" s="258" t="n">
        <v>2976</v>
      </c>
      <c r="L100" s="258" t="n">
        <v>0</v>
      </c>
      <c r="M100" s="258" t="n">
        <v>0</v>
      </c>
      <c r="N100" s="258" t="n">
        <v>0</v>
      </c>
      <c r="O100" s="258" t="n">
        <v>0</v>
      </c>
      <c r="P100" s="258" t="n">
        <v>0</v>
      </c>
      <c r="Q100" s="258" t="n">
        <v>0</v>
      </c>
      <c r="R100" s="258" t="n">
        <v>12645</v>
      </c>
      <c r="S100" s="258" t="n">
        <v>0</v>
      </c>
      <c r="T100" s="258" t="n">
        <v>0</v>
      </c>
      <c r="U100" s="258" t="n">
        <v>0</v>
      </c>
      <c r="V100" s="258" t="n">
        <v>0</v>
      </c>
      <c r="W100" s="258" t="n">
        <v>155241</v>
      </c>
      <c r="X100" s="258" t="n">
        <v>6469</v>
      </c>
      <c r="Y100" s="258" t="n">
        <v>25208</v>
      </c>
      <c r="Z100" s="258" t="n">
        <v>6143</v>
      </c>
      <c r="AA100" s="258" t="n">
        <v>6262</v>
      </c>
      <c r="AB100" s="258" t="n">
        <v>6749</v>
      </c>
      <c r="AC100" s="258" t="n">
        <v>6841</v>
      </c>
      <c r="AD100" s="258" t="n">
        <v>27884</v>
      </c>
      <c r="AE100" s="258" t="n">
        <v>35763</v>
      </c>
      <c r="AF100" s="258" t="n">
        <v>35199</v>
      </c>
      <c r="AG100" s="258" t="n">
        <v>34980</v>
      </c>
      <c r="AH100" s="258" t="n">
        <v>37263</v>
      </c>
      <c r="AI100" s="258" t="n">
        <v>34016</v>
      </c>
      <c r="AJ100" s="258" t="n">
        <v>34474</v>
      </c>
    </row>
    <row r="101">
      <c r="A101" t="n">
        <v>34</v>
      </c>
      <c r="B101" t="n">
        <v>1</v>
      </c>
      <c r="G101" t="inlineStr">
        <is>
          <t>moeda</t>
        </is>
      </c>
      <c r="H101" t="inlineStr">
        <is>
          <t>Provisão para gastos ambientais / Environmental liability accrual (l.78) [3T23 lido da linha de cima na fonte (deslocamento de uma linha no 3T23)]</t>
        </is>
      </c>
      <c r="J101" t="inlineStr">
        <is>
          <t>fonte</t>
        </is>
      </c>
      <c r="K101" s="258" t="n">
        <v>0</v>
      </c>
      <c r="L101" s="258" t="n">
        <v>18345</v>
      </c>
      <c r="M101" s="258" t="n">
        <v>18482</v>
      </c>
      <c r="N101" s="258" t="n">
        <v>19213</v>
      </c>
      <c r="O101" s="258" t="n">
        <v>19180</v>
      </c>
      <c r="P101" s="258" t="n">
        <v>24823</v>
      </c>
      <c r="Q101" s="258" t="n">
        <v>24741</v>
      </c>
      <c r="R101" s="258" t="n">
        <v>23116</v>
      </c>
      <c r="S101" s="258" t="n">
        <v>21840</v>
      </c>
      <c r="T101" s="258" t="n">
        <v>21137</v>
      </c>
      <c r="U101" s="258" t="n">
        <v>20855</v>
      </c>
      <c r="V101" s="258" t="n">
        <v>17302</v>
      </c>
      <c r="W101" s="258" t="n">
        <v>17038</v>
      </c>
      <c r="X101" s="258" t="n">
        <v>23044</v>
      </c>
      <c r="Y101" s="258" t="n">
        <v>16032</v>
      </c>
      <c r="Z101" s="258" t="n">
        <v>16832</v>
      </c>
      <c r="AA101" s="258" t="n">
        <v>16387</v>
      </c>
      <c r="AB101" s="258" t="n">
        <v>16756</v>
      </c>
      <c r="AC101" s="258" t="n">
        <v>19547</v>
      </c>
      <c r="AD101" s="258" t="n">
        <v>18621</v>
      </c>
      <c r="AE101" s="258" t="n">
        <v>16723</v>
      </c>
      <c r="AF101" s="258" t="n">
        <v>16353</v>
      </c>
      <c r="AG101" s="258" t="n">
        <v>16300</v>
      </c>
      <c r="AH101" s="258" t="n">
        <v>16691</v>
      </c>
      <c r="AI101" s="258" t="n">
        <v>33090</v>
      </c>
      <c r="AJ101" s="258" t="n">
        <v>32785</v>
      </c>
    </row>
    <row r="102">
      <c r="A102" t="n">
        <v>34</v>
      </c>
      <c r="B102" t="n">
        <v>1</v>
      </c>
      <c r="G102" t="inlineStr">
        <is>
          <t>moeda</t>
        </is>
      </c>
      <c r="H102" t="inlineStr">
        <is>
          <t>Taxas regulamentares e setoriais / Regulatory charges payable (l.79) [3T23 lido da linha de cima na fonte (deslocamento de uma linha no 3T23)]</t>
        </is>
      </c>
      <c r="J102" t="inlineStr">
        <is>
          <t>fonte</t>
        </is>
      </c>
      <c r="K102" s="258" t="n">
        <v>0</v>
      </c>
      <c r="L102" s="258" t="n">
        <v>0</v>
      </c>
      <c r="M102" s="258" t="n">
        <v>0</v>
      </c>
      <c r="N102" s="258" t="n">
        <v>0</v>
      </c>
      <c r="O102" s="258" t="n">
        <v>0</v>
      </c>
      <c r="P102" s="258" t="n">
        <v>0</v>
      </c>
      <c r="Q102" s="258" t="n">
        <v>0</v>
      </c>
      <c r="R102" s="258" t="n">
        <v>0</v>
      </c>
      <c r="S102" s="258" t="n">
        <v>39576</v>
      </c>
      <c r="T102" s="258" t="n">
        <v>69932</v>
      </c>
      <c r="U102" s="258" t="n">
        <v>95126</v>
      </c>
      <c r="V102" s="258" t="n">
        <v>116330</v>
      </c>
      <c r="W102" s="258" t="n">
        <v>149698</v>
      </c>
      <c r="X102" s="258" t="n">
        <v>205117</v>
      </c>
      <c r="Y102" s="258" t="n">
        <v>250097</v>
      </c>
      <c r="Z102" s="258" t="n">
        <v>287163</v>
      </c>
      <c r="AA102" s="258" t="n">
        <v>333450</v>
      </c>
      <c r="AB102" s="258" t="n">
        <v>383968</v>
      </c>
      <c r="AC102" s="258" t="n">
        <v>412670</v>
      </c>
      <c r="AD102" s="258" t="n">
        <v>483142</v>
      </c>
      <c r="AE102" s="258" t="n">
        <v>495170</v>
      </c>
      <c r="AF102" s="258" t="n">
        <v>519454</v>
      </c>
      <c r="AG102" s="258" t="n">
        <v>551571</v>
      </c>
      <c r="AH102" s="258" t="n">
        <v>592072</v>
      </c>
      <c r="AI102" s="258" t="n">
        <v>575605</v>
      </c>
      <c r="AJ102" s="258" t="n">
        <v>602679</v>
      </c>
    </row>
    <row r="103">
      <c r="A103" t="n">
        <v>34</v>
      </c>
      <c r="B103" t="n">
        <v>1</v>
      </c>
      <c r="G103" t="inlineStr">
        <is>
          <t>moeda</t>
        </is>
      </c>
      <c r="H103" t="inlineStr">
        <is>
          <t>Provisões de constituição dos ativos / Provision for assets built up (l.80) [3T23 lido da linha de cima na fonte (deslocamento de uma linha no 3T23)]</t>
        </is>
      </c>
      <c r="J103" t="inlineStr">
        <is>
          <t>fonte</t>
        </is>
      </c>
      <c r="K103" s="258" t="n">
        <v>6677</v>
      </c>
      <c r="L103" s="258" t="n">
        <v>6677</v>
      </c>
      <c r="M103" s="258" t="n">
        <v>6677</v>
      </c>
      <c r="N103" s="258" t="n">
        <v>9227</v>
      </c>
      <c r="O103" s="258" t="n">
        <v>9227</v>
      </c>
      <c r="P103" s="258" t="n">
        <v>15475</v>
      </c>
      <c r="Q103" s="258" t="n">
        <v>17094</v>
      </c>
      <c r="R103" s="258" t="n">
        <v>17094</v>
      </c>
      <c r="S103" s="258" t="n">
        <v>24168</v>
      </c>
      <c r="T103" s="258" t="n">
        <v>95379</v>
      </c>
      <c r="U103" s="258" t="n">
        <v>94811</v>
      </c>
      <c r="V103" s="258" t="n">
        <v>92719</v>
      </c>
      <c r="W103" s="258" t="n">
        <v>87655</v>
      </c>
      <c r="X103" s="258" t="n">
        <v>87035</v>
      </c>
      <c r="Y103" s="258" t="n">
        <v>90909</v>
      </c>
      <c r="Z103" s="258" t="n">
        <v>90891</v>
      </c>
      <c r="AA103" s="258" t="n">
        <v>91399</v>
      </c>
      <c r="AB103" s="258" t="n">
        <v>90331</v>
      </c>
      <c r="AC103" s="258" t="n">
        <v>89529</v>
      </c>
      <c r="AD103" s="258" t="n">
        <v>85325</v>
      </c>
      <c r="AE103" s="258" t="n">
        <v>62592</v>
      </c>
      <c r="AF103" s="258" t="n">
        <v>63477</v>
      </c>
      <c r="AG103" s="258" t="n">
        <v>106918</v>
      </c>
      <c r="AH103" s="258" t="n">
        <v>101080</v>
      </c>
      <c r="AI103" s="258" t="n">
        <v>99574</v>
      </c>
      <c r="AJ103" s="258" t="n">
        <v>98292</v>
      </c>
    </row>
    <row r="104">
      <c r="A104" t="n">
        <v>34</v>
      </c>
      <c r="B104" t="n">
        <v>1</v>
      </c>
      <c r="G104" t="inlineStr">
        <is>
          <t>moeda</t>
        </is>
      </c>
      <c r="H104" t="inlineStr">
        <is>
          <t>Outras obrigações / Other liabilities (l.81) [3T23 lido da linha de cima na fonte (deslocamento de uma linha no 3T23)]</t>
        </is>
      </c>
      <c r="J104" t="inlineStr">
        <is>
          <t>fonte</t>
        </is>
      </c>
      <c r="K104" s="258" t="n">
        <v>54247</v>
      </c>
      <c r="L104" s="258" t="n">
        <v>32968</v>
      </c>
      <c r="M104" s="258" t="n">
        <v>37594</v>
      </c>
      <c r="N104" s="258" t="n">
        <v>34552</v>
      </c>
      <c r="O104" s="258" t="n">
        <v>34457</v>
      </c>
      <c r="P104" s="258" t="n">
        <v>34397</v>
      </c>
      <c r="Q104" s="258" t="n">
        <v>34543</v>
      </c>
      <c r="R104" s="258" t="n">
        <v>40526</v>
      </c>
      <c r="S104" s="258" t="n">
        <v>42212</v>
      </c>
      <c r="T104" s="258" t="n">
        <v>41785</v>
      </c>
      <c r="U104" s="258" t="n">
        <v>47502</v>
      </c>
      <c r="V104" s="258" t="n">
        <v>61305</v>
      </c>
      <c r="W104" s="258" t="n">
        <v>65363</v>
      </c>
      <c r="X104" s="258" t="n">
        <v>51142</v>
      </c>
      <c r="Y104" s="258" t="n">
        <v>66396</v>
      </c>
      <c r="Z104" s="258" t="n">
        <v>53335</v>
      </c>
      <c r="AA104" s="258" t="n">
        <v>53517</v>
      </c>
      <c r="AB104" s="258" t="n">
        <v>46634</v>
      </c>
      <c r="AC104" s="258" t="n">
        <v>46638</v>
      </c>
      <c r="AD104" s="258" t="n">
        <v>49877</v>
      </c>
      <c r="AE104" s="258" t="n">
        <v>50179</v>
      </c>
      <c r="AF104" s="258" t="n">
        <v>51570</v>
      </c>
      <c r="AG104" s="258" t="n">
        <v>55525</v>
      </c>
      <c r="AH104" s="258" t="n">
        <v>56454</v>
      </c>
      <c r="AI104" s="258" t="n">
        <v>55591</v>
      </c>
      <c r="AJ104" s="258" t="n">
        <v>56003</v>
      </c>
    </row>
    <row r="105">
      <c r="A105" t="n">
        <v>34</v>
      </c>
      <c r="B105" t="n">
        <v>1</v>
      </c>
      <c r="G105" t="inlineStr">
        <is>
          <t>moeda</t>
        </is>
      </c>
      <c r="H105" t="inlineStr">
        <is>
          <t>Provisão para passivo a descoberto / Provision to uncovered liability (l.82) [3T23 lido da linha de cima na fonte (deslocamento de uma linha no 3T23)]</t>
        </is>
      </c>
      <c r="J105" t="inlineStr">
        <is>
          <t>fonte</t>
        </is>
      </c>
      <c r="K105" s="258" t="n">
        <v>0</v>
      </c>
      <c r="L105" s="258" t="n">
        <v>0</v>
      </c>
      <c r="M105" s="258" t="n">
        <v>0</v>
      </c>
      <c r="N105" s="258" t="n">
        <v>0</v>
      </c>
      <c r="O105" s="258" t="n">
        <v>0</v>
      </c>
      <c r="P105" s="258" t="n">
        <v>0</v>
      </c>
      <c r="Q105" s="258" t="n">
        <v>0</v>
      </c>
      <c r="R105" s="258" t="n">
        <v>0</v>
      </c>
      <c r="S105" s="258" t="n">
        <v>0</v>
      </c>
      <c r="T105" s="258" t="n">
        <v>0</v>
      </c>
      <c r="U105" s="258" t="n">
        <v>0</v>
      </c>
      <c r="V105" s="258" t="n">
        <v>0</v>
      </c>
      <c r="W105" s="258" t="n">
        <v>0</v>
      </c>
      <c r="X105" s="258" t="n">
        <v>0</v>
      </c>
      <c r="Y105" s="258" t="n">
        <v>0</v>
      </c>
      <c r="Z105" s="258" t="n">
        <v>0</v>
      </c>
      <c r="AA105" s="258" t="n">
        <v>0</v>
      </c>
      <c r="AB105" s="258" t="n">
        <v>0</v>
      </c>
      <c r="AC105" s="258" t="n">
        <v>0</v>
      </c>
      <c r="AD105" s="258" t="n">
        <v>0</v>
      </c>
      <c r="AE105" s="258" t="n">
        <v>0</v>
      </c>
      <c r="AF105" s="258" t="n">
        <v>0</v>
      </c>
      <c r="AG105" s="258" t="n">
        <v>0</v>
      </c>
      <c r="AH105" s="258" t="n">
        <v>0</v>
      </c>
      <c r="AI105" s="258" t="n">
        <v>0</v>
      </c>
      <c r="AJ105" s="258" t="n">
        <v>0</v>
      </c>
    </row>
    <row r="106">
      <c r="A106" t="n">
        <v>34</v>
      </c>
      <c r="B106" t="n">
        <v>1</v>
      </c>
      <c r="G106" t="inlineStr">
        <is>
          <t>moeda</t>
        </is>
      </c>
      <c r="H106" t="inlineStr">
        <is>
          <t>Provisão para ressarcimento / Provision for reimbursement (l.83) [3T23 lido da linha de cima na fonte (deslocamento de uma linha no 3T23)]</t>
        </is>
      </c>
      <c r="J106" t="inlineStr">
        <is>
          <t>fonte</t>
        </is>
      </c>
      <c r="K106" s="258" t="n">
        <v>0</v>
      </c>
      <c r="L106" s="258" t="n">
        <v>0</v>
      </c>
      <c r="M106" s="258" t="n">
        <v>0</v>
      </c>
      <c r="N106" s="258" t="n">
        <v>0</v>
      </c>
      <c r="O106" s="258" t="n">
        <v>0</v>
      </c>
      <c r="P106" s="258" t="n">
        <v>0</v>
      </c>
      <c r="Q106" s="258" t="n">
        <v>0</v>
      </c>
      <c r="R106" s="258" t="n">
        <v>0</v>
      </c>
      <c r="S106" s="258" t="n">
        <v>0</v>
      </c>
      <c r="T106" s="258" t="n">
        <v>0</v>
      </c>
      <c r="U106" s="258" t="n">
        <v>0</v>
      </c>
      <c r="V106" s="258" t="n">
        <v>0</v>
      </c>
      <c r="W106" s="258" t="n">
        <v>0</v>
      </c>
      <c r="X106" s="258" t="n">
        <v>0</v>
      </c>
      <c r="Y106" s="258" t="n">
        <v>0</v>
      </c>
      <c r="Z106" s="258" t="n">
        <v>0</v>
      </c>
      <c r="AA106" s="258" t="n">
        <v>5393</v>
      </c>
      <c r="AB106" s="258" t="n">
        <v>13818</v>
      </c>
      <c r="AC106" s="258" t="n">
        <v>7671</v>
      </c>
      <c r="AD106" s="258" t="n">
        <v>7671</v>
      </c>
      <c r="AE106" s="258" t="n">
        <v>13769</v>
      </c>
      <c r="AF106" s="258" t="n">
        <v>15909</v>
      </c>
      <c r="AG106" s="258" t="n">
        <v>15912</v>
      </c>
      <c r="AH106" s="258" t="n">
        <v>15612</v>
      </c>
      <c r="AI106" s="258" t="n">
        <v>24260</v>
      </c>
      <c r="AJ106" s="258" t="n">
        <v>24942</v>
      </c>
    </row>
    <row r="107">
      <c r="A107" t="n">
        <v>37</v>
      </c>
      <c r="B107" t="n">
        <v>1</v>
      </c>
      <c r="G107" t="inlineStr">
        <is>
          <t>moeda</t>
        </is>
      </c>
      <c r="H107" t="inlineStr">
        <is>
          <t>Capital social subscrito e integralizado / Capital Subscribed and Paid (l.86) [3T23 = PL total - minoritarios - demais contas, porque a fonte desloca o PL do 3T23 uma linha para cima]</t>
        </is>
      </c>
      <c r="J107" t="inlineStr">
        <is>
          <t>fonte</t>
        </is>
      </c>
      <c r="K107" s="258" t="n">
        <v>2981996</v>
      </c>
      <c r="L107" s="258" t="n">
        <v>2981996</v>
      </c>
      <c r="M107" s="258" t="n">
        <v>2981996</v>
      </c>
      <c r="N107" s="258" t="n">
        <v>2981996</v>
      </c>
      <c r="O107" s="258" t="n">
        <v>2981996</v>
      </c>
      <c r="P107" s="258" t="n">
        <v>2981996</v>
      </c>
      <c r="Q107" s="258" t="n">
        <v>2981996</v>
      </c>
      <c r="R107" s="258" t="n">
        <v>2981996</v>
      </c>
      <c r="S107" s="258" t="n">
        <v>2981996</v>
      </c>
      <c r="T107" s="258" t="n">
        <v>2981996</v>
      </c>
      <c r="U107" s="258" t="n">
        <v>2981996</v>
      </c>
      <c r="V107" s="258" t="n">
        <v>2981996</v>
      </c>
      <c r="W107" s="258" t="n">
        <v>2981996</v>
      </c>
      <c r="X107" s="258" t="n">
        <v>3310783</v>
      </c>
      <c r="Y107" s="258" t="n">
        <v>3310783</v>
      </c>
      <c r="Z107" s="258" t="n">
        <v>3310783</v>
      </c>
      <c r="AA107" s="258" t="n">
        <v>3310783</v>
      </c>
      <c r="AB107" s="258" t="n">
        <v>3673568</v>
      </c>
      <c r="AC107" s="258" t="n">
        <v>3673568</v>
      </c>
      <c r="AD107" s="258" t="n">
        <v>3673568</v>
      </c>
      <c r="AE107" s="258" t="n">
        <v>3673568</v>
      </c>
      <c r="AF107" s="258" t="n">
        <v>4023099</v>
      </c>
      <c r="AG107" s="258" t="n">
        <v>4023099</v>
      </c>
      <c r="AH107" s="258" t="n">
        <v>4023099</v>
      </c>
      <c r="AI107" s="258" t="n">
        <v>4023099</v>
      </c>
      <c r="AJ107" s="258" t="n">
        <v>4023099</v>
      </c>
    </row>
    <row r="108">
      <c r="A108" t="n">
        <v>37</v>
      </c>
      <c r="B108" t="n">
        <v>1</v>
      </c>
      <c r="G108" t="inlineStr">
        <is>
          <t>moeda</t>
        </is>
      </c>
      <c r="H108" t="inlineStr">
        <is>
          <t>(-) Gastos com emissão de ações / (-) Expenses on Issue of Shares (l.87) [3T23 lido da linha de cima na fonte (deslocamento de uma linha no 3T23)]</t>
        </is>
      </c>
      <c r="J108" t="inlineStr">
        <is>
          <t>fonte</t>
        </is>
      </c>
      <c r="K108" s="258" t="n">
        <v>-65225</v>
      </c>
      <c r="L108" s="258" t="n">
        <v>-65225</v>
      </c>
      <c r="M108" s="258" t="n">
        <v>-65225</v>
      </c>
      <c r="N108" s="258" t="n">
        <v>-65225</v>
      </c>
      <c r="O108" s="258" t="n">
        <v>-65225</v>
      </c>
      <c r="P108" s="258" t="n">
        <v>-65225</v>
      </c>
      <c r="Q108" s="258" t="n">
        <v>-65225</v>
      </c>
      <c r="R108" s="258" t="n">
        <v>-65225</v>
      </c>
      <c r="S108" s="258" t="n">
        <v>-65225</v>
      </c>
      <c r="T108" s="258" t="n">
        <v>-65225</v>
      </c>
      <c r="U108" s="258" t="n">
        <v>-65225</v>
      </c>
      <c r="V108" s="258" t="n">
        <v>-65225</v>
      </c>
      <c r="W108" s="258" t="n">
        <v>-65225</v>
      </c>
      <c r="X108" s="258" t="n">
        <v>-65225</v>
      </c>
      <c r="Y108" s="258" t="n">
        <v>-65225</v>
      </c>
      <c r="Z108" s="258" t="n">
        <v>-65225</v>
      </c>
      <c r="AA108" s="258" t="n">
        <v>-65225</v>
      </c>
      <c r="AB108" s="258" t="n">
        <v>-65225</v>
      </c>
      <c r="AC108" s="258" t="n">
        <v>-65225</v>
      </c>
      <c r="AD108" s="258" t="n">
        <v>-65225</v>
      </c>
      <c r="AE108" s="258" t="n">
        <v>-65225</v>
      </c>
      <c r="AF108" s="258" t="n">
        <v>-65225</v>
      </c>
      <c r="AG108" s="258" t="n">
        <v>-65225</v>
      </c>
      <c r="AH108" s="258" t="n">
        <v>-65225</v>
      </c>
      <c r="AI108" s="258" t="n">
        <v>-65225</v>
      </c>
      <c r="AJ108" s="258" t="n">
        <v>-65225</v>
      </c>
    </row>
    <row r="109">
      <c r="A109" t="n">
        <v>37</v>
      </c>
      <c r="B109" t="n">
        <v>1</v>
      </c>
      <c r="G109" t="inlineStr">
        <is>
          <t>moeda</t>
        </is>
      </c>
      <c r="H109" t="inlineStr">
        <is>
          <t>Adiantamento para futuro aumento de capital / Advance for capital increase (l.88) [3T23 lido da linha de cima na fonte (deslocamento de uma linha no 3T23)]</t>
        </is>
      </c>
      <c r="J109" t="inlineStr">
        <is>
          <t>fonte</t>
        </is>
      </c>
      <c r="K109" s="258" t="n">
        <v>0</v>
      </c>
      <c r="L109" s="258" t="n">
        <v>0</v>
      </c>
      <c r="M109" s="258" t="n">
        <v>0</v>
      </c>
      <c r="N109" s="258" t="n">
        <v>0</v>
      </c>
      <c r="O109" s="258" t="n">
        <v>0</v>
      </c>
      <c r="P109" s="258" t="n">
        <v>0</v>
      </c>
      <c r="Q109" s="258" t="n">
        <v>0</v>
      </c>
      <c r="R109" s="258" t="n">
        <v>0</v>
      </c>
      <c r="S109" s="258" t="n">
        <v>0</v>
      </c>
      <c r="T109" s="258" t="n">
        <v>0</v>
      </c>
      <c r="U109" s="258" t="n">
        <v>0</v>
      </c>
      <c r="V109" s="258" t="n">
        <v>0</v>
      </c>
      <c r="W109" s="258" t="n">
        <v>0</v>
      </c>
      <c r="X109" s="258" t="n">
        <v>0</v>
      </c>
      <c r="Y109" s="258" t="n">
        <v>0</v>
      </c>
      <c r="Z109" s="258" t="n">
        <v>0</v>
      </c>
      <c r="AA109" s="258" t="n">
        <v>0</v>
      </c>
      <c r="AB109" s="258" t="n">
        <v>0</v>
      </c>
      <c r="AC109" s="258" t="n">
        <v>0</v>
      </c>
      <c r="AD109" s="258" t="n">
        <v>0</v>
      </c>
      <c r="AE109" s="258" t="n">
        <v>0</v>
      </c>
      <c r="AF109" s="258" t="n">
        <v>0</v>
      </c>
      <c r="AG109" s="258" t="n">
        <v>0</v>
      </c>
      <c r="AH109" s="258" t="n">
        <v>0</v>
      </c>
      <c r="AI109" s="258" t="n">
        <v>0</v>
      </c>
      <c r="AJ109" s="258" t="n">
        <v>0</v>
      </c>
    </row>
    <row r="110">
      <c r="A110" t="n">
        <v>37</v>
      </c>
      <c r="B110" t="n">
        <v>1</v>
      </c>
      <c r="G110" t="inlineStr">
        <is>
          <t>moeda</t>
        </is>
      </c>
      <c r="H110" t="inlineStr">
        <is>
          <t>Reserva de capital / Capital Reserve (l.89) [3T23 lido da linha de cima na fonte (deslocamento de uma linha no 3T23)]</t>
        </is>
      </c>
      <c r="J110" t="inlineStr">
        <is>
          <t>fonte</t>
        </is>
      </c>
      <c r="K110" s="258" t="n">
        <v>15450</v>
      </c>
      <c r="L110" s="258" t="n">
        <v>15450</v>
      </c>
      <c r="M110" s="258" t="n">
        <v>19481</v>
      </c>
      <c r="N110" s="258" t="n">
        <v>20515</v>
      </c>
      <c r="O110" s="258" t="n">
        <v>20515</v>
      </c>
      <c r="P110" s="258" t="n">
        <v>20515</v>
      </c>
      <c r="Q110" s="258" t="n">
        <v>1649</v>
      </c>
      <c r="R110" s="258" t="n">
        <v>81259</v>
      </c>
      <c r="S110" s="258" t="n">
        <v>218541</v>
      </c>
      <c r="T110" s="258" t="n">
        <v>218541</v>
      </c>
      <c r="U110" s="258" t="n">
        <v>16966</v>
      </c>
      <c r="V110" s="258" t="n">
        <v>16966</v>
      </c>
      <c r="W110" s="258" t="n">
        <v>16966</v>
      </c>
      <c r="X110" s="258" t="n">
        <v>67360</v>
      </c>
      <c r="Y110" s="258" t="n">
        <v>67360</v>
      </c>
      <c r="Z110" s="258" t="n">
        <v>67360</v>
      </c>
      <c r="AA110" s="258" t="n">
        <v>67360</v>
      </c>
      <c r="AB110" s="258" t="n">
        <v>67360</v>
      </c>
      <c r="AC110" s="258" t="n">
        <v>67360</v>
      </c>
      <c r="AD110" s="258" t="n">
        <v>67360</v>
      </c>
      <c r="AE110" s="258" t="n">
        <v>67360</v>
      </c>
      <c r="AF110" s="258" t="n">
        <v>67360</v>
      </c>
      <c r="AG110" s="258" t="n">
        <v>67360</v>
      </c>
      <c r="AH110" s="258" t="n">
        <v>67360</v>
      </c>
      <c r="AI110" s="258" t="n">
        <v>67360</v>
      </c>
      <c r="AJ110" s="258" t="n">
        <v>67360</v>
      </c>
    </row>
    <row r="111">
      <c r="A111" t="n">
        <v>40</v>
      </c>
      <c r="B111" t="n">
        <v>1</v>
      </c>
      <c r="G111" t="inlineStr">
        <is>
          <t>moeda</t>
        </is>
      </c>
      <c r="H111" t="inlineStr">
        <is>
          <t>Reservas de lucros / Income Reserves (l.90) [3T23 lido da linha de cima na fonte (deslocamento de uma linha no 3T23)]</t>
        </is>
      </c>
      <c r="J111" t="inlineStr">
        <is>
          <t>fonte</t>
        </is>
      </c>
      <c r="K111" s="258" t="n">
        <v>2031442</v>
      </c>
      <c r="L111" s="258" t="n">
        <v>2031442</v>
      </c>
      <c r="M111" s="258" t="n">
        <v>2031442</v>
      </c>
      <c r="N111" s="258" t="n">
        <v>2727377</v>
      </c>
      <c r="O111" s="258" t="n">
        <v>2727377</v>
      </c>
      <c r="P111" s="258" t="n">
        <v>2727377</v>
      </c>
      <c r="Q111" s="258" t="n">
        <v>2727377</v>
      </c>
      <c r="R111" s="258" t="n">
        <v>2727377</v>
      </c>
      <c r="S111" s="258" t="n">
        <v>3482342</v>
      </c>
      <c r="T111" s="258" t="n">
        <v>3482342</v>
      </c>
      <c r="U111" s="258" t="n">
        <v>3482342</v>
      </c>
      <c r="V111" s="258" t="n">
        <v>3978834</v>
      </c>
      <c r="W111" s="258" t="n">
        <v>3978834</v>
      </c>
      <c r="X111" s="258" t="n">
        <v>3650047</v>
      </c>
      <c r="Y111" s="258" t="n">
        <v>3650047</v>
      </c>
      <c r="Z111" s="258" t="n">
        <v>3996686</v>
      </c>
      <c r="AA111" s="258" t="n">
        <v>3996686</v>
      </c>
      <c r="AB111" s="258" t="n">
        <v>3633902</v>
      </c>
      <c r="AC111" s="258" t="n">
        <v>3633902</v>
      </c>
      <c r="AD111" s="258" t="n">
        <v>4460056</v>
      </c>
      <c r="AE111" s="258" t="n">
        <v>4460056</v>
      </c>
      <c r="AF111" s="258" t="n">
        <v>4094715</v>
      </c>
      <c r="AG111" s="258" t="n">
        <v>4094715</v>
      </c>
      <c r="AH111" s="258" t="n">
        <v>4964166</v>
      </c>
      <c r="AI111" s="258" t="n">
        <v>4964166</v>
      </c>
      <c r="AJ111" s="258" t="n">
        <v>4954277</v>
      </c>
    </row>
    <row r="112">
      <c r="A112" t="n">
        <v>41</v>
      </c>
      <c r="B112" t="n">
        <v>1</v>
      </c>
      <c r="G112" t="inlineStr">
        <is>
          <t>moeda</t>
        </is>
      </c>
      <c r="H112" t="inlineStr">
        <is>
          <t>Lucros acumulados / Retained Earnings (l.91) [3T23 lido da linha de cima na fonte (deslocamento de uma linha no 3T23)]</t>
        </is>
      </c>
      <c r="J112" t="inlineStr">
        <is>
          <t>fonte</t>
        </is>
      </c>
      <c r="K112" s="258" t="n">
        <v>179149</v>
      </c>
      <c r="L112" s="258" t="n">
        <v>251258</v>
      </c>
      <c r="M112" s="258" t="n">
        <v>432472</v>
      </c>
      <c r="N112" s="258" t="n">
        <v>0</v>
      </c>
      <c r="O112" s="258" t="n">
        <v>323416</v>
      </c>
      <c r="P112" s="258" t="n">
        <v>655761</v>
      </c>
      <c r="Q112" s="258" t="n">
        <v>896077</v>
      </c>
      <c r="R112" s="258" t="n">
        <v>1115401</v>
      </c>
      <c r="S112" s="258" t="n">
        <v>430979</v>
      </c>
      <c r="T112" s="258" t="n">
        <v>610987</v>
      </c>
      <c r="U112" s="258" t="n">
        <v>726663</v>
      </c>
      <c r="V112" s="258" t="n">
        <v>0</v>
      </c>
      <c r="W112" s="258" t="n">
        <v>230710</v>
      </c>
      <c r="X112" s="258" t="n">
        <v>452896</v>
      </c>
      <c r="Y112" s="258" t="n">
        <v>516330</v>
      </c>
      <c r="Z112" s="258" t="n">
        <v>0</v>
      </c>
      <c r="AA112" s="258" t="n">
        <v>254944</v>
      </c>
      <c r="AB112" s="258" t="n">
        <v>425455</v>
      </c>
      <c r="AC112" s="258" t="n">
        <v>732158</v>
      </c>
      <c r="AD112" s="258" t="n">
        <v>0</v>
      </c>
      <c r="AE112" s="258" t="n">
        <v>298777</v>
      </c>
      <c r="AF112" s="258" t="n">
        <v>374422</v>
      </c>
      <c r="AG112" s="258" t="n">
        <v>794591</v>
      </c>
      <c r="AH112" s="258" t="n">
        <v>0</v>
      </c>
      <c r="AI112" s="258" t="n">
        <v>198067</v>
      </c>
      <c r="AJ112" s="258" t="n">
        <v>545471</v>
      </c>
    </row>
    <row r="113">
      <c r="A113" t="n">
        <v>39</v>
      </c>
      <c r="B113" t="n">
        <v>1</v>
      </c>
      <c r="G113" t="inlineStr">
        <is>
          <t>moeda</t>
        </is>
      </c>
      <c r="H113" t="inlineStr">
        <is>
          <t>Outros resultados abrangentes / Other Comprehensive Income (l.92) [3T23 lido da linha de cima na fonte (deslocamento de uma linha no 3T23)]</t>
        </is>
      </c>
      <c r="J113" t="inlineStr">
        <is>
          <t>fonte</t>
        </is>
      </c>
      <c r="K113" s="258" t="n">
        <v>63399</v>
      </c>
      <c r="L113" s="258" t="n">
        <v>96487</v>
      </c>
      <c r="M113" s="258" t="n">
        <v>101566</v>
      </c>
      <c r="N113" s="258" t="n">
        <v>85453</v>
      </c>
      <c r="O113" s="258" t="n">
        <v>103694</v>
      </c>
      <c r="P113" s="258" t="n">
        <v>51922</v>
      </c>
      <c r="Q113" s="258" t="n">
        <v>62016</v>
      </c>
      <c r="R113" s="258" t="n">
        <v>70865</v>
      </c>
      <c r="S113" s="258" t="n">
        <v>35501</v>
      </c>
      <c r="T113" s="258" t="n">
        <v>54159</v>
      </c>
      <c r="U113" s="258" t="n">
        <v>45860</v>
      </c>
      <c r="V113" s="258" t="n">
        <v>45492</v>
      </c>
      <c r="W113" s="258" t="n">
        <v>39811</v>
      </c>
      <c r="X113" s="258" t="n">
        <v>48546</v>
      </c>
      <c r="Y113" s="258" t="n">
        <v>62164</v>
      </c>
      <c r="Z113" s="258" t="n">
        <v>45937</v>
      </c>
      <c r="AA113" s="258" t="n">
        <v>57650</v>
      </c>
      <c r="AB113" s="258" t="n">
        <v>79027</v>
      </c>
      <c r="AC113" s="258" t="n">
        <v>72596</v>
      </c>
      <c r="AD113" s="258" t="n">
        <v>104372</v>
      </c>
      <c r="AE113" s="258" t="n">
        <v>84440</v>
      </c>
      <c r="AF113" s="258" t="n">
        <v>-50354</v>
      </c>
      <c r="AG113" s="258" t="n">
        <v>85109</v>
      </c>
      <c r="AH113" s="258" t="n">
        <v>174494</v>
      </c>
      <c r="AI113" s="258" t="n">
        <v>99329</v>
      </c>
      <c r="AJ113" s="258" t="n">
        <v>115567</v>
      </c>
    </row>
    <row r="114">
      <c r="A114" t="n">
        <v>35</v>
      </c>
      <c r="B114" t="n">
        <v>1</v>
      </c>
      <c r="G114" t="inlineStr">
        <is>
          <t>moeda</t>
        </is>
      </c>
      <c r="H114" t="inlineStr">
        <is>
          <t>Participação de acionistas não controladores / Non-controlling interest (l.94)</t>
        </is>
      </c>
      <c r="J114" t="inlineStr">
        <is>
          <t>fonte</t>
        </is>
      </c>
      <c r="K114" s="258" t="n">
        <v>2615278</v>
      </c>
      <c r="L114" s="258" t="n">
        <v>2695718</v>
      </c>
      <c r="M114" s="258" t="n">
        <v>2904541</v>
      </c>
      <c r="N114" s="258" t="n">
        <v>3194564</v>
      </c>
      <c r="O114" s="258" t="n">
        <v>3518758</v>
      </c>
      <c r="P114" s="258" t="n">
        <v>3613423</v>
      </c>
      <c r="Q114" s="258" t="n">
        <v>3681275</v>
      </c>
      <c r="R114" s="258" t="n">
        <v>3450486</v>
      </c>
      <c r="S114" s="258" t="n">
        <v>3649408</v>
      </c>
      <c r="T114" s="258" t="n">
        <v>3594617</v>
      </c>
      <c r="U114" s="258" t="n">
        <v>3476338</v>
      </c>
      <c r="V114" s="258" t="n">
        <v>3413556</v>
      </c>
      <c r="W114" s="258" t="n">
        <v>3560059</v>
      </c>
      <c r="X114" s="258" t="n">
        <v>3384892</v>
      </c>
      <c r="Y114" s="258" t="n">
        <v>3320519</v>
      </c>
      <c r="Z114" s="258" t="n">
        <v>3273249</v>
      </c>
      <c r="AA114" s="258" t="n">
        <v>3423454</v>
      </c>
      <c r="AB114" s="258" t="n">
        <v>3448681</v>
      </c>
      <c r="AC114" s="258" t="n">
        <v>3695059</v>
      </c>
      <c r="AD114" s="258" t="n">
        <v>3483372</v>
      </c>
      <c r="AE114" s="258" t="n">
        <v>3664272</v>
      </c>
      <c r="AF114" s="258" t="n">
        <v>3483293</v>
      </c>
      <c r="AG114" s="258" t="n">
        <v>3360623</v>
      </c>
      <c r="AH114" s="258" t="n">
        <v>3412620</v>
      </c>
      <c r="AI114" s="258" t="n">
        <v>3543062</v>
      </c>
      <c r="AJ114" s="258" t="n">
        <v>3738333</v>
      </c>
    </row>
    <row r="115">
      <c r="H115" s="254" t="inlineStr">
        <is>
          <t>BALANCO - totais divulgados (memoria)</t>
        </is>
      </c>
    </row>
    <row r="116">
      <c r="G116" t="inlineStr">
        <is>
          <t>moeda</t>
        </is>
      </c>
      <c r="H116" t="inlineStr">
        <is>
          <t>CIRCULANTE / CURRENT (l.9)</t>
        </is>
      </c>
      <c r="J116" t="inlineStr">
        <is>
          <t>memoria</t>
        </is>
      </c>
      <c r="K116" s="258" t="n">
        <v>4967965</v>
      </c>
      <c r="L116" s="258" t="n">
        <v>4288475</v>
      </c>
      <c r="M116" s="258" t="n">
        <v>4060016</v>
      </c>
      <c r="N116" s="258" t="n">
        <v>4084394</v>
      </c>
      <c r="O116" s="258" t="n">
        <v>4024296</v>
      </c>
      <c r="P116" s="258" t="n">
        <v>3909697</v>
      </c>
      <c r="Q116" s="258" t="n">
        <v>3773839</v>
      </c>
      <c r="R116" s="258" t="n">
        <v>4400677</v>
      </c>
      <c r="S116" s="258" t="n">
        <v>4500527</v>
      </c>
      <c r="T116" s="258" t="n">
        <v>4906614</v>
      </c>
      <c r="U116" s="258" t="n">
        <v>5024296</v>
      </c>
      <c r="V116" s="258" t="n">
        <v>5373445</v>
      </c>
      <c r="W116" s="258" t="n">
        <v>5599948</v>
      </c>
      <c r="X116" s="258" t="n">
        <v>5229950</v>
      </c>
      <c r="Y116" s="258" t="n">
        <v>5382282</v>
      </c>
      <c r="Z116" s="258" t="n">
        <v>5419641</v>
      </c>
      <c r="AA116" s="258" t="n">
        <v>5589155</v>
      </c>
      <c r="AB116" s="258" t="n">
        <v>6401270</v>
      </c>
      <c r="AC116" s="258" t="n">
        <v>6175658</v>
      </c>
      <c r="AD116" s="258" t="n">
        <v>6244139</v>
      </c>
      <c r="AE116" s="258" t="n">
        <v>6413485</v>
      </c>
      <c r="AF116" s="258" t="n">
        <v>6556548</v>
      </c>
      <c r="AG116" s="258" t="n">
        <v>6087168</v>
      </c>
      <c r="AH116" s="258" t="n">
        <v>6225834</v>
      </c>
      <c r="AI116" s="258" t="n">
        <v>8297919</v>
      </c>
      <c r="AJ116" s="258" t="n">
        <v>8807375</v>
      </c>
    </row>
    <row r="117">
      <c r="G117" t="inlineStr">
        <is>
          <t>moeda</t>
        </is>
      </c>
      <c r="H117" t="inlineStr">
        <is>
          <t>NÃO CIRCULANTE / NON CURRENT (l.26)</t>
        </is>
      </c>
      <c r="J117" t="inlineStr">
        <is>
          <t>memoria</t>
        </is>
      </c>
      <c r="K117" s="258" t="n">
        <v>14952515</v>
      </c>
      <c r="L117" s="258" t="n">
        <v>15713153</v>
      </c>
      <c r="M117" s="258" t="n">
        <v>16769395</v>
      </c>
      <c r="N117" s="258" t="n">
        <v>18492116</v>
      </c>
      <c r="O117" s="258" t="n">
        <v>19509671</v>
      </c>
      <c r="P117" s="258" t="n">
        <v>20178150</v>
      </c>
      <c r="Q117" s="258" t="n">
        <v>20728421</v>
      </c>
      <c r="R117" s="258" t="n">
        <v>21345775</v>
      </c>
      <c r="S117" s="258" t="n">
        <v>22060524</v>
      </c>
      <c r="T117" s="258" t="n">
        <v>22289847</v>
      </c>
      <c r="U117" s="258" t="n">
        <v>22359864</v>
      </c>
      <c r="V117" s="258" t="n">
        <v>22560314</v>
      </c>
      <c r="W117" s="258" t="n">
        <v>23014769</v>
      </c>
      <c r="X117" s="258" t="n">
        <v>22882045</v>
      </c>
      <c r="Y117" s="258" t="n">
        <v>22890367</v>
      </c>
      <c r="Z117" s="258" t="n">
        <v>23016440</v>
      </c>
      <c r="AA117" s="258" t="n">
        <v>23306748</v>
      </c>
      <c r="AB117" s="258" t="n">
        <v>23687501</v>
      </c>
      <c r="AC117" s="258" t="n">
        <v>23827339</v>
      </c>
      <c r="AD117" s="258" t="n">
        <v>24444897</v>
      </c>
      <c r="AE117" s="258" t="n">
        <v>24760198</v>
      </c>
      <c r="AF117" s="258" t="n">
        <v>24652051</v>
      </c>
      <c r="AG117" s="258" t="n">
        <v>25390609</v>
      </c>
      <c r="AH117" s="258" t="n">
        <v>25888482</v>
      </c>
      <c r="AI117" s="258" t="n">
        <v>26043883</v>
      </c>
      <c r="AJ117" s="258" t="n">
        <v>26641716</v>
      </c>
    </row>
    <row r="118">
      <c r="G118" t="inlineStr">
        <is>
          <t>moeda</t>
        </is>
      </c>
      <c r="H118" t="inlineStr">
        <is>
          <t>ATIVO TOTAL / TOTAL ASSETS (l.44)</t>
        </is>
      </c>
      <c r="J118" t="inlineStr">
        <is>
          <t>memoria</t>
        </is>
      </c>
      <c r="K118" s="258" t="n">
        <v>19920480</v>
      </c>
      <c r="L118" s="258" t="n">
        <v>20001628</v>
      </c>
      <c r="M118" s="258" t="n">
        <v>20829411</v>
      </c>
      <c r="N118" s="258" t="n">
        <v>22576510</v>
      </c>
      <c r="O118" s="258" t="n">
        <v>23533967</v>
      </c>
      <c r="P118" s="258" t="n">
        <v>24087847</v>
      </c>
      <c r="Q118" s="258" t="n">
        <v>24502260</v>
      </c>
      <c r="R118" s="258" t="n">
        <v>25746452</v>
      </c>
      <c r="S118" s="258" t="n">
        <v>26561051</v>
      </c>
      <c r="T118" s="258" t="n">
        <v>27196461</v>
      </c>
      <c r="U118" s="258" t="n">
        <v>27384160</v>
      </c>
      <c r="V118" s="258" t="n">
        <v>27933759</v>
      </c>
      <c r="W118" s="258" t="n">
        <v>28614717</v>
      </c>
      <c r="X118" s="258" t="n">
        <v>28111995</v>
      </c>
      <c r="Y118" s="258" t="n">
        <v>28272649</v>
      </c>
      <c r="Z118" s="258" t="n">
        <v>28436081</v>
      </c>
      <c r="AA118" s="258" t="n">
        <v>28895903</v>
      </c>
      <c r="AB118" s="258" t="n">
        <v>30088771</v>
      </c>
      <c r="AC118" s="258" t="n">
        <v>30002997</v>
      </c>
      <c r="AD118" s="258" t="n">
        <v>30689036</v>
      </c>
      <c r="AE118" s="258" t="n">
        <v>31173683</v>
      </c>
      <c r="AF118" s="258" t="n">
        <v>31208599</v>
      </c>
      <c r="AG118" s="258" t="n">
        <v>31477777</v>
      </c>
      <c r="AH118" s="258" t="n">
        <v>32114316</v>
      </c>
      <c r="AI118" s="258" t="n">
        <v>34341802</v>
      </c>
      <c r="AJ118" s="258" t="n">
        <v>35449091</v>
      </c>
    </row>
    <row r="119">
      <c r="G119" t="inlineStr">
        <is>
          <t>moeda</t>
        </is>
      </c>
      <c r="H119" t="inlineStr">
        <is>
          <t>CIRCULANTE / CURRENT (l.47)</t>
        </is>
      </c>
      <c r="J119" t="inlineStr">
        <is>
          <t>memoria</t>
        </is>
      </c>
      <c r="K119" s="258" t="n">
        <v>2048578</v>
      </c>
      <c r="L119" s="258" t="n">
        <v>1977844</v>
      </c>
      <c r="M119" s="258" t="n">
        <v>1932509</v>
      </c>
      <c r="N119" s="258" t="n">
        <v>2290155</v>
      </c>
      <c r="O119" s="258" t="n">
        <v>2359359</v>
      </c>
      <c r="P119" s="258" t="n">
        <v>2219852</v>
      </c>
      <c r="Q119" s="258" t="n">
        <v>2037251</v>
      </c>
      <c r="R119" s="258" t="n">
        <v>2113639</v>
      </c>
      <c r="S119" s="258" t="n">
        <v>2522328</v>
      </c>
      <c r="T119" s="258" t="n">
        <v>1796435</v>
      </c>
      <c r="U119" s="258" t="n">
        <v>1759471</v>
      </c>
      <c r="V119" s="258" t="n">
        <v>2558195</v>
      </c>
      <c r="W119" s="258" t="n">
        <v>2610544</v>
      </c>
      <c r="X119" s="258" t="n">
        <v>2141952</v>
      </c>
      <c r="Y119" s="258" t="n">
        <v>2842201</v>
      </c>
      <c r="Z119" s="258" t="n">
        <v>3248718</v>
      </c>
      <c r="AA119" s="258" t="n">
        <v>3340417</v>
      </c>
      <c r="AB119" s="258" t="n">
        <v>4017639</v>
      </c>
      <c r="AC119" s="258" t="n">
        <v>3261977</v>
      </c>
      <c r="AD119" s="258" t="n">
        <v>3053989</v>
      </c>
      <c r="AE119" s="258" t="n">
        <v>2985321</v>
      </c>
      <c r="AF119" s="258" t="n">
        <v>3075042</v>
      </c>
      <c r="AG119" s="258" t="n">
        <v>2390073</v>
      </c>
      <c r="AH119" s="258" t="n">
        <v>2544363</v>
      </c>
      <c r="AI119" s="258" t="n">
        <v>2517608</v>
      </c>
      <c r="AJ119" s="258" t="n">
        <v>2774564</v>
      </c>
    </row>
    <row r="120">
      <c r="G120" t="inlineStr">
        <is>
          <t>moeda</t>
        </is>
      </c>
      <c r="H120" t="inlineStr">
        <is>
          <t>NÃO CIRCULANTE / NON CURRENT (l.65)</t>
        </is>
      </c>
      <c r="J120" t="inlineStr">
        <is>
          <t>memoria</t>
        </is>
      </c>
      <c r="K120" s="258" t="n">
        <v>10050413</v>
      </c>
      <c r="L120" s="258" t="n">
        <v>10016658</v>
      </c>
      <c r="M120" s="258" t="n">
        <v>10490629</v>
      </c>
      <c r="N120" s="258" t="n">
        <v>11341675</v>
      </c>
      <c r="O120" s="258" t="n">
        <v>11564077</v>
      </c>
      <c r="P120" s="258" t="n">
        <v>11882226</v>
      </c>
      <c r="Q120" s="258" t="n">
        <v>12179844</v>
      </c>
      <c r="R120" s="258" t="n">
        <v>13270654</v>
      </c>
      <c r="S120" s="258" t="n">
        <v>13305181</v>
      </c>
      <c r="T120" s="258" t="n">
        <v>14522609</v>
      </c>
      <c r="U120" s="258" t="n">
        <v>14959749</v>
      </c>
      <c r="V120" s="258" t="n">
        <v>15003945</v>
      </c>
      <c r="W120" s="258" t="n">
        <v>15261022</v>
      </c>
      <c r="X120" s="258" t="n">
        <v>15120744</v>
      </c>
      <c r="Y120" s="258" t="n">
        <v>1777277</v>
      </c>
      <c r="Z120" s="258" t="n">
        <v>14558573</v>
      </c>
      <c r="AA120" s="258" t="n">
        <v>14509834</v>
      </c>
      <c r="AB120" s="258" t="n">
        <v>14808364</v>
      </c>
      <c r="AC120" s="258" t="n">
        <v>14931602</v>
      </c>
      <c r="AD120" s="258" t="n">
        <v>15911544</v>
      </c>
      <c r="AE120" s="258" t="n">
        <v>16005114</v>
      </c>
      <c r="AF120" s="258" t="n">
        <v>16206247</v>
      </c>
      <c r="AG120" s="258" t="n">
        <v>16727432</v>
      </c>
      <c r="AH120" s="258" t="n">
        <v>16993439</v>
      </c>
      <c r="AI120" s="258" t="n">
        <v>18994336</v>
      </c>
      <c r="AJ120" s="258" t="n">
        <v>19295645</v>
      </c>
    </row>
    <row r="121">
      <c r="G121" t="inlineStr">
        <is>
          <t>moeda</t>
        </is>
      </c>
      <c r="H121" t="inlineStr">
        <is>
          <t>Patrimônio líquido + participação de acionistas Não-Controladores / Equity + non-controlling interest (l.96)</t>
        </is>
      </c>
      <c r="J121" t="inlineStr">
        <is>
          <t>memoria</t>
        </is>
      </c>
      <c r="K121" s="258" t="n">
        <v>7821489</v>
      </c>
      <c r="L121" s="258" t="n">
        <v>8007126</v>
      </c>
      <c r="M121" s="258" t="n">
        <v>8406273</v>
      </c>
      <c r="N121" s="258" t="n">
        <v>8944680</v>
      </c>
      <c r="O121" s="258" t="n">
        <v>9610531</v>
      </c>
      <c r="P121" s="258" t="n">
        <v>9985769</v>
      </c>
      <c r="Q121" s="258" t="n">
        <v>10285165</v>
      </c>
      <c r="R121" s="258" t="n">
        <v>10362159</v>
      </c>
      <c r="S121" s="258" t="n">
        <v>10733542</v>
      </c>
      <c r="T121" s="258" t="n">
        <v>10877417</v>
      </c>
      <c r="U121" s="258" t="n">
        <v>10664940</v>
      </c>
      <c r="V121" s="258" t="n">
        <v>10371619</v>
      </c>
      <c r="W121" s="258" t="n">
        <v>10743151</v>
      </c>
      <c r="X121" s="258" t="n">
        <v>10849299</v>
      </c>
      <c r="Y121" s="258" t="n">
        <v>10861978</v>
      </c>
      <c r="Z121" s="258" t="n">
        <v>10628790</v>
      </c>
      <c r="AA121" s="258" t="n">
        <v>11045652</v>
      </c>
      <c r="AB121" s="258" t="n">
        <v>11262768</v>
      </c>
      <c r="AC121" s="258" t="n">
        <v>11809418</v>
      </c>
      <c r="AD121" s="258" t="n">
        <v>11723503</v>
      </c>
      <c r="AE121" s="258" t="n">
        <v>12183248</v>
      </c>
      <c r="AF121" s="258" t="n">
        <v>11927310</v>
      </c>
      <c r="AG121" s="258" t="n">
        <v>12360272</v>
      </c>
      <c r="AH121" s="258" t="n">
        <v>12576514</v>
      </c>
      <c r="AI121" s="258" t="n">
        <v>12829858</v>
      </c>
      <c r="AJ121" s="258" t="n">
        <v>13378882</v>
      </c>
    </row>
    <row r="122">
      <c r="G122" t="inlineStr">
        <is>
          <t>moeda</t>
        </is>
      </c>
      <c r="H122" t="inlineStr">
        <is>
          <t>PASSIVO TOTAL / TOTAL LIABILITIES AND EQUITY (l.98)</t>
        </is>
      </c>
      <c r="J122" t="inlineStr">
        <is>
          <t>memoria</t>
        </is>
      </c>
      <c r="K122" s="258" t="n">
        <v>19920480</v>
      </c>
      <c r="L122" s="258" t="n">
        <v>20001628</v>
      </c>
      <c r="M122" s="258" t="n">
        <v>20829411</v>
      </c>
      <c r="N122" s="258" t="n">
        <v>22576510</v>
      </c>
      <c r="O122" s="258" t="n">
        <v>23533967</v>
      </c>
      <c r="P122" s="258" t="n">
        <v>24087847</v>
      </c>
      <c r="Q122" s="258" t="n">
        <v>24502260</v>
      </c>
      <c r="R122" s="258" t="n">
        <v>25746452</v>
      </c>
      <c r="S122" s="258" t="n">
        <v>26561051</v>
      </c>
      <c r="T122" s="258" t="n">
        <v>27196461</v>
      </c>
      <c r="U122" s="258" t="n">
        <v>27384160</v>
      </c>
      <c r="V122" s="258" t="n">
        <v>27933759</v>
      </c>
      <c r="W122" s="258" t="n">
        <v>28614717</v>
      </c>
      <c r="X122" s="258" t="n">
        <v>28111995</v>
      </c>
      <c r="Y122" s="258" t="n">
        <v>28272649</v>
      </c>
      <c r="Z122" s="258" t="n">
        <v>28436081</v>
      </c>
      <c r="AA122" s="258" t="n">
        <v>28895903</v>
      </c>
      <c r="AB122" s="258" t="n">
        <v>30088771</v>
      </c>
      <c r="AC122" s="258" t="n">
        <v>30002997</v>
      </c>
      <c r="AD122" s="258" t="n">
        <v>30689036</v>
      </c>
      <c r="AE122" s="258" t="n">
        <v>31173683</v>
      </c>
      <c r="AF122" s="258" t="n">
        <v>31208599</v>
      </c>
      <c r="AG122" s="258" t="n">
        <v>31477777</v>
      </c>
      <c r="AH122" s="258" t="n">
        <v>32114316</v>
      </c>
      <c r="AI122" s="258" t="n">
        <v>34341802</v>
      </c>
      <c r="AJ122" s="258" t="n">
        <v>35449091</v>
      </c>
    </row>
    <row r="123">
      <c r="H123" s="254" t="inlineStr">
        <is>
          <t>CHECKS (devem ser 0)</t>
        </is>
      </c>
    </row>
    <row r="124">
      <c r="G124" t="inlineStr">
        <is>
          <t>moeda</t>
        </is>
      </c>
      <c r="H124" t="inlineStr">
        <is>
          <t>CHECK: linhas codificadas 1-9 da DRE - lucro liquido Alupar (atribuivel)</t>
        </is>
      </c>
      <c r="J124" t="inlineStr">
        <is>
          <t>derivada</t>
        </is>
      </c>
      <c r="K124" s="258">
        <f>K6+K7+K8+K9+K10+K11+K12+K13+K14+K15+K16+K17+K18+K19+K20+K21+K22+K23+K24+K25+K26+K27+K28+K29+K30+K31-K40</f>
        <v>0</v>
      </c>
      <c r="L124" s="258">
        <f>L6+L7+L8+L9+L10+L11+L12+L13+L14+L15+L16+L17+L18+L19+L20+L21+L22+L23+L24+L25+L26+L27+L28+L29+L30+L31-L40</f>
        <v>0</v>
      </c>
      <c r="M124" s="258">
        <f>M6+M7+M8+M9+M10+M11+M12+M13+M14+M15+M16+M17+M18+M19+M20+M21+M22+M23+M24+M25+M26+M27+M28+M29+M30+M31-M40</f>
        <v>0</v>
      </c>
      <c r="N124" s="258">
        <f>N6+N7+N8+N9+N10+N11+N12+N13+N14+N15+N16+N17+N18+N19+N20+N21+N22+N23+N24+N25+N26+N27+N28+N29+N30+N31-N40</f>
        <v>0</v>
      </c>
      <c r="O124" s="258">
        <f>O6+O7+O8+O9+O10+O11+O12+O13+O14+O15+O16+O17+O18+O19+O20+O21+O22+O23+O24+O25+O26+O27+O28+O29+O30+O31-O40</f>
        <v>0</v>
      </c>
      <c r="P124" s="258">
        <f>P6+P7+P8+P9+P10+P11+P12+P13+P14+P15+P16+P17+P18+P19+P20+P21+P22+P23+P24+P25+P26+P27+P28+P29+P30+P31-P40</f>
        <v>0</v>
      </c>
      <c r="Q124" s="258">
        <f>Q6+Q7+Q8+Q9+Q10+Q11+Q12+Q13+Q14+Q15+Q16+Q17+Q18+Q19+Q20+Q21+Q22+Q23+Q24+Q25+Q26+Q27+Q28+Q29+Q30+Q31-Q40</f>
        <v>0</v>
      </c>
      <c r="R124" s="258">
        <f>R6+R7+R8+R9+R10+R11+R12+R13+R14+R15+R16+R17+R18+R19+R20+R21+R22+R23+R24+R25+R26+R27+R28+R29+R30+R31-R40</f>
        <v>0</v>
      </c>
      <c r="S124" s="258">
        <f>S6+S7+S8+S9+S10+S11+S12+S13+S14+S15+S16+S17+S18+S19+S20+S21+S22+S23+S24+S25+S26+S27+S28+S29+S30+S31-S40</f>
        <v>0</v>
      </c>
      <c r="T124" s="258">
        <f>T6+T7+T8+T9+T10+T11+T12+T13+T14+T15+T16+T17+T18+T19+T20+T21+T22+T23+T24+T25+T26+T27+T28+T29+T30+T31-T40</f>
        <v>0</v>
      </c>
      <c r="U124" s="258">
        <f>U6+U7+U8+U9+U10+U11+U12+U13+U14+U15+U16+U17+U18+U19+U20+U21+U22+U23+U24+U25+U26+U27+U28+U29+U30+U31-U40</f>
        <v>0</v>
      </c>
      <c r="V124" s="258">
        <f>V6+V7+V8+V9+V10+V11+V12+V13+V14+V15+V16+V17+V18+V19+V20+V21+V22+V23+V24+V25+V26+V27+V28+V29+V30+V31-V40</f>
        <v>0</v>
      </c>
      <c r="W124" s="258">
        <f>W6+W7+W8+W9+W10+W11+W12+W13+W14+W15+W16+W17+W18+W19+W20+W21+W22+W23+W24+W25+W26+W27+W28+W29+W30+W31-W40</f>
        <v>0</v>
      </c>
      <c r="X124" s="258">
        <f>X6+X7+X8+X9+X10+X11+X12+X13+X14+X15+X16+X17+X18+X19+X20+X21+X22+X23+X24+X25+X26+X27+X28+X29+X30+X31-X40</f>
        <v>0</v>
      </c>
      <c r="Y124" s="258">
        <f>Y6+Y7+Y8+Y9+Y10+Y11+Y12+Y13+Y14+Y15+Y16+Y17+Y18+Y19+Y20+Y21+Y22+Y23+Y24+Y25+Y26+Y27+Y28+Y29+Y30+Y31-Y40</f>
        <v>0</v>
      </c>
      <c r="Z124" s="258">
        <f>Z6+Z7+Z8+Z9+Z10+Z11+Z12+Z13+Z14+Z15+Z16+Z17+Z18+Z19+Z20+Z21+Z22+Z23+Z24+Z25+Z26+Z27+Z28+Z29+Z30+Z31-Z40</f>
        <v>0</v>
      </c>
      <c r="AA124" s="258">
        <f>AA6+AA7+AA8+AA9+AA10+AA11+AA12+AA13+AA14+AA15+AA16+AA17+AA18+AA19+AA20+AA21+AA22+AA23+AA24+AA25+AA26+AA27+AA28+AA29+AA30+AA31-AA40</f>
        <v>0</v>
      </c>
      <c r="AB124" s="258">
        <f>AB6+AB7+AB8+AB9+AB10+AB11+AB12+AB13+AB14+AB15+AB16+AB17+AB18+AB19+AB20+AB21+AB22+AB23+AB24+AB25+AB26+AB27+AB28+AB29+AB30+AB31-AB40</f>
        <v>0</v>
      </c>
      <c r="AC124" s="258">
        <f>AC6+AC7+AC8+AC9+AC10+AC11+AC12+AC13+AC14+AC15+AC16+AC17+AC18+AC19+AC20+AC21+AC22+AC23+AC24+AC25+AC26+AC27+AC28+AC29+AC30+AC31-AC40</f>
        <v>0</v>
      </c>
      <c r="AD124" s="258">
        <f>AD6+AD7+AD8+AD9+AD10+AD11+AD12+AD13+AD14+AD15+AD16+AD17+AD18+AD19+AD20+AD21+AD22+AD23+AD24+AD25+AD26+AD27+AD28+AD29+AD30+AD31-AD40</f>
        <v>0</v>
      </c>
      <c r="AE124" s="258">
        <f>AE6+AE7+AE8+AE9+AE10+AE11+AE12+AE13+AE14+AE15+AE16+AE17+AE18+AE19+AE20+AE21+AE22+AE23+AE24+AE25+AE26+AE27+AE28+AE29+AE30+AE31-AE40</f>
        <v>0</v>
      </c>
      <c r="AF124" s="258">
        <f>AF6+AF7+AF8+AF9+AF10+AF11+AF12+AF13+AF14+AF15+AF16+AF17+AF18+AF19+AF20+AF21+AF22+AF23+AF24+AF25+AF26+AF27+AF28+AF29+AF30+AF31-AF40</f>
        <v>0</v>
      </c>
      <c r="AG124" s="258">
        <f>AG6+AG7+AG8+AG9+AG10+AG11+AG12+AG13+AG14+AG15+AG16+AG17+AG18+AG19+AG20+AG21+AG22+AG23+AG24+AG25+AG26+AG27+AG28+AG29+AG30+AG31-AG40</f>
        <v>0</v>
      </c>
      <c r="AH124" s="258">
        <f>AH6+AH7+AH8+AH9+AH10+AH11+AH12+AH13+AH14+AH15+AH16+AH17+AH18+AH19+AH20+AH21+AH22+AH23+AH24+AH25+AH26+AH27+AH28+AH29+AH30+AH31-AH40</f>
        <v>0</v>
      </c>
      <c r="AI124" s="258">
        <f>AI6+AI7+AI8+AI9+AI10+AI11+AI12+AI13+AI14+AI15+AI16+AI17+AI18+AI19+AI20+AI21+AI22+AI23+AI24+AI25+AI26+AI27+AI28+AI29+AI30+AI31-AI40</f>
        <v>0</v>
      </c>
      <c r="AJ124" s="258">
        <f>AJ6+AJ7+AJ8+AJ9+AJ10+AJ11+AJ12+AJ13+AJ14+AJ15+AJ16+AJ17+AJ18+AJ19+AJ20+AJ21+AJ22+AJ23+AJ24+AJ25+AJ26+AJ27+AJ28+AJ29+AJ30+AJ31-AJ40</f>
        <v>0</v>
      </c>
    </row>
    <row r="125">
      <c r="G125" t="inlineStr">
        <is>
          <t>moeda</t>
        </is>
      </c>
      <c r="H125" t="inlineStr">
        <is>
          <t>CHECK: ativo (cod 11-22) - ativo total</t>
        </is>
      </c>
      <c r="J125" t="inlineStr">
        <is>
          <t>derivada</t>
        </is>
      </c>
      <c r="K125" s="258">
        <f>K42+K43+K44+K45+K46+K47+K48+K49+K50+K51+K52+K53+K54+K55+K56+K57+K58+K59+K60+K61+K62+K63+K64+K65+K66+K67+K68+K69+K70+K71+K72-K118</f>
        <v>0</v>
      </c>
      <c r="L125" s="258">
        <f>L42+L43+L44+L45+L46+L47+L48+L49+L50+L51+L52+L53+L54+L55+L56+L57+L58+L59+L60+L61+L62+L63+L64+L65+L66+L67+L68+L69+L70+L71+L72-L118</f>
        <v>0</v>
      </c>
      <c r="M125" s="258">
        <f>M42+M43+M44+M45+M46+M47+M48+M49+M50+M51+M52+M53+M54+M55+M56+M57+M58+M59+M60+M61+M62+M63+M64+M65+M66+M67+M68+M69+M70+M71+M72-M118</f>
        <v>0</v>
      </c>
      <c r="N125" s="258">
        <f>N42+N43+N44+N45+N46+N47+N48+N49+N50+N51+N52+N53+N54+N55+N56+N57+N58+N59+N60+N61+N62+N63+N64+N65+N66+N67+N68+N69+N70+N71+N72-N118</f>
        <v>0</v>
      </c>
      <c r="O125" s="258">
        <f>O42+O43+O44+O45+O46+O47+O48+O49+O50+O51+O52+O53+O54+O55+O56+O57+O58+O59+O60+O61+O62+O63+O64+O65+O66+O67+O68+O69+O70+O71+O72-O118</f>
        <v>0</v>
      </c>
      <c r="P125" s="258">
        <f>P42+P43+P44+P45+P46+P47+P48+P49+P50+P51+P52+P53+P54+P55+P56+P57+P58+P59+P60+P61+P62+P63+P64+P65+P66+P67+P68+P69+P70+P71+P72-P118</f>
        <v>0</v>
      </c>
      <c r="Q125" s="258">
        <f>Q42+Q43+Q44+Q45+Q46+Q47+Q48+Q49+Q50+Q51+Q52+Q53+Q54+Q55+Q56+Q57+Q58+Q59+Q60+Q61+Q62+Q63+Q64+Q65+Q66+Q67+Q68+Q69+Q70+Q71+Q72-Q118</f>
        <v>0</v>
      </c>
      <c r="R125" s="258">
        <f>R42+R43+R44+R45+R46+R47+R48+R49+R50+R51+R52+R53+R54+R55+R56+R57+R58+R59+R60+R61+R62+R63+R64+R65+R66+R67+R68+R69+R70+R71+R72-R118</f>
        <v>0</v>
      </c>
      <c r="S125" s="258">
        <f>S42+S43+S44+S45+S46+S47+S48+S49+S50+S51+S52+S53+S54+S55+S56+S57+S58+S59+S60+S61+S62+S63+S64+S65+S66+S67+S68+S69+S70+S71+S72-S118</f>
        <v>0</v>
      </c>
      <c r="T125" s="258">
        <f>T42+T43+T44+T45+T46+T47+T48+T49+T50+T51+T52+T53+T54+T55+T56+T57+T58+T59+T60+T61+T62+T63+T64+T65+T66+T67+T68+T69+T70+T71+T72-T118</f>
        <v>0</v>
      </c>
      <c r="U125" s="258">
        <f>U42+U43+U44+U45+U46+U47+U48+U49+U50+U51+U52+U53+U54+U55+U56+U57+U58+U59+U60+U61+U62+U63+U64+U65+U66+U67+U68+U69+U70+U71+U72-U118</f>
        <v>0</v>
      </c>
      <c r="V125" s="258">
        <f>V42+V43+V44+V45+V46+V47+V48+V49+V50+V51+V52+V53+V54+V55+V56+V57+V58+V59+V60+V61+V62+V63+V64+V65+V66+V67+V68+V69+V70+V71+V72-V118</f>
        <v>0</v>
      </c>
      <c r="W125" s="258">
        <f>W42+W43+W44+W45+W46+W47+W48+W49+W50+W51+W52+W53+W54+W55+W56+W57+W58+W59+W60+W61+W62+W63+W64+W65+W66+W67+W68+W69+W70+W71+W72-W118</f>
        <v>0</v>
      </c>
      <c r="X125" s="258">
        <f>X42+X43+X44+X45+X46+X47+X48+X49+X50+X51+X52+X53+X54+X55+X56+X57+X58+X59+X60+X61+X62+X63+X64+X65+X66+X67+X68+X69+X70+X71+X72-X118</f>
        <v>0</v>
      </c>
      <c r="Y125" s="258">
        <f>Y42+Y43+Y44+Y45+Y46+Y47+Y48+Y49+Y50+Y51+Y52+Y53+Y54+Y55+Y56+Y57+Y58+Y59+Y60+Y61+Y62+Y63+Y64+Y65+Y66+Y67+Y68+Y69+Y70+Y71+Y72-Y118</f>
        <v>0</v>
      </c>
      <c r="Z125" s="258">
        <f>Z42+Z43+Z44+Z45+Z46+Z47+Z48+Z49+Z50+Z51+Z52+Z53+Z54+Z55+Z56+Z57+Z58+Z59+Z60+Z61+Z62+Z63+Z64+Z65+Z66+Z67+Z68+Z69+Z70+Z71+Z72-Z118</f>
        <v>0</v>
      </c>
      <c r="AA125" s="258">
        <f>AA42+AA43+AA44+AA45+AA46+AA47+AA48+AA49+AA50+AA51+AA52+AA53+AA54+AA55+AA56+AA57+AA58+AA59+AA60+AA61+AA62+AA63+AA64+AA65+AA66+AA67+AA68+AA69+AA70+AA71+AA72-AA118</f>
        <v>0</v>
      </c>
      <c r="AB125" s="258">
        <f>AB42+AB43+AB44+AB45+AB46+AB47+AB48+AB49+AB50+AB51+AB52+AB53+AB54+AB55+AB56+AB57+AB58+AB59+AB60+AB61+AB62+AB63+AB64+AB65+AB66+AB67+AB68+AB69+AB70+AB71+AB72-AB118</f>
        <v>0</v>
      </c>
      <c r="AC125" s="258">
        <f>AC42+AC43+AC44+AC45+AC46+AC47+AC48+AC49+AC50+AC51+AC52+AC53+AC54+AC55+AC56+AC57+AC58+AC59+AC60+AC61+AC62+AC63+AC64+AC65+AC66+AC67+AC68+AC69+AC70+AC71+AC72-AC118</f>
        <v>0</v>
      </c>
      <c r="AD125" s="258">
        <f>AD42+AD43+AD44+AD45+AD46+AD47+AD48+AD49+AD50+AD51+AD52+AD53+AD54+AD55+AD56+AD57+AD58+AD59+AD60+AD61+AD62+AD63+AD64+AD65+AD66+AD67+AD68+AD69+AD70+AD71+AD72-AD118</f>
        <v>0</v>
      </c>
      <c r="AE125" s="258">
        <f>AE42+AE43+AE44+AE45+AE46+AE47+AE48+AE49+AE50+AE51+AE52+AE53+AE54+AE55+AE56+AE57+AE58+AE59+AE60+AE61+AE62+AE63+AE64+AE65+AE66+AE67+AE68+AE69+AE70+AE71+AE72-AE118</f>
        <v>0</v>
      </c>
      <c r="AF125" s="258">
        <f>AF42+AF43+AF44+AF45+AF46+AF47+AF48+AF49+AF50+AF51+AF52+AF53+AF54+AF55+AF56+AF57+AF58+AF59+AF60+AF61+AF62+AF63+AF64+AF65+AF66+AF67+AF68+AF69+AF70+AF71+AF72-AF118</f>
        <v>0</v>
      </c>
      <c r="AG125" s="258">
        <f>AG42+AG43+AG44+AG45+AG46+AG47+AG48+AG49+AG50+AG51+AG52+AG53+AG54+AG55+AG56+AG57+AG58+AG59+AG60+AG61+AG62+AG63+AG64+AG65+AG66+AG67+AG68+AG69+AG70+AG71+AG72-AG118</f>
        <v>0</v>
      </c>
      <c r="AH125" s="258">
        <f>AH42+AH43+AH44+AH45+AH46+AH47+AH48+AH49+AH50+AH51+AH52+AH53+AH54+AH55+AH56+AH57+AH58+AH59+AH60+AH61+AH62+AH63+AH64+AH65+AH66+AH67+AH68+AH69+AH70+AH71+AH72-AH118</f>
        <v>0</v>
      </c>
      <c r="AI125" s="258">
        <f>AI42+AI43+AI44+AI45+AI46+AI47+AI48+AI49+AI50+AI51+AI52+AI53+AI54+AI55+AI56+AI57+AI58+AI59+AI60+AI61+AI62+AI63+AI64+AI65+AI66+AI67+AI68+AI69+AI70+AI71+AI72-AI118</f>
        <v>0</v>
      </c>
      <c r="AJ125" s="258">
        <f>AJ42+AJ43+AJ44+AJ45+AJ46+AJ47+AJ48+AJ49+AJ50+AJ51+AJ52+AJ53+AJ54+AJ55+AJ56+AJ57+AJ58+AJ59+AJ60+AJ61+AJ62+AJ63+AJ64+AJ65+AJ66+AJ67+AJ68+AJ69+AJ70+AJ71+AJ72-AJ118</f>
        <v>0</v>
      </c>
    </row>
    <row r="126">
      <c r="G126" t="inlineStr">
        <is>
          <t>moeda</t>
        </is>
      </c>
      <c r="H126" t="inlineStr">
        <is>
          <t>CHECK: passivo (cod 23-34) + PL (cod 35-41) - passivo total</t>
        </is>
      </c>
      <c r="J126" t="inlineStr">
        <is>
          <t>derivada</t>
        </is>
      </c>
      <c r="K126" s="258">
        <f>K73+K74+K75+K76+K77+K78+K79+K80+K81+K82+K83+K84+K85+K86+K87+K88+K89+K90+K91+K92+K93+K94+K95+K96+K97+K98+K99+K100+K101+K102+K103+K104+K105+K106+K107+K108+K109+K110+K111+K112+K113+K114-K122</f>
        <v>0</v>
      </c>
      <c r="L126" s="258">
        <f>L73+L74+L75+L76+L77+L78+L79+L80+L81+L82+L83+L84+L85+L86+L87+L88+L89+L90+L91+L92+L93+L94+L95+L96+L97+L98+L99+L100+L101+L102+L103+L104+L105+L106+L107+L108+L109+L110+L111+L112+L113+L114-L122</f>
        <v>0</v>
      </c>
      <c r="M126" s="258">
        <f>M73+M74+M75+M76+M77+M78+M79+M80+M81+M82+M83+M84+M85+M86+M87+M88+M89+M90+M91+M92+M93+M94+M95+M96+M97+M98+M99+M100+M101+M102+M103+M104+M105+M106+M107+M108+M109+M110+M111+M112+M113+M114-M122</f>
        <v>0</v>
      </c>
      <c r="N126" s="258">
        <f>N73+N74+N75+N76+N77+N78+N79+N80+N81+N82+N83+N84+N85+N86+N87+N88+N89+N90+N91+N92+N93+N94+N95+N96+N97+N98+N99+N100+N101+N102+N103+N104+N105+N106+N107+N108+N109+N110+N111+N112+N113+N114-N122</f>
        <v>0</v>
      </c>
      <c r="O126" s="258">
        <f>O73+O74+O75+O76+O77+O78+O79+O80+O81+O82+O83+O84+O85+O86+O87+O88+O89+O90+O91+O92+O93+O94+O95+O96+O97+O98+O99+O100+O101+O102+O103+O104+O105+O106+O107+O108+O109+O110+O111+O112+O113+O114-O122</f>
        <v>0</v>
      </c>
      <c r="P126" s="258">
        <f>P73+P74+P75+P76+P77+P78+P79+P80+P81+P82+P83+P84+P85+P86+P87+P88+P89+P90+P91+P92+P93+P94+P95+P96+P97+P98+P99+P100+P101+P102+P103+P104+P105+P106+P107+P108+P109+P110+P111+P112+P113+P114-P122</f>
        <v>0</v>
      </c>
      <c r="Q126" s="258">
        <f>Q73+Q74+Q75+Q76+Q77+Q78+Q79+Q80+Q81+Q82+Q83+Q84+Q85+Q86+Q87+Q88+Q89+Q90+Q91+Q92+Q93+Q94+Q95+Q96+Q97+Q98+Q99+Q100+Q101+Q102+Q103+Q104+Q105+Q106+Q107+Q108+Q109+Q110+Q111+Q112+Q113+Q114-Q122</f>
        <v>0</v>
      </c>
      <c r="R126" s="258">
        <f>R73+R74+R75+R76+R77+R78+R79+R80+R81+R82+R83+R84+R85+R86+R87+R88+R89+R90+R91+R92+R93+R94+R95+R96+R97+R98+R99+R100+R101+R102+R103+R104+R105+R106+R107+R108+R109+R110+R111+R112+R113+R114-R122</f>
        <v>0</v>
      </c>
      <c r="S126" s="258">
        <f>S73+S74+S75+S76+S77+S78+S79+S80+S81+S82+S83+S84+S85+S86+S87+S88+S89+S90+S91+S92+S93+S94+S95+S96+S97+S98+S99+S100+S101+S102+S103+S104+S105+S106+S107+S108+S109+S110+S111+S112+S113+S114-S122</f>
        <v>0</v>
      </c>
      <c r="T126" s="258">
        <f>T73+T74+T75+T76+T77+T78+T79+T80+T81+T82+T83+T84+T85+T86+T87+T88+T89+T90+T91+T92+T93+T94+T95+T96+T97+T98+T99+T100+T101+T102+T103+T104+T105+T106+T107+T108+T109+T110+T111+T112+T113+T114-T122</f>
        <v>0</v>
      </c>
      <c r="U126" s="258">
        <f>U73+U74+U75+U76+U77+U78+U79+U80+U81+U82+U83+U84+U85+U86+U87+U88+U89+U90+U91+U92+U93+U94+U95+U96+U97+U98+U99+U100+U101+U102+U103+U104+U105+U106+U107+U108+U109+U110+U111+U112+U113+U114-U122</f>
        <v>0</v>
      </c>
      <c r="V126" s="258">
        <f>V73+V74+V75+V76+V77+V78+V79+V80+V81+V82+V83+V84+V85+V86+V87+V88+V89+V90+V91+V92+V93+V94+V95+V96+V97+V98+V99+V100+V101+V102+V103+V104+V105+V106+V107+V108+V109+V110+V111+V112+V113+V114-V122</f>
        <v>0</v>
      </c>
      <c r="W126" s="258">
        <f>W73+W74+W75+W76+W77+W78+W79+W80+W81+W82+W83+W84+W85+W86+W87+W88+W89+W90+W91+W92+W93+W94+W95+W96+W97+W98+W99+W100+W101+W102+W103+W104+W105+W106+W107+W108+W109+W110+W111+W112+W113+W114-W122</f>
        <v>0</v>
      </c>
      <c r="X126" s="258">
        <f>X73+X74+X75+X76+X77+X78+X79+X80+X81+X82+X83+X84+X85+X86+X87+X88+X89+X90+X91+X92+X93+X94+X95+X96+X97+X98+X99+X100+X101+X102+X103+X104+X105+X106+X107+X108+X109+X110+X111+X112+X113+X114-X122</f>
        <v>0</v>
      </c>
      <c r="Y126" s="258">
        <f>Y73+Y74+Y75+Y76+Y77+Y78+Y79+Y80+Y81+Y82+Y83+Y84+Y85+Y86+Y87+Y88+Y89+Y90+Y91+Y92+Y93+Y94+Y95+Y96+Y97+Y98+Y99+Y100+Y101+Y102+Y103+Y104+Y105+Y106+Y107+Y108+Y109+Y110+Y111+Y112+Y113+Y114-Y122</f>
        <v>0</v>
      </c>
      <c r="Z126" s="258">
        <f>Z73+Z74+Z75+Z76+Z77+Z78+Z79+Z80+Z81+Z82+Z83+Z84+Z85+Z86+Z87+Z88+Z89+Z90+Z91+Z92+Z93+Z94+Z95+Z96+Z97+Z98+Z99+Z100+Z101+Z102+Z103+Z104+Z105+Z106+Z107+Z108+Z109+Z110+Z111+Z112+Z113+Z114-Z122</f>
        <v>0</v>
      </c>
      <c r="AA126" s="258">
        <f>AA73+AA74+AA75+AA76+AA77+AA78+AA79+AA80+AA81+AA82+AA83+AA84+AA85+AA86+AA87+AA88+AA89+AA90+AA91+AA92+AA93+AA94+AA95+AA96+AA97+AA98+AA99+AA100+AA101+AA102+AA103+AA104+AA105+AA106+AA107+AA108+AA109+AA110+AA111+AA112+AA113+AA114-AA122</f>
        <v>0</v>
      </c>
      <c r="AB126" s="258">
        <f>AB73+AB74+AB75+AB76+AB77+AB78+AB79+AB80+AB81+AB82+AB83+AB84+AB85+AB86+AB87+AB88+AB89+AB90+AB91+AB92+AB93+AB94+AB95+AB96+AB97+AB98+AB99+AB100+AB101+AB102+AB103+AB104+AB105+AB106+AB107+AB108+AB109+AB110+AB111+AB112+AB113+AB114-AB122</f>
        <v>0</v>
      </c>
      <c r="AC126" s="258">
        <f>AC73+AC74+AC75+AC76+AC77+AC78+AC79+AC80+AC81+AC82+AC83+AC84+AC85+AC86+AC87+AC88+AC89+AC90+AC91+AC92+AC93+AC94+AC95+AC96+AC97+AC98+AC99+AC100+AC101+AC102+AC103+AC104+AC105+AC106+AC107+AC108+AC109+AC110+AC111+AC112+AC113+AC114-AC122</f>
        <v>0</v>
      </c>
      <c r="AD126" s="258">
        <f>AD73+AD74+AD75+AD76+AD77+AD78+AD79+AD80+AD81+AD82+AD83+AD84+AD85+AD86+AD87+AD88+AD89+AD90+AD91+AD92+AD93+AD94+AD95+AD96+AD97+AD98+AD99+AD100+AD101+AD102+AD103+AD104+AD105+AD106+AD107+AD108+AD109+AD110+AD111+AD112+AD113+AD114-AD122</f>
        <v>0</v>
      </c>
      <c r="AE126" s="258">
        <f>AE73+AE74+AE75+AE76+AE77+AE78+AE79+AE80+AE81+AE82+AE83+AE84+AE85+AE86+AE87+AE88+AE89+AE90+AE91+AE92+AE93+AE94+AE95+AE96+AE97+AE98+AE99+AE100+AE101+AE102+AE103+AE104+AE105+AE106+AE107+AE108+AE109+AE110+AE111+AE112+AE113+AE114-AE122</f>
        <v>0</v>
      </c>
      <c r="AF126" s="258">
        <f>AF73+AF74+AF75+AF76+AF77+AF78+AF79+AF80+AF81+AF82+AF83+AF84+AF85+AF86+AF87+AF88+AF89+AF90+AF91+AF92+AF93+AF94+AF95+AF96+AF97+AF98+AF99+AF100+AF101+AF102+AF103+AF104+AF105+AF106+AF107+AF108+AF109+AF110+AF111+AF112+AF113+AF114-AF122</f>
        <v>0</v>
      </c>
      <c r="AG126" s="258">
        <f>AG73+AG74+AG75+AG76+AG77+AG78+AG79+AG80+AG81+AG82+AG83+AG84+AG85+AG86+AG87+AG88+AG89+AG90+AG91+AG92+AG93+AG94+AG95+AG96+AG97+AG98+AG99+AG100+AG101+AG102+AG103+AG104+AG105+AG106+AG107+AG108+AG109+AG110+AG111+AG112+AG113+AG114-AG122</f>
        <v>0</v>
      </c>
      <c r="AH126" s="258">
        <f>AH73+AH74+AH75+AH76+AH77+AH78+AH79+AH80+AH81+AH82+AH83+AH84+AH85+AH86+AH87+AH88+AH89+AH90+AH91+AH92+AH93+AH94+AH95+AH96+AH97+AH98+AH99+AH100+AH101+AH102+AH103+AH104+AH105+AH106+AH107+AH108+AH109+AH110+AH111+AH112+AH113+AH114-AH122</f>
        <v>0</v>
      </c>
      <c r="AI126" s="258">
        <f>AI73+AI74+AI75+AI76+AI77+AI78+AI79+AI80+AI81+AI82+AI83+AI84+AI85+AI86+AI87+AI88+AI89+AI90+AI91+AI92+AI93+AI94+AI95+AI96+AI97+AI98+AI99+AI100+AI101+AI102+AI103+AI104+AI105+AI106+AI107+AI108+AI109+AI110+AI111+AI112+AI113+AI114-AI122</f>
        <v>0</v>
      </c>
      <c r="AJ126" s="258">
        <f>AJ73+AJ74+AJ75+AJ76+AJ77+AJ78+AJ79+AJ80+AJ81+AJ82+AJ83+AJ84+AJ85+AJ86+AJ87+AJ88+AJ89+AJ90+AJ91+AJ92+AJ93+AJ94+AJ95+AJ96+AJ97+AJ98+AJ99+AJ100+AJ101+AJ102+AJ103+AJ104+AJ105+AJ106+AJ107+AJ108+AJ109+AJ110+AJ111+AJ112+AJ113+AJ114-AJ122</f>
        <v>0</v>
      </c>
    </row>
    <row r="127">
      <c r="G127" t="inlineStr">
        <is>
          <t>moeda</t>
        </is>
      </c>
      <c r="H127" t="inlineStr">
        <is>
          <t>CHECK: PL (cod 35-41) - PL + minoritarios</t>
        </is>
      </c>
      <c r="J127" t="inlineStr">
        <is>
          <t>derivada</t>
        </is>
      </c>
      <c r="K127" s="258">
        <f>K107+K108+K109+K110+K111+K112+K113+K114-K121</f>
        <v>0</v>
      </c>
      <c r="L127" s="258">
        <f>L107+L108+L109+L110+L111+L112+L113+L114-L121</f>
        <v>0</v>
      </c>
      <c r="M127" s="258">
        <f>M107+M108+M109+M110+M111+M112+M113+M114-M121</f>
        <v>0</v>
      </c>
      <c r="N127" s="258">
        <f>N107+N108+N109+N110+N111+N112+N113+N114-N121</f>
        <v>0</v>
      </c>
      <c r="O127" s="258">
        <f>O107+O108+O109+O110+O111+O112+O113+O114-O121</f>
        <v>0</v>
      </c>
      <c r="P127" s="258">
        <f>P107+P108+P109+P110+P111+P112+P113+P114-P121</f>
        <v>0</v>
      </c>
      <c r="Q127" s="258">
        <f>Q107+Q108+Q109+Q110+Q111+Q112+Q113+Q114-Q121</f>
        <v>0</v>
      </c>
      <c r="R127" s="258">
        <f>R107+R108+R109+R110+R111+R112+R113+R114-R121</f>
        <v>0</v>
      </c>
      <c r="S127" s="258">
        <f>S107+S108+S109+S110+S111+S112+S113+S114-S121</f>
        <v>0</v>
      </c>
      <c r="T127" s="258">
        <f>T107+T108+T109+T110+T111+T112+T113+T114-T121</f>
        <v>0</v>
      </c>
      <c r="U127" s="258">
        <f>U107+U108+U109+U110+U111+U112+U113+U114-U121</f>
        <v>0</v>
      </c>
      <c r="V127" s="258">
        <f>V107+V108+V109+V110+V111+V112+V113+V114-V121</f>
        <v>0</v>
      </c>
      <c r="W127" s="258">
        <f>W107+W108+W109+W110+W111+W112+W113+W114-W121</f>
        <v>0</v>
      </c>
      <c r="X127" s="258">
        <f>X107+X108+X109+X110+X111+X112+X113+X114-X121</f>
        <v>0</v>
      </c>
      <c r="Y127" s="258">
        <f>Y107+Y108+Y109+Y110+Y111+Y112+Y113+Y114-Y121</f>
        <v>0</v>
      </c>
      <c r="Z127" s="258">
        <f>Z107+Z108+Z109+Z110+Z111+Z112+Z113+Z114-Z121</f>
        <v>0</v>
      </c>
      <c r="AA127" s="258">
        <f>AA107+AA108+AA109+AA110+AA111+AA112+AA113+AA114-AA121</f>
        <v>0</v>
      </c>
      <c r="AB127" s="258">
        <f>AB107+AB108+AB109+AB110+AB111+AB112+AB113+AB114-AB121</f>
        <v>0</v>
      </c>
      <c r="AC127" s="258">
        <f>AC107+AC108+AC109+AC110+AC111+AC112+AC113+AC114-AC121</f>
        <v>0</v>
      </c>
      <c r="AD127" s="258">
        <f>AD107+AD108+AD109+AD110+AD111+AD112+AD113+AD114-AD121</f>
        <v>0</v>
      </c>
      <c r="AE127" s="258">
        <f>AE107+AE108+AE109+AE110+AE111+AE112+AE113+AE114-AE121</f>
        <v>0</v>
      </c>
      <c r="AF127" s="258">
        <f>AF107+AF108+AF109+AF110+AF111+AF112+AF113+AF114-AF121</f>
        <v>0</v>
      </c>
      <c r="AG127" s="258">
        <f>AG107+AG108+AG109+AG110+AG111+AG112+AG113+AG114-AG121</f>
        <v>0</v>
      </c>
      <c r="AH127" s="258">
        <f>AH107+AH108+AH109+AH110+AH111+AH112+AH113+AH114-AH121</f>
        <v>0</v>
      </c>
      <c r="AI127" s="258">
        <f>AI107+AI108+AI109+AI110+AI111+AI112+AI113+AI114-AI121</f>
        <v>0</v>
      </c>
      <c r="AJ127" s="258">
        <f>AJ107+AJ108+AJ109+AJ110+AJ111+AJ112+AJ113+AJ114-AJ121</f>
        <v>0</v>
      </c>
    </row>
    <row r="128">
      <c r="H128" t="inlineStr">
        <is>
          <t>[vazio] cod 10 Common Dividends: a aba Consolidado nao traz DFC; dividendos pagos nao preenchidos</t>
        </is>
      </c>
    </row>
    <row r="129">
      <c r="H129" t="inlineStr">
        <is>
          <t>[vazio] cod 20 Goodwill: nao aberto (dentro do intangivel, cod 21)</t>
        </is>
      </c>
    </row>
    <row r="130">
      <c r="H130" t="inlineStr">
        <is>
          <t>[vazio] cod 28 Short term debt (revolving): sem linha propria</t>
        </is>
      </c>
    </row>
    <row r="131">
      <c r="H131" t="inlineStr">
        <is>
          <t>[vazio] cod 32 Convertible debt: inexistente</t>
        </is>
      </c>
    </row>
    <row r="132">
      <c r="H132" t="inlineStr">
        <is>
          <t>[vazio] cod 36 Convertible Preferred Stock: inexistente</t>
        </is>
      </c>
    </row>
    <row r="133">
      <c r="H133" t="inlineStr">
        <is>
          <t>Nota: ativo contratual da concessao (CP e LP) mapeado em outros ativos (16/22); a variacao entra no fluxo de investimento do Model (linha 265). Para tratar como imobilizado, trocar o codigo para 18.</t>
        </is>
      </c>
    </row>
    <row r="135">
      <c r="H135" s="254" t="inlineStr">
        <is>
          <t>RECEITA LIQUIDA POR SEGMENTO E POR SPE (R$ mil; receita bruta + deducoes de cada aba, a 100%). Codigos 45+ = memoria, nao entram nos codigos 1-41</t>
        </is>
      </c>
    </row>
    <row r="136">
      <c r="A136" t="n">
        <v>45</v>
      </c>
      <c r="B136" t="n">
        <v>1</v>
      </c>
      <c r="G136" t="inlineStr">
        <is>
          <t>moeda</t>
        </is>
      </c>
      <c r="H136" t="inlineStr">
        <is>
          <t>Transmissao - consolidado do segmento | aba "Consolidado - Transmissao" (so a partir do 1T23)</t>
        </is>
      </c>
      <c r="J136" t="inlineStr">
        <is>
          <t>fonte</t>
        </is>
      </c>
      <c r="K136" s="258" t="n"/>
      <c r="L136" s="258" t="n"/>
      <c r="M136" s="258" t="n"/>
      <c r="N136" s="258" t="n"/>
      <c r="O136" s="258" t="n"/>
      <c r="P136" s="258" t="n"/>
      <c r="Q136" s="258" t="n"/>
      <c r="R136" s="258" t="n"/>
      <c r="S136" s="258" t="n"/>
      <c r="T136" s="258" t="n"/>
      <c r="U136" s="258" t="n"/>
      <c r="V136" s="258" t="n"/>
      <c r="W136" s="258" t="n">
        <v>813298</v>
      </c>
      <c r="X136" s="258" t="n">
        <v>601252</v>
      </c>
      <c r="Y136" s="258" t="n">
        <v>454094</v>
      </c>
      <c r="Z136" s="258" t="n">
        <v>686745</v>
      </c>
      <c r="AA136" s="258" t="n">
        <v>811934</v>
      </c>
      <c r="AB136" s="258" t="n">
        <v>774963</v>
      </c>
      <c r="AC136" s="258" t="n">
        <v>743020</v>
      </c>
      <c r="AD136" s="258" t="n">
        <v>890039</v>
      </c>
      <c r="AE136" s="258" t="n">
        <v>1001038</v>
      </c>
      <c r="AF136" s="258" t="n">
        <v>828487</v>
      </c>
      <c r="AG136" s="258" t="n">
        <v>756195</v>
      </c>
      <c r="AH136" s="258" t="n">
        <v>953586</v>
      </c>
      <c r="AI136" s="258" t="n">
        <v>997764</v>
      </c>
      <c r="AJ136" s="258" t="n">
        <v>1414665</v>
      </c>
    </row>
    <row r="137">
      <c r="A137" t="n">
        <v>46</v>
      </c>
      <c r="B137" t="n">
        <v>1</v>
      </c>
      <c r="G137" t="inlineStr">
        <is>
          <t>moeda</t>
        </is>
      </c>
      <c r="H137" t="inlineStr">
        <is>
          <t>Geracao - consolidado do segmento | aba "Consolidado - Geracao" (so a partir do 1T23)</t>
        </is>
      </c>
      <c r="J137" t="inlineStr">
        <is>
          <t>fonte</t>
        </is>
      </c>
      <c r="K137" s="258" t="n"/>
      <c r="L137" s="258" t="n"/>
      <c r="M137" s="258" t="n"/>
      <c r="N137" s="258" t="n"/>
      <c r="O137" s="258" t="n"/>
      <c r="P137" s="258" t="n"/>
      <c r="Q137" s="258" t="n"/>
      <c r="R137" s="258" t="n"/>
      <c r="S137" s="258" t="n"/>
      <c r="T137" s="258" t="n"/>
      <c r="U137" s="258" t="n"/>
      <c r="V137" s="258" t="n"/>
      <c r="W137" s="258" t="n">
        <v>191900</v>
      </c>
      <c r="X137" s="258" t="n">
        <v>180105</v>
      </c>
      <c r="Y137" s="258" t="n">
        <v>196063</v>
      </c>
      <c r="Z137" s="258" t="n">
        <v>192716</v>
      </c>
      <c r="AA137" s="258" t="n">
        <v>186343</v>
      </c>
      <c r="AB137" s="258" t="n">
        <v>179835</v>
      </c>
      <c r="AC137" s="258" t="n">
        <v>187835</v>
      </c>
      <c r="AD137" s="258" t="n">
        <v>234921</v>
      </c>
      <c r="AE137" s="258" t="n">
        <v>224332</v>
      </c>
      <c r="AF137" s="258" t="n">
        <v>220415</v>
      </c>
      <c r="AG137" s="258" t="n">
        <v>208737</v>
      </c>
      <c r="AH137" s="258" t="n">
        <v>211600</v>
      </c>
      <c r="AI137" s="258" t="n">
        <v>258765</v>
      </c>
      <c r="AJ137" s="258" t="n">
        <v>212619</v>
      </c>
    </row>
    <row r="138">
      <c r="H138" s="254" t="inlineStr">
        <is>
          <t>Transmissao por SPE (aba de cada SPE)</t>
        </is>
      </c>
    </row>
    <row r="139">
      <c r="A139" t="n">
        <v>47</v>
      </c>
      <c r="B139" t="n">
        <v>1</v>
      </c>
      <c r="G139" t="inlineStr">
        <is>
          <t>moeda</t>
        </is>
      </c>
      <c r="H139" t="inlineStr">
        <is>
          <t>Transmissao | Transudeste | aba "Transudeste"</t>
        </is>
      </c>
      <c r="J139" t="inlineStr">
        <is>
          <t>fonte</t>
        </is>
      </c>
      <c r="K139" s="258" t="n">
        <v>5414</v>
      </c>
      <c r="L139" s="258" t="n">
        <v>5338</v>
      </c>
      <c r="M139" s="258" t="n">
        <v>7562</v>
      </c>
      <c r="N139" s="258" t="n">
        <v>20455</v>
      </c>
      <c r="O139" s="258" t="n">
        <v>8888</v>
      </c>
      <c r="P139" s="258" t="n">
        <v>11760</v>
      </c>
      <c r="Q139" s="258" t="n">
        <v>5991</v>
      </c>
      <c r="R139" s="258" t="n">
        <v>4276</v>
      </c>
      <c r="S139" s="258" t="n">
        <v>8090</v>
      </c>
      <c r="T139" s="258" t="n">
        <v>7591</v>
      </c>
      <c r="U139" s="258" t="n">
        <v>4552</v>
      </c>
      <c r="V139" s="258" t="n">
        <v>2359</v>
      </c>
      <c r="W139" s="258" t="n">
        <v>4895</v>
      </c>
      <c r="X139" s="258" t="n">
        <v>2117</v>
      </c>
      <c r="Y139" s="258" t="n">
        <v>2107</v>
      </c>
      <c r="Z139" s="258" t="n">
        <v>5225</v>
      </c>
      <c r="AA139" s="258" t="n">
        <v>4328</v>
      </c>
      <c r="AB139" s="258" t="n">
        <v>4699</v>
      </c>
      <c r="AC139" s="258" t="n">
        <v>5314</v>
      </c>
      <c r="AD139" s="258" t="n">
        <v>6680</v>
      </c>
      <c r="AE139" s="258" t="n">
        <v>5935</v>
      </c>
      <c r="AF139" s="258" t="n">
        <v>3672</v>
      </c>
      <c r="AG139" s="258" t="n">
        <v>2776</v>
      </c>
      <c r="AH139" s="258" t="n">
        <v>4435</v>
      </c>
      <c r="AI139" s="258" t="n">
        <v>3928</v>
      </c>
      <c r="AJ139" s="258" t="n">
        <v>7235</v>
      </c>
    </row>
    <row r="140">
      <c r="A140" t="n">
        <v>48</v>
      </c>
      <c r="B140" t="n">
        <v>1</v>
      </c>
      <c r="G140" t="inlineStr">
        <is>
          <t>moeda</t>
        </is>
      </c>
      <c r="H140" t="inlineStr">
        <is>
          <t>Transmissao | Transleste | aba "Transleste"</t>
        </is>
      </c>
      <c r="J140" t="inlineStr">
        <is>
          <t>fonte</t>
        </is>
      </c>
      <c r="K140" s="258" t="n">
        <v>6395</v>
      </c>
      <c r="L140" s="258" t="n">
        <v>7682</v>
      </c>
      <c r="M140" s="258" t="n">
        <v>11674</v>
      </c>
      <c r="N140" s="258" t="n">
        <v>16433</v>
      </c>
      <c r="O140" s="258" t="n">
        <v>12214</v>
      </c>
      <c r="P140" s="258" t="n">
        <v>16259</v>
      </c>
      <c r="Q140" s="258" t="n">
        <v>8977</v>
      </c>
      <c r="R140" s="258" t="n">
        <v>6607</v>
      </c>
      <c r="S140" s="258" t="n">
        <v>12373</v>
      </c>
      <c r="T140" s="258" t="n">
        <v>11720</v>
      </c>
      <c r="U140" s="258" t="n">
        <v>7207</v>
      </c>
      <c r="V140" s="258" t="n">
        <v>3912</v>
      </c>
      <c r="W140" s="258" t="n">
        <v>7709</v>
      </c>
      <c r="X140" s="258" t="n">
        <v>3530</v>
      </c>
      <c r="Y140" s="258" t="n">
        <v>3519</v>
      </c>
      <c r="Z140" s="258" t="n">
        <v>8162</v>
      </c>
      <c r="AA140" s="258" t="n">
        <v>6857</v>
      </c>
      <c r="AB140" s="258" t="n">
        <v>7362</v>
      </c>
      <c r="AC140" s="258" t="n">
        <v>8284</v>
      </c>
      <c r="AD140" s="258" t="n">
        <v>10303</v>
      </c>
      <c r="AE140" s="258" t="n">
        <v>9195</v>
      </c>
      <c r="AF140" s="258" t="n">
        <v>5859</v>
      </c>
      <c r="AG140" s="258" t="n">
        <v>4573</v>
      </c>
      <c r="AH140" s="258" t="n">
        <v>6627</v>
      </c>
      <c r="AI140" s="258" t="n">
        <v>6118</v>
      </c>
      <c r="AJ140" s="258" t="n">
        <v>11048</v>
      </c>
    </row>
    <row r="141">
      <c r="A141" t="n">
        <v>49</v>
      </c>
      <c r="B141" t="n">
        <v>1</v>
      </c>
      <c r="G141" t="inlineStr">
        <is>
          <t>moeda</t>
        </is>
      </c>
      <c r="H141" t="inlineStr">
        <is>
          <t>Transmissao | Transirapé | aba "Transirapé"</t>
        </is>
      </c>
      <c r="J141" t="inlineStr">
        <is>
          <t>fonte</t>
        </is>
      </c>
      <c r="K141" s="258" t="n">
        <v>13827</v>
      </c>
      <c r="L141" s="258" t="n">
        <v>21423</v>
      </c>
      <c r="M141" s="258" t="n">
        <v>28352</v>
      </c>
      <c r="N141" s="258" t="n">
        <v>26923</v>
      </c>
      <c r="O141" s="258" t="n">
        <v>26869</v>
      </c>
      <c r="P141" s="258" t="n">
        <v>26737</v>
      </c>
      <c r="Q141" s="258" t="n">
        <v>11462</v>
      </c>
      <c r="R141" s="258" t="n">
        <v>7568</v>
      </c>
      <c r="S141" s="258" t="n">
        <v>16523</v>
      </c>
      <c r="T141" s="258" t="n">
        <v>16033</v>
      </c>
      <c r="U141" s="258" t="n">
        <v>9113</v>
      </c>
      <c r="V141" s="258" t="n">
        <v>1196</v>
      </c>
      <c r="W141" s="258" t="n">
        <v>7905</v>
      </c>
      <c r="X141" s="258" t="n">
        <v>551</v>
      </c>
      <c r="Y141" s="258" t="n">
        <v>2447</v>
      </c>
      <c r="Z141" s="258" t="n">
        <v>9014</v>
      </c>
      <c r="AA141" s="258" t="n">
        <v>6608</v>
      </c>
      <c r="AB141" s="258" t="n">
        <v>7553</v>
      </c>
      <c r="AC141" s="258" t="n">
        <v>13378</v>
      </c>
      <c r="AD141" s="258" t="n">
        <v>13906</v>
      </c>
      <c r="AE141" s="258" t="n">
        <v>12179</v>
      </c>
      <c r="AF141" s="258" t="n">
        <v>5952</v>
      </c>
      <c r="AG141" s="258" t="n">
        <v>2723</v>
      </c>
      <c r="AH141" s="258" t="n">
        <v>21417</v>
      </c>
      <c r="AI141" s="258" t="n">
        <v>6358</v>
      </c>
      <c r="AJ141" s="258" t="n">
        <v>15274</v>
      </c>
    </row>
    <row r="142">
      <c r="A142" t="n">
        <v>50</v>
      </c>
      <c r="B142" t="n">
        <v>1</v>
      </c>
      <c r="G142" t="inlineStr">
        <is>
          <t>moeda</t>
        </is>
      </c>
      <c r="H142" t="inlineStr">
        <is>
          <t>Transmissao | EATE | aba "EATE"</t>
        </is>
      </c>
      <c r="J142" t="inlineStr">
        <is>
          <t>fonte</t>
        </is>
      </c>
      <c r="K142" s="258" t="n">
        <v>73371</v>
      </c>
      <c r="L142" s="258" t="n">
        <v>76838</v>
      </c>
      <c r="M142" s="258" t="n">
        <v>119599</v>
      </c>
      <c r="N142" s="258" t="n">
        <v>172701</v>
      </c>
      <c r="O142" s="258" t="n">
        <v>134791</v>
      </c>
      <c r="P142" s="258" t="n">
        <v>182840</v>
      </c>
      <c r="Q142" s="258" t="n">
        <v>89435</v>
      </c>
      <c r="R142" s="258" t="n">
        <v>60356</v>
      </c>
      <c r="S142" s="258" t="n">
        <v>129129</v>
      </c>
      <c r="T142" s="258" t="n">
        <v>121287</v>
      </c>
      <c r="U142" s="258" t="n">
        <v>64751</v>
      </c>
      <c r="V142" s="258" t="n">
        <v>26032</v>
      </c>
      <c r="W142" s="258" t="n">
        <v>70348</v>
      </c>
      <c r="X142" s="258" t="n">
        <v>19009</v>
      </c>
      <c r="Y142" s="258" t="n">
        <v>18724</v>
      </c>
      <c r="Z142" s="258" t="n">
        <v>79422</v>
      </c>
      <c r="AA142" s="258" t="n">
        <v>60003</v>
      </c>
      <c r="AB142" s="258" t="n">
        <v>64939</v>
      </c>
      <c r="AC142" s="258" t="n">
        <v>73684</v>
      </c>
      <c r="AD142" s="258" t="n">
        <v>99562</v>
      </c>
      <c r="AE142" s="258" t="n">
        <v>84531</v>
      </c>
      <c r="AF142" s="258" t="n">
        <v>48536</v>
      </c>
      <c r="AG142" s="258" t="n">
        <v>72832</v>
      </c>
      <c r="AH142" s="258" t="n">
        <v>84444</v>
      </c>
      <c r="AI142" s="258" t="n">
        <v>125373</v>
      </c>
      <c r="AJ142" s="258" t="n">
        <v>194523</v>
      </c>
    </row>
    <row r="143">
      <c r="A143" t="n">
        <v>51</v>
      </c>
      <c r="B143" t="n">
        <v>1</v>
      </c>
      <c r="G143" t="inlineStr">
        <is>
          <t>moeda</t>
        </is>
      </c>
      <c r="H143" t="inlineStr">
        <is>
          <t>Transmissao | ETEP | aba "ETEP"</t>
        </is>
      </c>
      <c r="J143" t="inlineStr">
        <is>
          <t>fonte</t>
        </is>
      </c>
      <c r="K143" s="258" t="n">
        <v>16600</v>
      </c>
      <c r="L143" s="258" t="n">
        <v>16513</v>
      </c>
      <c r="M143" s="258" t="n">
        <v>26746</v>
      </c>
      <c r="N143" s="258" t="n">
        <v>38375</v>
      </c>
      <c r="O143" s="258" t="n">
        <v>30299</v>
      </c>
      <c r="P143" s="258" t="n">
        <v>41039</v>
      </c>
      <c r="Q143" s="258" t="n">
        <v>20165</v>
      </c>
      <c r="R143" s="258" t="n">
        <v>5949</v>
      </c>
      <c r="S143" s="258" t="n">
        <v>29092</v>
      </c>
      <c r="T143" s="258" t="n">
        <v>26372</v>
      </c>
      <c r="U143" s="258" t="n">
        <v>14811</v>
      </c>
      <c r="V143" s="258" t="n">
        <v>6241</v>
      </c>
      <c r="W143" s="258" t="n">
        <v>16005</v>
      </c>
      <c r="X143" s="258" t="n">
        <v>4288</v>
      </c>
      <c r="Y143" s="258" t="n">
        <v>5467</v>
      </c>
      <c r="Z143" s="258" t="n">
        <v>17654</v>
      </c>
      <c r="AA143" s="258" t="n">
        <v>13681</v>
      </c>
      <c r="AB143" s="258" t="n">
        <v>14856</v>
      </c>
      <c r="AC143" s="258" t="n">
        <v>16837</v>
      </c>
      <c r="AD143" s="258" t="n">
        <v>22467</v>
      </c>
      <c r="AE143" s="258" t="n">
        <v>19090</v>
      </c>
      <c r="AF143" s="258" t="n">
        <v>10980</v>
      </c>
      <c r="AG143" s="258" t="n">
        <v>10236</v>
      </c>
      <c r="AH143" s="258" t="n">
        <v>15541</v>
      </c>
      <c r="AI143" s="258" t="n">
        <v>12463</v>
      </c>
      <c r="AJ143" s="258" t="n">
        <v>21406</v>
      </c>
    </row>
    <row r="144">
      <c r="A144" t="n">
        <v>52</v>
      </c>
      <c r="B144" t="n">
        <v>1</v>
      </c>
      <c r="G144" t="inlineStr">
        <is>
          <t>moeda</t>
        </is>
      </c>
      <c r="H144" t="inlineStr">
        <is>
          <t>Transmissao | ECTE | aba "ECTE"</t>
        </is>
      </c>
      <c r="J144" t="inlineStr">
        <is>
          <t>fonte</t>
        </is>
      </c>
      <c r="K144" s="258" t="n">
        <v>15604</v>
      </c>
      <c r="L144" s="258" t="n">
        <v>15517</v>
      </c>
      <c r="M144" s="258" t="n">
        <v>24777</v>
      </c>
      <c r="N144" s="258" t="n">
        <v>43098</v>
      </c>
      <c r="O144" s="258" t="n">
        <v>28355</v>
      </c>
      <c r="P144" s="258" t="n">
        <v>42125</v>
      </c>
      <c r="Q144" s="258" t="n">
        <v>18911</v>
      </c>
      <c r="R144" s="258" t="n">
        <v>12897</v>
      </c>
      <c r="S144" s="258" t="n">
        <v>26960</v>
      </c>
      <c r="T144" s="258" t="n">
        <v>25592</v>
      </c>
      <c r="U144" s="258" t="n">
        <v>13855</v>
      </c>
      <c r="V144" s="258" t="n">
        <v>5870</v>
      </c>
      <c r="W144" s="258" t="n">
        <v>14905</v>
      </c>
      <c r="X144" s="258" t="n">
        <v>4709</v>
      </c>
      <c r="Y144" s="258" t="n">
        <v>4923</v>
      </c>
      <c r="Z144" s="258" t="n">
        <v>16666</v>
      </c>
      <c r="AA144" s="258" t="n">
        <v>12165</v>
      </c>
      <c r="AB144" s="258" t="n">
        <v>13732</v>
      </c>
      <c r="AC144" s="258" t="n">
        <v>15451</v>
      </c>
      <c r="AD144" s="258" t="n">
        <v>20559</v>
      </c>
      <c r="AE144" s="258" t="n">
        <v>17456</v>
      </c>
      <c r="AF144" s="258" t="n">
        <v>10101</v>
      </c>
      <c r="AG144" s="258" t="n">
        <v>7390</v>
      </c>
      <c r="AH144" s="258" t="n">
        <v>11758</v>
      </c>
      <c r="AI144" s="258" t="n">
        <v>10154</v>
      </c>
      <c r="AJ144" s="258" t="n">
        <v>19672</v>
      </c>
    </row>
    <row r="145">
      <c r="A145" t="n">
        <v>53</v>
      </c>
      <c r="B145" t="n">
        <v>1</v>
      </c>
      <c r="G145" t="inlineStr">
        <is>
          <t>moeda</t>
        </is>
      </c>
      <c r="H145" t="inlineStr">
        <is>
          <t>Transmissao | ENTE | aba "ENTE"</t>
        </is>
      </c>
      <c r="J145" t="inlineStr">
        <is>
          <t>fonte</t>
        </is>
      </c>
      <c r="K145" s="258" t="n">
        <v>38199</v>
      </c>
      <c r="L145" s="258" t="n">
        <v>37805</v>
      </c>
      <c r="M145" s="258" t="n">
        <v>58001</v>
      </c>
      <c r="N145" s="258" t="n">
        <v>81006</v>
      </c>
      <c r="O145" s="258" t="n">
        <v>65089</v>
      </c>
      <c r="P145" s="258" t="n">
        <v>85880</v>
      </c>
      <c r="Q145" s="258" t="n">
        <v>47993</v>
      </c>
      <c r="R145" s="258" t="n">
        <v>35666</v>
      </c>
      <c r="S145" s="258" t="n">
        <v>65698</v>
      </c>
      <c r="T145" s="258" t="n">
        <v>62298</v>
      </c>
      <c r="U145" s="258" t="n">
        <v>38456</v>
      </c>
      <c r="V145" s="258" t="n">
        <v>21491</v>
      </c>
      <c r="W145" s="258" t="n">
        <v>41141</v>
      </c>
      <c r="X145" s="258" t="n">
        <v>19332</v>
      </c>
      <c r="Y145" s="258" t="n">
        <v>19405</v>
      </c>
      <c r="Z145" s="258" t="n">
        <v>42473</v>
      </c>
      <c r="AA145" s="258" t="n">
        <v>36470</v>
      </c>
      <c r="AB145" s="258" t="n">
        <v>31858</v>
      </c>
      <c r="AC145" s="258" t="n">
        <v>43194</v>
      </c>
      <c r="AD145" s="258" t="n">
        <v>54036</v>
      </c>
      <c r="AE145" s="258" t="n">
        <v>48236</v>
      </c>
      <c r="AF145" s="258" t="n">
        <v>31218</v>
      </c>
      <c r="AG145" s="258" t="n">
        <v>31858</v>
      </c>
      <c r="AH145" s="258" t="n">
        <v>37352</v>
      </c>
      <c r="AI145" s="258" t="n">
        <v>54445</v>
      </c>
      <c r="AJ145" s="258" t="n">
        <v>87224</v>
      </c>
    </row>
    <row r="146">
      <c r="A146" t="n">
        <v>54</v>
      </c>
      <c r="B146" t="n">
        <v>1</v>
      </c>
      <c r="G146" t="inlineStr">
        <is>
          <t>moeda</t>
        </is>
      </c>
      <c r="H146" t="inlineStr">
        <is>
          <t>Transmissao | ERTE | aba "ERTE"</t>
        </is>
      </c>
      <c r="J146" t="inlineStr">
        <is>
          <t>fonte</t>
        </is>
      </c>
      <c r="K146" s="258" t="n">
        <v>10740</v>
      </c>
      <c r="L146" s="258" t="n">
        <v>-28055</v>
      </c>
      <c r="M146" s="258" t="n">
        <v>-882</v>
      </c>
      <c r="N146" s="258" t="n">
        <v>22831</v>
      </c>
      <c r="O146" s="258" t="n">
        <v>14836</v>
      </c>
      <c r="P146" s="258" t="n">
        <v>17116</v>
      </c>
      <c r="Q146" s="258" t="n">
        <v>9208</v>
      </c>
      <c r="R146" s="258" t="n">
        <v>7682</v>
      </c>
      <c r="S146" s="258" t="n">
        <v>13059</v>
      </c>
      <c r="T146" s="258" t="n">
        <v>1859</v>
      </c>
      <c r="U146" s="258" t="n">
        <v>12350</v>
      </c>
      <c r="V146" s="258" t="n">
        <v>2303</v>
      </c>
      <c r="W146" s="258" t="n">
        <v>7839</v>
      </c>
      <c r="X146" s="258" t="n">
        <v>4685</v>
      </c>
      <c r="Y146" s="258" t="n">
        <v>3546</v>
      </c>
      <c r="Z146" s="258" t="n">
        <v>10455</v>
      </c>
      <c r="AA146" s="258" t="n">
        <v>7970</v>
      </c>
      <c r="AB146" s="258" t="n">
        <v>8700</v>
      </c>
      <c r="AC146" s="258" t="n">
        <v>9877</v>
      </c>
      <c r="AD146" s="258" t="n">
        <v>12384</v>
      </c>
      <c r="AE146" s="258" t="n">
        <v>10964</v>
      </c>
      <c r="AF146" s="258" t="n">
        <v>6711</v>
      </c>
      <c r="AG146" s="258" t="n">
        <v>4977</v>
      </c>
      <c r="AH146" s="258" t="n">
        <v>17054</v>
      </c>
      <c r="AI146" s="258" t="n">
        <v>7243</v>
      </c>
      <c r="AJ146" s="258" t="n">
        <v>13286</v>
      </c>
    </row>
    <row r="147">
      <c r="A147" t="n">
        <v>55</v>
      </c>
      <c r="B147" t="n">
        <v>1</v>
      </c>
      <c r="G147" t="inlineStr">
        <is>
          <t>moeda</t>
        </is>
      </c>
      <c r="H147" t="inlineStr">
        <is>
          <t>Transmissao | EBTE | aba "EBTE"</t>
        </is>
      </c>
      <c r="J147" t="inlineStr">
        <is>
          <t>fonte</t>
        </is>
      </c>
      <c r="K147" s="258" t="n">
        <v>15194</v>
      </c>
      <c r="L147" s="258" t="n">
        <v>12029</v>
      </c>
      <c r="M147" s="258" t="n">
        <v>28227</v>
      </c>
      <c r="N147" s="258" t="n">
        <v>17477</v>
      </c>
      <c r="O147" s="258" t="n">
        <v>19255</v>
      </c>
      <c r="P147" s="258" t="n">
        <v>18390</v>
      </c>
      <c r="Q147" s="258" t="n">
        <v>19595</v>
      </c>
      <c r="R147" s="258" t="n">
        <v>22928</v>
      </c>
      <c r="S147" s="258" t="n">
        <v>20260</v>
      </c>
      <c r="T147" s="258" t="n">
        <v>25002</v>
      </c>
      <c r="U147" s="258" t="n">
        <v>8490</v>
      </c>
      <c r="V147" s="258" t="n">
        <v>17525</v>
      </c>
      <c r="W147" s="258" t="n">
        <v>22924</v>
      </c>
      <c r="X147" s="258" t="n">
        <v>21243</v>
      </c>
      <c r="Y147" s="258" t="n">
        <v>12336</v>
      </c>
      <c r="Z147" s="258" t="n">
        <v>14833</v>
      </c>
      <c r="AA147" s="258" t="n">
        <v>19503</v>
      </c>
      <c r="AB147" s="258" t="n">
        <v>16120</v>
      </c>
      <c r="AC147" s="258" t="n">
        <v>15327</v>
      </c>
      <c r="AD147" s="258" t="n">
        <v>17970</v>
      </c>
      <c r="AE147" s="258" t="n">
        <v>22331</v>
      </c>
      <c r="AF147" s="258" t="n">
        <v>19450</v>
      </c>
      <c r="AG147" s="258" t="n">
        <v>15263</v>
      </c>
      <c r="AH147" s="258" t="n">
        <v>20256</v>
      </c>
      <c r="AI147" s="258" t="n">
        <v>19948</v>
      </c>
      <c r="AJ147" s="258" t="n">
        <v>23762</v>
      </c>
    </row>
    <row r="148">
      <c r="A148" t="n">
        <v>56</v>
      </c>
      <c r="B148" t="n">
        <v>1</v>
      </c>
      <c r="G148" t="inlineStr">
        <is>
          <t>moeda</t>
        </is>
      </c>
      <c r="H148" t="inlineStr">
        <is>
          <t>Transmissao | Lumitrans | aba "Lumitrans"</t>
        </is>
      </c>
      <c r="J148" t="inlineStr">
        <is>
          <t>fonte</t>
        </is>
      </c>
      <c r="K148" s="258" t="n">
        <v>6182</v>
      </c>
      <c r="L148" s="258" t="n">
        <v>6102</v>
      </c>
      <c r="M148" s="258" t="n">
        <v>8912</v>
      </c>
      <c r="N148" s="258" t="n">
        <v>12350</v>
      </c>
      <c r="O148" s="258" t="n">
        <v>9915</v>
      </c>
      <c r="P148" s="258" t="n">
        <v>13118</v>
      </c>
      <c r="Q148" s="258" t="n">
        <v>6583</v>
      </c>
      <c r="R148" s="258" t="n">
        <v>4921</v>
      </c>
      <c r="S148" s="258" t="n">
        <v>8686</v>
      </c>
      <c r="T148" s="258" t="n">
        <v>8125</v>
      </c>
      <c r="U148" s="258" t="n">
        <v>4914</v>
      </c>
      <c r="V148" s="258" t="n">
        <v>2741</v>
      </c>
      <c r="W148" s="258" t="n">
        <v>5175</v>
      </c>
      <c r="X148" s="258" t="n">
        <v>2442</v>
      </c>
      <c r="Y148" s="258" t="n">
        <v>2394</v>
      </c>
      <c r="Z148" s="258" t="n">
        <v>5415</v>
      </c>
      <c r="AA148" s="258" t="n">
        <v>4568</v>
      </c>
      <c r="AB148" s="258" t="n">
        <v>4898</v>
      </c>
      <c r="AC148" s="258" t="n">
        <v>5485</v>
      </c>
      <c r="AD148" s="258" t="n">
        <v>6781</v>
      </c>
      <c r="AE148" s="258" t="n">
        <v>6045</v>
      </c>
      <c r="AF148" s="258" t="n">
        <v>3906</v>
      </c>
      <c r="AG148" s="258" t="n">
        <v>3082</v>
      </c>
      <c r="AH148" s="258" t="n">
        <v>4630</v>
      </c>
      <c r="AI148" s="258" t="n">
        <v>4147</v>
      </c>
      <c r="AJ148" s="258" t="n">
        <v>7297</v>
      </c>
    </row>
    <row r="149">
      <c r="A149" t="n">
        <v>57</v>
      </c>
      <c r="B149" t="n">
        <v>1</v>
      </c>
      <c r="G149" t="inlineStr">
        <is>
          <t>moeda</t>
        </is>
      </c>
      <c r="H149" t="inlineStr">
        <is>
          <t>Transmissao | STC | aba "STC"</t>
        </is>
      </c>
      <c r="J149" t="inlineStr">
        <is>
          <t>fonte</t>
        </is>
      </c>
      <c r="K149" s="258" t="n">
        <v>5770</v>
      </c>
      <c r="L149" s="258" t="n">
        <v>4180</v>
      </c>
      <c r="M149" s="258" t="n">
        <v>8456</v>
      </c>
      <c r="N149" s="258" t="n">
        <v>7658</v>
      </c>
      <c r="O149" s="258" t="n">
        <v>11471</v>
      </c>
      <c r="P149" s="258" t="n">
        <v>10373</v>
      </c>
      <c r="Q149" s="258" t="n">
        <v>14172</v>
      </c>
      <c r="R149" s="258" t="n">
        <v>12477</v>
      </c>
      <c r="S149" s="258" t="n">
        <v>10893</v>
      </c>
      <c r="T149" s="258" t="n">
        <v>12575</v>
      </c>
      <c r="U149" s="258" t="n">
        <v>6558</v>
      </c>
      <c r="V149" s="258" t="n">
        <v>8208</v>
      </c>
      <c r="W149" s="258" t="n">
        <v>10325</v>
      </c>
      <c r="X149" s="258" t="n">
        <v>9862</v>
      </c>
      <c r="Y149" s="258" t="n">
        <v>7353</v>
      </c>
      <c r="Z149" s="258" t="n">
        <v>8229</v>
      </c>
      <c r="AA149" s="258" t="n">
        <v>9967</v>
      </c>
      <c r="AB149" s="258" t="n">
        <v>8716</v>
      </c>
      <c r="AC149" s="258" t="n">
        <v>8539</v>
      </c>
      <c r="AD149" s="258" t="n">
        <v>9259</v>
      </c>
      <c r="AE149" s="258" t="n">
        <v>10511</v>
      </c>
      <c r="AF149" s="258" t="n">
        <v>9413</v>
      </c>
      <c r="AG149" s="258" t="n">
        <v>178</v>
      </c>
      <c r="AH149" s="258" t="n">
        <v>10703</v>
      </c>
      <c r="AI149" s="258" t="n">
        <v>9069</v>
      </c>
      <c r="AJ149" s="258" t="n">
        <v>10393</v>
      </c>
    </row>
    <row r="150">
      <c r="A150" t="n">
        <v>58</v>
      </c>
      <c r="B150" t="n">
        <v>1</v>
      </c>
      <c r="G150" t="inlineStr">
        <is>
          <t>moeda</t>
        </is>
      </c>
      <c r="H150" t="inlineStr">
        <is>
          <t>Transmissao | ESDE | aba "ESDE"</t>
        </is>
      </c>
      <c r="J150" t="inlineStr">
        <is>
          <t>fonte</t>
        </is>
      </c>
      <c r="K150" s="258" t="n">
        <v>4586</v>
      </c>
      <c r="L150" s="258" t="n">
        <v>1966</v>
      </c>
      <c r="M150" s="258" t="n">
        <v>3665</v>
      </c>
      <c r="N150" s="258" t="n">
        <v>-3582</v>
      </c>
      <c r="O150" s="258" t="n">
        <v>5646</v>
      </c>
      <c r="P150" s="258" t="n">
        <v>5312</v>
      </c>
      <c r="Q150" s="258" t="n">
        <v>7027</v>
      </c>
      <c r="R150" s="258" t="n">
        <v>7005</v>
      </c>
      <c r="S150" s="258" t="n">
        <v>5945</v>
      </c>
      <c r="T150" s="258" t="n">
        <v>7231</v>
      </c>
      <c r="U150" s="258" t="n">
        <v>2941</v>
      </c>
      <c r="V150" s="258" t="n">
        <v>4212</v>
      </c>
      <c r="W150" s="258" t="n">
        <v>5775</v>
      </c>
      <c r="X150" s="258" t="n">
        <v>5427</v>
      </c>
      <c r="Y150" s="258" t="n">
        <v>3741</v>
      </c>
      <c r="Z150" s="258" t="n">
        <v>4647</v>
      </c>
      <c r="AA150" s="258" t="n">
        <v>5700</v>
      </c>
      <c r="AB150" s="258" t="n">
        <v>4591</v>
      </c>
      <c r="AC150" s="258" t="n">
        <v>4193</v>
      </c>
      <c r="AD150" s="258" t="n">
        <v>5173</v>
      </c>
      <c r="AE150" s="258" t="n">
        <v>6013</v>
      </c>
      <c r="AF150" s="258" t="n">
        <v>5120</v>
      </c>
      <c r="AG150" s="258" t="n">
        <v>-1746</v>
      </c>
      <c r="AH150" s="258" t="n">
        <v>4334</v>
      </c>
      <c r="AI150" s="258" t="n">
        <v>5106</v>
      </c>
      <c r="AJ150" s="258" t="n">
        <v>6157</v>
      </c>
    </row>
    <row r="151">
      <c r="A151" t="n">
        <v>59</v>
      </c>
      <c r="B151" t="n">
        <v>1</v>
      </c>
      <c r="G151" t="inlineStr">
        <is>
          <t>moeda</t>
        </is>
      </c>
      <c r="H151" t="inlineStr">
        <is>
          <t>Transmissao | ETSE | aba "ETSE"</t>
        </is>
      </c>
      <c r="J151" t="inlineStr">
        <is>
          <t>fonte</t>
        </is>
      </c>
      <c r="K151" s="258" t="n">
        <v>7239</v>
      </c>
      <c r="L151" s="258" t="n">
        <v>4947</v>
      </c>
      <c r="M151" s="258" t="n">
        <v>16098</v>
      </c>
      <c r="N151" s="258" t="n">
        <v>14554</v>
      </c>
      <c r="O151" s="258" t="n">
        <v>10139</v>
      </c>
      <c r="P151" s="258" t="n">
        <v>9398</v>
      </c>
      <c r="Q151" s="258" t="n">
        <v>9871</v>
      </c>
      <c r="R151" s="258" t="n">
        <v>12252</v>
      </c>
      <c r="S151" s="258" t="n">
        <v>10269</v>
      </c>
      <c r="T151" s="258" t="n">
        <v>12582</v>
      </c>
      <c r="U151" s="258" t="n">
        <v>7951</v>
      </c>
      <c r="V151" s="258" t="n">
        <v>8247</v>
      </c>
      <c r="W151" s="258" t="n">
        <v>11985</v>
      </c>
      <c r="X151" s="258" t="n">
        <v>13339</v>
      </c>
      <c r="Y151" s="258" t="n">
        <v>7257</v>
      </c>
      <c r="Z151" s="258" t="n">
        <v>8679</v>
      </c>
      <c r="AA151" s="258" t="n">
        <v>11689</v>
      </c>
      <c r="AB151" s="258" t="n">
        <v>9515</v>
      </c>
      <c r="AC151" s="258" t="n">
        <v>10254</v>
      </c>
      <c r="AD151" s="258" t="n">
        <v>10317</v>
      </c>
      <c r="AE151" s="258" t="n">
        <v>12241</v>
      </c>
      <c r="AF151" s="258" t="n">
        <v>10285</v>
      </c>
      <c r="AG151" s="258" t="n">
        <v>7704</v>
      </c>
      <c r="AH151" s="258" t="n">
        <v>9766</v>
      </c>
      <c r="AI151" s="258" t="n">
        <v>10570</v>
      </c>
      <c r="AJ151" s="258" t="n">
        <v>13047</v>
      </c>
    </row>
    <row r="152">
      <c r="A152" t="n">
        <v>60</v>
      </c>
      <c r="B152" t="n">
        <v>1</v>
      </c>
      <c r="G152" t="inlineStr">
        <is>
          <t>moeda</t>
        </is>
      </c>
      <c r="H152" t="inlineStr">
        <is>
          <t>Transmissao | TME | aba "TME"</t>
        </is>
      </c>
      <c r="J152" t="inlineStr">
        <is>
          <t>fonte</t>
        </is>
      </c>
      <c r="K152" s="258" t="n">
        <v>17694</v>
      </c>
      <c r="L152" s="258" t="n">
        <v>6260</v>
      </c>
      <c r="M152" s="258" t="n">
        <v>14536</v>
      </c>
      <c r="N152" s="258" t="n">
        <v>19742</v>
      </c>
      <c r="O152" s="258" t="n">
        <v>21826</v>
      </c>
      <c r="P152" s="258" t="n">
        <v>21496</v>
      </c>
      <c r="Q152" s="258" t="n">
        <v>15078</v>
      </c>
      <c r="R152" s="258" t="n">
        <v>26395</v>
      </c>
      <c r="S152" s="258" t="n">
        <v>22250</v>
      </c>
      <c r="T152" s="258" t="n">
        <v>27242</v>
      </c>
      <c r="U152" s="258" t="n">
        <v>10115</v>
      </c>
      <c r="V152" s="258" t="n">
        <v>15251</v>
      </c>
      <c r="W152" s="258" t="n">
        <v>21712</v>
      </c>
      <c r="X152" s="258" t="n">
        <v>19897</v>
      </c>
      <c r="Y152" s="258" t="n">
        <v>13567</v>
      </c>
      <c r="Z152" s="258" t="n">
        <v>15870</v>
      </c>
      <c r="AA152" s="258" t="n">
        <v>21147</v>
      </c>
      <c r="AB152" s="258" t="n">
        <v>17322</v>
      </c>
      <c r="AC152" s="258" t="n">
        <v>15020</v>
      </c>
      <c r="AD152" s="258" t="n">
        <v>19115</v>
      </c>
      <c r="AE152" s="258" t="n">
        <v>22414</v>
      </c>
      <c r="AF152" s="258" t="n">
        <v>18934</v>
      </c>
      <c r="AG152" s="258" t="n">
        <v>14236</v>
      </c>
      <c r="AH152" s="258" t="n">
        <v>15908</v>
      </c>
      <c r="AI152" s="258" t="n">
        <v>19029</v>
      </c>
      <c r="AJ152" s="258" t="n">
        <v>22668</v>
      </c>
    </row>
    <row r="153">
      <c r="A153" t="n">
        <v>61</v>
      </c>
      <c r="B153" t="n">
        <v>1</v>
      </c>
      <c r="G153" t="inlineStr">
        <is>
          <t>moeda</t>
        </is>
      </c>
      <c r="H153" t="inlineStr">
        <is>
          <t>Transmissao | TPE | aba "TPE"</t>
        </is>
      </c>
      <c r="J153" t="inlineStr">
        <is>
          <t>fonte</t>
        </is>
      </c>
      <c r="K153" s="258" t="n">
        <v>244342</v>
      </c>
      <c r="L153" s="258" t="n">
        <v>261313</v>
      </c>
      <c r="M153" s="258" t="n">
        <v>155388</v>
      </c>
      <c r="N153" s="258" t="n">
        <v>641729</v>
      </c>
      <c r="O153" s="258" t="n">
        <v>112342</v>
      </c>
      <c r="P153" s="258" t="n">
        <v>137284</v>
      </c>
      <c r="Q153" s="258" t="n">
        <v>112088</v>
      </c>
      <c r="R153" s="258" t="n">
        <v>139417</v>
      </c>
      <c r="S153" s="258" t="n">
        <v>117661</v>
      </c>
      <c r="T153" s="258" t="n">
        <v>140164</v>
      </c>
      <c r="U153" s="258" t="n">
        <v>54032</v>
      </c>
      <c r="V153" s="258" t="n">
        <v>80276</v>
      </c>
      <c r="W153" s="258" t="n">
        <v>113180</v>
      </c>
      <c r="X153" s="258" t="n">
        <v>104836</v>
      </c>
      <c r="Y153" s="258" t="n">
        <v>71205</v>
      </c>
      <c r="Z153" s="258" t="n">
        <v>84746</v>
      </c>
      <c r="AA153" s="258" t="n">
        <v>112650</v>
      </c>
      <c r="AB153" s="258" t="n">
        <v>92954</v>
      </c>
      <c r="AC153" s="258" t="n">
        <v>81169</v>
      </c>
      <c r="AD153" s="258" t="n">
        <v>103139</v>
      </c>
      <c r="AE153" s="258" t="n">
        <v>120293</v>
      </c>
      <c r="AF153" s="258" t="n">
        <v>102759</v>
      </c>
      <c r="AG153" s="258" t="n">
        <v>79546</v>
      </c>
      <c r="AH153" s="258" t="n">
        <v>90018</v>
      </c>
      <c r="AI153" s="258" t="n">
        <v>107153</v>
      </c>
      <c r="AJ153" s="258" t="n">
        <v>130903</v>
      </c>
    </row>
    <row r="154">
      <c r="A154" t="n">
        <v>62</v>
      </c>
      <c r="B154" t="n">
        <v>1</v>
      </c>
      <c r="G154" t="inlineStr">
        <is>
          <t>moeda</t>
        </is>
      </c>
      <c r="H154" t="inlineStr">
        <is>
          <t>Transmissao | ETEM | aba "ETEM"</t>
        </is>
      </c>
      <c r="J154" t="inlineStr">
        <is>
          <t>fonte</t>
        </is>
      </c>
      <c r="K154" s="258" t="n">
        <v>4437</v>
      </c>
      <c r="L154" s="258" t="n">
        <v>1918</v>
      </c>
      <c r="M154" s="258" t="n">
        <v>3572</v>
      </c>
      <c r="N154" s="258" t="n">
        <v>4895</v>
      </c>
      <c r="O154" s="258" t="n">
        <v>5496</v>
      </c>
      <c r="P154" s="258" t="n">
        <v>6175</v>
      </c>
      <c r="Q154" s="258" t="n">
        <v>6029</v>
      </c>
      <c r="R154" s="258" t="n">
        <v>6203</v>
      </c>
      <c r="S154" s="258" t="n">
        <v>6269</v>
      </c>
      <c r="T154" s="258" t="n">
        <v>7684</v>
      </c>
      <c r="U154" s="258" t="n">
        <v>2836</v>
      </c>
      <c r="V154" s="258" t="n">
        <v>4282</v>
      </c>
      <c r="W154" s="258" t="n">
        <v>6113</v>
      </c>
      <c r="X154" s="258" t="n">
        <v>5599</v>
      </c>
      <c r="Y154" s="258" t="n">
        <v>3804</v>
      </c>
      <c r="Z154" s="258" t="n">
        <v>4467</v>
      </c>
      <c r="AA154" s="258" t="n">
        <v>5959</v>
      </c>
      <c r="AB154" s="258" t="n">
        <v>4746</v>
      </c>
      <c r="AC154" s="258" t="n">
        <v>4228</v>
      </c>
      <c r="AD154" s="258" t="n">
        <v>5344</v>
      </c>
      <c r="AE154" s="258" t="n">
        <v>6593</v>
      </c>
      <c r="AF154" s="258" t="n">
        <v>5347</v>
      </c>
      <c r="AG154" s="258" t="n">
        <v>4082</v>
      </c>
      <c r="AH154" s="258" t="n">
        <v>4583</v>
      </c>
      <c r="AI154" s="258" t="n">
        <v>5446</v>
      </c>
      <c r="AJ154" s="258" t="n">
        <v>6696</v>
      </c>
    </row>
    <row r="155">
      <c r="A155" t="n">
        <v>63</v>
      </c>
      <c r="B155" t="n">
        <v>1</v>
      </c>
      <c r="G155" t="inlineStr">
        <is>
          <t>moeda</t>
        </is>
      </c>
      <c r="H155" t="inlineStr">
        <is>
          <t>Transmissao | TNE | aba "TNE" [controle compartilhado: entra no consolidado por equivalencia]</t>
        </is>
      </c>
      <c r="J155" t="inlineStr">
        <is>
          <t>fonte</t>
        </is>
      </c>
      <c r="K155" s="258" t="n">
        <v>193717</v>
      </c>
      <c r="L155" s="258" t="n">
        <v>5088</v>
      </c>
      <c r="M155" s="258" t="n">
        <v>1992</v>
      </c>
      <c r="N155" s="258" t="n">
        <v>-25724</v>
      </c>
      <c r="O155" s="258" t="n">
        <v>5440</v>
      </c>
      <c r="P155" s="258" t="n">
        <v>6195</v>
      </c>
      <c r="Q155" s="258" t="n">
        <v>5376</v>
      </c>
      <c r="R155" s="258" t="n">
        <v>5206</v>
      </c>
      <c r="S155" s="258" t="n">
        <v>3634</v>
      </c>
      <c r="T155" s="258" t="n">
        <v>6398</v>
      </c>
      <c r="U155" s="258" t="n">
        <v>14105</v>
      </c>
      <c r="V155" s="258" t="n">
        <v>33618</v>
      </c>
      <c r="W155" s="258" t="n">
        <v>15185</v>
      </c>
      <c r="X155" s="258" t="n">
        <v>23083</v>
      </c>
      <c r="Y155" s="258" t="n">
        <v>66286</v>
      </c>
      <c r="Z155" s="258" t="n">
        <v>242892</v>
      </c>
      <c r="AA155" s="258" t="n">
        <v>288075</v>
      </c>
      <c r="AB155" s="258" t="n">
        <v>562531</v>
      </c>
      <c r="AC155" s="258" t="n">
        <v>749807</v>
      </c>
      <c r="AD155" s="258" t="n">
        <v>717261</v>
      </c>
      <c r="AE155" s="258" t="n">
        <v>623738</v>
      </c>
      <c r="AF155" s="258" t="n">
        <v>172372</v>
      </c>
      <c r="AG155" s="258" t="n">
        <v>2279208</v>
      </c>
      <c r="AH155" s="258" t="n">
        <v>133091</v>
      </c>
      <c r="AI155" s="258" t="n">
        <v>168521</v>
      </c>
      <c r="AJ155" s="258" t="n">
        <v>215897</v>
      </c>
    </row>
    <row r="156">
      <c r="A156" t="n">
        <v>64</v>
      </c>
      <c r="B156" t="n">
        <v>1</v>
      </c>
      <c r="G156" t="inlineStr">
        <is>
          <t>moeda</t>
        </is>
      </c>
      <c r="H156" t="inlineStr">
        <is>
          <t>Transmissao | ETES | aba "ETES"</t>
        </is>
      </c>
      <c r="J156" t="inlineStr">
        <is>
          <t>fonte</t>
        </is>
      </c>
      <c r="K156" s="258" t="n">
        <v>7316</v>
      </c>
      <c r="L156" s="258" t="n">
        <v>3562</v>
      </c>
      <c r="M156" s="258" t="n">
        <v>23340</v>
      </c>
      <c r="N156" s="258" t="n">
        <v>5158</v>
      </c>
      <c r="O156" s="258" t="n">
        <v>608</v>
      </c>
      <c r="P156" s="258" t="n">
        <v>6208</v>
      </c>
      <c r="Q156" s="258" t="n">
        <v>5469</v>
      </c>
      <c r="R156" s="258" t="n">
        <v>6627</v>
      </c>
      <c r="S156" s="258" t="n">
        <v>5685</v>
      </c>
      <c r="T156" s="258" t="n">
        <v>6785</v>
      </c>
      <c r="U156" s="258" t="n">
        <v>3505</v>
      </c>
      <c r="V156" s="258" t="n">
        <v>4304</v>
      </c>
      <c r="W156" s="258" t="n">
        <v>5727</v>
      </c>
      <c r="X156" s="258" t="n">
        <v>5305</v>
      </c>
      <c r="Y156" s="258" t="n">
        <v>3946</v>
      </c>
      <c r="Z156" s="258" t="n">
        <v>4320</v>
      </c>
      <c r="AA156" s="258" t="n">
        <v>5458</v>
      </c>
      <c r="AB156" s="258" t="n">
        <v>4687</v>
      </c>
      <c r="AC156" s="258" t="n">
        <v>3916</v>
      </c>
      <c r="AD156" s="258" t="n">
        <v>5028</v>
      </c>
      <c r="AE156" s="258" t="n">
        <v>5747</v>
      </c>
      <c r="AF156" s="258" t="n">
        <v>4996</v>
      </c>
      <c r="AG156" s="258" t="n">
        <v>4014</v>
      </c>
      <c r="AH156" s="258" t="n">
        <v>4430</v>
      </c>
      <c r="AI156" s="258" t="n">
        <v>5108</v>
      </c>
      <c r="AJ156" s="258" t="n">
        <v>6034</v>
      </c>
    </row>
    <row r="157">
      <c r="A157" t="n">
        <v>65</v>
      </c>
      <c r="B157" t="n">
        <v>1</v>
      </c>
      <c r="G157" t="inlineStr">
        <is>
          <t>moeda</t>
        </is>
      </c>
      <c r="H157" t="inlineStr">
        <is>
          <t>Transmissao | STN | aba "STN"</t>
        </is>
      </c>
      <c r="J157" t="inlineStr">
        <is>
          <t>fonte</t>
        </is>
      </c>
      <c r="K157" s="258" t="n">
        <v>34966</v>
      </c>
      <c r="L157" s="258" t="n">
        <v>33171</v>
      </c>
      <c r="M157" s="258" t="n">
        <v>50624</v>
      </c>
      <c r="N157" s="258" t="n">
        <v>70260</v>
      </c>
      <c r="O157" s="258" t="n">
        <v>52242</v>
      </c>
      <c r="P157" s="258" t="n">
        <v>64313</v>
      </c>
      <c r="Q157" s="258" t="n">
        <v>44134</v>
      </c>
      <c r="R157" s="258" t="n">
        <v>-14633</v>
      </c>
      <c r="S157" s="258" t="n">
        <v>51216</v>
      </c>
      <c r="T157" s="258" t="n">
        <v>48566</v>
      </c>
      <c r="U157" s="258" t="n">
        <v>38625</v>
      </c>
      <c r="V157" s="258" t="n">
        <v>45021</v>
      </c>
      <c r="W157" s="258" t="n">
        <v>31126</v>
      </c>
      <c r="X157" s="258" t="n">
        <v>3203</v>
      </c>
      <c r="Y157" s="258" t="n">
        <v>25143</v>
      </c>
      <c r="Z157" s="258" t="n">
        <v>37711</v>
      </c>
      <c r="AA157" s="258" t="n">
        <v>31247</v>
      </c>
      <c r="AB157" s="258" t="n">
        <v>33645</v>
      </c>
      <c r="AC157" s="258" t="n">
        <v>36961</v>
      </c>
      <c r="AD157" s="258" t="n">
        <v>40674</v>
      </c>
      <c r="AE157" s="258" t="n">
        <v>41117</v>
      </c>
      <c r="AF157" s="258" t="n">
        <v>26135</v>
      </c>
      <c r="AG157" s="258" t="n">
        <v>41617</v>
      </c>
      <c r="AH157" s="258" t="n">
        <v>30621</v>
      </c>
      <c r="AI157" s="258" t="n">
        <v>29273</v>
      </c>
      <c r="AJ157" s="258" t="n">
        <v>56666</v>
      </c>
    </row>
    <row r="158">
      <c r="A158" t="n">
        <v>66</v>
      </c>
      <c r="B158" t="n">
        <v>1</v>
      </c>
      <c r="G158" t="inlineStr">
        <is>
          <t>moeda</t>
        </is>
      </c>
      <c r="H158" t="inlineStr">
        <is>
          <t>Transmissao | EDTE | aba "EDTE"</t>
        </is>
      </c>
      <c r="J158" t="inlineStr">
        <is>
          <t>fonte</t>
        </is>
      </c>
      <c r="K158" s="258" t="n">
        <v>98849</v>
      </c>
      <c r="L158" s="258" t="n">
        <v>12744</v>
      </c>
      <c r="M158" s="258" t="n">
        <v>20903</v>
      </c>
      <c r="N158" s="258" t="n">
        <v>59509</v>
      </c>
      <c r="O158" s="258" t="n">
        <v>31420</v>
      </c>
      <c r="P158" s="258" t="n">
        <v>29895</v>
      </c>
      <c r="Q158" s="258" t="n">
        <v>31519</v>
      </c>
      <c r="R158" s="258" t="n">
        <v>39299</v>
      </c>
      <c r="S158" s="258" t="n">
        <v>33219</v>
      </c>
      <c r="T158" s="258" t="n">
        <v>40373</v>
      </c>
      <c r="U158" s="258" t="n">
        <v>16304</v>
      </c>
      <c r="V158" s="258" t="n">
        <v>23357</v>
      </c>
      <c r="W158" s="258" t="n">
        <v>32372</v>
      </c>
      <c r="X158" s="258" t="n">
        <v>30045</v>
      </c>
      <c r="Y158" s="258" t="n">
        <v>21100</v>
      </c>
      <c r="Z158" s="258" t="n">
        <v>24643</v>
      </c>
      <c r="AA158" s="258" t="n">
        <v>31622</v>
      </c>
      <c r="AB158" s="258" t="n">
        <v>26947</v>
      </c>
      <c r="AC158" s="258" t="n">
        <v>23746</v>
      </c>
      <c r="AD158" s="258" t="n">
        <v>29671</v>
      </c>
      <c r="AE158" s="258" t="n">
        <v>34592</v>
      </c>
      <c r="AF158" s="258" t="n">
        <v>29827</v>
      </c>
      <c r="AG158" s="258" t="n">
        <v>23412</v>
      </c>
      <c r="AH158" s="258" t="n">
        <v>26109</v>
      </c>
      <c r="AI158" s="258" t="n">
        <v>30917</v>
      </c>
      <c r="AJ158" s="258" t="n">
        <v>37483</v>
      </c>
    </row>
    <row r="159">
      <c r="A159" t="n">
        <v>67</v>
      </c>
      <c r="B159" t="n">
        <v>1</v>
      </c>
      <c r="G159" t="inlineStr">
        <is>
          <t>moeda</t>
        </is>
      </c>
      <c r="H159" t="inlineStr">
        <is>
          <t>Transmissao | ETVG | aba "ETVG"</t>
        </is>
      </c>
      <c r="J159" t="inlineStr">
        <is>
          <t>fonte</t>
        </is>
      </c>
      <c r="K159" s="258" t="n">
        <v>3803</v>
      </c>
      <c r="L159" s="258" t="n">
        <v>33171</v>
      </c>
      <c r="M159" s="258" t="n">
        <v>3067</v>
      </c>
      <c r="N159" s="258" t="n">
        <v>4324</v>
      </c>
      <c r="O159" s="258" t="n">
        <v>4836</v>
      </c>
      <c r="P159" s="258" t="n">
        <v>4762</v>
      </c>
      <c r="Q159" s="258" t="n">
        <v>20215</v>
      </c>
      <c r="R159" s="258" t="n">
        <v>7364</v>
      </c>
      <c r="S159" s="258" t="n">
        <v>7061</v>
      </c>
      <c r="T159" s="258" t="n">
        <v>8602</v>
      </c>
      <c r="U159" s="258" t="n">
        <v>2400</v>
      </c>
      <c r="V159" s="258" t="n">
        <v>4478</v>
      </c>
      <c r="W159" s="258" t="n">
        <v>6604</v>
      </c>
      <c r="X159" s="258" t="n">
        <v>5994</v>
      </c>
      <c r="Y159" s="258" t="n">
        <v>3694</v>
      </c>
      <c r="Z159" s="258" t="n">
        <v>4537</v>
      </c>
      <c r="AA159" s="258" t="n">
        <v>6310</v>
      </c>
      <c r="AB159" s="258" t="n">
        <v>5071</v>
      </c>
      <c r="AC159" s="258" t="n">
        <v>-1538</v>
      </c>
      <c r="AD159" s="258" t="n">
        <v>5211</v>
      </c>
      <c r="AE159" s="258" t="n">
        <v>9771</v>
      </c>
      <c r="AF159" s="258" t="n">
        <v>5181</v>
      </c>
      <c r="AG159" s="258" t="n">
        <v>4090</v>
      </c>
      <c r="AH159" s="258" t="n">
        <v>4676</v>
      </c>
      <c r="AI159" s="258" t="n">
        <v>5438</v>
      </c>
      <c r="AJ159" s="258" t="n">
        <v>7030</v>
      </c>
    </row>
    <row r="160">
      <c r="A160" t="n">
        <v>68</v>
      </c>
      <c r="B160" t="n">
        <v>1</v>
      </c>
      <c r="G160" t="inlineStr">
        <is>
          <t>moeda</t>
        </is>
      </c>
      <c r="H160" t="inlineStr">
        <is>
          <t>Transmissao | ELTE | aba "ELTE"</t>
        </is>
      </c>
      <c r="J160" t="inlineStr">
        <is>
          <t>fonte</t>
        </is>
      </c>
      <c r="K160" s="258" t="n">
        <v>-91</v>
      </c>
      <c r="L160" s="258" t="n">
        <v>439</v>
      </c>
      <c r="M160" s="258" t="n">
        <v>1211</v>
      </c>
      <c r="N160" s="258" t="n">
        <v>4536</v>
      </c>
      <c r="O160" s="258" t="n">
        <v>201</v>
      </c>
      <c r="P160" s="258" t="n">
        <v>4371</v>
      </c>
      <c r="Q160" s="258" t="n">
        <v>-6612</v>
      </c>
      <c r="R160" s="258" t="n">
        <v>5020</v>
      </c>
      <c r="S160" s="258" t="n">
        <v>1445</v>
      </c>
      <c r="T160" s="258" t="n">
        <v>43586</v>
      </c>
      <c r="U160" s="258" t="n">
        <v>26580</v>
      </c>
      <c r="V160" s="258" t="n">
        <v>52728</v>
      </c>
      <c r="W160" s="258" t="n">
        <v>69339</v>
      </c>
      <c r="X160" s="258" t="n">
        <v>43353</v>
      </c>
      <c r="Y160" s="258" t="n">
        <v>34344</v>
      </c>
      <c r="Z160" s="258" t="n">
        <v>51113</v>
      </c>
      <c r="AA160" s="258" t="n">
        <v>99704</v>
      </c>
      <c r="AB160" s="258" t="n">
        <v>131108</v>
      </c>
      <c r="AC160" s="258" t="n">
        <v>124479</v>
      </c>
      <c r="AD160" s="258" t="n">
        <v>40369</v>
      </c>
      <c r="AE160" s="258" t="n">
        <v>85557</v>
      </c>
      <c r="AF160" s="258" t="n">
        <v>114844</v>
      </c>
      <c r="AG160" s="258" t="n">
        <v>19725</v>
      </c>
      <c r="AH160" s="258" t="n">
        <v>21780</v>
      </c>
      <c r="AI160" s="258" t="n">
        <v>29720</v>
      </c>
      <c r="AJ160" s="258" t="n">
        <v>33323</v>
      </c>
    </row>
    <row r="161">
      <c r="A161" t="n">
        <v>69</v>
      </c>
      <c r="B161" t="n">
        <v>1</v>
      </c>
      <c r="G161" t="inlineStr">
        <is>
          <t>moeda</t>
        </is>
      </c>
      <c r="H161" t="inlineStr">
        <is>
          <t>Transmissao | ETAP | aba "ETAP"</t>
        </is>
      </c>
      <c r="J161" t="inlineStr">
        <is>
          <t>fonte</t>
        </is>
      </c>
      <c r="K161" s="258" t="n">
        <v>20433</v>
      </c>
      <c r="L161" s="258" t="n">
        <v>10224</v>
      </c>
      <c r="M161" s="258" t="n">
        <v>16747</v>
      </c>
      <c r="N161" s="258" t="n">
        <v>31592</v>
      </c>
      <c r="O161" s="258" t="n">
        <v>25157</v>
      </c>
      <c r="P161" s="258" t="n">
        <v>23853</v>
      </c>
      <c r="Q161" s="258" t="n">
        <v>25245</v>
      </c>
      <c r="R161" s="258" t="n">
        <v>30539</v>
      </c>
      <c r="S161" s="258" t="n">
        <v>26693</v>
      </c>
      <c r="T161" s="258" t="n">
        <v>32379</v>
      </c>
      <c r="U161" s="258" t="n">
        <v>13329</v>
      </c>
      <c r="V161" s="258" t="n">
        <v>18901</v>
      </c>
      <c r="W161" s="258" t="n">
        <v>26047</v>
      </c>
      <c r="X161" s="258" t="n">
        <v>24218</v>
      </c>
      <c r="Y161" s="258" t="n">
        <v>17130</v>
      </c>
      <c r="Z161" s="258" t="n">
        <v>19922</v>
      </c>
      <c r="AA161" s="258" t="n">
        <v>25911</v>
      </c>
      <c r="AB161" s="258" t="n">
        <v>21778</v>
      </c>
      <c r="AC161" s="258" t="n">
        <v>19232</v>
      </c>
      <c r="AD161" s="258" t="n">
        <v>23929</v>
      </c>
      <c r="AE161" s="258" t="n">
        <v>27775</v>
      </c>
      <c r="AF161" s="258" t="n">
        <v>24054</v>
      </c>
      <c r="AG161" s="258" t="n">
        <v>18985</v>
      </c>
      <c r="AH161" s="258" t="n">
        <v>21118</v>
      </c>
      <c r="AI161" s="258" t="n">
        <v>24881</v>
      </c>
      <c r="AJ161" s="258" t="n">
        <v>30147</v>
      </c>
    </row>
    <row r="162">
      <c r="A162" t="n">
        <v>70</v>
      </c>
      <c r="B162" t="n">
        <v>1</v>
      </c>
      <c r="G162" t="inlineStr">
        <is>
          <t>moeda</t>
        </is>
      </c>
      <c r="H162" t="inlineStr">
        <is>
          <t>Transmissao | ETC | aba "ETC"</t>
        </is>
      </c>
      <c r="J162" t="inlineStr">
        <is>
          <t>fonte</t>
        </is>
      </c>
      <c r="K162" s="258" t="n">
        <v>9421</v>
      </c>
      <c r="L162" s="258" t="n">
        <v>4198</v>
      </c>
      <c r="M162" s="258" t="n">
        <v>-24977</v>
      </c>
      <c r="N162" s="258" t="n">
        <v>65423</v>
      </c>
      <c r="O162" s="258" t="n">
        <v>15148</v>
      </c>
      <c r="P162" s="258" t="n">
        <v>16216</v>
      </c>
      <c r="Q162" s="258" t="n">
        <v>14508</v>
      </c>
      <c r="R162" s="258" t="n">
        <v>17295</v>
      </c>
      <c r="S162" s="258" t="n">
        <v>15181</v>
      </c>
      <c r="T162" s="258" t="n">
        <v>18328</v>
      </c>
      <c r="U162" s="258" t="n">
        <v>8040</v>
      </c>
      <c r="V162" s="258" t="n">
        <v>11115</v>
      </c>
      <c r="W162" s="258" t="n">
        <v>15039</v>
      </c>
      <c r="X162" s="258" t="n">
        <v>14066</v>
      </c>
      <c r="Y162" s="258" t="n">
        <v>10166</v>
      </c>
      <c r="Z162" s="258" t="n">
        <v>11719</v>
      </c>
      <c r="AA162" s="258" t="n">
        <v>15015</v>
      </c>
      <c r="AB162" s="258" t="n">
        <v>12771</v>
      </c>
      <c r="AC162" s="258" t="n">
        <v>11358</v>
      </c>
      <c r="AD162" s="258" t="n">
        <v>13967</v>
      </c>
      <c r="AE162" s="258" t="n">
        <v>16087</v>
      </c>
      <c r="AF162" s="258" t="n">
        <v>14092</v>
      </c>
      <c r="AG162" s="258" t="n">
        <v>11270</v>
      </c>
      <c r="AH162" s="258" t="n">
        <v>12478</v>
      </c>
      <c r="AI162" s="258" t="n">
        <v>14591</v>
      </c>
      <c r="AJ162" s="258" t="n">
        <v>17419</v>
      </c>
    </row>
    <row r="163">
      <c r="A163" t="n">
        <v>71</v>
      </c>
      <c r="B163" t="n">
        <v>1</v>
      </c>
      <c r="G163" t="inlineStr">
        <is>
          <t>moeda</t>
        </is>
      </c>
      <c r="H163" t="inlineStr">
        <is>
          <t>Transmissao | TCC | aba "TCC"</t>
        </is>
      </c>
      <c r="J163" t="inlineStr">
        <is>
          <t>fonte</t>
        </is>
      </c>
      <c r="K163" s="258" t="n">
        <v>130898</v>
      </c>
      <c r="L163" s="258" t="n">
        <v>125845</v>
      </c>
      <c r="M163" s="258" t="n">
        <v>206472</v>
      </c>
      <c r="N163" s="258" t="n">
        <v>192204</v>
      </c>
      <c r="O163" s="258" t="n">
        <v>402043</v>
      </c>
      <c r="P163" s="258" t="n">
        <v>90586</v>
      </c>
      <c r="Q163" s="258" t="n">
        <v>76026</v>
      </c>
      <c r="R163" s="258" t="n">
        <v>94017</v>
      </c>
      <c r="S163" s="258" t="n">
        <v>79901</v>
      </c>
      <c r="T163" s="258" t="n">
        <v>97828</v>
      </c>
      <c r="U163" s="258" t="n">
        <v>36629</v>
      </c>
      <c r="V163" s="258" t="n">
        <v>54471</v>
      </c>
      <c r="W163" s="258" t="n">
        <v>76929</v>
      </c>
      <c r="X163" s="258" t="n">
        <v>71150</v>
      </c>
      <c r="Y163" s="258" t="n">
        <v>48567</v>
      </c>
      <c r="Z163" s="258" t="n">
        <v>57240</v>
      </c>
      <c r="AA163" s="258" t="n">
        <v>76335</v>
      </c>
      <c r="AB163" s="258" t="n">
        <v>62868</v>
      </c>
      <c r="AC163" s="258" t="n">
        <v>54841</v>
      </c>
      <c r="AD163" s="258" t="n">
        <v>69307</v>
      </c>
      <c r="AE163" s="258" t="n">
        <v>82130</v>
      </c>
      <c r="AF163" s="258" t="n">
        <v>69951</v>
      </c>
      <c r="AG163" s="258" t="n">
        <v>54000</v>
      </c>
      <c r="AH163" s="258" t="n">
        <v>60687</v>
      </c>
      <c r="AI163" s="258" t="n">
        <v>72656</v>
      </c>
      <c r="AJ163" s="258" t="n">
        <v>88941</v>
      </c>
    </row>
    <row r="164">
      <c r="A164" t="n">
        <v>72</v>
      </c>
      <c r="B164" t="n">
        <v>1</v>
      </c>
      <c r="G164" t="inlineStr">
        <is>
          <t>moeda</t>
        </is>
      </c>
      <c r="H164" t="inlineStr">
        <is>
          <t>Transmissao | ESTE | aba "ESTE"</t>
        </is>
      </c>
      <c r="J164" t="inlineStr">
        <is>
          <t>fonte</t>
        </is>
      </c>
      <c r="K164" s="258" t="n">
        <v>84668</v>
      </c>
      <c r="L164" s="258" t="n">
        <v>109389</v>
      </c>
      <c r="M164" s="258" t="n">
        <v>119065</v>
      </c>
      <c r="N164" s="258" t="n">
        <v>150888</v>
      </c>
      <c r="O164" s="258" t="n">
        <v>146612</v>
      </c>
      <c r="P164" s="258" t="n">
        <v>163481</v>
      </c>
      <c r="Q164" s="258" t="n">
        <v>145105</v>
      </c>
      <c r="R164" s="258" t="n">
        <v>21244</v>
      </c>
      <c r="S164" s="258" t="n">
        <v>250784</v>
      </c>
      <c r="T164" s="258" t="n">
        <v>67122</v>
      </c>
      <c r="U164" s="258" t="n">
        <v>24899</v>
      </c>
      <c r="V164" s="258" t="n">
        <v>63860</v>
      </c>
      <c r="W164" s="258" t="n">
        <v>53342</v>
      </c>
      <c r="X164" s="258" t="n">
        <v>49181</v>
      </c>
      <c r="Y164" s="258" t="n">
        <v>33948</v>
      </c>
      <c r="Z164" s="258" t="n">
        <v>40030</v>
      </c>
      <c r="AA164" s="258" t="n">
        <v>52969</v>
      </c>
      <c r="AB164" s="258" t="n">
        <v>43964</v>
      </c>
      <c r="AC164" s="258" t="n">
        <v>37722</v>
      </c>
      <c r="AD164" s="258" t="n">
        <v>48386</v>
      </c>
      <c r="AE164" s="258" t="n">
        <v>56800</v>
      </c>
      <c r="AF164" s="258" t="n">
        <v>48453</v>
      </c>
      <c r="AG164" s="258" t="n">
        <v>37351</v>
      </c>
      <c r="AH164" s="258" t="n">
        <v>41421</v>
      </c>
      <c r="AI164" s="258" t="n">
        <v>50266</v>
      </c>
      <c r="AJ164" s="258" t="n">
        <v>61497</v>
      </c>
    </row>
    <row r="165">
      <c r="A165" t="n">
        <v>73</v>
      </c>
      <c r="B165" t="n">
        <v>1</v>
      </c>
      <c r="G165" t="inlineStr">
        <is>
          <t>moeda</t>
        </is>
      </c>
      <c r="H165" t="inlineStr">
        <is>
          <t>Transmissao | TCE | aba "TCE"</t>
        </is>
      </c>
      <c r="J165" t="inlineStr">
        <is>
          <t>fonte</t>
        </is>
      </c>
      <c r="K165" s="258" t="n">
        <v>0</v>
      </c>
      <c r="L165" s="258" t="n">
        <v>0</v>
      </c>
      <c r="M165" s="258" t="n">
        <v>0</v>
      </c>
      <c r="N165" s="258" t="n">
        <v>0</v>
      </c>
      <c r="O165" s="258" t="n">
        <v>0</v>
      </c>
      <c r="P165" s="258" t="n">
        <v>0</v>
      </c>
      <c r="Q165" s="258" t="n">
        <v>0</v>
      </c>
      <c r="R165" s="258" t="n">
        <v>0</v>
      </c>
      <c r="S165" s="258" t="n">
        <v>0</v>
      </c>
      <c r="T165" s="258" t="n">
        <v>0</v>
      </c>
      <c r="U165" s="258" t="n">
        <v>0</v>
      </c>
      <c r="V165" s="258" t="n">
        <v>0</v>
      </c>
      <c r="W165" s="258" t="n">
        <v>0</v>
      </c>
      <c r="X165" s="258" t="n">
        <v>0</v>
      </c>
      <c r="Y165" s="258" t="n">
        <v>0</v>
      </c>
      <c r="Z165" s="258" t="n">
        <v>0</v>
      </c>
      <c r="AA165" s="258" t="n">
        <v>0</v>
      </c>
      <c r="AB165" s="258" t="n">
        <v>0</v>
      </c>
      <c r="AC165" s="258" t="n">
        <v>0</v>
      </c>
      <c r="AD165" s="258" t="n">
        <v>0</v>
      </c>
      <c r="AE165" s="258" t="n">
        <v>0</v>
      </c>
      <c r="AF165" s="258" t="n">
        <v>0</v>
      </c>
      <c r="AG165" s="258" t="n">
        <v>0</v>
      </c>
      <c r="AH165" s="258" t="n">
        <v>34587</v>
      </c>
      <c r="AI165" s="258" t="n">
        <v>45445</v>
      </c>
      <c r="AJ165" s="258" t="n">
        <v>43448</v>
      </c>
    </row>
    <row r="166">
      <c r="A166" t="n">
        <v>74</v>
      </c>
      <c r="B166" t="n">
        <v>1</v>
      </c>
      <c r="G166" t="inlineStr">
        <is>
          <t>moeda</t>
        </is>
      </c>
      <c r="H166" t="inlineStr">
        <is>
          <t>Transmissao | TSM | aba "TSM"</t>
        </is>
      </c>
      <c r="J166" t="inlineStr">
        <is>
          <t>fonte</t>
        </is>
      </c>
      <c r="K166" s="258" t="n">
        <v>29292</v>
      </c>
      <c r="L166" s="258" t="n">
        <v>69091</v>
      </c>
      <c r="M166" s="258" t="n">
        <v>207367</v>
      </c>
      <c r="N166" s="258" t="n">
        <v>251524</v>
      </c>
      <c r="O166" s="258" t="n">
        <v>159770</v>
      </c>
      <c r="P166" s="258" t="n">
        <v>32080</v>
      </c>
      <c r="Q166" s="258" t="n">
        <v>117475</v>
      </c>
      <c r="R166" s="258" t="n">
        <v>275684</v>
      </c>
      <c r="S166" s="258" t="n">
        <v>54936</v>
      </c>
      <c r="T166" s="258" t="n">
        <v>45102</v>
      </c>
      <c r="U166" s="258" t="n">
        <v>25421</v>
      </c>
      <c r="V166" s="258" t="n">
        <v>37953</v>
      </c>
      <c r="W166" s="258" t="n">
        <v>53831</v>
      </c>
      <c r="X166" s="258" t="n">
        <v>49666</v>
      </c>
      <c r="Y166" s="258" t="n">
        <v>33104</v>
      </c>
      <c r="Z166" s="258" t="n">
        <v>39112</v>
      </c>
      <c r="AA166" s="258" t="n">
        <v>52096</v>
      </c>
      <c r="AB166" s="258" t="n">
        <v>43057</v>
      </c>
      <c r="AC166" s="258" t="n">
        <v>37548</v>
      </c>
      <c r="AD166" s="258" t="n">
        <v>47726</v>
      </c>
      <c r="AE166" s="258" t="n">
        <v>56082</v>
      </c>
      <c r="AF166" s="258" t="n">
        <v>47693</v>
      </c>
      <c r="AG166" s="258" t="n">
        <v>36830</v>
      </c>
      <c r="AH166" s="258" t="n">
        <v>41429</v>
      </c>
      <c r="AI166" s="258" t="n">
        <v>49574</v>
      </c>
      <c r="AJ166" s="258" t="n">
        <v>60770</v>
      </c>
    </row>
    <row r="167">
      <c r="A167" t="n">
        <v>75</v>
      </c>
      <c r="B167" t="n">
        <v>1</v>
      </c>
      <c r="G167" t="inlineStr">
        <is>
          <t>moeda</t>
        </is>
      </c>
      <c r="H167" t="inlineStr">
        <is>
          <t>Transmissao | ETB | aba "ETB"</t>
        </is>
      </c>
      <c r="J167" t="inlineStr">
        <is>
          <t>fonte</t>
        </is>
      </c>
      <c r="K167" s="258" t="n">
        <v>133850</v>
      </c>
      <c r="L167" s="258" t="n">
        <v>88590</v>
      </c>
      <c r="M167" s="258" t="n">
        <v>199094</v>
      </c>
      <c r="N167" s="258" t="n">
        <v>234029</v>
      </c>
      <c r="O167" s="258" t="n">
        <v>63236</v>
      </c>
      <c r="P167" s="258" t="n">
        <v>76974</v>
      </c>
      <c r="Q167" s="258" t="n">
        <v>63720</v>
      </c>
      <c r="R167" s="258" t="n">
        <v>78343</v>
      </c>
      <c r="S167" s="258" t="n">
        <v>67153</v>
      </c>
      <c r="T167" s="258" t="n">
        <v>85085</v>
      </c>
      <c r="U167" s="258" t="n">
        <v>34234</v>
      </c>
      <c r="V167" s="258" t="n">
        <v>48279</v>
      </c>
      <c r="W167" s="258" t="n">
        <v>66291</v>
      </c>
      <c r="X167" s="258" t="n">
        <v>61707</v>
      </c>
      <c r="Y167" s="258" t="n">
        <v>43673</v>
      </c>
      <c r="Z167" s="258" t="n">
        <v>50732</v>
      </c>
      <c r="AA167" s="258" t="n">
        <v>65824</v>
      </c>
      <c r="AB167" s="258" t="n">
        <v>55423</v>
      </c>
      <c r="AC167" s="258" t="n">
        <v>48921</v>
      </c>
      <c r="AD167" s="258" t="n">
        <v>60884</v>
      </c>
      <c r="AE167" s="258" t="n">
        <v>70733</v>
      </c>
      <c r="AF167" s="258" t="n">
        <v>61248</v>
      </c>
      <c r="AG167" s="258" t="n">
        <v>48419</v>
      </c>
      <c r="AH167" s="258" t="n">
        <v>51914</v>
      </c>
      <c r="AI167" s="258" t="n">
        <v>63510</v>
      </c>
      <c r="AJ167" s="258" t="n">
        <v>76682</v>
      </c>
    </row>
    <row r="168">
      <c r="A168" t="n">
        <v>76</v>
      </c>
      <c r="B168" t="n">
        <v>1</v>
      </c>
      <c r="G168" t="inlineStr">
        <is>
          <t>moeda</t>
        </is>
      </c>
      <c r="H168" t="inlineStr">
        <is>
          <t>Transmissao | AETE | aba "AETE"</t>
        </is>
      </c>
      <c r="J168" t="inlineStr">
        <is>
          <t>fonte</t>
        </is>
      </c>
      <c r="K168" s="258" t="n">
        <v>14681</v>
      </c>
      <c r="L168" s="258" t="n">
        <v>8617</v>
      </c>
      <c r="M168" s="258" t="n">
        <v>13975</v>
      </c>
      <c r="N168" s="258" t="n">
        <v>22902</v>
      </c>
      <c r="O168" s="258" t="n">
        <v>15388</v>
      </c>
      <c r="P168" s="258" t="n">
        <v>21904</v>
      </c>
      <c r="Q168" s="258" t="n">
        <v>9839</v>
      </c>
      <c r="R168" s="258" t="n">
        <v>5896</v>
      </c>
      <c r="S168" s="258" t="n">
        <v>15353</v>
      </c>
      <c r="T168" s="258" t="n">
        <v>14603</v>
      </c>
      <c r="U168" s="258" t="n">
        <v>8005</v>
      </c>
      <c r="V168" s="258" t="n">
        <v>2927</v>
      </c>
      <c r="W168" s="258" t="n">
        <v>8715</v>
      </c>
      <c r="X168" s="258" t="n">
        <v>2498</v>
      </c>
      <c r="Y168" s="258" t="n">
        <v>-2516</v>
      </c>
      <c r="Z168" s="258" t="n">
        <v>9491</v>
      </c>
      <c r="AA168" s="258" t="n">
        <v>7656</v>
      </c>
      <c r="AB168" s="258" t="n">
        <v>8310</v>
      </c>
      <c r="AC168" s="258" t="n">
        <v>9232</v>
      </c>
      <c r="AD168" s="258" t="n">
        <v>12312</v>
      </c>
      <c r="AE168" s="258" t="n">
        <v>10785</v>
      </c>
      <c r="AF168" s="258" t="n">
        <v>6367</v>
      </c>
      <c r="AG168" s="258" t="n">
        <v>4348</v>
      </c>
      <c r="AH168" s="258" t="n">
        <v>7635</v>
      </c>
      <c r="AI168" s="258" t="n">
        <v>6489</v>
      </c>
      <c r="AJ168" s="258" t="n">
        <v>13194</v>
      </c>
    </row>
    <row r="169">
      <c r="A169" t="n">
        <v>77</v>
      </c>
      <c r="B169" t="n">
        <v>1</v>
      </c>
      <c r="G169" t="inlineStr">
        <is>
          <t>moeda</t>
        </is>
      </c>
      <c r="H169" t="inlineStr">
        <is>
          <t>Transmissao | TECP | aba "TECP"</t>
        </is>
      </c>
      <c r="J169" t="inlineStr">
        <is>
          <t>fonte</t>
        </is>
      </c>
      <c r="K169" s="258" t="n"/>
      <c r="L169" s="258" t="n"/>
      <c r="M169" s="258" t="n"/>
      <c r="N169" s="258" t="n"/>
      <c r="O169" s="258" t="n"/>
      <c r="P169" s="258" t="n"/>
      <c r="Q169" s="258" t="n"/>
      <c r="R169" s="258" t="n"/>
      <c r="S169" s="258" t="n"/>
      <c r="T169" s="258" t="n"/>
      <c r="U169" s="258" t="n"/>
      <c r="V169" s="258" t="n"/>
      <c r="W169" s="258" t="n"/>
      <c r="X169" s="258" t="n"/>
      <c r="Y169" s="258" t="n"/>
      <c r="Z169" s="258" t="n">
        <v>218</v>
      </c>
      <c r="AA169" s="258" t="n">
        <v>2522</v>
      </c>
      <c r="AB169" s="258" t="n">
        <v>2347</v>
      </c>
      <c r="AC169" s="258" t="n">
        <v>3360</v>
      </c>
      <c r="AD169" s="258" t="n">
        <v>11719</v>
      </c>
      <c r="AE169" s="258" t="n">
        <v>82577</v>
      </c>
      <c r="AF169" s="258" t="n">
        <v>67999</v>
      </c>
      <c r="AG169" s="258" t="n">
        <v>165995</v>
      </c>
      <c r="AH169" s="258" t="n">
        <v>165338</v>
      </c>
      <c r="AI169" s="258" t="n">
        <v>120196</v>
      </c>
      <c r="AJ169" s="258" t="n">
        <v>161951</v>
      </c>
    </row>
    <row r="170">
      <c r="A170" t="n">
        <v>78</v>
      </c>
      <c r="B170" t="n">
        <v>1</v>
      </c>
      <c r="G170" t="inlineStr">
        <is>
          <t>moeda</t>
        </is>
      </c>
      <c r="H170" t="inlineStr">
        <is>
          <t>Transmissao | TAP | aba "TAP"</t>
        </is>
      </c>
      <c r="J170" t="inlineStr">
        <is>
          <t>fonte</t>
        </is>
      </c>
      <c r="K170" s="258" t="n"/>
      <c r="L170" s="258" t="n"/>
      <c r="M170" s="258" t="n"/>
      <c r="N170" s="258" t="n"/>
      <c r="O170" s="258" t="n"/>
      <c r="P170" s="258" t="n"/>
      <c r="Q170" s="258" t="n"/>
      <c r="R170" s="258" t="n"/>
      <c r="S170" s="258" t="n"/>
      <c r="T170" s="258" t="n"/>
      <c r="U170" s="258" t="n"/>
      <c r="V170" s="258" t="n"/>
      <c r="W170" s="258" t="n"/>
      <c r="X170" s="258" t="n"/>
      <c r="Y170" s="258" t="n"/>
      <c r="Z170" s="258" t="n">
        <v>0</v>
      </c>
      <c r="AA170" s="258" t="n">
        <v>0</v>
      </c>
      <c r="AB170" s="258" t="n">
        <v>3696</v>
      </c>
      <c r="AC170" s="258" t="n">
        <v>-365</v>
      </c>
      <c r="AD170" s="258" t="n">
        <v>8606</v>
      </c>
      <c r="AE170" s="258" t="n">
        <v>2215</v>
      </c>
      <c r="AF170" s="258" t="n">
        <v>0</v>
      </c>
      <c r="AG170" s="258" t="n">
        <v>0</v>
      </c>
      <c r="AH170" s="258" t="n">
        <v>0</v>
      </c>
      <c r="AI170" s="258" t="n">
        <v>0</v>
      </c>
      <c r="AJ170" s="258" t="n">
        <v>0</v>
      </c>
    </row>
    <row r="171">
      <c r="A171" t="n">
        <v>79</v>
      </c>
      <c r="B171" t="n">
        <v>1</v>
      </c>
      <c r="G171" t="inlineStr">
        <is>
          <t>moeda</t>
        </is>
      </c>
      <c r="H171" t="inlineStr">
        <is>
          <t>Transmissao | TCN | aba "TCN"</t>
        </is>
      </c>
      <c r="J171" t="inlineStr">
        <is>
          <t>fonte</t>
        </is>
      </c>
      <c r="K171" s="258" t="n"/>
      <c r="L171" s="258" t="n"/>
      <c r="M171" s="258" t="n"/>
      <c r="N171" s="258" t="n"/>
      <c r="O171" s="258" t="n"/>
      <c r="P171" s="258" t="n"/>
      <c r="Q171" s="258" t="n"/>
      <c r="R171" s="258" t="n"/>
      <c r="S171" s="258" t="n"/>
      <c r="T171" s="258" t="n"/>
      <c r="U171" s="258" t="n"/>
      <c r="V171" s="258" t="n"/>
      <c r="W171" s="258" t="n"/>
      <c r="X171" s="258" t="n"/>
      <c r="Y171" s="258" t="n"/>
      <c r="Z171" s="258" t="n"/>
      <c r="AA171" s="258" t="n">
        <v>0</v>
      </c>
      <c r="AB171" s="258" t="n">
        <v>0</v>
      </c>
      <c r="AC171" s="258" t="n">
        <v>2322</v>
      </c>
      <c r="AD171" s="258" t="n">
        <v>2299</v>
      </c>
      <c r="AE171" s="258" t="n">
        <v>1786</v>
      </c>
      <c r="AF171" s="258" t="n">
        <v>3813</v>
      </c>
      <c r="AG171" s="258" t="n">
        <v>7605</v>
      </c>
      <c r="AH171" s="258" t="n">
        <v>16646</v>
      </c>
      <c r="AI171" s="258" t="n">
        <v>0</v>
      </c>
      <c r="AJ171" s="258" t="n"/>
    </row>
    <row r="172">
      <c r="A172" t="n">
        <v>80</v>
      </c>
      <c r="B172" t="n">
        <v>1</v>
      </c>
      <c r="G172" t="inlineStr">
        <is>
          <t>moeda</t>
        </is>
      </c>
      <c r="H172" t="inlineStr">
        <is>
          <t>Transmissao | TPC | aba "TPC"</t>
        </is>
      </c>
      <c r="J172" t="inlineStr">
        <is>
          <t>fonte</t>
        </is>
      </c>
      <c r="K172" s="258" t="n"/>
      <c r="L172" s="258" t="n"/>
      <c r="M172" s="258" t="n"/>
      <c r="N172" s="258" t="n"/>
      <c r="O172" s="258" t="n"/>
      <c r="P172" s="258" t="n"/>
      <c r="Q172" s="258" t="n"/>
      <c r="R172" s="258" t="n"/>
      <c r="S172" s="258" t="n"/>
      <c r="T172" s="258" t="n"/>
      <c r="U172" s="258" t="n"/>
      <c r="V172" s="258" t="n"/>
      <c r="W172" s="258" t="n"/>
      <c r="X172" s="258" t="n"/>
      <c r="Y172" s="258" t="n"/>
      <c r="Z172" s="258" t="n"/>
      <c r="AA172" s="258" t="n">
        <v>0</v>
      </c>
      <c r="AB172" s="258" t="n">
        <v>0</v>
      </c>
      <c r="AC172" s="258" t="n">
        <v>1051</v>
      </c>
      <c r="AD172" s="258" t="n">
        <v>1163</v>
      </c>
      <c r="AE172" s="258" t="n">
        <v>2755</v>
      </c>
      <c r="AF172" s="258" t="n">
        <v>2785</v>
      </c>
      <c r="AG172" s="258" t="n">
        <v>3856</v>
      </c>
      <c r="AH172" s="258" t="n">
        <v>7902</v>
      </c>
      <c r="AI172" s="258" t="n">
        <v>10130</v>
      </c>
      <c r="AJ172" s="258" t="n">
        <v>10703</v>
      </c>
    </row>
    <row r="173">
      <c r="A173" t="n">
        <v>81</v>
      </c>
      <c r="B173" t="n">
        <v>1</v>
      </c>
      <c r="G173" t="inlineStr">
        <is>
          <t>moeda</t>
        </is>
      </c>
      <c r="H173" s="254" t="inlineStr">
        <is>
          <t>Transmissao | TSA | aba "TSA"</t>
        </is>
      </c>
      <c r="J173" t="inlineStr">
        <is>
          <t>fonte</t>
        </is>
      </c>
      <c r="K173" s="258" t="n"/>
      <c r="L173" s="258" t="n"/>
      <c r="M173" s="258" t="n"/>
      <c r="N173" s="258" t="n"/>
      <c r="O173" s="258" t="n"/>
      <c r="P173" s="258" t="n"/>
      <c r="Q173" s="258" t="n"/>
      <c r="R173" s="258" t="n"/>
      <c r="S173" s="258" t="n"/>
      <c r="T173" s="258" t="n"/>
      <c r="U173" s="258" t="n"/>
      <c r="V173" s="258" t="n"/>
      <c r="W173" s="258" t="n"/>
      <c r="X173" s="258" t="n"/>
      <c r="Y173" s="258" t="n"/>
      <c r="Z173" s="258" t="n"/>
      <c r="AA173" s="258" t="n"/>
      <c r="AB173" s="258" t="n"/>
      <c r="AC173" s="258" t="n">
        <v>0</v>
      </c>
      <c r="AD173" s="258" t="n">
        <v>51793</v>
      </c>
      <c r="AE173" s="258" t="n">
        <v>502</v>
      </c>
      <c r="AF173" s="258" t="n">
        <v>2806</v>
      </c>
      <c r="AG173" s="258" t="n">
        <v>8948</v>
      </c>
      <c r="AH173" s="258" t="n">
        <v>12498</v>
      </c>
      <c r="AI173" s="258" t="n">
        <v>10483</v>
      </c>
      <c r="AJ173" s="258" t="n">
        <v>7295</v>
      </c>
    </row>
    <row r="174">
      <c r="A174" t="n">
        <v>82</v>
      </c>
      <c r="B174" t="n">
        <v>1</v>
      </c>
      <c r="G174" t="inlineStr">
        <is>
          <t>moeda</t>
        </is>
      </c>
      <c r="H174" t="inlineStr">
        <is>
          <t>Transmissao | TBO | aba "TBO"</t>
        </is>
      </c>
      <c r="J174" t="inlineStr">
        <is>
          <t>fonte</t>
        </is>
      </c>
      <c r="K174" s="258" t="n"/>
      <c r="L174" s="258" t="n"/>
      <c r="M174" s="258" t="n"/>
      <c r="N174" s="258" t="n"/>
      <c r="O174" s="258" t="n"/>
      <c r="P174" s="258" t="n"/>
      <c r="Q174" s="258" t="n"/>
      <c r="R174" s="258" t="n"/>
      <c r="S174" s="258" t="n"/>
      <c r="T174" s="258" t="n"/>
      <c r="U174" s="258" t="n"/>
      <c r="V174" s="258" t="n"/>
      <c r="W174" s="258" t="n"/>
      <c r="X174" s="258" t="n"/>
      <c r="Y174" s="258" t="n"/>
      <c r="Z174" s="258" t="n"/>
      <c r="AA174" s="258" t="n"/>
      <c r="AB174" s="258" t="n"/>
      <c r="AC174" s="258" t="n"/>
      <c r="AD174" s="258" t="n"/>
      <c r="AE174" s="258" t="n"/>
      <c r="AF174" s="258" t="n"/>
      <c r="AG174" s="258" t="n">
        <v>3286</v>
      </c>
      <c r="AH174" s="258" t="n">
        <v>5897</v>
      </c>
      <c r="AI174" s="258" t="n">
        <v>7089</v>
      </c>
      <c r="AJ174" s="258" t="n">
        <v>8584</v>
      </c>
    </row>
    <row r="175">
      <c r="A175" t="n">
        <v>83</v>
      </c>
      <c r="B175" t="n">
        <v>1</v>
      </c>
      <c r="G175" t="inlineStr">
        <is>
          <t>moeda</t>
        </is>
      </c>
      <c r="H175" t="inlineStr">
        <is>
          <t>Transmissao | PALCA | aba "PALCA"</t>
        </is>
      </c>
      <c r="J175" t="inlineStr">
        <is>
          <t>fonte</t>
        </is>
      </c>
      <c r="K175" s="258" t="n"/>
      <c r="L175" s="258" t="n"/>
      <c r="M175" s="258" t="n"/>
      <c r="N175" s="258" t="n"/>
      <c r="O175" s="258" t="n"/>
      <c r="P175" s="258" t="n"/>
      <c r="Q175" s="258" t="n"/>
      <c r="R175" s="258" t="n"/>
      <c r="S175" s="258" t="n"/>
      <c r="T175" s="258" t="n"/>
      <c r="U175" s="258" t="n"/>
      <c r="V175" s="258" t="n"/>
      <c r="W175" s="258" t="n"/>
      <c r="X175" s="258" t="n"/>
      <c r="Y175" s="258" t="n"/>
      <c r="Z175" s="258" t="n"/>
      <c r="AA175" s="258" t="n"/>
      <c r="AB175" s="258" t="n"/>
      <c r="AC175" s="258" t="n"/>
      <c r="AD175" s="258" t="n"/>
      <c r="AE175" s="258" t="n"/>
      <c r="AF175" s="258" t="n"/>
      <c r="AG175" s="258" t="n"/>
      <c r="AH175" s="258" t="n">
        <v>26482</v>
      </c>
      <c r="AI175" s="258" t="n">
        <v>2603</v>
      </c>
      <c r="AJ175" s="258" t="n">
        <v>1533</v>
      </c>
    </row>
    <row r="176">
      <c r="H176" s="254" t="inlineStr">
        <is>
          <t>Geracao por usina (aba de cada empresa)</t>
        </is>
      </c>
    </row>
    <row r="177">
      <c r="A177" t="n">
        <v>84</v>
      </c>
      <c r="B177" t="n">
        <v>1</v>
      </c>
      <c r="G177" t="inlineStr">
        <is>
          <t>moeda</t>
        </is>
      </c>
      <c r="H177" t="inlineStr">
        <is>
          <t>Geracao | Foz do Rio Claro | aba "Foz"</t>
        </is>
      </c>
      <c r="J177" t="inlineStr">
        <is>
          <t>fonte</t>
        </is>
      </c>
      <c r="K177" s="258" t="n">
        <v>18623</v>
      </c>
      <c r="L177" s="258" t="n">
        <v>19100</v>
      </c>
      <c r="M177" s="258" t="n">
        <v>18421</v>
      </c>
      <c r="N177" s="258" t="n">
        <v>19870</v>
      </c>
      <c r="O177" s="258" t="n">
        <v>19478</v>
      </c>
      <c r="P177" s="258" t="n">
        <v>18977</v>
      </c>
      <c r="Q177" s="258" t="n">
        <v>21625</v>
      </c>
      <c r="R177" s="258" t="n">
        <v>21873</v>
      </c>
      <c r="S177" s="258" t="n">
        <v>20272</v>
      </c>
      <c r="T177" s="258" t="n">
        <v>19010</v>
      </c>
      <c r="U177" s="258" t="n">
        <v>20065</v>
      </c>
      <c r="V177" s="258" t="n">
        <v>21489</v>
      </c>
      <c r="W177" s="258" t="n">
        <v>22153</v>
      </c>
      <c r="X177" s="258" t="n">
        <v>21002</v>
      </c>
      <c r="Y177" s="258" t="n">
        <v>20809</v>
      </c>
      <c r="Z177" s="258" t="n">
        <v>22945</v>
      </c>
      <c r="AA177" s="258" t="n">
        <v>21921</v>
      </c>
      <c r="AB177" s="258" t="n">
        <v>21734</v>
      </c>
      <c r="AC177" s="258" t="n">
        <v>22454</v>
      </c>
      <c r="AD177" s="258" t="n">
        <v>24077</v>
      </c>
      <c r="AE177" s="258" t="n">
        <v>24522</v>
      </c>
      <c r="AF177" s="258" t="n">
        <v>23434</v>
      </c>
      <c r="AG177" s="258" t="n">
        <v>23334</v>
      </c>
      <c r="AH177" s="258" t="n">
        <v>25125</v>
      </c>
      <c r="AI177" s="258" t="n">
        <v>25411</v>
      </c>
      <c r="AJ177" s="258" t="n">
        <v>24407</v>
      </c>
    </row>
    <row r="178">
      <c r="A178" t="n">
        <v>85</v>
      </c>
      <c r="B178" t="n">
        <v>1</v>
      </c>
      <c r="G178" t="inlineStr">
        <is>
          <t>moeda</t>
        </is>
      </c>
      <c r="H178" t="inlineStr">
        <is>
          <t>Geracao | Ijuí | aba "IJUÍ"</t>
        </is>
      </c>
      <c r="J178" t="inlineStr">
        <is>
          <t>fonte</t>
        </is>
      </c>
      <c r="K178" s="258" t="n">
        <v>15334</v>
      </c>
      <c r="L178" s="258" t="n">
        <v>13885</v>
      </c>
      <c r="M178" s="258" t="n">
        <v>16367</v>
      </c>
      <c r="N178" s="258" t="n">
        <v>15999</v>
      </c>
      <c r="O178" s="258" t="n">
        <v>16055</v>
      </c>
      <c r="P178" s="258" t="n">
        <v>15930</v>
      </c>
      <c r="Q178" s="258" t="n">
        <v>18366</v>
      </c>
      <c r="R178" s="258" t="n">
        <v>18442</v>
      </c>
      <c r="S178" s="258" t="n">
        <v>17022</v>
      </c>
      <c r="T178" s="258" t="n">
        <v>17258</v>
      </c>
      <c r="U178" s="258" t="n">
        <v>17228</v>
      </c>
      <c r="V178" s="258" t="n">
        <v>19507</v>
      </c>
      <c r="W178" s="258" t="n">
        <v>18983</v>
      </c>
      <c r="X178" s="258" t="n">
        <v>17558</v>
      </c>
      <c r="Y178" s="258" t="n">
        <v>18995</v>
      </c>
      <c r="Z178" s="258" t="n">
        <v>20571</v>
      </c>
      <c r="AA178" s="258" t="n">
        <v>19658</v>
      </c>
      <c r="AB178" s="258" t="n">
        <v>19203</v>
      </c>
      <c r="AC178" s="258" t="n">
        <v>20228</v>
      </c>
      <c r="AD178" s="258" t="n">
        <v>21490</v>
      </c>
      <c r="AE178" s="258" t="n">
        <v>19773</v>
      </c>
      <c r="AF178" s="258" t="n">
        <v>19770</v>
      </c>
      <c r="AG178" s="258" t="n">
        <v>19852</v>
      </c>
      <c r="AH178" s="258" t="n">
        <v>20841</v>
      </c>
      <c r="AI178" s="258" t="n">
        <v>21108</v>
      </c>
      <c r="AJ178" s="258" t="n">
        <v>20774</v>
      </c>
    </row>
    <row r="179">
      <c r="A179" t="n">
        <v>86</v>
      </c>
      <c r="B179" t="n">
        <v>1</v>
      </c>
      <c r="G179" t="inlineStr">
        <is>
          <t>moeda</t>
        </is>
      </c>
      <c r="H179" t="inlineStr">
        <is>
          <t>Geracao | Ferreira Gomes | aba "Ferreira Gomes"</t>
        </is>
      </c>
      <c r="J179" t="inlineStr">
        <is>
          <t>fonte</t>
        </is>
      </c>
      <c r="K179" s="258" t="n">
        <v>52631</v>
      </c>
      <c r="L179" s="258" t="n">
        <v>43989</v>
      </c>
      <c r="M179" s="258" t="n">
        <v>43163</v>
      </c>
      <c r="N179" s="258" t="n">
        <v>55415</v>
      </c>
      <c r="O179" s="258" t="n">
        <v>49370</v>
      </c>
      <c r="P179" s="258" t="n">
        <v>47813</v>
      </c>
      <c r="Q179" s="258" t="n">
        <v>66452</v>
      </c>
      <c r="R179" s="258" t="n">
        <v>78369</v>
      </c>
      <c r="S179" s="258" t="n">
        <v>44559</v>
      </c>
      <c r="T179" s="258" t="n">
        <v>46677</v>
      </c>
      <c r="U179" s="258" t="n">
        <v>47879</v>
      </c>
      <c r="V179" s="258" t="n">
        <v>49725</v>
      </c>
      <c r="W179" s="258" t="n">
        <v>54377</v>
      </c>
      <c r="X179" s="258" t="n">
        <v>55041</v>
      </c>
      <c r="Y179" s="258" t="n">
        <v>54993</v>
      </c>
      <c r="Z179" s="258" t="n">
        <v>54948</v>
      </c>
      <c r="AA179" s="258" t="n">
        <v>55747</v>
      </c>
      <c r="AB179" s="258" t="n">
        <v>57104</v>
      </c>
      <c r="AC179" s="258" t="n">
        <v>58381</v>
      </c>
      <c r="AD179" s="258" t="n">
        <v>77114</v>
      </c>
      <c r="AE179" s="258" t="n">
        <v>70106</v>
      </c>
      <c r="AF179" s="258" t="n">
        <v>58146</v>
      </c>
      <c r="AG179" s="258" t="n">
        <v>62463</v>
      </c>
      <c r="AH179" s="258" t="n">
        <v>65805</v>
      </c>
      <c r="AI179" s="258" t="n">
        <v>66509</v>
      </c>
      <c r="AJ179" s="258" t="n">
        <v>67061</v>
      </c>
    </row>
    <row r="180">
      <c r="A180" t="n">
        <v>87</v>
      </c>
      <c r="B180" t="n">
        <v>1</v>
      </c>
      <c r="G180" t="inlineStr">
        <is>
          <t>moeda</t>
        </is>
      </c>
      <c r="H180" t="inlineStr">
        <is>
          <t>Geracao | La Virgen | aba "La Virgen"</t>
        </is>
      </c>
      <c r="J180" t="inlineStr">
        <is>
          <t>fonte</t>
        </is>
      </c>
      <c r="K180" s="258" t="n">
        <v>0</v>
      </c>
      <c r="L180" s="258" t="n">
        <v>0</v>
      </c>
      <c r="M180" s="258" t="n">
        <v>0</v>
      </c>
      <c r="N180" s="258" t="n">
        <v>0</v>
      </c>
      <c r="O180" s="258" t="n">
        <v>0</v>
      </c>
      <c r="P180" s="258" t="n">
        <v>2558</v>
      </c>
      <c r="Q180" s="258" t="n">
        <v>12707</v>
      </c>
      <c r="R180" s="258" t="n">
        <v>14192</v>
      </c>
      <c r="S180" s="258" t="n">
        <v>18251</v>
      </c>
      <c r="T180" s="258" t="n">
        <v>17015</v>
      </c>
      <c r="U180" s="258" t="n">
        <v>12220</v>
      </c>
      <c r="V180" s="258" t="n">
        <v>19527</v>
      </c>
      <c r="W180" s="258" t="n">
        <v>31933</v>
      </c>
      <c r="X180" s="258" t="n">
        <v>22109</v>
      </c>
      <c r="Y180" s="258" t="n">
        <v>34221</v>
      </c>
      <c r="Z180" s="258" t="n">
        <v>23946</v>
      </c>
      <c r="AA180" s="258" t="n">
        <v>29812</v>
      </c>
      <c r="AB180" s="258" t="n">
        <v>23599</v>
      </c>
      <c r="AC180" s="258" t="n">
        <v>16436</v>
      </c>
      <c r="AD180" s="258" t="n">
        <v>26498</v>
      </c>
      <c r="AE180" s="258" t="n">
        <v>35092</v>
      </c>
      <c r="AF180" s="258" t="n">
        <v>34145</v>
      </c>
      <c r="AG180" s="258" t="n">
        <v>22968</v>
      </c>
      <c r="AH180" s="258" t="n">
        <v>27932</v>
      </c>
      <c r="AI180" s="258" t="n">
        <v>52247</v>
      </c>
      <c r="AJ180" s="258" t="n">
        <v>33452</v>
      </c>
    </row>
    <row r="181">
      <c r="A181" t="n">
        <v>88</v>
      </c>
      <c r="B181" t="n">
        <v>1</v>
      </c>
      <c r="G181" t="inlineStr">
        <is>
          <t>moeda</t>
        </is>
      </c>
      <c r="H181" t="inlineStr">
        <is>
          <t>Geracao | Risaralda (Morro Azul) | aba "Risaralda (Morro Azul)"</t>
        </is>
      </c>
      <c r="J181" t="inlineStr">
        <is>
          <t>fonte</t>
        </is>
      </c>
      <c r="K181" s="258" t="n">
        <v>2674</v>
      </c>
      <c r="L181" s="258" t="n">
        <v>5157</v>
      </c>
      <c r="M181" s="258" t="n">
        <v>9932</v>
      </c>
      <c r="N181" s="258" t="n">
        <v>9794</v>
      </c>
      <c r="O181" s="258" t="n">
        <v>8783</v>
      </c>
      <c r="P181" s="258" t="n">
        <v>11277</v>
      </c>
      <c r="Q181" s="258" t="n">
        <v>8401</v>
      </c>
      <c r="R181" s="258" t="n">
        <v>9626</v>
      </c>
      <c r="S181" s="258" t="n">
        <v>8544</v>
      </c>
      <c r="T181" s="258" t="n">
        <v>9497</v>
      </c>
      <c r="U181" s="258" t="n">
        <v>11611</v>
      </c>
      <c r="V181" s="258" t="n">
        <v>10985</v>
      </c>
      <c r="W181" s="258" t="n">
        <v>9016</v>
      </c>
      <c r="X181" s="258" t="n">
        <v>10217</v>
      </c>
      <c r="Y181" s="258" t="n">
        <v>3542</v>
      </c>
      <c r="Z181" s="258" t="n">
        <v>6746</v>
      </c>
      <c r="AA181" s="258" t="n">
        <v>3406</v>
      </c>
      <c r="AB181" s="258" t="n">
        <v>10491</v>
      </c>
      <c r="AC181" s="258" t="n">
        <v>9284</v>
      </c>
      <c r="AD181" s="258" t="n">
        <v>10102</v>
      </c>
      <c r="AE181" s="258" t="n">
        <v>13431</v>
      </c>
      <c r="AF181" s="258" t="n">
        <v>15171</v>
      </c>
      <c r="AG181" s="258" t="n">
        <v>9725</v>
      </c>
      <c r="AH181" s="258" t="n">
        <v>11063</v>
      </c>
      <c r="AI181" s="258" t="n">
        <v>13188</v>
      </c>
      <c r="AJ181" s="258" t="n">
        <v>9945</v>
      </c>
    </row>
    <row r="182">
      <c r="A182" t="n">
        <v>89</v>
      </c>
      <c r="B182" t="n">
        <v>1</v>
      </c>
      <c r="G182" t="inlineStr">
        <is>
          <t>moeda</t>
        </is>
      </c>
      <c r="H182" t="inlineStr">
        <is>
          <t>Geracao | Queluz | aba "Queluz"</t>
        </is>
      </c>
      <c r="J182" t="inlineStr">
        <is>
          <t>fonte</t>
        </is>
      </c>
      <c r="K182" s="258" t="n">
        <v>16248</v>
      </c>
      <c r="L182" s="258" t="n">
        <v>6448</v>
      </c>
      <c r="M182" s="258" t="n">
        <v>12124</v>
      </c>
      <c r="N182" s="258" t="n">
        <v>17608</v>
      </c>
      <c r="O182" s="258" t="n">
        <v>19738</v>
      </c>
      <c r="P182" s="258" t="n">
        <v>21879</v>
      </c>
      <c r="Q182" s="258" t="n">
        <v>18624</v>
      </c>
      <c r="R182" s="258" t="n">
        <v>22284</v>
      </c>
      <c r="S182" s="258" t="n">
        <v>15772</v>
      </c>
      <c r="T182" s="258" t="n">
        <v>13252</v>
      </c>
      <c r="U182" s="258" t="n">
        <v>15018</v>
      </c>
      <c r="V182" s="258" t="n">
        <v>15462</v>
      </c>
      <c r="W182" s="258" t="n">
        <v>14097</v>
      </c>
      <c r="X182" s="258" t="n">
        <v>13945</v>
      </c>
      <c r="Y182" s="258" t="n">
        <v>13940</v>
      </c>
      <c r="Z182" s="258" t="n">
        <v>14586</v>
      </c>
      <c r="AA182" s="258" t="n">
        <v>13997</v>
      </c>
      <c r="AB182" s="258" t="n">
        <v>12995</v>
      </c>
      <c r="AC182" s="258" t="n">
        <v>15648</v>
      </c>
      <c r="AD182" s="258" t="n">
        <v>21937</v>
      </c>
      <c r="AE182" s="258" t="n">
        <v>15292</v>
      </c>
      <c r="AF182" s="258" t="n">
        <v>14334</v>
      </c>
      <c r="AG182" s="258" t="n">
        <v>11443</v>
      </c>
      <c r="AH182" s="258" t="n">
        <v>12037</v>
      </c>
      <c r="AI182" s="258" t="n">
        <v>19264</v>
      </c>
      <c r="AJ182" s="258" t="n">
        <v>12909</v>
      </c>
    </row>
    <row r="183">
      <c r="A183" t="n">
        <v>90</v>
      </c>
      <c r="B183" t="n">
        <v>1</v>
      </c>
      <c r="G183" t="inlineStr">
        <is>
          <t>moeda</t>
        </is>
      </c>
      <c r="H183" t="inlineStr">
        <is>
          <t>Geracao | Lavrinhas | aba "Lavrinhas"</t>
        </is>
      </c>
      <c r="J183" t="inlineStr">
        <is>
          <t>fonte</t>
        </is>
      </c>
      <c r="K183" s="258" t="n">
        <v>16280</v>
      </c>
      <c r="L183" s="258" t="n">
        <v>7292</v>
      </c>
      <c r="M183" s="258" t="n">
        <v>11255</v>
      </c>
      <c r="N183" s="258" t="n">
        <v>17690</v>
      </c>
      <c r="O183" s="258" t="n">
        <v>19635</v>
      </c>
      <c r="P183" s="258" t="n">
        <v>21937</v>
      </c>
      <c r="Q183" s="258" t="n">
        <v>18735</v>
      </c>
      <c r="R183" s="258" t="n">
        <v>22265</v>
      </c>
      <c r="S183" s="258" t="n">
        <v>15738</v>
      </c>
      <c r="T183" s="258" t="n">
        <v>13163</v>
      </c>
      <c r="U183" s="258" t="n">
        <v>14995</v>
      </c>
      <c r="V183" s="258" t="n">
        <v>15477</v>
      </c>
      <c r="W183" s="258" t="n">
        <v>13581</v>
      </c>
      <c r="X183" s="258" t="n">
        <v>13546</v>
      </c>
      <c r="Y183" s="258" t="n">
        <v>13672</v>
      </c>
      <c r="Z183" s="258" t="n">
        <v>14144</v>
      </c>
      <c r="AA183" s="258" t="n">
        <v>13953</v>
      </c>
      <c r="AB183" s="258" t="n">
        <v>12234</v>
      </c>
      <c r="AC183" s="258" t="n">
        <v>13531</v>
      </c>
      <c r="AD183" s="258" t="n">
        <v>21894</v>
      </c>
      <c r="AE183" s="258" t="n">
        <v>15335</v>
      </c>
      <c r="AF183" s="258" t="n">
        <v>16888</v>
      </c>
      <c r="AG183" s="258" t="n">
        <v>18261</v>
      </c>
      <c r="AH183" s="258" t="n">
        <v>13379</v>
      </c>
      <c r="AI183" s="258" t="n">
        <v>18625</v>
      </c>
      <c r="AJ183" s="258" t="n">
        <v>13067</v>
      </c>
    </row>
    <row r="184">
      <c r="A184" t="n">
        <v>91</v>
      </c>
      <c r="B184" t="n">
        <v>1</v>
      </c>
      <c r="G184" t="inlineStr">
        <is>
          <t>moeda</t>
        </is>
      </c>
      <c r="H184" t="inlineStr">
        <is>
          <t>Geracao | Verde 08 | aba "Verde 08"</t>
        </is>
      </c>
      <c r="J184" t="inlineStr">
        <is>
          <t>fonte</t>
        </is>
      </c>
      <c r="K184" s="258" t="n">
        <v>18875</v>
      </c>
      <c r="L184" s="258" t="n">
        <v>10975</v>
      </c>
      <c r="M184" s="258" t="n">
        <v>9195</v>
      </c>
      <c r="N184" s="258" t="n">
        <v>17263</v>
      </c>
      <c r="O184" s="258" t="n">
        <v>22614</v>
      </c>
      <c r="P184" s="258" t="n">
        <v>18136</v>
      </c>
      <c r="Q184" s="258" t="n">
        <v>16571</v>
      </c>
      <c r="R184" s="258" t="n">
        <v>14689</v>
      </c>
      <c r="S184" s="258" t="n">
        <v>8603</v>
      </c>
      <c r="T184" s="258" t="n">
        <v>4374</v>
      </c>
      <c r="U184" s="258" t="n">
        <v>6817</v>
      </c>
      <c r="V184" s="258" t="n">
        <v>8063</v>
      </c>
      <c r="W184" s="258" t="n">
        <v>11516</v>
      </c>
      <c r="X184" s="258" t="n">
        <v>10734</v>
      </c>
      <c r="Y184" s="258" t="n">
        <v>10983</v>
      </c>
      <c r="Z184" s="258" t="n">
        <v>11809</v>
      </c>
      <c r="AA184" s="258" t="n">
        <v>12324</v>
      </c>
      <c r="AB184" s="258" t="n">
        <v>11292</v>
      </c>
      <c r="AC184" s="258" t="n">
        <v>11624</v>
      </c>
      <c r="AD184" s="258" t="n">
        <v>12227</v>
      </c>
      <c r="AE184" s="258" t="n">
        <v>13293</v>
      </c>
      <c r="AF184" s="258" t="n">
        <v>11798</v>
      </c>
      <c r="AG184" s="258" t="n">
        <v>11951</v>
      </c>
      <c r="AH184" s="258" t="n">
        <v>12879</v>
      </c>
      <c r="AI184" s="258" t="n">
        <v>16181</v>
      </c>
      <c r="AJ184" s="258" t="n">
        <v>12579</v>
      </c>
    </row>
    <row r="185">
      <c r="A185" t="n">
        <v>92</v>
      </c>
      <c r="B185" t="n">
        <v>1</v>
      </c>
      <c r="G185" t="inlineStr">
        <is>
          <t>moeda</t>
        </is>
      </c>
      <c r="H185" t="inlineStr">
        <is>
          <t>Geracao | EDV I | aba "EDV I"</t>
        </is>
      </c>
      <c r="J185" t="inlineStr">
        <is>
          <t>fonte</t>
        </is>
      </c>
      <c r="K185" s="258" t="n">
        <v>3128</v>
      </c>
      <c r="L185" s="258" t="n">
        <v>3125</v>
      </c>
      <c r="M185" s="258" t="n">
        <v>3162</v>
      </c>
      <c r="N185" s="258" t="n">
        <v>3170</v>
      </c>
      <c r="O185" s="258" t="n">
        <v>3233</v>
      </c>
      <c r="P185" s="258" t="n">
        <v>3359</v>
      </c>
      <c r="Q185" s="258" t="n">
        <v>7146</v>
      </c>
      <c r="R185" s="258" t="n">
        <v>3934</v>
      </c>
      <c r="S185" s="258" t="n">
        <v>3559</v>
      </c>
      <c r="T185" s="258" t="n">
        <v>3605</v>
      </c>
      <c r="U185" s="258" t="n">
        <v>3667</v>
      </c>
      <c r="V185" s="258" t="n">
        <v>3671</v>
      </c>
      <c r="W185" s="258" t="n">
        <v>3774</v>
      </c>
      <c r="X185" s="258" t="n">
        <v>3461</v>
      </c>
      <c r="Y185" s="258" t="n">
        <v>4190</v>
      </c>
      <c r="Z185" s="258" t="n">
        <v>4087</v>
      </c>
      <c r="AA185" s="258" t="n">
        <v>2918</v>
      </c>
      <c r="AB185" s="258" t="n">
        <v>1988</v>
      </c>
      <c r="AC185" s="258" t="n">
        <v>2443</v>
      </c>
      <c r="AD185" s="258" t="n">
        <v>5512</v>
      </c>
      <c r="AE185" s="258" t="n">
        <v>2620</v>
      </c>
      <c r="AF185" s="258" t="n">
        <v>3445</v>
      </c>
      <c r="AG185" s="258" t="n">
        <v>4265</v>
      </c>
      <c r="AH185" s="258" t="n">
        <v>4443</v>
      </c>
      <c r="AI185" s="258" t="n">
        <v>3461</v>
      </c>
      <c r="AJ185" s="258" t="n">
        <v>1656</v>
      </c>
    </row>
    <row r="186">
      <c r="A186" t="n">
        <v>93</v>
      </c>
      <c r="B186" t="n">
        <v>1</v>
      </c>
      <c r="G186" t="inlineStr">
        <is>
          <t>moeda</t>
        </is>
      </c>
      <c r="H186" t="inlineStr">
        <is>
          <t>Geracao | EDV II | aba "EDV II"</t>
        </is>
      </c>
      <c r="J186" t="inlineStr">
        <is>
          <t>fonte</t>
        </is>
      </c>
      <c r="K186" s="258" t="n">
        <v>1822</v>
      </c>
      <c r="L186" s="258" t="n">
        <v>1814</v>
      </c>
      <c r="M186" s="258" t="n">
        <v>1813</v>
      </c>
      <c r="N186" s="258" t="n">
        <v>1857</v>
      </c>
      <c r="O186" s="258" t="n">
        <v>1869</v>
      </c>
      <c r="P186" s="258" t="n">
        <v>1969</v>
      </c>
      <c r="Q186" s="258" t="n">
        <v>3030</v>
      </c>
      <c r="R186" s="258" t="n">
        <v>2112</v>
      </c>
      <c r="S186" s="258" t="n">
        <v>2059</v>
      </c>
      <c r="T186" s="258" t="n">
        <v>2094</v>
      </c>
      <c r="U186" s="258" t="n">
        <v>2126</v>
      </c>
      <c r="V186" s="258" t="n">
        <v>2127</v>
      </c>
      <c r="W186" s="258" t="n">
        <v>2220</v>
      </c>
      <c r="X186" s="258" t="n">
        <v>1664</v>
      </c>
      <c r="Y186" s="258" t="n">
        <v>2365</v>
      </c>
      <c r="Z186" s="258" t="n">
        <v>2429</v>
      </c>
      <c r="AA186" s="258" t="n">
        <v>1704</v>
      </c>
      <c r="AB186" s="258" t="n">
        <v>998</v>
      </c>
      <c r="AC186" s="258" t="n">
        <v>1282</v>
      </c>
      <c r="AD186" s="258" t="n">
        <v>2940</v>
      </c>
      <c r="AE186" s="258" t="n">
        <v>1529</v>
      </c>
      <c r="AF186" s="258" t="n">
        <v>1975</v>
      </c>
      <c r="AG186" s="258" t="n">
        <v>2102</v>
      </c>
      <c r="AH186" s="258" t="n">
        <v>2305</v>
      </c>
      <c r="AI186" s="258" t="n">
        <v>1873</v>
      </c>
      <c r="AJ186" s="258" t="n">
        <v>996</v>
      </c>
    </row>
    <row r="187">
      <c r="A187" t="n">
        <v>94</v>
      </c>
      <c r="B187" t="n">
        <v>1</v>
      </c>
      <c r="G187" t="inlineStr">
        <is>
          <t>moeda</t>
        </is>
      </c>
      <c r="H187" t="inlineStr">
        <is>
          <t>Geracao | EDV III | aba "EDV III"</t>
        </is>
      </c>
      <c r="J187" t="inlineStr">
        <is>
          <t>fonte</t>
        </is>
      </c>
      <c r="K187" s="258" t="n">
        <v>2712</v>
      </c>
      <c r="L187" s="258" t="n">
        <v>2704</v>
      </c>
      <c r="M187" s="258" t="n">
        <v>2742</v>
      </c>
      <c r="N187" s="258" t="n">
        <v>2753</v>
      </c>
      <c r="O187" s="258" t="n">
        <v>2841</v>
      </c>
      <c r="P187" s="258" t="n">
        <v>2895</v>
      </c>
      <c r="Q187" s="258" t="n">
        <v>5581</v>
      </c>
      <c r="R187" s="258" t="n">
        <v>3284</v>
      </c>
      <c r="S187" s="258" t="n">
        <v>3078</v>
      </c>
      <c r="T187" s="258" t="n">
        <v>3114</v>
      </c>
      <c r="U187" s="258" t="n">
        <v>3173</v>
      </c>
      <c r="V187" s="258" t="n">
        <v>3162</v>
      </c>
      <c r="W187" s="258" t="n">
        <v>3257</v>
      </c>
      <c r="X187" s="258" t="n">
        <v>3563</v>
      </c>
      <c r="Y187" s="258" t="n">
        <v>3734</v>
      </c>
      <c r="Z187" s="258" t="n">
        <v>3147</v>
      </c>
      <c r="AA187" s="258" t="n">
        <v>2391</v>
      </c>
      <c r="AB187" s="258" t="n">
        <v>1558</v>
      </c>
      <c r="AC187" s="258" t="n">
        <v>1996</v>
      </c>
      <c r="AD187" s="258" t="n">
        <v>4753</v>
      </c>
      <c r="AE187" s="258" t="n">
        <v>2356</v>
      </c>
      <c r="AF187" s="258" t="n">
        <v>3034</v>
      </c>
      <c r="AG187" s="258" t="n">
        <v>3547</v>
      </c>
      <c r="AH187" s="258" t="n">
        <v>3724</v>
      </c>
      <c r="AI187" s="258" t="n">
        <v>2647</v>
      </c>
      <c r="AJ187" s="258" t="n">
        <v>1287</v>
      </c>
    </row>
    <row r="188">
      <c r="A188" t="n">
        <v>95</v>
      </c>
      <c r="B188" t="n">
        <v>1</v>
      </c>
      <c r="G188" t="inlineStr">
        <is>
          <t>moeda</t>
        </is>
      </c>
      <c r="H188" t="inlineStr">
        <is>
          <t>Geracao | EDV IV | aba "EDV IV"</t>
        </is>
      </c>
      <c r="J188" t="inlineStr">
        <is>
          <t>fonte</t>
        </is>
      </c>
      <c r="K188" s="258" t="n">
        <v>4378</v>
      </c>
      <c r="L188" s="258" t="n">
        <v>4379</v>
      </c>
      <c r="M188" s="258" t="n">
        <v>4426</v>
      </c>
      <c r="N188" s="258" t="n">
        <v>4428</v>
      </c>
      <c r="O188" s="258" t="n">
        <v>4413</v>
      </c>
      <c r="P188" s="258" t="n">
        <v>4772</v>
      </c>
      <c r="Q188" s="258" t="n">
        <v>7850</v>
      </c>
      <c r="R188" s="258" t="n">
        <v>5176</v>
      </c>
      <c r="S188" s="258" t="n">
        <v>4988</v>
      </c>
      <c r="T188" s="258" t="n">
        <v>5050</v>
      </c>
      <c r="U188" s="258" t="n">
        <v>5131</v>
      </c>
      <c r="V188" s="258" t="n">
        <v>5148</v>
      </c>
      <c r="W188" s="258" t="n">
        <v>4821</v>
      </c>
      <c r="X188" s="258" t="n">
        <v>4312</v>
      </c>
      <c r="Y188" s="258" t="n">
        <v>5660</v>
      </c>
      <c r="Z188" s="258" t="n">
        <v>4395</v>
      </c>
      <c r="AA188" s="258" t="n">
        <v>4192</v>
      </c>
      <c r="AB188" s="258" t="n">
        <v>2880</v>
      </c>
      <c r="AC188" s="258" t="n">
        <v>3121</v>
      </c>
      <c r="AD188" s="258" t="n">
        <v>7305</v>
      </c>
      <c r="AE188" s="258" t="n">
        <v>3696</v>
      </c>
      <c r="AF188" s="258" t="n">
        <v>4920</v>
      </c>
      <c r="AG188" s="258" t="n">
        <v>5502</v>
      </c>
      <c r="AH188" s="258" t="n">
        <v>5818</v>
      </c>
      <c r="AI188" s="258" t="n">
        <v>6551</v>
      </c>
      <c r="AJ188" s="258" t="n">
        <v>2577</v>
      </c>
    </row>
    <row r="189">
      <c r="A189" t="n">
        <v>96</v>
      </c>
      <c r="B189" t="n">
        <v>1</v>
      </c>
      <c r="G189" t="inlineStr">
        <is>
          <t>moeda</t>
        </is>
      </c>
      <c r="H189" t="inlineStr">
        <is>
          <t>Geracao | EDV X | aba "EDV X"</t>
        </is>
      </c>
      <c r="J189" t="inlineStr">
        <is>
          <t>fonte</t>
        </is>
      </c>
      <c r="K189" s="258" t="n">
        <v>2291</v>
      </c>
      <c r="L189" s="258" t="n">
        <v>2289</v>
      </c>
      <c r="M189" s="258" t="n">
        <v>2318</v>
      </c>
      <c r="N189" s="258" t="n">
        <v>2325</v>
      </c>
      <c r="O189" s="258" t="n">
        <v>2421</v>
      </c>
      <c r="P189" s="258" t="n">
        <v>2423</v>
      </c>
      <c r="Q189" s="258" t="n">
        <v>5215</v>
      </c>
      <c r="R189" s="258" t="n">
        <v>2799</v>
      </c>
      <c r="S189" s="258" t="n">
        <v>2618</v>
      </c>
      <c r="T189" s="258" t="n">
        <v>2636</v>
      </c>
      <c r="U189" s="258" t="n">
        <v>2686</v>
      </c>
      <c r="V189" s="258" t="n">
        <v>2684</v>
      </c>
      <c r="W189" s="258" t="n">
        <v>2563</v>
      </c>
      <c r="X189" s="258" t="n">
        <v>3274</v>
      </c>
      <c r="Y189" s="258" t="n">
        <v>3070</v>
      </c>
      <c r="Z189" s="258" t="n">
        <v>2094</v>
      </c>
      <c r="AA189" s="258" t="n">
        <v>2378</v>
      </c>
      <c r="AB189" s="258" t="n">
        <v>1613</v>
      </c>
      <c r="AC189" s="258" t="n">
        <v>1885</v>
      </c>
      <c r="AD189" s="258" t="n">
        <v>4222</v>
      </c>
      <c r="AE189" s="258" t="n">
        <v>2059</v>
      </c>
      <c r="AF189" s="258" t="n">
        <v>2792</v>
      </c>
      <c r="AG189" s="258" t="n">
        <v>3245</v>
      </c>
      <c r="AH189" s="258" t="n">
        <v>3295</v>
      </c>
      <c r="AI189" s="258" t="n">
        <v>2349</v>
      </c>
      <c r="AJ189" s="258" t="n">
        <v>1510</v>
      </c>
    </row>
    <row r="190">
      <c r="A190" t="n">
        <v>97</v>
      </c>
      <c r="B190" t="n">
        <v>1</v>
      </c>
      <c r="G190" t="inlineStr">
        <is>
          <t>moeda</t>
        </is>
      </c>
      <c r="H190" t="inlineStr">
        <is>
          <t>Geracao | EAP I | aba "EAP I"</t>
        </is>
      </c>
      <c r="J190" t="inlineStr">
        <is>
          <t>fonte</t>
        </is>
      </c>
      <c r="K190" s="258" t="n">
        <v>0</v>
      </c>
      <c r="L190" s="258" t="n">
        <v>0</v>
      </c>
      <c r="M190" s="258" t="n">
        <v>0</v>
      </c>
      <c r="N190" s="258" t="n">
        <v>0</v>
      </c>
      <c r="O190" s="258" t="n">
        <v>0</v>
      </c>
      <c r="P190" s="258" t="n">
        <v>0</v>
      </c>
      <c r="Q190" s="258" t="n">
        <v>0</v>
      </c>
      <c r="R190" s="258" t="n">
        <v>0</v>
      </c>
      <c r="S190" s="258" t="n">
        <v>0</v>
      </c>
      <c r="T190" s="258" t="n">
        <v>0</v>
      </c>
      <c r="U190" s="258" t="n">
        <v>0</v>
      </c>
      <c r="V190" s="258" t="n">
        <v>0</v>
      </c>
      <c r="W190" s="258" t="n">
        <v>0</v>
      </c>
      <c r="X190" s="258" t="n">
        <v>0</v>
      </c>
      <c r="Y190" s="258" t="n">
        <v>2631</v>
      </c>
      <c r="Z190" s="258" t="n">
        <v>2721</v>
      </c>
      <c r="AA190" s="258" t="n">
        <v>4040</v>
      </c>
      <c r="AB190" s="258" t="n">
        <v>4359</v>
      </c>
      <c r="AC190" s="258" t="n">
        <v>6748</v>
      </c>
      <c r="AD190" s="258" t="n">
        <v>5317</v>
      </c>
      <c r="AE190" s="258" t="n">
        <v>4107</v>
      </c>
      <c r="AF190" s="258" t="n">
        <v>4524</v>
      </c>
      <c r="AG190" s="258" t="n">
        <v>7945</v>
      </c>
      <c r="AH190" s="258" t="n">
        <v>8206</v>
      </c>
      <c r="AI190" s="258" t="n">
        <v>5473</v>
      </c>
      <c r="AJ190" s="258" t="n">
        <v>5461</v>
      </c>
    </row>
    <row r="191">
      <c r="A191" t="n">
        <v>98</v>
      </c>
      <c r="B191" t="n">
        <v>1</v>
      </c>
      <c r="G191" t="inlineStr">
        <is>
          <t>moeda</t>
        </is>
      </c>
      <c r="H191" t="inlineStr">
        <is>
          <t>Geracao | EAP II | aba "EAP II"</t>
        </is>
      </c>
      <c r="J191" t="inlineStr">
        <is>
          <t>fonte</t>
        </is>
      </c>
      <c r="K191" s="258" t="n">
        <v>0</v>
      </c>
      <c r="L191" s="258" t="n">
        <v>0</v>
      </c>
      <c r="M191" s="258" t="n">
        <v>0</v>
      </c>
      <c r="N191" s="258" t="n">
        <v>0</v>
      </c>
      <c r="O191" s="258" t="n">
        <v>0</v>
      </c>
      <c r="P191" s="258" t="n">
        <v>0</v>
      </c>
      <c r="Q191" s="258" t="n">
        <v>0</v>
      </c>
      <c r="R191" s="258" t="n">
        <v>0</v>
      </c>
      <c r="S191" s="258" t="n">
        <v>0</v>
      </c>
      <c r="T191" s="258" t="n">
        <v>0</v>
      </c>
      <c r="U191" s="258" t="n">
        <v>0</v>
      </c>
      <c r="V191" s="258" t="n">
        <v>0</v>
      </c>
      <c r="W191" s="258" t="n">
        <v>0</v>
      </c>
      <c r="X191" s="258" t="n">
        <v>0</v>
      </c>
      <c r="Y191" s="258" t="n">
        <v>1492</v>
      </c>
      <c r="Z191" s="258" t="n">
        <v>5126</v>
      </c>
      <c r="AA191" s="258" t="n">
        <v>7639</v>
      </c>
      <c r="AB191" s="258" t="n">
        <v>8083</v>
      </c>
      <c r="AC191" s="258" t="n">
        <v>10526</v>
      </c>
      <c r="AD191" s="258" t="n">
        <v>7265</v>
      </c>
      <c r="AE191" s="258" t="n">
        <v>8644</v>
      </c>
      <c r="AF191" s="258" t="n">
        <v>8718</v>
      </c>
      <c r="AG191" s="258" t="n">
        <v>9766</v>
      </c>
      <c r="AH191" s="258" t="n">
        <v>9349</v>
      </c>
      <c r="AI191" s="258" t="n">
        <v>15151</v>
      </c>
      <c r="AJ191" s="258" t="n">
        <v>15028</v>
      </c>
    </row>
    <row r="192">
      <c r="A192" t="n">
        <v>99</v>
      </c>
      <c r="B192" t="n">
        <v>1</v>
      </c>
      <c r="G192" t="inlineStr">
        <is>
          <t>moeda</t>
        </is>
      </c>
      <c r="H192" t="inlineStr">
        <is>
          <t>Geracao | EAP IV | aba "EAP IV"</t>
        </is>
      </c>
      <c r="J192" t="inlineStr">
        <is>
          <t>fonte</t>
        </is>
      </c>
      <c r="K192" s="258" t="n">
        <v>0</v>
      </c>
      <c r="L192" s="258" t="n">
        <v>0</v>
      </c>
      <c r="M192" s="258" t="n">
        <v>0</v>
      </c>
      <c r="N192" s="258" t="n">
        <v>0</v>
      </c>
      <c r="O192" s="258" t="n">
        <v>0</v>
      </c>
      <c r="P192" s="258" t="n">
        <v>0</v>
      </c>
      <c r="Q192" s="258" t="n">
        <v>0</v>
      </c>
      <c r="R192" s="258" t="n">
        <v>0</v>
      </c>
      <c r="S192" s="258" t="n">
        <v>0</v>
      </c>
      <c r="T192" s="258" t="n">
        <v>0</v>
      </c>
      <c r="U192" s="258" t="n">
        <v>0</v>
      </c>
      <c r="V192" s="258" t="n">
        <v>0</v>
      </c>
      <c r="W192" s="258" t="n">
        <v>0</v>
      </c>
      <c r="X192" s="258" t="n">
        <v>0</v>
      </c>
      <c r="Y192" s="258" t="n">
        <v>0</v>
      </c>
      <c r="Z192" s="258" t="n">
        <v>0</v>
      </c>
      <c r="AA192" s="258" t="n">
        <v>0</v>
      </c>
      <c r="AB192" s="258" t="n">
        <v>0</v>
      </c>
      <c r="AC192" s="258" t="n">
        <v>0</v>
      </c>
      <c r="AD192" s="258" t="n">
        <v>0</v>
      </c>
      <c r="AE192" s="258" t="n">
        <v>0</v>
      </c>
      <c r="AF192" s="258" t="n">
        <v>0</v>
      </c>
      <c r="AG192" s="258" t="n">
        <v>0</v>
      </c>
      <c r="AH192" s="258" t="n">
        <v>13379</v>
      </c>
      <c r="AI192" s="258" t="n">
        <v>0</v>
      </c>
      <c r="AJ192" s="258" t="n">
        <v>0</v>
      </c>
    </row>
    <row r="193">
      <c r="A193" t="n">
        <v>100</v>
      </c>
      <c r="B193" t="n">
        <v>1</v>
      </c>
      <c r="G193" t="inlineStr">
        <is>
          <t>moeda</t>
        </is>
      </c>
      <c r="H193" t="inlineStr">
        <is>
          <t>Geracao | UFV Pitombeira | aba "UFV Pitombeira"</t>
        </is>
      </c>
      <c r="J193" t="inlineStr">
        <is>
          <t>fonte</t>
        </is>
      </c>
      <c r="K193" s="258" t="n"/>
      <c r="L193" s="258" t="n"/>
      <c r="M193" s="258" t="n"/>
      <c r="N193" s="258" t="n"/>
      <c r="O193" s="258" t="n"/>
      <c r="P193" s="258" t="n"/>
      <c r="Q193" s="258" t="n"/>
      <c r="R193" s="258" t="n">
        <v>0</v>
      </c>
      <c r="S193" s="258" t="n">
        <v>0</v>
      </c>
      <c r="T193" s="258" t="n">
        <v>0</v>
      </c>
      <c r="U193" s="258" t="n">
        <v>0</v>
      </c>
      <c r="V193" s="258" t="n">
        <v>0</v>
      </c>
      <c r="W193" s="258" t="n">
        <v>0</v>
      </c>
      <c r="X193" s="258" t="n">
        <v>0</v>
      </c>
      <c r="Y193" s="258" t="n">
        <v>0</v>
      </c>
      <c r="Z193" s="258" t="n">
        <v>46</v>
      </c>
      <c r="AA193" s="258" t="n">
        <v>1680</v>
      </c>
      <c r="AB193" s="258" t="n">
        <v>1922</v>
      </c>
      <c r="AC193" s="258" t="n">
        <v>5140</v>
      </c>
      <c r="AD193" s="258" t="n">
        <v>6823</v>
      </c>
      <c r="AE193" s="258" t="n">
        <v>5728</v>
      </c>
      <c r="AF193" s="258" t="n">
        <v>6613</v>
      </c>
      <c r="AG193" s="258" t="n">
        <v>9452</v>
      </c>
      <c r="AH193" s="258" t="n">
        <v>12013</v>
      </c>
      <c r="AI193" s="258" t="n">
        <v>12872</v>
      </c>
      <c r="AJ193" s="258" t="n">
        <v>9481</v>
      </c>
    </row>
    <row r="233">
      <c r="H233" s="254" t="inlineStr">
        <is>
          <t>CONVENCOES</t>
        </is>
      </c>
    </row>
    <row r="234">
      <c r="H234" t="inlineStr">
        <is>
          <t>Linhas de origem: 5 a 193. As formulas da Inputs (2) varrem as linhas 5 a 230; as linhas 194 a 230 estao livres para novas contas.</t>
        </is>
      </c>
    </row>
    <row r="235">
      <c r="H235" t="inlineStr">
        <is>
          <t>Periodos: colunas K a AJ (1Q20 a 2Q26 = 1T20 a 2T26). A fonte tem historico desde 1T13; a grade do modelo comeca em 2020.</t>
        </is>
      </c>
    </row>
    <row r="236">
      <c r="H236" t="inlineStr">
        <is>
          <t>Brutos em R$ mil, como na fonte. A Inputs (2) multiplica pelo fator da celula B1 (0,001) e entrega R$ milhoes.</t>
        </is>
      </c>
    </row>
    <row r="237">
      <c r="H237" t="inlineStr">
        <is>
          <t>Resultado societario (IFRS). O release tambem mostra o regulatorio, que nao foi usado.</t>
        </is>
      </c>
    </row>
    <row r="238">
      <c r="H238" t="inlineStr">
        <is>
          <t>ORIGEM: fonte = copiado da planilha de fundamentos; memoria = subtotal divulgado, sem codigo; derivada = check por formula.</t>
        </is>
      </c>
    </row>
    <row r="239">
      <c r="H239" t="inlineStr">
        <is>
          <t>Codigos 45 a 100: receita liquida por segmento e por SPE (memoria); alimentam o bloco no fim do Model.</t>
        </is>
      </c>
    </row>
    <row r="242">
      <c r="H242" s="254" t="inlineStr">
        <is>
          <t>RAP CICLO 2026/2027 POR SPE (R$ milhoes; aba "Anexo RAP" da planilha de fundamentos) - fora do intervalo das formulas</t>
        </is>
      </c>
    </row>
    <row r="243">
      <c r="H243" s="254" t="inlineStr">
        <is>
          <t>SPE</t>
        </is>
      </c>
      <c r="I243" s="254" t="inlineStr">
        <is>
          <t>Indexador</t>
        </is>
      </c>
      <c r="J243" s="254" t="inlineStr">
        <is>
          <t>RAP operacional</t>
        </is>
      </c>
      <c r="K243" s="254" t="inlineStr">
        <is>
          <t>RAP implantacao</t>
        </is>
      </c>
      <c r="L243" s="254" t="inlineStr">
        <is>
          <t>RAP total</t>
        </is>
      </c>
    </row>
    <row r="244">
      <c r="H244" t="inlineStr">
        <is>
          <t>EATE</t>
        </is>
      </c>
      <c r="I244" t="inlineStr">
        <is>
          <t>IGP-M</t>
        </is>
      </c>
      <c r="J244" s="260" t="n">
        <v>396.11121422</v>
      </c>
      <c r="K244" s="260" t="n">
        <v>44.26243722</v>
      </c>
      <c r="L244" s="260" t="n">
        <v>440.3736514399999</v>
      </c>
    </row>
    <row r="245">
      <c r="H245" t="inlineStr">
        <is>
          <t>ETEP</t>
        </is>
      </c>
      <c r="I245" t="inlineStr">
        <is>
          <t>IGP-M</t>
        </is>
      </c>
      <c r="J245" s="260" t="n">
        <v>89.16796004999999</v>
      </c>
      <c r="K245" s="260" t="n">
        <v>0</v>
      </c>
      <c r="L245" s="260" t="n">
        <v>89.16796004999999</v>
      </c>
    </row>
    <row r="246">
      <c r="H246" t="inlineStr">
        <is>
          <t>ENTE</t>
        </is>
      </c>
      <c r="I246" t="inlineStr">
        <is>
          <t>IGP-M</t>
        </is>
      </c>
      <c r="J246" s="260" t="n">
        <v>204.16773446</v>
      </c>
      <c r="K246" s="260" t="n">
        <v>19.2029273</v>
      </c>
      <c r="L246" s="260" t="n">
        <v>223.37066176</v>
      </c>
    </row>
    <row r="247">
      <c r="H247" t="inlineStr">
        <is>
          <t>ECTE</t>
        </is>
      </c>
      <c r="I247" t="inlineStr">
        <is>
          <t>IGP-M</t>
        </is>
      </c>
      <c r="J247" s="260" t="n">
        <v>86.21029193</v>
      </c>
      <c r="K247" s="260" t="n">
        <v>0</v>
      </c>
      <c r="L247" s="260" t="n">
        <v>86.21029193</v>
      </c>
    </row>
    <row r="248">
      <c r="H248" t="inlineStr">
        <is>
          <t>ERTE</t>
        </is>
      </c>
      <c r="I248" t="inlineStr">
        <is>
          <t>IGP-M</t>
        </is>
      </c>
      <c r="J248" s="260" t="n">
        <v>46.7204853</v>
      </c>
      <c r="K248" s="260" t="n">
        <v>0</v>
      </c>
      <c r="L248" s="260" t="n">
        <v>46.7204853</v>
      </c>
    </row>
    <row r="249">
      <c r="H249" t="inlineStr">
        <is>
          <t>STC</t>
        </is>
      </c>
      <c r="I249" t="inlineStr">
        <is>
          <t>IPCA</t>
        </is>
      </c>
      <c r="J249" s="260" t="n">
        <v>40.83736209</v>
      </c>
      <c r="K249" s="260" t="n">
        <v>0</v>
      </c>
      <c r="L249" s="260" t="n">
        <v>40.83736209</v>
      </c>
    </row>
    <row r="250">
      <c r="H250" t="inlineStr">
        <is>
          <t>LUMITRANS</t>
        </is>
      </c>
      <c r="I250" t="inlineStr">
        <is>
          <t>IGP-M</t>
        </is>
      </c>
      <c r="J250" s="260" t="n">
        <v>24.16731148</v>
      </c>
      <c r="K250" s="260" t="n">
        <v>0</v>
      </c>
      <c r="L250" s="260" t="n">
        <v>24.16731148</v>
      </c>
    </row>
    <row r="251">
      <c r="H251" t="inlineStr">
        <is>
          <t>TRANSUDESTE</t>
        </is>
      </c>
      <c r="I251" t="inlineStr">
        <is>
          <t>IGP-M</t>
        </is>
      </c>
      <c r="J251" s="260" t="n">
        <v>22.92931487</v>
      </c>
      <c r="K251" s="260" t="n">
        <v>0</v>
      </c>
      <c r="L251" s="260" t="n">
        <v>22.92931487</v>
      </c>
    </row>
    <row r="252">
      <c r="H252" t="inlineStr">
        <is>
          <t>TRANSLESTE</t>
        </is>
      </c>
      <c r="I252" t="inlineStr">
        <is>
          <t>IGP-M</t>
        </is>
      </c>
      <c r="J252" s="260" t="n">
        <v>36.99413497</v>
      </c>
      <c r="K252" s="260" t="n">
        <v>0</v>
      </c>
      <c r="L252" s="260" t="n">
        <v>36.99413497</v>
      </c>
    </row>
    <row r="253">
      <c r="H253" t="inlineStr">
        <is>
          <t>TRANSIRAPÉ</t>
        </is>
      </c>
      <c r="I253" t="inlineStr">
        <is>
          <t>IGP-M</t>
        </is>
      </c>
      <c r="J253" s="260" t="n">
        <v>45.47222481</v>
      </c>
      <c r="K253" s="260" t="n">
        <v>0</v>
      </c>
      <c r="L253" s="260" t="n">
        <v>45.47222481</v>
      </c>
    </row>
    <row r="254">
      <c r="H254" t="inlineStr">
        <is>
          <t>ETES</t>
        </is>
      </c>
      <c r="I254" t="inlineStr">
        <is>
          <t>IPCA</t>
        </is>
      </c>
      <c r="J254" s="260" t="n">
        <v>21.59457214</v>
      </c>
      <c r="K254" s="260" t="n">
        <v>0</v>
      </c>
      <c r="L254" s="260" t="n">
        <v>21.59457214</v>
      </c>
    </row>
    <row r="255">
      <c r="H255" t="inlineStr">
        <is>
          <t>STN</t>
        </is>
      </c>
      <c r="I255" t="inlineStr">
        <is>
          <t>IGP-M</t>
        </is>
      </c>
      <c r="J255" s="260" t="n">
        <v>169.99341879</v>
      </c>
      <c r="K255" s="260" t="n">
        <v>0</v>
      </c>
      <c r="L255" s="260" t="n">
        <v>169.99341879</v>
      </c>
    </row>
    <row r="256">
      <c r="H256" t="inlineStr">
        <is>
          <t>EBTE</t>
        </is>
      </c>
      <c r="I256" t="inlineStr">
        <is>
          <t>IPCA</t>
        </is>
      </c>
      <c r="J256" s="260" t="n">
        <v>81.26113380999999</v>
      </c>
      <c r="K256" s="260" t="n">
        <v>0</v>
      </c>
      <c r="L256" s="260" t="n">
        <v>81.26113380999999</v>
      </c>
    </row>
    <row r="257">
      <c r="H257" t="inlineStr">
        <is>
          <t>ETEM</t>
        </is>
      </c>
      <c r="I257" t="inlineStr">
        <is>
          <t>IPCA</t>
        </is>
      </c>
      <c r="J257" s="260" t="n">
        <v>20.56057662</v>
      </c>
      <c r="K257" s="260" t="n">
        <v>0</v>
      </c>
      <c r="L257" s="260" t="n">
        <v>20.56057662</v>
      </c>
    </row>
    <row r="258">
      <c r="H258" t="inlineStr">
        <is>
          <t>TME</t>
        </is>
      </c>
      <c r="I258" t="inlineStr">
        <is>
          <t>IPCA</t>
        </is>
      </c>
      <c r="J258" s="260" t="n">
        <v>75.90705491999999</v>
      </c>
      <c r="K258" s="260" t="n">
        <v>0</v>
      </c>
      <c r="L258" s="260" t="n">
        <v>75.90705491999999</v>
      </c>
    </row>
    <row r="259">
      <c r="H259" t="inlineStr">
        <is>
          <t>ESDE</t>
        </is>
      </c>
      <c r="I259" t="inlineStr">
        <is>
          <t>IPCA</t>
        </is>
      </c>
      <c r="J259" s="260" t="n">
        <v>20.17140985000001</v>
      </c>
      <c r="K259" s="260" t="n">
        <v>0</v>
      </c>
      <c r="L259" s="260" t="n">
        <v>20.17140985000001</v>
      </c>
    </row>
    <row r="260">
      <c r="H260" t="inlineStr">
        <is>
          <t>TNE</t>
        </is>
      </c>
      <c r="I260" t="inlineStr">
        <is>
          <t>IPCA</t>
        </is>
      </c>
      <c r="J260" s="260" t="n">
        <v>588.2356335300001</v>
      </c>
      <c r="K260" s="260" t="n">
        <v>0</v>
      </c>
      <c r="L260" s="260" t="n">
        <v>588.2356335300001</v>
      </c>
    </row>
    <row r="261">
      <c r="H261" t="inlineStr">
        <is>
          <t>ETSE</t>
        </is>
      </c>
      <c r="I261" t="inlineStr">
        <is>
          <t>IPCA</t>
        </is>
      </c>
      <c r="J261" s="260" t="n">
        <v>39.5313075</v>
      </c>
      <c r="K261" s="260" t="n">
        <v>0</v>
      </c>
      <c r="L261" s="260" t="n">
        <v>39.5313075</v>
      </c>
    </row>
    <row r="262">
      <c r="H262" t="inlineStr">
        <is>
          <t>ETVG</t>
        </is>
      </c>
      <c r="I262" t="inlineStr">
        <is>
          <t>IPCA</t>
        </is>
      </c>
      <c r="J262" s="260" t="n">
        <v>22.29945789</v>
      </c>
      <c r="K262" s="260" t="n">
        <v>10.92050169</v>
      </c>
      <c r="L262" s="260" t="n">
        <v>33.21995958</v>
      </c>
    </row>
    <row r="263">
      <c r="H263" t="inlineStr">
        <is>
          <t>ELTE</t>
        </is>
      </c>
      <c r="I263" t="inlineStr">
        <is>
          <t>IPCA</t>
        </is>
      </c>
      <c r="J263" s="260" t="n">
        <v>94.51379516999998</v>
      </c>
      <c r="K263" s="260" t="n">
        <v>0</v>
      </c>
      <c r="L263" s="260" t="n">
        <v>94.51379516999998</v>
      </c>
    </row>
    <row r="264">
      <c r="H264" t="inlineStr">
        <is>
          <t>ETAP</t>
        </is>
      </c>
      <c r="I264" t="inlineStr">
        <is>
          <t>IPCA</t>
        </is>
      </c>
      <c r="J264" s="260" t="n">
        <v>81.09791447999999</v>
      </c>
      <c r="K264" s="260" t="n">
        <v>0</v>
      </c>
      <c r="L264" s="260" t="n">
        <v>81.09791447999999</v>
      </c>
    </row>
    <row r="265">
      <c r="H265" t="inlineStr">
        <is>
          <t>ETC</t>
        </is>
      </c>
      <c r="I265" t="inlineStr">
        <is>
          <t>IPCA</t>
        </is>
      </c>
      <c r="J265" s="260" t="n">
        <v>47.09346056</v>
      </c>
      <c r="K265" s="260" t="n">
        <v>0</v>
      </c>
      <c r="L265" s="260" t="n">
        <v>47.09346056</v>
      </c>
    </row>
    <row r="266">
      <c r="H266" t="inlineStr">
        <is>
          <t>TPE</t>
        </is>
      </c>
      <c r="I266" t="inlineStr">
        <is>
          <t>IPCA</t>
        </is>
      </c>
      <c r="J266" s="260" t="n">
        <v>342.9481583899999</v>
      </c>
      <c r="K266" s="260" t="n">
        <v>0</v>
      </c>
      <c r="L266" s="260" t="n">
        <v>342.9481583899999</v>
      </c>
    </row>
    <row r="267">
      <c r="H267" t="inlineStr">
        <is>
          <t>TCC</t>
        </is>
      </c>
      <c r="I267" t="inlineStr">
        <is>
          <t>IPCA</t>
        </is>
      </c>
      <c r="J267" s="260" t="n">
        <v>232.8340932899999</v>
      </c>
      <c r="K267" s="260" t="n">
        <v>0</v>
      </c>
      <c r="L267" s="260" t="n">
        <v>232.8340932899999</v>
      </c>
    </row>
    <row r="268">
      <c r="H268" t="inlineStr">
        <is>
          <t>ESTE</t>
        </is>
      </c>
      <c r="I268" t="inlineStr">
        <is>
          <t>IPCA</t>
        </is>
      </c>
      <c r="J268" s="260" t="n">
        <v>161.08025498</v>
      </c>
      <c r="K268" s="260" t="n">
        <v>0</v>
      </c>
      <c r="L268" s="260" t="n">
        <v>161.08025498</v>
      </c>
    </row>
    <row r="269">
      <c r="H269" t="inlineStr">
        <is>
          <t>TSM</t>
        </is>
      </c>
      <c r="I269" t="inlineStr">
        <is>
          <t>IPCA</t>
        </is>
      </c>
      <c r="J269" s="260" t="n">
        <v>156.13173451</v>
      </c>
      <c r="K269" s="260" t="n">
        <v>0</v>
      </c>
      <c r="L269" s="260" t="n">
        <v>156.13173451</v>
      </c>
    </row>
    <row r="270">
      <c r="H270" t="inlineStr">
        <is>
          <t>ETB</t>
        </is>
      </c>
      <c r="I270" t="inlineStr">
        <is>
          <t>IPCA</t>
        </is>
      </c>
      <c r="J270" s="260" t="n">
        <v>204.29257071</v>
      </c>
      <c r="K270" s="260" t="n">
        <v>0</v>
      </c>
      <c r="L270" s="260" t="n">
        <v>204.29257071</v>
      </c>
    </row>
    <row r="271">
      <c r="H271" t="inlineStr">
        <is>
          <t>EDTE</t>
        </is>
      </c>
      <c r="I271" t="inlineStr">
        <is>
          <t>IPCA</t>
        </is>
      </c>
      <c r="J271" s="260" t="n">
        <v>99.65314961</v>
      </c>
      <c r="K271" s="260" t="n">
        <v>0</v>
      </c>
      <c r="L271" s="260" t="n">
        <v>99.65314961</v>
      </c>
    </row>
    <row r="272">
      <c r="H272" t="inlineStr">
        <is>
          <t>TECP</t>
        </is>
      </c>
      <c r="I272" t="inlineStr">
        <is>
          <t>IPCA</t>
        </is>
      </c>
      <c r="J272" s="260" t="n">
        <v>27.83530269000001</v>
      </c>
      <c r="K272" s="260" t="n">
        <v>55.35448396999979</v>
      </c>
      <c r="L272" s="260" t="n">
        <v>83.18978665999981</v>
      </c>
    </row>
    <row r="273">
      <c r="H273" t="inlineStr">
        <is>
          <t>TAP</t>
        </is>
      </c>
      <c r="I273" t="inlineStr">
        <is>
          <t>IPCA</t>
        </is>
      </c>
      <c r="J273" s="260" t="n">
        <v>0</v>
      </c>
      <c r="K273" s="260" t="n">
        <v>276.8392254</v>
      </c>
      <c r="L273" s="260" t="n">
        <v>276.8392254</v>
      </c>
    </row>
    <row r="274">
      <c r="H274" t="inlineStr">
        <is>
          <t>TPC</t>
        </is>
      </c>
      <c r="I274" t="inlineStr">
        <is>
          <t>IPCA</t>
        </is>
      </c>
      <c r="J274" s="260" t="n">
        <v>0</v>
      </c>
      <c r="K274" s="260" t="n">
        <v>176.50602087</v>
      </c>
      <c r="L274" s="260" t="n">
        <v>176.50602087</v>
      </c>
    </row>
    <row r="275">
      <c r="H275" t="inlineStr">
        <is>
          <t>AETE</t>
        </is>
      </c>
      <c r="I275" t="inlineStr">
        <is>
          <t>IGP-M</t>
        </is>
      </c>
      <c r="J275" s="260" t="n">
        <v>42.99404453</v>
      </c>
      <c r="K275" s="260" t="n">
        <v>0</v>
      </c>
      <c r="L275" s="260" t="n">
        <v>42.99404453</v>
      </c>
    </row>
    <row r="276">
      <c r="H276" t="inlineStr">
        <is>
          <t>TBO</t>
        </is>
      </c>
      <c r="I276" t="inlineStr">
        <is>
          <t>IPCA</t>
        </is>
      </c>
      <c r="J276" s="260" t="n">
        <v>21.9787936</v>
      </c>
      <c r="K276" s="260" t="n">
        <v>0</v>
      </c>
      <c r="L276" s="260" t="n">
        <v>21.9787936</v>
      </c>
    </row>
    <row r="277">
      <c r="H277" t="inlineStr">
        <is>
          <t>LOTE 7 (1/2026 E2)</t>
        </is>
      </c>
      <c r="I277" t="inlineStr">
        <is>
          <t>IPCA</t>
        </is>
      </c>
      <c r="J277" s="260" t="n">
        <v>96.72</v>
      </c>
      <c r="K277" s="260" t="n">
        <v>0</v>
      </c>
      <c r="L277" s="260" t="n">
        <v>96.72</v>
      </c>
    </row>
    <row r="278">
      <c r="H278" t="inlineStr">
        <is>
          <t>TOTAL BRASIL</t>
        </is>
      </c>
      <c r="I278" t="inlineStr"/>
      <c r="J278" s="260" t="n">
        <v>3641.505871749999</v>
      </c>
      <c r="K278" s="260" t="n">
        <v>583.0855964499997</v>
      </c>
      <c r="L278" s="260" t="n">
        <v>4224.5914682</v>
      </c>
    </row>
    <row r="279">
      <c r="H279" t="inlineStr">
        <is>
          <t>TCE (COL)</t>
        </is>
      </c>
      <c r="I279" t="inlineStr">
        <is>
          <t>PPI</t>
        </is>
      </c>
      <c r="J279" s="260" t="n">
        <v>150.58735</v>
      </c>
      <c r="K279" s="260" t="n">
        <v>0</v>
      </c>
      <c r="L279" s="260" t="n">
        <v>150.58735</v>
      </c>
    </row>
    <row r="280">
      <c r="H280" t="inlineStr">
        <is>
          <t>TEL (COL)</t>
        </is>
      </c>
      <c r="I280" t="inlineStr">
        <is>
          <t>PPI</t>
        </is>
      </c>
      <c r="J280" s="260" t="n">
        <v>0</v>
      </c>
      <c r="K280" s="260" t="n">
        <v>31.751831</v>
      </c>
      <c r="L280" s="260" t="n">
        <v>31.751831</v>
      </c>
    </row>
    <row r="281">
      <c r="H281" t="inlineStr">
        <is>
          <t>TES (CHL)</t>
        </is>
      </c>
      <c r="I281" t="inlineStr">
        <is>
          <t>PPI</t>
        </is>
      </c>
      <c r="J281" s="260" t="n">
        <v>0</v>
      </c>
      <c r="K281" s="260" t="n">
        <v>26.715121</v>
      </c>
      <c r="L281" s="260" t="n">
        <v>26.715121</v>
      </c>
    </row>
    <row r="282">
      <c r="H282" t="inlineStr">
        <is>
          <t>SED (ANA MARIA, CHL)</t>
        </is>
      </c>
      <c r="I282" t="inlineStr">
        <is>
          <t>PPI</t>
        </is>
      </c>
      <c r="J282" s="260" t="n">
        <v>0</v>
      </c>
      <c r="K282" s="260" t="n">
        <v>53.96475</v>
      </c>
      <c r="L282" s="260" t="n">
        <v>53.96475</v>
      </c>
    </row>
    <row r="283">
      <c r="H283" t="inlineStr">
        <is>
          <t>SED (ILLAPA, CHL)</t>
        </is>
      </c>
      <c r="I283" t="inlineStr">
        <is>
          <t>PPI</t>
        </is>
      </c>
      <c r="J283" s="260" t="n">
        <v>0</v>
      </c>
      <c r="K283" s="260" t="n">
        <v>45.74155</v>
      </c>
      <c r="L283" s="260" t="n">
        <v>45.74155</v>
      </c>
    </row>
    <row r="284">
      <c r="H284" t="inlineStr">
        <is>
          <t>TCN (PE)</t>
        </is>
      </c>
      <c r="I284" t="inlineStr">
        <is>
          <t>PPI</t>
        </is>
      </c>
      <c r="J284" s="260" t="n">
        <v>0</v>
      </c>
      <c r="K284" s="260" t="n">
        <v>25.18355</v>
      </c>
      <c r="L284" s="260" t="n">
        <v>25.18355</v>
      </c>
    </row>
    <row r="285">
      <c r="H285" t="inlineStr">
        <is>
          <t>MARAVILLA (PE)</t>
        </is>
      </c>
      <c r="I285" t="inlineStr">
        <is>
          <t>PPI</t>
        </is>
      </c>
      <c r="J285" s="260" t="n">
        <v>0</v>
      </c>
      <c r="K285" s="260" t="n">
        <v>6.68135</v>
      </c>
      <c r="L285" s="260" t="n">
        <v>6.68135</v>
      </c>
    </row>
    <row r="286">
      <c r="H286" t="inlineStr">
        <is>
          <t>PUNO SUR (PE)</t>
        </is>
      </c>
      <c r="I286" t="inlineStr">
        <is>
          <t>PPI</t>
        </is>
      </c>
      <c r="J286" s="260" t="n">
        <v>0</v>
      </c>
      <c r="K286" s="260" t="n">
        <v>9.765049999999999</v>
      </c>
      <c r="L286" s="260" t="n">
        <v>9.765049999999999</v>
      </c>
    </row>
    <row r="287">
      <c r="H287" t="inlineStr">
        <is>
          <t>TSA (PE)</t>
        </is>
      </c>
      <c r="I287" t="inlineStr">
        <is>
          <t>PPI</t>
        </is>
      </c>
      <c r="J287" s="260" t="n">
        <v>0</v>
      </c>
      <c r="K287" s="260" t="n">
        <v>307.85605</v>
      </c>
      <c r="L287" s="260" t="n">
        <v>307.85605</v>
      </c>
    </row>
    <row r="288">
      <c r="H288" t="inlineStr">
        <is>
          <t>TER (PE)</t>
        </is>
      </c>
      <c r="I288" t="inlineStr">
        <is>
          <t>PPI</t>
        </is>
      </c>
      <c r="J288" s="260" t="n">
        <v>0</v>
      </c>
      <c r="K288" s="260" t="n">
        <v>31.8649</v>
      </c>
      <c r="L288" s="260" t="n">
        <v>31.8649</v>
      </c>
    </row>
    <row r="289">
      <c r="H289" t="inlineStr">
        <is>
          <t>PALCA (PE)</t>
        </is>
      </c>
      <c r="I289" t="inlineStr">
        <is>
          <t>PPI</t>
        </is>
      </c>
      <c r="J289" s="260" t="n">
        <v>0</v>
      </c>
      <c r="K289" s="260" t="n">
        <v>163.4361</v>
      </c>
      <c r="L289" s="260" t="n">
        <v>163.4361</v>
      </c>
    </row>
    <row r="290">
      <c r="H290" t="inlineStr">
        <is>
          <t>TOTAL LATAM</t>
        </is>
      </c>
      <c r="I290" t="inlineStr">
        <is>
          <t>PPI</t>
        </is>
      </c>
      <c r="J290" s="260" t="n">
        <v>150.58735</v>
      </c>
      <c r="K290" s="260" t="n">
        <v>702.960252</v>
      </c>
      <c r="L290" s="260" t="n">
        <v>853.547602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8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100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6" t="inlineStr">
        <is>
          <t>3Q26</t>
        </is>
      </c>
      <c r="AF2" s="256" t="inlineStr">
        <is>
          <t>4Q26</t>
        </is>
      </c>
      <c r="AG2" s="257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$230=$B4)*ISNUMBER(INDEX(Inputs!$K$5:$AJ$230,0,MATCH(D$2,Inputs!$K$4:$AJ$4,0))))+SUMPRODUCT((Inputs!$C$5:$C$230=$B4)*ISNUMBER(INDEX(Inputs!$K$5:$AJ$230,0,MATCH(D$2,Inputs!$K$4:$AJ$4,0))))+SUMPRODUCT((Inputs!$E$5:$E$230=$B4)*ISNUMBER(INDEX(Inputs!$K$5:$AJ$230,0,MATCH(D$2,Inputs!$K$4:$AJ$4,0))))=0,NA(),SUMPRODUCT((Inputs!$A$5:$A$230=$B4)*Inputs!$B$5:$B$230*(((Inputs!$G$5:$G$230="moeda")+(Inputs!$G$5:$G$230="acoes"))*Inputs!$B$1+((Inputs!$G$5:$G$230&lt;&gt;"moeda")*(Inputs!$G$5:$G$230&lt;&gt;"acoes")))*INDEX(Inputs!$K$5:$AJ$230,0,MATCH(D$2,Inputs!$K$4:$AJ$4,0)))+SUMPRODUCT((Inputs!$C$5:$C$230=$B4)*Inputs!$D$5:$D$230*(((Inputs!$G$5:$G$230="moeda")+(Inputs!$G$5:$G$230="acoes"))*Inputs!$B$1+((Inputs!$G$5:$G$230&lt;&gt;"moeda")*(Inputs!$G$5:$G$230&lt;&gt;"acoes")))*INDEX(Inputs!$K$5:$AJ$230,0,MATCH(D$2,Inputs!$K$4:$AJ$4,0)))+SUMPRODUCT((Inputs!$E$5:$E$230=$B4)*Inputs!$F$5:$F$230*(((Inputs!$G$5:$G$230="moeda")+(Inputs!$G$5:$G$230="acoes"))*Inputs!$B$1+((Inputs!$G$5:$G$230&lt;&gt;"moeda")*(Inputs!$G$5:$G$230&lt;&gt;"acoes")))*INDEX(Inputs!$K$5:$AJ$230,0,MATCH(D$2,Inputs!$K$4:$AJ$4,0)))))</f>
        <v>1601.474</v>
      </c>
      <c r="E4" s="6">
        <f>IF(ISNA(MATCH(E$2,Inputs!$K$4:$AJ$4,0)),NA(),IF(SUMPRODUCT((Inputs!$A$5:$A$230=$B4)*ISNUMBER(INDEX(Inputs!$K$5:$AJ$230,0,MATCH(E$2,Inputs!$K$4:$AJ$4,0))))+SUMPRODUCT((Inputs!$C$5:$C$230=$B4)*ISNUMBER(INDEX(Inputs!$K$5:$AJ$230,0,MATCH(E$2,Inputs!$K$4:$AJ$4,0))))+SUMPRODUCT((Inputs!$E$5:$E$230=$B4)*ISNUMBER(INDEX(Inputs!$K$5:$AJ$230,0,MATCH(E$2,Inputs!$K$4:$AJ$4,0))))=0,NA(),SUMPRODUCT((Inputs!$A$5:$A$230=$B4)*Inputs!$B$5:$B$230*(((Inputs!$G$5:$G$230="moeda")+(Inputs!$G$5:$G$230="acoes"))*Inputs!$B$1+((Inputs!$G$5:$G$230&lt;&gt;"moeda")*(Inputs!$G$5:$G$230&lt;&gt;"acoes")))*INDEX(Inputs!$K$5:$AJ$230,0,MATCH(E$2,Inputs!$K$4:$AJ$4,0)))+SUMPRODUCT((Inputs!$C$5:$C$230=$B4)*Inputs!$D$5:$D$230*(((Inputs!$G$5:$G$230="moeda")+(Inputs!$G$5:$G$230="acoes"))*Inputs!$B$1+((Inputs!$G$5:$G$230&lt;&gt;"moeda")*(Inputs!$G$5:$G$230&lt;&gt;"acoes")))*INDEX(Inputs!$K$5:$AJ$230,0,MATCH(E$2,Inputs!$K$4:$AJ$4,0)))+SUMPRODUCT((Inputs!$E$5:$E$230=$B4)*Inputs!$F$5:$F$230*(((Inputs!$G$5:$G$230="moeda")+(Inputs!$G$5:$G$230="acoes"))*Inputs!$B$1+((Inputs!$G$5:$G$230&lt;&gt;"moeda")*(Inputs!$G$5:$G$230&lt;&gt;"acoes")))*INDEX(Inputs!$K$5:$AJ$230,0,MATCH(E$2,Inputs!$K$4:$AJ$4,0)))))</f>
        <v>1337.141</v>
      </c>
      <c r="F4" s="6">
        <f>IF(ISNA(MATCH(F$2,Inputs!$K$4:$AJ$4,0)),NA(),IF(SUMPRODUCT((Inputs!$A$5:$A$230=$B4)*ISNUMBER(INDEX(Inputs!$K$5:$AJ$230,0,MATCH(F$2,Inputs!$K$4:$AJ$4,0))))+SUMPRODUCT((Inputs!$C$5:$C$230=$B4)*ISNUMBER(INDEX(Inputs!$K$5:$AJ$230,0,MATCH(F$2,Inputs!$K$4:$AJ$4,0))))+SUMPRODUCT((Inputs!$E$5:$E$230=$B4)*ISNUMBER(INDEX(Inputs!$K$5:$AJ$230,0,MATCH(F$2,Inputs!$K$4:$AJ$4,0))))=0,NA(),SUMPRODUCT((Inputs!$A$5:$A$230=$B4)*Inputs!$B$5:$B$230*(((Inputs!$G$5:$G$230="moeda")+(Inputs!$G$5:$G$230="acoes"))*Inputs!$B$1+((Inputs!$G$5:$G$230&lt;&gt;"moeda")*(Inputs!$G$5:$G$230&lt;&gt;"acoes")))*INDEX(Inputs!$K$5:$AJ$230,0,MATCH(F$2,Inputs!$K$4:$AJ$4,0)))+SUMPRODUCT((Inputs!$C$5:$C$230=$B4)*Inputs!$D$5:$D$230*(((Inputs!$G$5:$G$230="moeda")+(Inputs!$G$5:$G$230="acoes"))*Inputs!$B$1+((Inputs!$G$5:$G$230&lt;&gt;"moeda")*(Inputs!$G$5:$G$230&lt;&gt;"acoes")))*INDEX(Inputs!$K$5:$AJ$230,0,MATCH(F$2,Inputs!$K$4:$AJ$4,0)))+SUMPRODUCT((Inputs!$E$5:$E$230=$B4)*Inputs!$F$5:$F$230*(((Inputs!$G$5:$G$230="moeda")+(Inputs!$G$5:$G$230="acoes"))*Inputs!$B$1+((Inputs!$G$5:$G$230&lt;&gt;"moeda")*(Inputs!$G$5:$G$230&lt;&gt;"acoes")))*INDEX(Inputs!$K$5:$AJ$230,0,MATCH(F$2,Inputs!$K$4:$AJ$4,0)))))</f>
        <v>1167.652</v>
      </c>
      <c r="G4" s="6">
        <f>IF(ISNA(MATCH(G$2,Inputs!$K$4:$AJ$4,0)),NA(),IF(SUMPRODUCT((Inputs!$A$5:$A$230=$B4)*ISNUMBER(INDEX(Inputs!$K$5:$AJ$230,0,MATCH(G$2,Inputs!$K$4:$AJ$4,0))))+SUMPRODUCT((Inputs!$C$5:$C$230=$B4)*ISNUMBER(INDEX(Inputs!$K$5:$AJ$230,0,MATCH(G$2,Inputs!$K$4:$AJ$4,0))))+SUMPRODUCT((Inputs!$E$5:$E$230=$B4)*ISNUMBER(INDEX(Inputs!$K$5:$AJ$230,0,MATCH(G$2,Inputs!$K$4:$AJ$4,0))))=0,NA(),SUMPRODUCT((Inputs!$A$5:$A$230=$B4)*Inputs!$B$5:$B$230*(((Inputs!$G$5:$G$230="moeda")+(Inputs!$G$5:$G$230="acoes"))*Inputs!$B$1+((Inputs!$G$5:$G$230&lt;&gt;"moeda")*(Inputs!$G$5:$G$230&lt;&gt;"acoes")))*INDEX(Inputs!$K$5:$AJ$230,0,MATCH(G$2,Inputs!$K$4:$AJ$4,0)))+SUMPRODUCT((Inputs!$C$5:$C$230=$B4)*Inputs!$D$5:$D$230*(((Inputs!$G$5:$G$230="moeda")+(Inputs!$G$5:$G$230="acoes"))*Inputs!$B$1+((Inputs!$G$5:$G$230&lt;&gt;"moeda")*(Inputs!$G$5:$G$230&lt;&gt;"acoes")))*INDEX(Inputs!$K$5:$AJ$230,0,MATCH(G$2,Inputs!$K$4:$AJ$4,0)))+SUMPRODUCT((Inputs!$E$5:$E$230=$B4)*Inputs!$F$5:$F$230*(((Inputs!$G$5:$G$230="moeda")+(Inputs!$G$5:$G$230="acoes"))*Inputs!$B$1+((Inputs!$G$5:$G$230&lt;&gt;"moeda")*(Inputs!$G$5:$G$230&lt;&gt;"acoes")))*INDEX(Inputs!$K$5:$AJ$230,0,MATCH(G$2,Inputs!$K$4:$AJ$4,0)))))</f>
        <v>1127.941</v>
      </c>
      <c r="H4" s="3">
        <f>SUM(D4:G4)</f>
        <v>5234.208</v>
      </c>
      <c r="I4" s="6">
        <f>IF(ISNA(MATCH(I$2,Inputs!$K$4:$AJ$4,0)),NA(),IF(SUMPRODUCT((Inputs!$A$5:$A$230=$B4)*ISNUMBER(INDEX(Inputs!$K$5:$AJ$230,0,MATCH(I$2,Inputs!$K$4:$AJ$4,0))))+SUMPRODUCT((Inputs!$C$5:$C$230=$B4)*ISNUMBER(INDEX(Inputs!$K$5:$AJ$230,0,MATCH(I$2,Inputs!$K$4:$AJ$4,0))))+SUMPRODUCT((Inputs!$E$5:$E$230=$B4)*ISNUMBER(INDEX(Inputs!$K$5:$AJ$230,0,MATCH(I$2,Inputs!$K$4:$AJ$4,0))))=0,NA(),SUMPRODUCT((Inputs!$A$5:$A$230=$B4)*Inputs!$B$5:$B$230*(((Inputs!$G$5:$G$230="moeda")+(Inputs!$G$5:$G$230="acoes"))*Inputs!$B$1+((Inputs!$G$5:$G$230&lt;&gt;"moeda")*(Inputs!$G$5:$G$230&lt;&gt;"acoes")))*INDEX(Inputs!$K$5:$AJ$230,0,MATCH(I$2,Inputs!$K$4:$AJ$4,0)))+SUMPRODUCT((Inputs!$C$5:$C$230=$B4)*Inputs!$D$5:$D$230*(((Inputs!$G$5:$G$230="moeda")+(Inputs!$G$5:$G$230="acoes"))*Inputs!$B$1+((Inputs!$G$5:$G$230&lt;&gt;"moeda")*(Inputs!$G$5:$G$230&lt;&gt;"acoes")))*INDEX(Inputs!$K$5:$AJ$230,0,MATCH(I$2,Inputs!$K$4:$AJ$4,0)))+SUMPRODUCT((Inputs!$E$5:$E$230=$B4)*Inputs!$F$5:$F$230*(((Inputs!$G$5:$G$230="moeda")+(Inputs!$G$5:$G$230="acoes"))*Inputs!$B$1+((Inputs!$G$5:$G$230&lt;&gt;"moeda")*(Inputs!$G$5:$G$230&lt;&gt;"acoes")))*INDEX(Inputs!$K$5:$AJ$230,0,MATCH(I$2,Inputs!$K$4:$AJ$4,0)))))</f>
        <v>1280.52</v>
      </c>
      <c r="J4" s="6">
        <f>IF(ISNA(MATCH(J$2,Inputs!$K$4:$AJ$4,0)),NA(),IF(SUMPRODUCT((Inputs!$A$5:$A$230=$B4)*ISNUMBER(INDEX(Inputs!$K$5:$AJ$230,0,MATCH(J$2,Inputs!$K$4:$AJ$4,0))))+SUMPRODUCT((Inputs!$C$5:$C$230=$B4)*ISNUMBER(INDEX(Inputs!$K$5:$AJ$230,0,MATCH(J$2,Inputs!$K$4:$AJ$4,0))))+SUMPRODUCT((Inputs!$E$5:$E$230=$B4)*ISNUMBER(INDEX(Inputs!$K$5:$AJ$230,0,MATCH(J$2,Inputs!$K$4:$AJ$4,0))))=0,NA(),SUMPRODUCT((Inputs!$A$5:$A$230=$B4)*Inputs!$B$5:$B$230*(((Inputs!$G$5:$G$230="moeda")+(Inputs!$G$5:$G$230="acoes"))*Inputs!$B$1+((Inputs!$G$5:$G$230&lt;&gt;"moeda")*(Inputs!$G$5:$G$230&lt;&gt;"acoes")))*INDEX(Inputs!$K$5:$AJ$230,0,MATCH(J$2,Inputs!$K$4:$AJ$4,0)))+SUMPRODUCT((Inputs!$C$5:$C$230=$B4)*Inputs!$D$5:$D$230*(((Inputs!$G$5:$G$230="moeda")+(Inputs!$G$5:$G$230="acoes"))*Inputs!$B$1+((Inputs!$G$5:$G$230&lt;&gt;"moeda")*(Inputs!$G$5:$G$230&lt;&gt;"acoes")))*INDEX(Inputs!$K$5:$AJ$230,0,MATCH(J$2,Inputs!$K$4:$AJ$4,0)))+SUMPRODUCT((Inputs!$E$5:$E$230=$B4)*Inputs!$F$5:$F$230*(((Inputs!$G$5:$G$230="moeda")+(Inputs!$G$5:$G$230="acoes"))*Inputs!$B$1+((Inputs!$G$5:$G$230&lt;&gt;"moeda")*(Inputs!$G$5:$G$230&lt;&gt;"acoes")))*INDEX(Inputs!$K$5:$AJ$230,0,MATCH(J$2,Inputs!$K$4:$AJ$4,0)))))</f>
        <v>1168.243</v>
      </c>
      <c r="K4" s="6">
        <f>IF(ISNA(MATCH(K$2,Inputs!$K$4:$AJ$4,0)),NA(),IF(SUMPRODUCT((Inputs!$A$5:$A$230=$B4)*ISNUMBER(INDEX(Inputs!$K$5:$AJ$230,0,MATCH(K$2,Inputs!$K$4:$AJ$4,0))))+SUMPRODUCT((Inputs!$C$5:$C$230=$B4)*ISNUMBER(INDEX(Inputs!$K$5:$AJ$230,0,MATCH(K$2,Inputs!$K$4:$AJ$4,0))))+SUMPRODUCT((Inputs!$E$5:$E$230=$B4)*ISNUMBER(INDEX(Inputs!$K$5:$AJ$230,0,MATCH(K$2,Inputs!$K$4:$AJ$4,0))))=0,NA(),SUMPRODUCT((Inputs!$A$5:$A$230=$B4)*Inputs!$B$5:$B$230*(((Inputs!$G$5:$G$230="moeda")+(Inputs!$G$5:$G$230="acoes"))*Inputs!$B$1+((Inputs!$G$5:$G$230&lt;&gt;"moeda")*(Inputs!$G$5:$G$230&lt;&gt;"acoes")))*INDEX(Inputs!$K$5:$AJ$230,0,MATCH(K$2,Inputs!$K$4:$AJ$4,0)))+SUMPRODUCT((Inputs!$C$5:$C$230=$B4)*Inputs!$D$5:$D$230*(((Inputs!$G$5:$G$230="moeda")+(Inputs!$G$5:$G$230="acoes"))*Inputs!$B$1+((Inputs!$G$5:$G$230&lt;&gt;"moeda")*(Inputs!$G$5:$G$230&lt;&gt;"acoes")))*INDEX(Inputs!$K$5:$AJ$230,0,MATCH(K$2,Inputs!$K$4:$AJ$4,0)))+SUMPRODUCT((Inputs!$E$5:$E$230=$B4)*Inputs!$F$5:$F$230*(((Inputs!$G$5:$G$230="moeda")+(Inputs!$G$5:$G$230="acoes"))*Inputs!$B$1+((Inputs!$G$5:$G$230&lt;&gt;"moeda")*(Inputs!$G$5:$G$230&lt;&gt;"acoes")))*INDEX(Inputs!$K$5:$AJ$230,0,MATCH(K$2,Inputs!$K$4:$AJ$4,0)))))</f>
        <v>652.659</v>
      </c>
      <c r="L4" s="6">
        <f>IF(ISNA(MATCH(L$2,Inputs!$K$4:$AJ$4,0)),NA(),IF(SUMPRODUCT((Inputs!$A$5:$A$230=$B4)*ISNUMBER(INDEX(Inputs!$K$5:$AJ$230,0,MATCH(L$2,Inputs!$K$4:$AJ$4,0))))+SUMPRODUCT((Inputs!$C$5:$C$230=$B4)*ISNUMBER(INDEX(Inputs!$K$5:$AJ$230,0,MATCH(L$2,Inputs!$K$4:$AJ$4,0))))+SUMPRODUCT((Inputs!$E$5:$E$230=$B4)*ISNUMBER(INDEX(Inputs!$K$5:$AJ$230,0,MATCH(L$2,Inputs!$K$4:$AJ$4,0))))=0,NA(),SUMPRODUCT((Inputs!$A$5:$A$230=$B4)*Inputs!$B$5:$B$230*(((Inputs!$G$5:$G$230="moeda")+(Inputs!$G$5:$G$230="acoes"))*Inputs!$B$1+((Inputs!$G$5:$G$230&lt;&gt;"moeda")*(Inputs!$G$5:$G$230&lt;&gt;"acoes")))*INDEX(Inputs!$K$5:$AJ$230,0,MATCH(L$2,Inputs!$K$4:$AJ$4,0)))+SUMPRODUCT((Inputs!$C$5:$C$230=$B4)*Inputs!$D$5:$D$230*(((Inputs!$G$5:$G$230="moeda")+(Inputs!$G$5:$G$230="acoes"))*Inputs!$B$1+((Inputs!$G$5:$G$230&lt;&gt;"moeda")*(Inputs!$G$5:$G$230&lt;&gt;"acoes")))*INDEX(Inputs!$K$5:$AJ$230,0,MATCH(L$2,Inputs!$K$4:$AJ$4,0)))+SUMPRODUCT((Inputs!$E$5:$E$230=$B4)*Inputs!$F$5:$F$230*(((Inputs!$G$5:$G$230="moeda")+(Inputs!$G$5:$G$230="acoes"))*Inputs!$B$1+((Inputs!$G$5:$G$230&lt;&gt;"moeda")*(Inputs!$G$5:$G$230&lt;&gt;"acoes")))*INDEX(Inputs!$K$5:$AJ$230,0,MATCH(L$2,Inputs!$K$4:$AJ$4,0)))))</f>
        <v>732.286</v>
      </c>
      <c r="M4" s="3">
        <f>SUM(I4:L4)</f>
        <v>3833.708</v>
      </c>
      <c r="N4" s="6">
        <f>IF(ISNA(MATCH(N$2,Inputs!$K$4:$AJ$4,0)),NA(),IF(SUMPRODUCT((Inputs!$A$5:$A$230=$B4)*ISNUMBER(INDEX(Inputs!$K$5:$AJ$230,0,MATCH(N$2,Inputs!$K$4:$AJ$4,0))))+SUMPRODUCT((Inputs!$C$5:$C$230=$B4)*ISNUMBER(INDEX(Inputs!$K$5:$AJ$230,0,MATCH(N$2,Inputs!$K$4:$AJ$4,0))))+SUMPRODUCT((Inputs!$E$5:$E$230=$B4)*ISNUMBER(INDEX(Inputs!$K$5:$AJ$230,0,MATCH(N$2,Inputs!$K$4:$AJ$4,0))))=0,NA(),SUMPRODUCT((Inputs!$A$5:$A$230=$B4)*Inputs!$B$5:$B$230*(((Inputs!$G$5:$G$230="moeda")+(Inputs!$G$5:$G$230="acoes"))*Inputs!$B$1+((Inputs!$G$5:$G$230&lt;&gt;"moeda")*(Inputs!$G$5:$G$230&lt;&gt;"acoes")))*INDEX(Inputs!$K$5:$AJ$230,0,MATCH(N$2,Inputs!$K$4:$AJ$4,0)))+SUMPRODUCT((Inputs!$C$5:$C$230=$B4)*Inputs!$D$5:$D$230*(((Inputs!$G$5:$G$230="moeda")+(Inputs!$G$5:$G$230="acoes"))*Inputs!$B$1+((Inputs!$G$5:$G$230&lt;&gt;"moeda")*(Inputs!$G$5:$G$230&lt;&gt;"acoes")))*INDEX(Inputs!$K$5:$AJ$230,0,MATCH(N$2,Inputs!$K$4:$AJ$4,0)))+SUMPRODUCT((Inputs!$E$5:$E$230=$B4)*Inputs!$F$5:$F$230*(((Inputs!$G$5:$G$230="moeda")+(Inputs!$G$5:$G$230="acoes"))*Inputs!$B$1+((Inputs!$G$5:$G$230&lt;&gt;"moeda")*(Inputs!$G$5:$G$230&lt;&gt;"acoes")))*INDEX(Inputs!$K$5:$AJ$230,0,MATCH(N$2,Inputs!$K$4:$AJ$4,0)))))</f>
        <v>1003.997</v>
      </c>
      <c r="O4" s="6">
        <f>IF(ISNA(MATCH(O$2,Inputs!$K$4:$AJ$4,0)),NA(),IF(SUMPRODUCT((Inputs!$A$5:$A$230=$B4)*ISNUMBER(INDEX(Inputs!$K$5:$AJ$230,0,MATCH(O$2,Inputs!$K$4:$AJ$4,0))))+SUMPRODUCT((Inputs!$C$5:$C$230=$B4)*ISNUMBER(INDEX(Inputs!$K$5:$AJ$230,0,MATCH(O$2,Inputs!$K$4:$AJ$4,0))))+SUMPRODUCT((Inputs!$E$5:$E$230=$B4)*ISNUMBER(INDEX(Inputs!$K$5:$AJ$230,0,MATCH(O$2,Inputs!$K$4:$AJ$4,0))))=0,NA(),SUMPRODUCT((Inputs!$A$5:$A$230=$B4)*Inputs!$B$5:$B$230*(((Inputs!$G$5:$G$230="moeda")+(Inputs!$G$5:$G$230="acoes"))*Inputs!$B$1+((Inputs!$G$5:$G$230&lt;&gt;"moeda")*(Inputs!$G$5:$G$230&lt;&gt;"acoes")))*INDEX(Inputs!$K$5:$AJ$230,0,MATCH(O$2,Inputs!$K$4:$AJ$4,0)))+SUMPRODUCT((Inputs!$C$5:$C$230=$B4)*Inputs!$D$5:$D$230*(((Inputs!$G$5:$G$230="moeda")+(Inputs!$G$5:$G$230="acoes"))*Inputs!$B$1+((Inputs!$G$5:$G$230&lt;&gt;"moeda")*(Inputs!$G$5:$G$230&lt;&gt;"acoes")))*INDEX(Inputs!$K$5:$AJ$230,0,MATCH(O$2,Inputs!$K$4:$AJ$4,0)))+SUMPRODUCT((Inputs!$E$5:$E$230=$B4)*Inputs!$F$5:$F$230*(((Inputs!$G$5:$G$230="moeda")+(Inputs!$G$5:$G$230="acoes"))*Inputs!$B$1+((Inputs!$G$5:$G$230&lt;&gt;"moeda")*(Inputs!$G$5:$G$230&lt;&gt;"acoes")))*INDEX(Inputs!$K$5:$AJ$230,0,MATCH(O$2,Inputs!$K$4:$AJ$4,0)))))</f>
        <v>780.156</v>
      </c>
      <c r="P4" s="6">
        <f>IF(ISNA(MATCH(P$2,Inputs!$K$4:$AJ$4,0)),NA(),IF(SUMPRODUCT((Inputs!$A$5:$A$230=$B4)*ISNUMBER(INDEX(Inputs!$K$5:$AJ$230,0,MATCH(P$2,Inputs!$K$4:$AJ$4,0))))+SUMPRODUCT((Inputs!$C$5:$C$230=$B4)*ISNUMBER(INDEX(Inputs!$K$5:$AJ$230,0,MATCH(P$2,Inputs!$K$4:$AJ$4,0))))+SUMPRODUCT((Inputs!$E$5:$E$230=$B4)*ISNUMBER(INDEX(Inputs!$K$5:$AJ$230,0,MATCH(P$2,Inputs!$K$4:$AJ$4,0))))=0,NA(),SUMPRODUCT((Inputs!$A$5:$A$230=$B4)*Inputs!$B$5:$B$230*(((Inputs!$G$5:$G$230="moeda")+(Inputs!$G$5:$G$230="acoes"))*Inputs!$B$1+((Inputs!$G$5:$G$230&lt;&gt;"moeda")*(Inputs!$G$5:$G$230&lt;&gt;"acoes")))*INDEX(Inputs!$K$5:$AJ$230,0,MATCH(P$2,Inputs!$K$4:$AJ$4,0)))+SUMPRODUCT((Inputs!$C$5:$C$230=$B4)*Inputs!$D$5:$D$230*(((Inputs!$G$5:$G$230="moeda")+(Inputs!$G$5:$G$230="acoes"))*Inputs!$B$1+((Inputs!$G$5:$G$230&lt;&gt;"moeda")*(Inputs!$G$5:$G$230&lt;&gt;"acoes")))*INDEX(Inputs!$K$5:$AJ$230,0,MATCH(P$2,Inputs!$K$4:$AJ$4,0)))+SUMPRODUCT((Inputs!$E$5:$E$230=$B4)*Inputs!$F$5:$F$230*(((Inputs!$G$5:$G$230="moeda")+(Inputs!$G$5:$G$230="acoes"))*Inputs!$B$1+((Inputs!$G$5:$G$230&lt;&gt;"moeda")*(Inputs!$G$5:$G$230&lt;&gt;"acoes")))*INDEX(Inputs!$K$5:$AJ$230,0,MATCH(P$2,Inputs!$K$4:$AJ$4,0)))))</f>
        <v>648.957</v>
      </c>
      <c r="Q4" s="6">
        <f>IF(ISNA(MATCH(Q$2,Inputs!$K$4:$AJ$4,0)),NA(),IF(SUMPRODUCT((Inputs!$A$5:$A$230=$B4)*ISNUMBER(INDEX(Inputs!$K$5:$AJ$230,0,MATCH(Q$2,Inputs!$K$4:$AJ$4,0))))+SUMPRODUCT((Inputs!$C$5:$C$230=$B4)*ISNUMBER(INDEX(Inputs!$K$5:$AJ$230,0,MATCH(Q$2,Inputs!$K$4:$AJ$4,0))))+SUMPRODUCT((Inputs!$E$5:$E$230=$B4)*ISNUMBER(INDEX(Inputs!$K$5:$AJ$230,0,MATCH(Q$2,Inputs!$K$4:$AJ$4,0))))=0,NA(),SUMPRODUCT((Inputs!$A$5:$A$230=$B4)*Inputs!$B$5:$B$230*(((Inputs!$G$5:$G$230="moeda")+(Inputs!$G$5:$G$230="acoes"))*Inputs!$B$1+((Inputs!$G$5:$G$230&lt;&gt;"moeda")*(Inputs!$G$5:$G$230&lt;&gt;"acoes")))*INDEX(Inputs!$K$5:$AJ$230,0,MATCH(Q$2,Inputs!$K$4:$AJ$4,0)))+SUMPRODUCT((Inputs!$C$5:$C$230=$B4)*Inputs!$D$5:$D$230*(((Inputs!$G$5:$G$230="moeda")+(Inputs!$G$5:$G$230="acoes"))*Inputs!$B$1+((Inputs!$G$5:$G$230&lt;&gt;"moeda")*(Inputs!$G$5:$G$230&lt;&gt;"acoes")))*INDEX(Inputs!$K$5:$AJ$230,0,MATCH(Q$2,Inputs!$K$4:$AJ$4,0)))+SUMPRODUCT((Inputs!$E$5:$E$230=$B4)*Inputs!$F$5:$F$230*(((Inputs!$G$5:$G$230="moeda")+(Inputs!$G$5:$G$230="acoes"))*Inputs!$B$1+((Inputs!$G$5:$G$230&lt;&gt;"moeda")*(Inputs!$G$5:$G$230&lt;&gt;"acoes")))*INDEX(Inputs!$K$5:$AJ$230,0,MATCH(Q$2,Inputs!$K$4:$AJ$4,0)))))</f>
        <v>878.271</v>
      </c>
      <c r="R4" s="3">
        <f>SUM(N4:Q4)</f>
        <v>3311.381</v>
      </c>
      <c r="S4" s="6">
        <f>IF(ISNA(MATCH(S$2,Inputs!$K$4:$AJ$4,0)),NA(),IF(SUMPRODUCT((Inputs!$A$5:$A$230=$B4)*ISNUMBER(INDEX(Inputs!$K$5:$AJ$230,0,MATCH(S$2,Inputs!$K$4:$AJ$4,0))))+SUMPRODUCT((Inputs!$C$5:$C$230=$B4)*ISNUMBER(INDEX(Inputs!$K$5:$AJ$230,0,MATCH(S$2,Inputs!$K$4:$AJ$4,0))))+SUMPRODUCT((Inputs!$E$5:$E$230=$B4)*ISNUMBER(INDEX(Inputs!$K$5:$AJ$230,0,MATCH(S$2,Inputs!$K$4:$AJ$4,0))))=0,NA(),SUMPRODUCT((Inputs!$A$5:$A$230=$B4)*Inputs!$B$5:$B$230*(((Inputs!$G$5:$G$230="moeda")+(Inputs!$G$5:$G$230="acoes"))*Inputs!$B$1+((Inputs!$G$5:$G$230&lt;&gt;"moeda")*(Inputs!$G$5:$G$230&lt;&gt;"acoes")))*INDEX(Inputs!$K$5:$AJ$230,0,MATCH(S$2,Inputs!$K$4:$AJ$4,0)))+SUMPRODUCT((Inputs!$C$5:$C$230=$B4)*Inputs!$D$5:$D$230*(((Inputs!$G$5:$G$230="moeda")+(Inputs!$G$5:$G$230="acoes"))*Inputs!$B$1+((Inputs!$G$5:$G$230&lt;&gt;"moeda")*(Inputs!$G$5:$G$230&lt;&gt;"acoes")))*INDEX(Inputs!$K$5:$AJ$230,0,MATCH(S$2,Inputs!$K$4:$AJ$4,0)))+SUMPRODUCT((Inputs!$E$5:$E$230=$B4)*Inputs!$F$5:$F$230*(((Inputs!$G$5:$G$230="moeda")+(Inputs!$G$5:$G$230="acoes"))*Inputs!$B$1+((Inputs!$G$5:$G$230&lt;&gt;"moeda")*(Inputs!$G$5:$G$230&lt;&gt;"acoes")))*INDEX(Inputs!$K$5:$AJ$230,0,MATCH(S$2,Inputs!$K$4:$AJ$4,0)))))</f>
        <v>996.535</v>
      </c>
      <c r="T4" s="6">
        <f>IF(ISNA(MATCH(T$2,Inputs!$K$4:$AJ$4,0)),NA(),IF(SUMPRODUCT((Inputs!$A$5:$A$230=$B4)*ISNUMBER(INDEX(Inputs!$K$5:$AJ$230,0,MATCH(T$2,Inputs!$K$4:$AJ$4,0))))+SUMPRODUCT((Inputs!$C$5:$C$230=$B4)*ISNUMBER(INDEX(Inputs!$K$5:$AJ$230,0,MATCH(T$2,Inputs!$K$4:$AJ$4,0))))+SUMPRODUCT((Inputs!$E$5:$E$230=$B4)*ISNUMBER(INDEX(Inputs!$K$5:$AJ$230,0,MATCH(T$2,Inputs!$K$4:$AJ$4,0))))=0,NA(),SUMPRODUCT((Inputs!$A$5:$A$230=$B4)*Inputs!$B$5:$B$230*(((Inputs!$G$5:$G$230="moeda")+(Inputs!$G$5:$G$230="acoes"))*Inputs!$B$1+((Inputs!$G$5:$G$230&lt;&gt;"moeda")*(Inputs!$G$5:$G$230&lt;&gt;"acoes")))*INDEX(Inputs!$K$5:$AJ$230,0,MATCH(T$2,Inputs!$K$4:$AJ$4,0)))+SUMPRODUCT((Inputs!$C$5:$C$230=$B4)*Inputs!$D$5:$D$230*(((Inputs!$G$5:$G$230="moeda")+(Inputs!$G$5:$G$230="acoes"))*Inputs!$B$1+((Inputs!$G$5:$G$230&lt;&gt;"moeda")*(Inputs!$G$5:$G$230&lt;&gt;"acoes")))*INDEX(Inputs!$K$5:$AJ$230,0,MATCH(T$2,Inputs!$K$4:$AJ$4,0)))+SUMPRODUCT((Inputs!$E$5:$E$230=$B4)*Inputs!$F$5:$F$230*(((Inputs!$G$5:$G$230="moeda")+(Inputs!$G$5:$G$230="acoes"))*Inputs!$B$1+((Inputs!$G$5:$G$230&lt;&gt;"moeda")*(Inputs!$G$5:$G$230&lt;&gt;"acoes")))*INDEX(Inputs!$K$5:$AJ$230,0,MATCH(T$2,Inputs!$K$4:$AJ$4,0)))))</f>
        <v>953.692</v>
      </c>
      <c r="U4" s="6">
        <f>IF(ISNA(MATCH(U$2,Inputs!$K$4:$AJ$4,0)),NA(),IF(SUMPRODUCT((Inputs!$A$5:$A$230=$B4)*ISNUMBER(INDEX(Inputs!$K$5:$AJ$230,0,MATCH(U$2,Inputs!$K$4:$AJ$4,0))))+SUMPRODUCT((Inputs!$C$5:$C$230=$B4)*ISNUMBER(INDEX(Inputs!$K$5:$AJ$230,0,MATCH(U$2,Inputs!$K$4:$AJ$4,0))))+SUMPRODUCT((Inputs!$E$5:$E$230=$B4)*ISNUMBER(INDEX(Inputs!$K$5:$AJ$230,0,MATCH(U$2,Inputs!$K$4:$AJ$4,0))))=0,NA(),SUMPRODUCT((Inputs!$A$5:$A$230=$B4)*Inputs!$B$5:$B$230*(((Inputs!$G$5:$G$230="moeda")+(Inputs!$G$5:$G$230="acoes"))*Inputs!$B$1+((Inputs!$G$5:$G$230&lt;&gt;"moeda")*(Inputs!$G$5:$G$230&lt;&gt;"acoes")))*INDEX(Inputs!$K$5:$AJ$230,0,MATCH(U$2,Inputs!$K$4:$AJ$4,0)))+SUMPRODUCT((Inputs!$C$5:$C$230=$B4)*Inputs!$D$5:$D$230*(((Inputs!$G$5:$G$230="moeda")+(Inputs!$G$5:$G$230="acoes"))*Inputs!$B$1+((Inputs!$G$5:$G$230&lt;&gt;"moeda")*(Inputs!$G$5:$G$230&lt;&gt;"acoes")))*INDEX(Inputs!$K$5:$AJ$230,0,MATCH(U$2,Inputs!$K$4:$AJ$4,0)))+SUMPRODUCT((Inputs!$E$5:$E$230=$B4)*Inputs!$F$5:$F$230*(((Inputs!$G$5:$G$230="moeda")+(Inputs!$G$5:$G$230="acoes"))*Inputs!$B$1+((Inputs!$G$5:$G$230&lt;&gt;"moeda")*(Inputs!$G$5:$G$230&lt;&gt;"acoes")))*INDEX(Inputs!$K$5:$AJ$230,0,MATCH(U$2,Inputs!$K$4:$AJ$4,0)))))</f>
        <v>928.567</v>
      </c>
      <c r="V4" s="6">
        <f>IF(ISNA(MATCH(V$2,Inputs!$K$4:$AJ$4,0)),NA(),IF(SUMPRODUCT((Inputs!$A$5:$A$230=$B4)*ISNUMBER(INDEX(Inputs!$K$5:$AJ$230,0,MATCH(V$2,Inputs!$K$4:$AJ$4,0))))+SUMPRODUCT((Inputs!$C$5:$C$230=$B4)*ISNUMBER(INDEX(Inputs!$K$5:$AJ$230,0,MATCH(V$2,Inputs!$K$4:$AJ$4,0))))+SUMPRODUCT((Inputs!$E$5:$E$230=$B4)*ISNUMBER(INDEX(Inputs!$K$5:$AJ$230,0,MATCH(V$2,Inputs!$K$4:$AJ$4,0))))=0,NA(),SUMPRODUCT((Inputs!$A$5:$A$230=$B4)*Inputs!$B$5:$B$230*(((Inputs!$G$5:$G$230="moeda")+(Inputs!$G$5:$G$230="acoes"))*Inputs!$B$1+((Inputs!$G$5:$G$230&lt;&gt;"moeda")*(Inputs!$G$5:$G$230&lt;&gt;"acoes")))*INDEX(Inputs!$K$5:$AJ$230,0,MATCH(V$2,Inputs!$K$4:$AJ$4,0)))+SUMPRODUCT((Inputs!$C$5:$C$230=$B4)*Inputs!$D$5:$D$230*(((Inputs!$G$5:$G$230="moeda")+(Inputs!$G$5:$G$230="acoes"))*Inputs!$B$1+((Inputs!$G$5:$G$230&lt;&gt;"moeda")*(Inputs!$G$5:$G$230&lt;&gt;"acoes")))*INDEX(Inputs!$K$5:$AJ$230,0,MATCH(V$2,Inputs!$K$4:$AJ$4,0)))+SUMPRODUCT((Inputs!$E$5:$E$230=$B4)*Inputs!$F$5:$F$230*(((Inputs!$G$5:$G$230="moeda")+(Inputs!$G$5:$G$230="acoes"))*Inputs!$B$1+((Inputs!$G$5:$G$230&lt;&gt;"moeda")*(Inputs!$G$5:$G$230&lt;&gt;"acoes")))*INDEX(Inputs!$K$5:$AJ$230,0,MATCH(V$2,Inputs!$K$4:$AJ$4,0)))))</f>
        <v>1123.31</v>
      </c>
      <c r="W4" s="3">
        <f>SUM(S4:V4)</f>
        <v>4002.104</v>
      </c>
      <c r="X4" s="6">
        <f>IF(ISNA(MATCH(X$2,Inputs!$K$4:$AJ$4,0)),NA(),IF(SUMPRODUCT((Inputs!$A$5:$A$230=$B4)*ISNUMBER(INDEX(Inputs!$K$5:$AJ$230,0,MATCH(X$2,Inputs!$K$4:$AJ$4,0))))+SUMPRODUCT((Inputs!$C$5:$C$230=$B4)*ISNUMBER(INDEX(Inputs!$K$5:$AJ$230,0,MATCH(X$2,Inputs!$K$4:$AJ$4,0))))+SUMPRODUCT((Inputs!$E$5:$E$230=$B4)*ISNUMBER(INDEX(Inputs!$K$5:$AJ$230,0,MATCH(X$2,Inputs!$K$4:$AJ$4,0))))=0,NA(),SUMPRODUCT((Inputs!$A$5:$A$230=$B4)*Inputs!$B$5:$B$230*(((Inputs!$G$5:$G$230="moeda")+(Inputs!$G$5:$G$230="acoes"))*Inputs!$B$1+((Inputs!$G$5:$G$230&lt;&gt;"moeda")*(Inputs!$G$5:$G$230&lt;&gt;"acoes")))*INDEX(Inputs!$K$5:$AJ$230,0,MATCH(X$2,Inputs!$K$4:$AJ$4,0)))+SUMPRODUCT((Inputs!$C$5:$C$230=$B4)*Inputs!$D$5:$D$230*(((Inputs!$G$5:$G$230="moeda")+(Inputs!$G$5:$G$230="acoes"))*Inputs!$B$1+((Inputs!$G$5:$G$230&lt;&gt;"moeda")*(Inputs!$G$5:$G$230&lt;&gt;"acoes")))*INDEX(Inputs!$K$5:$AJ$230,0,MATCH(X$2,Inputs!$K$4:$AJ$4,0)))+SUMPRODUCT((Inputs!$E$5:$E$230=$B4)*Inputs!$F$5:$F$230*(((Inputs!$G$5:$G$230="moeda")+(Inputs!$G$5:$G$230="acoes"))*Inputs!$B$1+((Inputs!$G$5:$G$230&lt;&gt;"moeda")*(Inputs!$G$5:$G$230&lt;&gt;"acoes")))*INDEX(Inputs!$K$5:$AJ$230,0,MATCH(X$2,Inputs!$K$4:$AJ$4,0)))))</f>
        <v>1223.731</v>
      </c>
      <c r="Y4" s="6">
        <f>IF(ISNA(MATCH(Y$2,Inputs!$K$4:$AJ$4,0)),NA(),IF(SUMPRODUCT((Inputs!$A$5:$A$230=$B4)*ISNUMBER(INDEX(Inputs!$K$5:$AJ$230,0,MATCH(Y$2,Inputs!$K$4:$AJ$4,0))))+SUMPRODUCT((Inputs!$C$5:$C$230=$B4)*ISNUMBER(INDEX(Inputs!$K$5:$AJ$230,0,MATCH(Y$2,Inputs!$K$4:$AJ$4,0))))+SUMPRODUCT((Inputs!$E$5:$E$230=$B4)*ISNUMBER(INDEX(Inputs!$K$5:$AJ$230,0,MATCH(Y$2,Inputs!$K$4:$AJ$4,0))))=0,NA(),SUMPRODUCT((Inputs!$A$5:$A$230=$B4)*Inputs!$B$5:$B$230*(((Inputs!$G$5:$G$230="moeda")+(Inputs!$G$5:$G$230="acoes"))*Inputs!$B$1+((Inputs!$G$5:$G$230&lt;&gt;"moeda")*(Inputs!$G$5:$G$230&lt;&gt;"acoes")))*INDEX(Inputs!$K$5:$AJ$230,0,MATCH(Y$2,Inputs!$K$4:$AJ$4,0)))+SUMPRODUCT((Inputs!$C$5:$C$230=$B4)*Inputs!$D$5:$D$230*(((Inputs!$G$5:$G$230="moeda")+(Inputs!$G$5:$G$230="acoes"))*Inputs!$B$1+((Inputs!$G$5:$G$230&lt;&gt;"moeda")*(Inputs!$G$5:$G$230&lt;&gt;"acoes")))*INDEX(Inputs!$K$5:$AJ$230,0,MATCH(Y$2,Inputs!$K$4:$AJ$4,0)))+SUMPRODUCT((Inputs!$E$5:$E$230=$B4)*Inputs!$F$5:$F$230*(((Inputs!$G$5:$G$230="moeda")+(Inputs!$G$5:$G$230="acoes"))*Inputs!$B$1+((Inputs!$G$5:$G$230&lt;&gt;"moeda")*(Inputs!$G$5:$G$230&lt;&gt;"acoes")))*INDEX(Inputs!$K$5:$AJ$230,0,MATCH(Y$2,Inputs!$K$4:$AJ$4,0)))))</f>
        <v>1047.14</v>
      </c>
      <c r="Z4" s="6">
        <f>IF(ISNA(MATCH(Z$2,Inputs!$K$4:$AJ$4,0)),NA(),IF(SUMPRODUCT((Inputs!$A$5:$A$230=$B4)*ISNUMBER(INDEX(Inputs!$K$5:$AJ$230,0,MATCH(Z$2,Inputs!$K$4:$AJ$4,0))))+SUMPRODUCT((Inputs!$C$5:$C$230=$B4)*ISNUMBER(INDEX(Inputs!$K$5:$AJ$230,0,MATCH(Z$2,Inputs!$K$4:$AJ$4,0))))+SUMPRODUCT((Inputs!$E$5:$E$230=$B4)*ISNUMBER(INDEX(Inputs!$K$5:$AJ$230,0,MATCH(Z$2,Inputs!$K$4:$AJ$4,0))))=0,NA(),SUMPRODUCT((Inputs!$A$5:$A$230=$B4)*Inputs!$B$5:$B$230*(((Inputs!$G$5:$G$230="moeda")+(Inputs!$G$5:$G$230="acoes"))*Inputs!$B$1+((Inputs!$G$5:$G$230&lt;&gt;"moeda")*(Inputs!$G$5:$G$230&lt;&gt;"acoes")))*INDEX(Inputs!$K$5:$AJ$230,0,MATCH(Z$2,Inputs!$K$4:$AJ$4,0)))+SUMPRODUCT((Inputs!$C$5:$C$230=$B4)*Inputs!$D$5:$D$230*(((Inputs!$G$5:$G$230="moeda")+(Inputs!$G$5:$G$230="acoes"))*Inputs!$B$1+((Inputs!$G$5:$G$230&lt;&gt;"moeda")*(Inputs!$G$5:$G$230&lt;&gt;"acoes")))*INDEX(Inputs!$K$5:$AJ$230,0,MATCH(Z$2,Inputs!$K$4:$AJ$4,0)))+SUMPRODUCT((Inputs!$E$5:$E$230=$B4)*Inputs!$F$5:$F$230*(((Inputs!$G$5:$G$230="moeda")+(Inputs!$G$5:$G$230="acoes"))*Inputs!$B$1+((Inputs!$G$5:$G$230&lt;&gt;"moeda")*(Inputs!$G$5:$G$230&lt;&gt;"acoes")))*INDEX(Inputs!$K$5:$AJ$230,0,MATCH(Z$2,Inputs!$K$4:$AJ$4,0)))))</f>
        <v>963.353</v>
      </c>
      <c r="AA4" s="6">
        <f>IF(ISNA(MATCH(AA$2,Inputs!$K$4:$AJ$4,0)),NA(),IF(SUMPRODUCT((Inputs!$A$5:$A$230=$B4)*ISNUMBER(INDEX(Inputs!$K$5:$AJ$230,0,MATCH(AA$2,Inputs!$K$4:$AJ$4,0))))+SUMPRODUCT((Inputs!$C$5:$C$230=$B4)*ISNUMBER(INDEX(Inputs!$K$5:$AJ$230,0,MATCH(AA$2,Inputs!$K$4:$AJ$4,0))))+SUMPRODUCT((Inputs!$E$5:$E$230=$B4)*ISNUMBER(INDEX(Inputs!$K$5:$AJ$230,0,MATCH(AA$2,Inputs!$K$4:$AJ$4,0))))=0,NA(),SUMPRODUCT((Inputs!$A$5:$A$230=$B4)*Inputs!$B$5:$B$230*(((Inputs!$G$5:$G$230="moeda")+(Inputs!$G$5:$G$230="acoes"))*Inputs!$B$1+((Inputs!$G$5:$G$230&lt;&gt;"moeda")*(Inputs!$G$5:$G$230&lt;&gt;"acoes")))*INDEX(Inputs!$K$5:$AJ$230,0,MATCH(AA$2,Inputs!$K$4:$AJ$4,0)))+SUMPRODUCT((Inputs!$C$5:$C$230=$B4)*Inputs!$D$5:$D$230*(((Inputs!$G$5:$G$230="moeda")+(Inputs!$G$5:$G$230="acoes"))*Inputs!$B$1+((Inputs!$G$5:$G$230&lt;&gt;"moeda")*(Inputs!$G$5:$G$230&lt;&gt;"acoes")))*INDEX(Inputs!$K$5:$AJ$230,0,MATCH(AA$2,Inputs!$K$4:$AJ$4,0)))+SUMPRODUCT((Inputs!$E$5:$E$230=$B4)*Inputs!$F$5:$F$230*(((Inputs!$G$5:$G$230="moeda")+(Inputs!$G$5:$G$230="acoes"))*Inputs!$B$1+((Inputs!$G$5:$G$230&lt;&gt;"moeda")*(Inputs!$G$5:$G$230&lt;&gt;"acoes")))*INDEX(Inputs!$K$5:$AJ$230,0,MATCH(AA$2,Inputs!$K$4:$AJ$4,0)))))</f>
        <v>1163.659</v>
      </c>
      <c r="AB4" s="3">
        <f>SUM(X4:AA4)</f>
        <v>4397.883</v>
      </c>
      <c r="AC4" s="6">
        <f>IF(ISNA(MATCH(AC$2,Inputs!$K$4:$AJ$4,0)),NA(),IF(SUMPRODUCT((Inputs!$A$5:$A$230=$B4)*ISNUMBER(INDEX(Inputs!$K$5:$AJ$230,0,MATCH(AC$2,Inputs!$K$4:$AJ$4,0))))+SUMPRODUCT((Inputs!$C$5:$C$230=$B4)*ISNUMBER(INDEX(Inputs!$K$5:$AJ$230,0,MATCH(AC$2,Inputs!$K$4:$AJ$4,0))))+SUMPRODUCT((Inputs!$E$5:$E$230=$B4)*ISNUMBER(INDEX(Inputs!$K$5:$AJ$230,0,MATCH(AC$2,Inputs!$K$4:$AJ$4,0))))=0,NA(),SUMPRODUCT((Inputs!$A$5:$A$230=$B4)*Inputs!$B$5:$B$230*(((Inputs!$G$5:$G$230="moeda")+(Inputs!$G$5:$G$230="acoes"))*Inputs!$B$1+((Inputs!$G$5:$G$230&lt;&gt;"moeda")*(Inputs!$G$5:$G$230&lt;&gt;"acoes")))*INDEX(Inputs!$K$5:$AJ$230,0,MATCH(AC$2,Inputs!$K$4:$AJ$4,0)))+SUMPRODUCT((Inputs!$C$5:$C$230=$B4)*Inputs!$D$5:$D$230*(((Inputs!$G$5:$G$230="moeda")+(Inputs!$G$5:$G$230="acoes"))*Inputs!$B$1+((Inputs!$G$5:$G$230&lt;&gt;"moeda")*(Inputs!$G$5:$G$230&lt;&gt;"acoes")))*INDEX(Inputs!$K$5:$AJ$230,0,MATCH(AC$2,Inputs!$K$4:$AJ$4,0)))+SUMPRODUCT((Inputs!$E$5:$E$230=$B4)*Inputs!$F$5:$F$230*(((Inputs!$G$5:$G$230="moeda")+(Inputs!$G$5:$G$230="acoes"))*Inputs!$B$1+((Inputs!$G$5:$G$230&lt;&gt;"moeda")*(Inputs!$G$5:$G$230&lt;&gt;"acoes")))*INDEX(Inputs!$K$5:$AJ$230,0,MATCH(AC$2,Inputs!$K$4:$AJ$4,0)))))</f>
        <v>1255.635</v>
      </c>
      <c r="AD4" s="6">
        <f>IF(ISNA(MATCH(AD$2,Inputs!$K$4:$AJ$4,0)),NA(),IF(SUMPRODUCT((Inputs!$A$5:$A$230=$B4)*ISNUMBER(INDEX(Inputs!$K$5:$AJ$230,0,MATCH(AD$2,Inputs!$K$4:$AJ$4,0))))+SUMPRODUCT((Inputs!$C$5:$C$230=$B4)*ISNUMBER(INDEX(Inputs!$K$5:$AJ$230,0,MATCH(AD$2,Inputs!$K$4:$AJ$4,0))))+SUMPRODUCT((Inputs!$E$5:$E$230=$B4)*ISNUMBER(INDEX(Inputs!$K$5:$AJ$230,0,MATCH(AD$2,Inputs!$K$4:$AJ$4,0))))=0,NA(),SUMPRODUCT((Inputs!$A$5:$A$230=$B4)*Inputs!$B$5:$B$230*(((Inputs!$G$5:$G$230="moeda")+(Inputs!$G$5:$G$230="acoes"))*Inputs!$B$1+((Inputs!$G$5:$G$230&lt;&gt;"moeda")*(Inputs!$G$5:$G$230&lt;&gt;"acoes")))*INDEX(Inputs!$K$5:$AJ$230,0,MATCH(AD$2,Inputs!$K$4:$AJ$4,0)))+SUMPRODUCT((Inputs!$C$5:$C$230=$B4)*Inputs!$D$5:$D$230*(((Inputs!$G$5:$G$230="moeda")+(Inputs!$G$5:$G$230="acoes"))*Inputs!$B$1+((Inputs!$G$5:$G$230&lt;&gt;"moeda")*(Inputs!$G$5:$G$230&lt;&gt;"acoes")))*INDEX(Inputs!$K$5:$AJ$230,0,MATCH(AD$2,Inputs!$K$4:$AJ$4,0)))+SUMPRODUCT((Inputs!$E$5:$E$230=$B4)*Inputs!$F$5:$F$230*(((Inputs!$G$5:$G$230="moeda")+(Inputs!$G$5:$G$230="acoes"))*Inputs!$B$1+((Inputs!$G$5:$G$230&lt;&gt;"moeda")*(Inputs!$G$5:$G$230&lt;&gt;"acoes")))*INDEX(Inputs!$K$5:$AJ$230,0,MATCH(AD$2,Inputs!$K$4:$AJ$4,0)))))</f>
        <v>1627.285</v>
      </c>
      <c r="AE4" s="6" t="e">
        <f>IF(ISNA(MATCH(AE$2,Inputs!$K$4:$AJ$4,0)),NA(),IF(SUMPRODUCT((Inputs!$A$5:$A$230=$B4)*ISNUMBER(INDEX(Inputs!$K$5:$AJ$230,0,MATCH(AE$2,Inputs!$K$4:$AJ$4,0))))+SUMPRODUCT((Inputs!$C$5:$C$230=$B4)*ISNUMBER(INDEX(Inputs!$K$5:$AJ$230,0,MATCH(AE$2,Inputs!$K$4:$AJ$4,0))))+SUMPRODUCT((Inputs!$E$5:$E$230=$B4)*ISNUMBER(INDEX(Inputs!$K$5:$AJ$230,0,MATCH(AE$2,Inputs!$K$4:$AJ$4,0))))=0,NA(),SUMPRODUCT((Inputs!$A$5:$A$230=$B4)*Inputs!$B$5:$B$230*(((Inputs!$G$5:$G$230="moeda")+(Inputs!$G$5:$G$230="acoes"))*Inputs!$B$1+((Inputs!$G$5:$G$230&lt;&gt;"moeda")*(Inputs!$G$5:$G$230&lt;&gt;"acoes")))*INDEX(Inputs!$K$5:$AJ$230,0,MATCH(AE$2,Inputs!$K$4:$AJ$4,0)))+SUMPRODUCT((Inputs!$C$5:$C$230=$B4)*Inputs!$D$5:$D$230*(((Inputs!$G$5:$G$230="moeda")+(Inputs!$G$5:$G$230="acoes"))*Inputs!$B$1+((Inputs!$G$5:$G$230&lt;&gt;"moeda")*(Inputs!$G$5:$G$230&lt;&gt;"acoes")))*INDEX(Inputs!$K$5:$AJ$230,0,MATCH(AE$2,Inputs!$K$4:$AJ$4,0)))+SUMPRODUCT((Inputs!$E$5:$E$230=$B4)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4" s="6" t="e">
        <f>IF(ISNA(MATCH(AF$2,Inputs!$K$4:$AJ$4,0)),NA(),IF(SUMPRODUCT((Inputs!$A$5:$A$230=$B4)*ISNUMBER(INDEX(Inputs!$K$5:$AJ$230,0,MATCH(AF$2,Inputs!$K$4:$AJ$4,0))))+SUMPRODUCT((Inputs!$C$5:$C$230=$B4)*ISNUMBER(INDEX(Inputs!$K$5:$AJ$230,0,MATCH(AF$2,Inputs!$K$4:$AJ$4,0))))+SUMPRODUCT((Inputs!$E$5:$E$230=$B4)*ISNUMBER(INDEX(Inputs!$K$5:$AJ$230,0,MATCH(AF$2,Inputs!$K$4:$AJ$4,0))))=0,NA(),SUMPRODUCT((Inputs!$A$5:$A$230=$B4)*Inputs!$B$5:$B$230*(((Inputs!$G$5:$G$230="moeda")+(Inputs!$G$5:$G$230="acoes"))*Inputs!$B$1+((Inputs!$G$5:$G$230&lt;&gt;"moeda")*(Inputs!$G$5:$G$230&lt;&gt;"acoes")))*INDEX(Inputs!$K$5:$AJ$230,0,MATCH(AF$2,Inputs!$K$4:$AJ$4,0)))+SUMPRODUCT((Inputs!$C$5:$C$230=$B4)*Inputs!$D$5:$D$230*(((Inputs!$G$5:$G$230="moeda")+(Inputs!$G$5:$G$230="acoes"))*Inputs!$B$1+((Inputs!$G$5:$G$230&lt;&gt;"moeda")*(Inputs!$G$5:$G$230&lt;&gt;"acoes")))*INDEX(Inputs!$K$5:$AJ$230,0,MATCH(AF$2,Inputs!$K$4:$AJ$4,0)))+SUMPRODUCT((Inputs!$E$5:$E$230=$B4)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4" s="3" t="e">
        <f>SUM(AC4:AF4)</f>
        <v>#N/A</v>
      </c>
      <c r="AH4" s="6">
        <f>IF(ISNA(MATCH(AH$2,Inputs!$K$4:$AJ$4,0)),NA(),IF(SUMPRODUCT((Inputs!$A$5:$A$230=$B4)*ISNUMBER(INDEX(Inputs!$K$5:$AJ$230,0,MATCH(AH$2,Inputs!$K$4:$AJ$4,0))))+SUMPRODUCT((Inputs!$C$5:$C$230=$B4)*ISNUMBER(INDEX(Inputs!$K$5:$AJ$230,0,MATCH(AH$2,Inputs!$K$4:$AJ$4,0))))+SUMPRODUCT((Inputs!$E$5:$E$230=$B4)*ISNUMBER(INDEX(Inputs!$K$5:$AJ$230,0,MATCH(AH$2,Inputs!$K$4:$AJ$4,0))))=0,NA(),SUMPRODUCT((Inputs!$A$5:$A$230=$B4)*Inputs!$B$5:$B$230*(((Inputs!$G$5:$G$230="moeda")+(Inputs!$G$5:$G$230="acoes"))*Inputs!$B$1+((Inputs!$G$5:$G$230&lt;&gt;"moeda")*(Inputs!$G$5:$G$230&lt;&gt;"acoes")))*INDEX(Inputs!$K$5:$AJ$230,0,MATCH(AH$2,Inputs!$K$4:$AJ$4,0)))+SUMPRODUCT((Inputs!$C$5:$C$230=$B4)*Inputs!$D$5:$D$230*(((Inputs!$G$5:$G$230="moeda")+(Inputs!$G$5:$G$230="acoes"))*Inputs!$B$1+((Inputs!$G$5:$G$230&lt;&gt;"moeda")*(Inputs!$G$5:$G$230&lt;&gt;"acoes")))*INDEX(Inputs!$K$5:$AJ$230,0,MATCH(AH$2,Inputs!$K$4:$AJ$4,0)))+SUMPRODUCT((Inputs!$E$5:$E$230=$B4)*Inputs!$F$5:$F$230*(((Inputs!$G$5:$G$230="moeda")+(Inputs!$G$5:$G$230="acoes"))*Inputs!$B$1+((Inputs!$G$5:$G$230&lt;&gt;"moeda")*(Inputs!$G$5:$G$230&lt;&gt;"acoes")))*INDEX(Inputs!$K$5:$AJ$230,0,MATCH(AH$2,Inputs!$K$4:$AJ$4,0)))))</f>
        <v>1216.927</v>
      </c>
      <c r="AI4" s="6">
        <f>IF(ISNA(MATCH(AI$2,Inputs!$K$4:$AJ$4,0)),NA(),IF(SUMPRODUCT((Inputs!$A$5:$A$230=$B4)*ISNUMBER(INDEX(Inputs!$K$5:$AJ$230,0,MATCH(AI$2,Inputs!$K$4:$AJ$4,0))))+SUMPRODUCT((Inputs!$C$5:$C$230=$B4)*ISNUMBER(INDEX(Inputs!$K$5:$AJ$230,0,MATCH(AI$2,Inputs!$K$4:$AJ$4,0))))+SUMPRODUCT((Inputs!$E$5:$E$230=$B4)*ISNUMBER(INDEX(Inputs!$K$5:$AJ$230,0,MATCH(AI$2,Inputs!$K$4:$AJ$4,0))))=0,NA(),SUMPRODUCT((Inputs!$A$5:$A$230=$B4)*Inputs!$B$5:$B$230*(((Inputs!$G$5:$G$230="moeda")+(Inputs!$G$5:$G$230="acoes"))*Inputs!$B$1+((Inputs!$G$5:$G$230&lt;&gt;"moeda")*(Inputs!$G$5:$G$230&lt;&gt;"acoes")))*INDEX(Inputs!$K$5:$AJ$230,0,MATCH(AI$2,Inputs!$K$4:$AJ$4,0)))+SUMPRODUCT((Inputs!$C$5:$C$230=$B4)*Inputs!$D$5:$D$230*(((Inputs!$G$5:$G$230="moeda")+(Inputs!$G$5:$G$230="acoes"))*Inputs!$B$1+((Inputs!$G$5:$G$230&lt;&gt;"moeda")*(Inputs!$G$5:$G$230&lt;&gt;"acoes")))*INDEX(Inputs!$K$5:$AJ$230,0,MATCH(AI$2,Inputs!$K$4:$AJ$4,0)))+SUMPRODUCT((Inputs!$E$5:$E$230=$B4)*Inputs!$F$5:$F$230*(((Inputs!$G$5:$G$230="moeda")+(Inputs!$G$5:$G$230="acoes"))*Inputs!$B$1+((Inputs!$G$5:$G$230&lt;&gt;"moeda")*(Inputs!$G$5:$G$230&lt;&gt;"acoes")))*INDEX(Inputs!$K$5:$AJ$230,0,MATCH(AI$2,Inputs!$K$4:$AJ$4,0)))))</f>
        <v>1026.976</v>
      </c>
      <c r="AJ4" s="6">
        <f>IF(ISNA(MATCH(AJ$2,Inputs!$K$4:$AJ$4,0)),NA(),IF(SUMPRODUCT((Inputs!$A$5:$A$230=$B4)*ISNUMBER(INDEX(Inputs!$K$5:$AJ$230,0,MATCH(AJ$2,Inputs!$K$4:$AJ$4,0))))+SUMPRODUCT((Inputs!$C$5:$C$230=$B4)*ISNUMBER(INDEX(Inputs!$K$5:$AJ$230,0,MATCH(AJ$2,Inputs!$K$4:$AJ$4,0))))+SUMPRODUCT((Inputs!$E$5:$E$230=$B4)*ISNUMBER(INDEX(Inputs!$K$5:$AJ$230,0,MATCH(AJ$2,Inputs!$K$4:$AJ$4,0))))=0,NA(),SUMPRODUCT((Inputs!$A$5:$A$230=$B4)*Inputs!$B$5:$B$230*(((Inputs!$G$5:$G$230="moeda")+(Inputs!$G$5:$G$230="acoes"))*Inputs!$B$1+((Inputs!$G$5:$G$230&lt;&gt;"moeda")*(Inputs!$G$5:$G$230&lt;&gt;"acoes")))*INDEX(Inputs!$K$5:$AJ$230,0,MATCH(AJ$2,Inputs!$K$4:$AJ$4,0)))+SUMPRODUCT((Inputs!$C$5:$C$230=$B4)*Inputs!$D$5:$D$230*(((Inputs!$G$5:$G$230="moeda")+(Inputs!$G$5:$G$230="acoes"))*Inputs!$B$1+((Inputs!$G$5:$G$230&lt;&gt;"moeda")*(Inputs!$G$5:$G$230&lt;&gt;"acoes")))*INDEX(Inputs!$K$5:$AJ$230,0,MATCH(AJ$2,Inputs!$K$4:$AJ$4,0)))+SUMPRODUCT((Inputs!$E$5:$E$230=$B4)*Inputs!$F$5:$F$230*(((Inputs!$G$5:$G$230="moeda")+(Inputs!$G$5:$G$230="acoes"))*Inputs!$B$1+((Inputs!$G$5:$G$230&lt;&gt;"moeda")*(Inputs!$G$5:$G$230&lt;&gt;"acoes")))*INDEX(Inputs!$K$5:$AJ$230,0,MATCH(AJ$2,Inputs!$K$4:$AJ$4,0)))))</f>
        <v>1491.323</v>
      </c>
      <c r="AK4" s="6">
        <f>IF(ISNA(MATCH(AK$2,Inputs!$K$4:$AJ$4,0)),NA(),IF(SUMPRODUCT((Inputs!$A$5:$A$230=$B4)*ISNUMBER(INDEX(Inputs!$K$5:$AJ$230,0,MATCH(AK$2,Inputs!$K$4:$AJ$4,0))))+SUMPRODUCT((Inputs!$C$5:$C$230=$B4)*ISNUMBER(INDEX(Inputs!$K$5:$AJ$230,0,MATCH(AK$2,Inputs!$K$4:$AJ$4,0))))+SUMPRODUCT((Inputs!$E$5:$E$230=$B4)*ISNUMBER(INDEX(Inputs!$K$5:$AJ$230,0,MATCH(AK$2,Inputs!$K$4:$AJ$4,0))))=0,NA(),SUMPRODUCT((Inputs!$A$5:$A$230=$B4)*Inputs!$B$5:$B$230*(((Inputs!$G$5:$G$230="moeda")+(Inputs!$G$5:$G$230="acoes"))*Inputs!$B$1+((Inputs!$G$5:$G$230&lt;&gt;"moeda")*(Inputs!$G$5:$G$230&lt;&gt;"acoes")))*INDEX(Inputs!$K$5:$AJ$230,0,MATCH(AK$2,Inputs!$K$4:$AJ$4,0)))+SUMPRODUCT((Inputs!$C$5:$C$230=$B4)*Inputs!$D$5:$D$230*(((Inputs!$G$5:$G$230="moeda")+(Inputs!$G$5:$G$230="acoes"))*Inputs!$B$1+((Inputs!$G$5:$G$230&lt;&gt;"moeda")*(Inputs!$G$5:$G$230&lt;&gt;"acoes")))*INDEX(Inputs!$K$5:$AJ$230,0,MATCH(AK$2,Inputs!$K$4:$AJ$4,0)))+SUMPRODUCT((Inputs!$E$5:$E$230=$B4)*Inputs!$F$5:$F$230*(((Inputs!$G$5:$G$230="moeda")+(Inputs!$G$5:$G$230="acoes"))*Inputs!$B$1+((Inputs!$G$5:$G$230&lt;&gt;"moeda")*(Inputs!$G$5:$G$230&lt;&gt;"acoes")))*INDEX(Inputs!$K$5:$AJ$230,0,MATCH(AK$2,Inputs!$K$4:$AJ$4,0)))))</f>
        <v>2405.519</v>
      </c>
      <c r="AL4" s="3">
        <f>SUM(AH4:AK4)</f>
        <v>6140.745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$230=$B5)*ISNUMBER(INDEX(Inputs!$K$5:$AJ$230,0,MATCH(D$2,Inputs!$K$4:$AJ$4,0))))+SUMPRODUCT((Inputs!$C$5:$C$230=$B5)*ISNUMBER(INDEX(Inputs!$K$5:$AJ$230,0,MATCH(D$2,Inputs!$K$4:$AJ$4,0))))+SUMPRODUCT((Inputs!$E$5:$E$230=$B5)*ISNUMBER(INDEX(Inputs!$K$5:$AJ$230,0,MATCH(D$2,Inputs!$K$4:$AJ$4,0))))=0,NA(),SUMPRODUCT((Inputs!$A$5:$A$230=$B5)*Inputs!$B$5:$B$230*(((Inputs!$G$5:$G$230="moeda")+(Inputs!$G$5:$G$230="acoes"))*Inputs!$B$1+((Inputs!$G$5:$G$230&lt;&gt;"moeda")*(Inputs!$G$5:$G$230&lt;&gt;"acoes")))*INDEX(Inputs!$K$5:$AJ$230,0,MATCH(D$2,Inputs!$K$4:$AJ$4,0)))+SUMPRODUCT((Inputs!$C$5:$C$230=$B5)*Inputs!$D$5:$D$230*(((Inputs!$G$5:$G$230="moeda")+(Inputs!$G$5:$G$230="acoes"))*Inputs!$B$1+((Inputs!$G$5:$G$230&lt;&gt;"moeda")*(Inputs!$G$5:$G$230&lt;&gt;"acoes")))*INDEX(Inputs!$K$5:$AJ$230,0,MATCH(D$2,Inputs!$K$4:$AJ$4,0)))+SUMPRODUCT((Inputs!$E$5:$E$230=$B5)*Inputs!$F$5:$F$230*(((Inputs!$G$5:$G$230="moeda")+(Inputs!$G$5:$G$230="acoes"))*Inputs!$B$1+((Inputs!$G$5:$G$230&lt;&gt;"moeda")*(Inputs!$G$5:$G$230&lt;&gt;"acoes")))*INDEX(Inputs!$K$5:$AJ$230,0,MATCH(D$2,Inputs!$K$4:$AJ$4,0)))))</f>
        <v>-471.033</v>
      </c>
      <c r="E5" s="6">
        <f>IF(ISNA(MATCH(E$2,Inputs!$K$4:$AJ$4,0)),NA(),IF(SUMPRODUCT((Inputs!$A$5:$A$230=$B5)*ISNUMBER(INDEX(Inputs!$K$5:$AJ$230,0,MATCH(E$2,Inputs!$K$4:$AJ$4,0))))+SUMPRODUCT((Inputs!$C$5:$C$230=$B5)*ISNUMBER(INDEX(Inputs!$K$5:$AJ$230,0,MATCH(E$2,Inputs!$K$4:$AJ$4,0))))+SUMPRODUCT((Inputs!$E$5:$E$230=$B5)*ISNUMBER(INDEX(Inputs!$K$5:$AJ$230,0,MATCH(E$2,Inputs!$K$4:$AJ$4,0))))=0,NA(),SUMPRODUCT((Inputs!$A$5:$A$230=$B5)*Inputs!$B$5:$B$230*(((Inputs!$G$5:$G$230="moeda")+(Inputs!$G$5:$G$230="acoes"))*Inputs!$B$1+((Inputs!$G$5:$G$230&lt;&gt;"moeda")*(Inputs!$G$5:$G$230&lt;&gt;"acoes")))*INDEX(Inputs!$K$5:$AJ$230,0,MATCH(E$2,Inputs!$K$4:$AJ$4,0)))+SUMPRODUCT((Inputs!$C$5:$C$230=$B5)*Inputs!$D$5:$D$230*(((Inputs!$G$5:$G$230="moeda")+(Inputs!$G$5:$G$230="acoes"))*Inputs!$B$1+((Inputs!$G$5:$G$230&lt;&gt;"moeda")*(Inputs!$G$5:$G$230&lt;&gt;"acoes")))*INDEX(Inputs!$K$5:$AJ$230,0,MATCH(E$2,Inputs!$K$4:$AJ$4,0)))+SUMPRODUCT((Inputs!$E$5:$E$230=$B5)*Inputs!$F$5:$F$230*(((Inputs!$G$5:$G$230="moeda")+(Inputs!$G$5:$G$230="acoes"))*Inputs!$B$1+((Inputs!$G$5:$G$230&lt;&gt;"moeda")*(Inputs!$G$5:$G$230&lt;&gt;"acoes")))*INDEX(Inputs!$K$5:$AJ$230,0,MATCH(E$2,Inputs!$K$4:$AJ$4,0)))))</f>
        <v>-201.254</v>
      </c>
      <c r="F5" s="6">
        <f>IF(ISNA(MATCH(F$2,Inputs!$K$4:$AJ$4,0)),NA(),IF(SUMPRODUCT((Inputs!$A$5:$A$230=$B5)*ISNUMBER(INDEX(Inputs!$K$5:$AJ$230,0,MATCH(F$2,Inputs!$K$4:$AJ$4,0))))+SUMPRODUCT((Inputs!$C$5:$C$230=$B5)*ISNUMBER(INDEX(Inputs!$K$5:$AJ$230,0,MATCH(F$2,Inputs!$K$4:$AJ$4,0))))+SUMPRODUCT((Inputs!$E$5:$E$230=$B5)*ISNUMBER(INDEX(Inputs!$K$5:$AJ$230,0,MATCH(F$2,Inputs!$K$4:$AJ$4,0))))=0,NA(),SUMPRODUCT((Inputs!$A$5:$A$230=$B5)*Inputs!$B$5:$B$230*(((Inputs!$G$5:$G$230="moeda")+(Inputs!$G$5:$G$230="acoes"))*Inputs!$B$1+((Inputs!$G$5:$G$230&lt;&gt;"moeda")*(Inputs!$G$5:$G$230&lt;&gt;"acoes")))*INDEX(Inputs!$K$5:$AJ$230,0,MATCH(F$2,Inputs!$K$4:$AJ$4,0)))+SUMPRODUCT((Inputs!$C$5:$C$230=$B5)*Inputs!$D$5:$D$230*(((Inputs!$G$5:$G$230="moeda")+(Inputs!$G$5:$G$230="acoes"))*Inputs!$B$1+((Inputs!$G$5:$G$230&lt;&gt;"moeda")*(Inputs!$G$5:$G$230&lt;&gt;"acoes")))*INDEX(Inputs!$K$5:$AJ$230,0,MATCH(F$2,Inputs!$K$4:$AJ$4,0)))+SUMPRODUCT((Inputs!$E$5:$E$230=$B5)*Inputs!$F$5:$F$230*(((Inputs!$G$5:$G$230="moeda")+(Inputs!$G$5:$G$230="acoes"))*Inputs!$B$1+((Inputs!$G$5:$G$230&lt;&gt;"moeda")*(Inputs!$G$5:$G$230&lt;&gt;"acoes")))*INDEX(Inputs!$K$5:$AJ$230,0,MATCH(F$2,Inputs!$K$4:$AJ$4,0)))))</f>
        <v>-287.047</v>
      </c>
      <c r="G5" s="6">
        <f>IF(ISNA(MATCH(G$2,Inputs!$K$4:$AJ$4,0)),NA(),IF(SUMPRODUCT((Inputs!$A$5:$A$230=$B5)*ISNUMBER(INDEX(Inputs!$K$5:$AJ$230,0,MATCH(G$2,Inputs!$K$4:$AJ$4,0))))+SUMPRODUCT((Inputs!$C$5:$C$230=$B5)*ISNUMBER(INDEX(Inputs!$K$5:$AJ$230,0,MATCH(G$2,Inputs!$K$4:$AJ$4,0))))+SUMPRODUCT((Inputs!$E$5:$E$230=$B5)*ISNUMBER(INDEX(Inputs!$K$5:$AJ$230,0,MATCH(G$2,Inputs!$K$4:$AJ$4,0))))=0,NA(),SUMPRODUCT((Inputs!$A$5:$A$230=$B5)*Inputs!$B$5:$B$230*(((Inputs!$G$5:$G$230="moeda")+(Inputs!$G$5:$G$230="acoes"))*Inputs!$B$1+((Inputs!$G$5:$G$230&lt;&gt;"moeda")*(Inputs!$G$5:$G$230&lt;&gt;"acoes")))*INDEX(Inputs!$K$5:$AJ$230,0,MATCH(G$2,Inputs!$K$4:$AJ$4,0)))+SUMPRODUCT((Inputs!$C$5:$C$230=$B5)*Inputs!$D$5:$D$230*(((Inputs!$G$5:$G$230="moeda")+(Inputs!$G$5:$G$230="acoes"))*Inputs!$B$1+((Inputs!$G$5:$G$230&lt;&gt;"moeda")*(Inputs!$G$5:$G$230&lt;&gt;"acoes")))*INDEX(Inputs!$K$5:$AJ$230,0,MATCH(G$2,Inputs!$K$4:$AJ$4,0)))+SUMPRODUCT((Inputs!$E$5:$E$230=$B5)*Inputs!$F$5:$F$230*(((Inputs!$G$5:$G$230="moeda")+(Inputs!$G$5:$G$230="acoes"))*Inputs!$B$1+((Inputs!$G$5:$G$230&lt;&gt;"moeda")*(Inputs!$G$5:$G$230&lt;&gt;"acoes")))*INDEX(Inputs!$K$5:$AJ$230,0,MATCH(G$2,Inputs!$K$4:$AJ$4,0)))))</f>
        <v>-305.796</v>
      </c>
      <c r="H5" s="3">
        <f>SUM(D5:G5)</f>
        <v>-1265.13</v>
      </c>
      <c r="I5" s="6">
        <f>IF(ISNA(MATCH(I$2,Inputs!$K$4:$AJ$4,0)),NA(),IF(SUMPRODUCT((Inputs!$A$5:$A$230=$B5)*ISNUMBER(INDEX(Inputs!$K$5:$AJ$230,0,MATCH(I$2,Inputs!$K$4:$AJ$4,0))))+SUMPRODUCT((Inputs!$C$5:$C$230=$B5)*ISNUMBER(INDEX(Inputs!$K$5:$AJ$230,0,MATCH(I$2,Inputs!$K$4:$AJ$4,0))))+SUMPRODUCT((Inputs!$E$5:$E$230=$B5)*ISNUMBER(INDEX(Inputs!$K$5:$AJ$230,0,MATCH(I$2,Inputs!$K$4:$AJ$4,0))))=0,NA(),SUMPRODUCT((Inputs!$A$5:$A$230=$B5)*Inputs!$B$5:$B$230*(((Inputs!$G$5:$G$230="moeda")+(Inputs!$G$5:$G$230="acoes"))*Inputs!$B$1+((Inputs!$G$5:$G$230&lt;&gt;"moeda")*(Inputs!$G$5:$G$230&lt;&gt;"acoes")))*INDEX(Inputs!$K$5:$AJ$230,0,MATCH(I$2,Inputs!$K$4:$AJ$4,0)))+SUMPRODUCT((Inputs!$C$5:$C$230=$B5)*Inputs!$D$5:$D$230*(((Inputs!$G$5:$G$230="moeda")+(Inputs!$G$5:$G$230="acoes"))*Inputs!$B$1+((Inputs!$G$5:$G$230&lt;&gt;"moeda")*(Inputs!$G$5:$G$230&lt;&gt;"acoes")))*INDEX(Inputs!$K$5:$AJ$230,0,MATCH(I$2,Inputs!$K$4:$AJ$4,0)))+SUMPRODUCT((Inputs!$E$5:$E$230=$B5)*Inputs!$F$5:$F$230*(((Inputs!$G$5:$G$230="moeda")+(Inputs!$G$5:$G$230="acoes"))*Inputs!$B$1+((Inputs!$G$5:$G$230&lt;&gt;"moeda")*(Inputs!$G$5:$G$230&lt;&gt;"acoes")))*INDEX(Inputs!$K$5:$AJ$230,0,MATCH(I$2,Inputs!$K$4:$AJ$4,0)))))</f>
        <v>-134.789</v>
      </c>
      <c r="J5" s="6">
        <f>IF(ISNA(MATCH(J$2,Inputs!$K$4:$AJ$4,0)),NA(),IF(SUMPRODUCT((Inputs!$A$5:$A$230=$B5)*ISNUMBER(INDEX(Inputs!$K$5:$AJ$230,0,MATCH(J$2,Inputs!$K$4:$AJ$4,0))))+SUMPRODUCT((Inputs!$C$5:$C$230=$B5)*ISNUMBER(INDEX(Inputs!$K$5:$AJ$230,0,MATCH(J$2,Inputs!$K$4:$AJ$4,0))))+SUMPRODUCT((Inputs!$E$5:$E$230=$B5)*ISNUMBER(INDEX(Inputs!$K$5:$AJ$230,0,MATCH(J$2,Inputs!$K$4:$AJ$4,0))))=0,NA(),SUMPRODUCT((Inputs!$A$5:$A$230=$B5)*Inputs!$B$5:$B$230*(((Inputs!$G$5:$G$230="moeda")+(Inputs!$G$5:$G$230="acoes"))*Inputs!$B$1+((Inputs!$G$5:$G$230&lt;&gt;"moeda")*(Inputs!$G$5:$G$230&lt;&gt;"acoes")))*INDEX(Inputs!$K$5:$AJ$230,0,MATCH(J$2,Inputs!$K$4:$AJ$4,0)))+SUMPRODUCT((Inputs!$C$5:$C$230=$B5)*Inputs!$D$5:$D$230*(((Inputs!$G$5:$G$230="moeda")+(Inputs!$G$5:$G$230="acoes"))*Inputs!$B$1+((Inputs!$G$5:$G$230&lt;&gt;"moeda")*(Inputs!$G$5:$G$230&lt;&gt;"acoes")))*INDEX(Inputs!$K$5:$AJ$230,0,MATCH(J$2,Inputs!$K$4:$AJ$4,0)))+SUMPRODUCT((Inputs!$E$5:$E$230=$B5)*Inputs!$F$5:$F$230*(((Inputs!$G$5:$G$230="moeda")+(Inputs!$G$5:$G$230="acoes"))*Inputs!$B$1+((Inputs!$G$5:$G$230&lt;&gt;"moeda")*(Inputs!$G$5:$G$230&lt;&gt;"acoes")))*INDEX(Inputs!$K$5:$AJ$230,0,MATCH(J$2,Inputs!$K$4:$AJ$4,0)))))</f>
        <v>-123.632</v>
      </c>
      <c r="K5" s="6">
        <f>IF(ISNA(MATCH(K$2,Inputs!$K$4:$AJ$4,0)),NA(),IF(SUMPRODUCT((Inputs!$A$5:$A$230=$B5)*ISNUMBER(INDEX(Inputs!$K$5:$AJ$230,0,MATCH(K$2,Inputs!$K$4:$AJ$4,0))))+SUMPRODUCT((Inputs!$C$5:$C$230=$B5)*ISNUMBER(INDEX(Inputs!$K$5:$AJ$230,0,MATCH(K$2,Inputs!$K$4:$AJ$4,0))))+SUMPRODUCT((Inputs!$E$5:$E$230=$B5)*ISNUMBER(INDEX(Inputs!$K$5:$AJ$230,0,MATCH(K$2,Inputs!$K$4:$AJ$4,0))))=0,NA(),SUMPRODUCT((Inputs!$A$5:$A$230=$B5)*Inputs!$B$5:$B$230*(((Inputs!$G$5:$G$230="moeda")+(Inputs!$G$5:$G$230="acoes"))*Inputs!$B$1+((Inputs!$G$5:$G$230&lt;&gt;"moeda")*(Inputs!$G$5:$G$230&lt;&gt;"acoes")))*INDEX(Inputs!$K$5:$AJ$230,0,MATCH(K$2,Inputs!$K$4:$AJ$4,0)))+SUMPRODUCT((Inputs!$C$5:$C$230=$B5)*Inputs!$D$5:$D$230*(((Inputs!$G$5:$G$230="moeda")+(Inputs!$G$5:$G$230="acoes"))*Inputs!$B$1+((Inputs!$G$5:$G$230&lt;&gt;"moeda")*(Inputs!$G$5:$G$230&lt;&gt;"acoes")))*INDEX(Inputs!$K$5:$AJ$230,0,MATCH(K$2,Inputs!$K$4:$AJ$4,0)))+SUMPRODUCT((Inputs!$E$5:$E$230=$B5)*Inputs!$F$5:$F$230*(((Inputs!$G$5:$G$230="moeda")+(Inputs!$G$5:$G$230="acoes"))*Inputs!$B$1+((Inputs!$G$5:$G$230&lt;&gt;"moeda")*(Inputs!$G$5:$G$230&lt;&gt;"acoes")))*INDEX(Inputs!$K$5:$AJ$230,0,MATCH(K$2,Inputs!$K$4:$AJ$4,0)))))</f>
        <v>-131.418</v>
      </c>
      <c r="L5" s="6">
        <f>IF(ISNA(MATCH(L$2,Inputs!$K$4:$AJ$4,0)),NA(),IF(SUMPRODUCT((Inputs!$A$5:$A$230=$B5)*ISNUMBER(INDEX(Inputs!$K$5:$AJ$230,0,MATCH(L$2,Inputs!$K$4:$AJ$4,0))))+SUMPRODUCT((Inputs!$C$5:$C$230=$B5)*ISNUMBER(INDEX(Inputs!$K$5:$AJ$230,0,MATCH(L$2,Inputs!$K$4:$AJ$4,0))))+SUMPRODUCT((Inputs!$E$5:$E$230=$B5)*ISNUMBER(INDEX(Inputs!$K$5:$AJ$230,0,MATCH(L$2,Inputs!$K$4:$AJ$4,0))))=0,NA(),SUMPRODUCT((Inputs!$A$5:$A$230=$B5)*Inputs!$B$5:$B$230*(((Inputs!$G$5:$G$230="moeda")+(Inputs!$G$5:$G$230="acoes"))*Inputs!$B$1+((Inputs!$G$5:$G$230&lt;&gt;"moeda")*(Inputs!$G$5:$G$230&lt;&gt;"acoes")))*INDEX(Inputs!$K$5:$AJ$230,0,MATCH(L$2,Inputs!$K$4:$AJ$4,0)))+SUMPRODUCT((Inputs!$C$5:$C$230=$B5)*Inputs!$D$5:$D$230*(((Inputs!$G$5:$G$230="moeda")+(Inputs!$G$5:$G$230="acoes"))*Inputs!$B$1+((Inputs!$G$5:$G$230&lt;&gt;"moeda")*(Inputs!$G$5:$G$230&lt;&gt;"acoes")))*INDEX(Inputs!$K$5:$AJ$230,0,MATCH(L$2,Inputs!$K$4:$AJ$4,0)))+SUMPRODUCT((Inputs!$E$5:$E$230=$B5)*Inputs!$F$5:$F$230*(((Inputs!$G$5:$G$230="moeda")+(Inputs!$G$5:$G$230="acoes"))*Inputs!$B$1+((Inputs!$G$5:$G$230&lt;&gt;"moeda")*(Inputs!$G$5:$G$230&lt;&gt;"acoes")))*INDEX(Inputs!$K$5:$AJ$230,0,MATCH(L$2,Inputs!$K$4:$AJ$4,0)))))</f>
        <v>-161.074</v>
      </c>
      <c r="M5" s="3">
        <f>SUM(I5:L5)</f>
        <v>-550.913</v>
      </c>
      <c r="N5" s="6">
        <f>IF(ISNA(MATCH(N$2,Inputs!$K$4:$AJ$4,0)),NA(),IF(SUMPRODUCT((Inputs!$A$5:$A$230=$B5)*ISNUMBER(INDEX(Inputs!$K$5:$AJ$230,0,MATCH(N$2,Inputs!$K$4:$AJ$4,0))))+SUMPRODUCT((Inputs!$C$5:$C$230=$B5)*ISNUMBER(INDEX(Inputs!$K$5:$AJ$230,0,MATCH(N$2,Inputs!$K$4:$AJ$4,0))))+SUMPRODUCT((Inputs!$E$5:$E$230=$B5)*ISNUMBER(INDEX(Inputs!$K$5:$AJ$230,0,MATCH(N$2,Inputs!$K$4:$AJ$4,0))))=0,NA(),SUMPRODUCT((Inputs!$A$5:$A$230=$B5)*Inputs!$B$5:$B$230*(((Inputs!$G$5:$G$230="moeda")+(Inputs!$G$5:$G$230="acoes"))*Inputs!$B$1+((Inputs!$G$5:$G$230&lt;&gt;"moeda")*(Inputs!$G$5:$G$230&lt;&gt;"acoes")))*INDEX(Inputs!$K$5:$AJ$230,0,MATCH(N$2,Inputs!$K$4:$AJ$4,0)))+SUMPRODUCT((Inputs!$C$5:$C$230=$B5)*Inputs!$D$5:$D$230*(((Inputs!$G$5:$G$230="moeda")+(Inputs!$G$5:$G$230="acoes"))*Inputs!$B$1+((Inputs!$G$5:$G$230&lt;&gt;"moeda")*(Inputs!$G$5:$G$230&lt;&gt;"acoes")))*INDEX(Inputs!$K$5:$AJ$230,0,MATCH(N$2,Inputs!$K$4:$AJ$4,0)))+SUMPRODUCT((Inputs!$E$5:$E$230=$B5)*Inputs!$F$5:$F$230*(((Inputs!$G$5:$G$230="moeda")+(Inputs!$G$5:$G$230="acoes"))*Inputs!$B$1+((Inputs!$G$5:$G$230&lt;&gt;"moeda")*(Inputs!$G$5:$G$230&lt;&gt;"acoes")))*INDEX(Inputs!$K$5:$AJ$230,0,MATCH(N$2,Inputs!$K$4:$AJ$4,0)))))</f>
        <v>-161.718</v>
      </c>
      <c r="O5" s="6">
        <f>IF(ISNA(MATCH(O$2,Inputs!$K$4:$AJ$4,0)),NA(),IF(SUMPRODUCT((Inputs!$A$5:$A$230=$B5)*ISNUMBER(INDEX(Inputs!$K$5:$AJ$230,0,MATCH(O$2,Inputs!$K$4:$AJ$4,0))))+SUMPRODUCT((Inputs!$C$5:$C$230=$B5)*ISNUMBER(INDEX(Inputs!$K$5:$AJ$230,0,MATCH(O$2,Inputs!$K$4:$AJ$4,0))))+SUMPRODUCT((Inputs!$E$5:$E$230=$B5)*ISNUMBER(INDEX(Inputs!$K$5:$AJ$230,0,MATCH(O$2,Inputs!$K$4:$AJ$4,0))))=0,NA(),SUMPRODUCT((Inputs!$A$5:$A$230=$B5)*Inputs!$B$5:$B$230*(((Inputs!$G$5:$G$230="moeda")+(Inputs!$G$5:$G$230="acoes"))*Inputs!$B$1+((Inputs!$G$5:$G$230&lt;&gt;"moeda")*(Inputs!$G$5:$G$230&lt;&gt;"acoes")))*INDEX(Inputs!$K$5:$AJ$230,0,MATCH(O$2,Inputs!$K$4:$AJ$4,0)))+SUMPRODUCT((Inputs!$C$5:$C$230=$B5)*Inputs!$D$5:$D$230*(((Inputs!$G$5:$G$230="moeda")+(Inputs!$G$5:$G$230="acoes"))*Inputs!$B$1+((Inputs!$G$5:$G$230&lt;&gt;"moeda")*(Inputs!$G$5:$G$230&lt;&gt;"acoes")))*INDEX(Inputs!$K$5:$AJ$230,0,MATCH(O$2,Inputs!$K$4:$AJ$4,0)))+SUMPRODUCT((Inputs!$E$5:$E$230=$B5)*Inputs!$F$5:$F$230*(((Inputs!$G$5:$G$230="moeda")+(Inputs!$G$5:$G$230="acoes"))*Inputs!$B$1+((Inputs!$G$5:$G$230&lt;&gt;"moeda")*(Inputs!$G$5:$G$230&lt;&gt;"acoes")))*INDEX(Inputs!$K$5:$AJ$230,0,MATCH(O$2,Inputs!$K$4:$AJ$4,0)))))</f>
        <v>-136.738</v>
      </c>
      <c r="P5" s="6">
        <f>IF(ISNA(MATCH(P$2,Inputs!$K$4:$AJ$4,0)),NA(),IF(SUMPRODUCT((Inputs!$A$5:$A$230=$B5)*ISNUMBER(INDEX(Inputs!$K$5:$AJ$230,0,MATCH(P$2,Inputs!$K$4:$AJ$4,0))))+SUMPRODUCT((Inputs!$C$5:$C$230=$B5)*ISNUMBER(INDEX(Inputs!$K$5:$AJ$230,0,MATCH(P$2,Inputs!$K$4:$AJ$4,0))))+SUMPRODUCT((Inputs!$E$5:$E$230=$B5)*ISNUMBER(INDEX(Inputs!$K$5:$AJ$230,0,MATCH(P$2,Inputs!$K$4:$AJ$4,0))))=0,NA(),SUMPRODUCT((Inputs!$A$5:$A$230=$B5)*Inputs!$B$5:$B$230*(((Inputs!$G$5:$G$230="moeda")+(Inputs!$G$5:$G$230="acoes"))*Inputs!$B$1+((Inputs!$G$5:$G$230&lt;&gt;"moeda")*(Inputs!$G$5:$G$230&lt;&gt;"acoes")))*INDEX(Inputs!$K$5:$AJ$230,0,MATCH(P$2,Inputs!$K$4:$AJ$4,0)))+SUMPRODUCT((Inputs!$C$5:$C$230=$B5)*Inputs!$D$5:$D$230*(((Inputs!$G$5:$G$230="moeda")+(Inputs!$G$5:$G$230="acoes"))*Inputs!$B$1+((Inputs!$G$5:$G$230&lt;&gt;"moeda")*(Inputs!$G$5:$G$230&lt;&gt;"acoes")))*INDEX(Inputs!$K$5:$AJ$230,0,MATCH(P$2,Inputs!$K$4:$AJ$4,0)))+SUMPRODUCT((Inputs!$E$5:$E$230=$B5)*Inputs!$F$5:$F$230*(((Inputs!$G$5:$G$230="moeda")+(Inputs!$G$5:$G$230="acoes"))*Inputs!$B$1+((Inputs!$G$5:$G$230&lt;&gt;"moeda")*(Inputs!$G$5:$G$230&lt;&gt;"acoes")))*INDEX(Inputs!$K$5:$AJ$230,0,MATCH(P$2,Inputs!$K$4:$AJ$4,0)))))</f>
        <v>-161.738</v>
      </c>
      <c r="Q5" s="6">
        <f>IF(ISNA(MATCH(Q$2,Inputs!$K$4:$AJ$4,0)),NA(),IF(SUMPRODUCT((Inputs!$A$5:$A$230=$B5)*ISNUMBER(INDEX(Inputs!$K$5:$AJ$230,0,MATCH(Q$2,Inputs!$K$4:$AJ$4,0))))+SUMPRODUCT((Inputs!$C$5:$C$230=$B5)*ISNUMBER(INDEX(Inputs!$K$5:$AJ$230,0,MATCH(Q$2,Inputs!$K$4:$AJ$4,0))))+SUMPRODUCT((Inputs!$E$5:$E$230=$B5)*ISNUMBER(INDEX(Inputs!$K$5:$AJ$230,0,MATCH(Q$2,Inputs!$K$4:$AJ$4,0))))=0,NA(),SUMPRODUCT((Inputs!$A$5:$A$230=$B5)*Inputs!$B$5:$B$230*(((Inputs!$G$5:$G$230="moeda")+(Inputs!$G$5:$G$230="acoes"))*Inputs!$B$1+((Inputs!$G$5:$G$230&lt;&gt;"moeda")*(Inputs!$G$5:$G$230&lt;&gt;"acoes")))*INDEX(Inputs!$K$5:$AJ$230,0,MATCH(Q$2,Inputs!$K$4:$AJ$4,0)))+SUMPRODUCT((Inputs!$C$5:$C$230=$B5)*Inputs!$D$5:$D$230*(((Inputs!$G$5:$G$230="moeda")+(Inputs!$G$5:$G$230="acoes"))*Inputs!$B$1+((Inputs!$G$5:$G$230&lt;&gt;"moeda")*(Inputs!$G$5:$G$230&lt;&gt;"acoes")))*INDEX(Inputs!$K$5:$AJ$230,0,MATCH(Q$2,Inputs!$K$4:$AJ$4,0)))+SUMPRODUCT((Inputs!$E$5:$E$230=$B5)*Inputs!$F$5:$F$230*(((Inputs!$G$5:$G$230="moeda")+(Inputs!$G$5:$G$230="acoes"))*Inputs!$B$1+((Inputs!$G$5:$G$230&lt;&gt;"moeda")*(Inputs!$G$5:$G$230&lt;&gt;"acoes")))*INDEX(Inputs!$K$5:$AJ$230,0,MATCH(Q$2,Inputs!$K$4:$AJ$4,0)))))</f>
        <v>-189.695</v>
      </c>
      <c r="R5" s="3">
        <f>SUM(N5:Q5)</f>
        <v>-649.889</v>
      </c>
      <c r="S5" s="6">
        <f>IF(ISNA(MATCH(S$2,Inputs!$K$4:$AJ$4,0)),NA(),IF(SUMPRODUCT((Inputs!$A$5:$A$230=$B5)*ISNUMBER(INDEX(Inputs!$K$5:$AJ$230,0,MATCH(S$2,Inputs!$K$4:$AJ$4,0))))+SUMPRODUCT((Inputs!$C$5:$C$230=$B5)*ISNUMBER(INDEX(Inputs!$K$5:$AJ$230,0,MATCH(S$2,Inputs!$K$4:$AJ$4,0))))+SUMPRODUCT((Inputs!$E$5:$E$230=$B5)*ISNUMBER(INDEX(Inputs!$K$5:$AJ$230,0,MATCH(S$2,Inputs!$K$4:$AJ$4,0))))=0,NA(),SUMPRODUCT((Inputs!$A$5:$A$230=$B5)*Inputs!$B$5:$B$230*(((Inputs!$G$5:$G$230="moeda")+(Inputs!$G$5:$G$230="acoes"))*Inputs!$B$1+((Inputs!$G$5:$G$230&lt;&gt;"moeda")*(Inputs!$G$5:$G$230&lt;&gt;"acoes")))*INDEX(Inputs!$K$5:$AJ$230,0,MATCH(S$2,Inputs!$K$4:$AJ$4,0)))+SUMPRODUCT((Inputs!$C$5:$C$230=$B5)*Inputs!$D$5:$D$230*(((Inputs!$G$5:$G$230="moeda")+(Inputs!$G$5:$G$230="acoes"))*Inputs!$B$1+((Inputs!$G$5:$G$230&lt;&gt;"moeda")*(Inputs!$G$5:$G$230&lt;&gt;"acoes")))*INDEX(Inputs!$K$5:$AJ$230,0,MATCH(S$2,Inputs!$K$4:$AJ$4,0)))+SUMPRODUCT((Inputs!$E$5:$E$230=$B5)*Inputs!$F$5:$F$230*(((Inputs!$G$5:$G$230="moeda")+(Inputs!$G$5:$G$230="acoes"))*Inputs!$B$1+((Inputs!$G$5:$G$230&lt;&gt;"moeda")*(Inputs!$G$5:$G$230&lt;&gt;"acoes")))*INDEX(Inputs!$K$5:$AJ$230,0,MATCH(S$2,Inputs!$K$4:$AJ$4,0)))))</f>
        <v>-168.17</v>
      </c>
      <c r="T5" s="6">
        <f>IF(ISNA(MATCH(T$2,Inputs!$K$4:$AJ$4,0)),NA(),IF(SUMPRODUCT((Inputs!$A$5:$A$230=$B5)*ISNUMBER(INDEX(Inputs!$K$5:$AJ$230,0,MATCH(T$2,Inputs!$K$4:$AJ$4,0))))+SUMPRODUCT((Inputs!$C$5:$C$230=$B5)*ISNUMBER(INDEX(Inputs!$K$5:$AJ$230,0,MATCH(T$2,Inputs!$K$4:$AJ$4,0))))+SUMPRODUCT((Inputs!$E$5:$E$230=$B5)*ISNUMBER(INDEX(Inputs!$K$5:$AJ$230,0,MATCH(T$2,Inputs!$K$4:$AJ$4,0))))=0,NA(),SUMPRODUCT((Inputs!$A$5:$A$230=$B5)*Inputs!$B$5:$B$230*(((Inputs!$G$5:$G$230="moeda")+(Inputs!$G$5:$G$230="acoes"))*Inputs!$B$1+((Inputs!$G$5:$G$230&lt;&gt;"moeda")*(Inputs!$G$5:$G$230&lt;&gt;"acoes")))*INDEX(Inputs!$K$5:$AJ$230,0,MATCH(T$2,Inputs!$K$4:$AJ$4,0)))+SUMPRODUCT((Inputs!$C$5:$C$230=$B5)*Inputs!$D$5:$D$230*(((Inputs!$G$5:$G$230="moeda")+(Inputs!$G$5:$G$230="acoes"))*Inputs!$B$1+((Inputs!$G$5:$G$230&lt;&gt;"moeda")*(Inputs!$G$5:$G$230&lt;&gt;"acoes")))*INDEX(Inputs!$K$5:$AJ$230,0,MATCH(T$2,Inputs!$K$4:$AJ$4,0)))+SUMPRODUCT((Inputs!$E$5:$E$230=$B5)*Inputs!$F$5:$F$230*(((Inputs!$G$5:$G$230="moeda")+(Inputs!$G$5:$G$230="acoes"))*Inputs!$B$1+((Inputs!$G$5:$G$230&lt;&gt;"moeda")*(Inputs!$G$5:$G$230&lt;&gt;"acoes")))*INDEX(Inputs!$K$5:$AJ$230,0,MATCH(T$2,Inputs!$K$4:$AJ$4,0)))))</f>
        <v>-180.438</v>
      </c>
      <c r="U5" s="6">
        <f>IF(ISNA(MATCH(U$2,Inputs!$K$4:$AJ$4,0)),NA(),IF(SUMPRODUCT((Inputs!$A$5:$A$230=$B5)*ISNUMBER(INDEX(Inputs!$K$5:$AJ$230,0,MATCH(U$2,Inputs!$K$4:$AJ$4,0))))+SUMPRODUCT((Inputs!$C$5:$C$230=$B5)*ISNUMBER(INDEX(Inputs!$K$5:$AJ$230,0,MATCH(U$2,Inputs!$K$4:$AJ$4,0))))+SUMPRODUCT((Inputs!$E$5:$E$230=$B5)*ISNUMBER(INDEX(Inputs!$K$5:$AJ$230,0,MATCH(U$2,Inputs!$K$4:$AJ$4,0))))=0,NA(),SUMPRODUCT((Inputs!$A$5:$A$230=$B5)*Inputs!$B$5:$B$230*(((Inputs!$G$5:$G$230="moeda")+(Inputs!$G$5:$G$230="acoes"))*Inputs!$B$1+((Inputs!$G$5:$G$230&lt;&gt;"moeda")*(Inputs!$G$5:$G$230&lt;&gt;"acoes")))*INDEX(Inputs!$K$5:$AJ$230,0,MATCH(U$2,Inputs!$K$4:$AJ$4,0)))+SUMPRODUCT((Inputs!$C$5:$C$230=$B5)*Inputs!$D$5:$D$230*(((Inputs!$G$5:$G$230="moeda")+(Inputs!$G$5:$G$230="acoes"))*Inputs!$B$1+((Inputs!$G$5:$G$230&lt;&gt;"moeda")*(Inputs!$G$5:$G$230&lt;&gt;"acoes")))*INDEX(Inputs!$K$5:$AJ$230,0,MATCH(U$2,Inputs!$K$4:$AJ$4,0)))+SUMPRODUCT((Inputs!$E$5:$E$230=$B5)*Inputs!$F$5:$F$230*(((Inputs!$G$5:$G$230="moeda")+(Inputs!$G$5:$G$230="acoes"))*Inputs!$B$1+((Inputs!$G$5:$G$230&lt;&gt;"moeda")*(Inputs!$G$5:$G$230&lt;&gt;"acoes")))*INDEX(Inputs!$K$5:$AJ$230,0,MATCH(U$2,Inputs!$K$4:$AJ$4,0)))))</f>
        <v>-246.959</v>
      </c>
      <c r="V5" s="6">
        <f>IF(ISNA(MATCH(V$2,Inputs!$K$4:$AJ$4,0)),NA(),IF(SUMPRODUCT((Inputs!$A$5:$A$230=$B5)*ISNUMBER(INDEX(Inputs!$K$5:$AJ$230,0,MATCH(V$2,Inputs!$K$4:$AJ$4,0))))+SUMPRODUCT((Inputs!$C$5:$C$230=$B5)*ISNUMBER(INDEX(Inputs!$K$5:$AJ$230,0,MATCH(V$2,Inputs!$K$4:$AJ$4,0))))+SUMPRODUCT((Inputs!$E$5:$E$230=$B5)*ISNUMBER(INDEX(Inputs!$K$5:$AJ$230,0,MATCH(V$2,Inputs!$K$4:$AJ$4,0))))=0,NA(),SUMPRODUCT((Inputs!$A$5:$A$230=$B5)*Inputs!$B$5:$B$230*(((Inputs!$G$5:$G$230="moeda")+(Inputs!$G$5:$G$230="acoes"))*Inputs!$B$1+((Inputs!$G$5:$G$230&lt;&gt;"moeda")*(Inputs!$G$5:$G$230&lt;&gt;"acoes")))*INDEX(Inputs!$K$5:$AJ$230,0,MATCH(V$2,Inputs!$K$4:$AJ$4,0)))+SUMPRODUCT((Inputs!$C$5:$C$230=$B5)*Inputs!$D$5:$D$230*(((Inputs!$G$5:$G$230="moeda")+(Inputs!$G$5:$G$230="acoes"))*Inputs!$B$1+((Inputs!$G$5:$G$230&lt;&gt;"moeda")*(Inputs!$G$5:$G$230&lt;&gt;"acoes")))*INDEX(Inputs!$K$5:$AJ$230,0,MATCH(V$2,Inputs!$K$4:$AJ$4,0)))+SUMPRODUCT((Inputs!$E$5:$E$230=$B5)*Inputs!$F$5:$F$230*(((Inputs!$G$5:$G$230="moeda")+(Inputs!$G$5:$G$230="acoes"))*Inputs!$B$1+((Inputs!$G$5:$G$230&lt;&gt;"moeda")*(Inputs!$G$5:$G$230&lt;&gt;"acoes")))*INDEX(Inputs!$K$5:$AJ$230,0,MATCH(V$2,Inputs!$K$4:$AJ$4,0)))))</f>
        <v>-327.35</v>
      </c>
      <c r="W5" s="3">
        <f>SUM(S5:V5)</f>
        <v>-922.917</v>
      </c>
      <c r="X5" s="6">
        <f>IF(ISNA(MATCH(X$2,Inputs!$K$4:$AJ$4,0)),NA(),IF(SUMPRODUCT((Inputs!$A$5:$A$230=$B5)*ISNUMBER(INDEX(Inputs!$K$5:$AJ$230,0,MATCH(X$2,Inputs!$K$4:$AJ$4,0))))+SUMPRODUCT((Inputs!$C$5:$C$230=$B5)*ISNUMBER(INDEX(Inputs!$K$5:$AJ$230,0,MATCH(X$2,Inputs!$K$4:$AJ$4,0))))+SUMPRODUCT((Inputs!$E$5:$E$230=$B5)*ISNUMBER(INDEX(Inputs!$K$5:$AJ$230,0,MATCH(X$2,Inputs!$K$4:$AJ$4,0))))=0,NA(),SUMPRODUCT((Inputs!$A$5:$A$230=$B5)*Inputs!$B$5:$B$230*(((Inputs!$G$5:$G$230="moeda")+(Inputs!$G$5:$G$230="acoes"))*Inputs!$B$1+((Inputs!$G$5:$G$230&lt;&gt;"moeda")*(Inputs!$G$5:$G$230&lt;&gt;"acoes")))*INDEX(Inputs!$K$5:$AJ$230,0,MATCH(X$2,Inputs!$K$4:$AJ$4,0)))+SUMPRODUCT((Inputs!$C$5:$C$230=$B5)*Inputs!$D$5:$D$230*(((Inputs!$G$5:$G$230="moeda")+(Inputs!$G$5:$G$230="acoes"))*Inputs!$B$1+((Inputs!$G$5:$G$230&lt;&gt;"moeda")*(Inputs!$G$5:$G$230&lt;&gt;"acoes")))*INDEX(Inputs!$K$5:$AJ$230,0,MATCH(X$2,Inputs!$K$4:$AJ$4,0)))+SUMPRODUCT((Inputs!$E$5:$E$230=$B5)*Inputs!$F$5:$F$230*(((Inputs!$G$5:$G$230="moeda")+(Inputs!$G$5:$G$230="acoes"))*Inputs!$B$1+((Inputs!$G$5:$G$230&lt;&gt;"moeda")*(Inputs!$G$5:$G$230&lt;&gt;"acoes")))*INDEX(Inputs!$K$5:$AJ$230,0,MATCH(X$2,Inputs!$K$4:$AJ$4,0)))))</f>
        <v>-295.198</v>
      </c>
      <c r="Y5" s="6">
        <f>IF(ISNA(MATCH(Y$2,Inputs!$K$4:$AJ$4,0)),NA(),IF(SUMPRODUCT((Inputs!$A$5:$A$230=$B5)*ISNUMBER(INDEX(Inputs!$K$5:$AJ$230,0,MATCH(Y$2,Inputs!$K$4:$AJ$4,0))))+SUMPRODUCT((Inputs!$C$5:$C$230=$B5)*ISNUMBER(INDEX(Inputs!$K$5:$AJ$230,0,MATCH(Y$2,Inputs!$K$4:$AJ$4,0))))+SUMPRODUCT((Inputs!$E$5:$E$230=$B5)*ISNUMBER(INDEX(Inputs!$K$5:$AJ$230,0,MATCH(Y$2,Inputs!$K$4:$AJ$4,0))))=0,NA(),SUMPRODUCT((Inputs!$A$5:$A$230=$B5)*Inputs!$B$5:$B$230*(((Inputs!$G$5:$G$230="moeda")+(Inputs!$G$5:$G$230="acoes"))*Inputs!$B$1+((Inputs!$G$5:$G$230&lt;&gt;"moeda")*(Inputs!$G$5:$G$230&lt;&gt;"acoes")))*INDEX(Inputs!$K$5:$AJ$230,0,MATCH(Y$2,Inputs!$K$4:$AJ$4,0)))+SUMPRODUCT((Inputs!$C$5:$C$230=$B5)*Inputs!$D$5:$D$230*(((Inputs!$G$5:$G$230="moeda")+(Inputs!$G$5:$G$230="acoes"))*Inputs!$B$1+((Inputs!$G$5:$G$230&lt;&gt;"moeda")*(Inputs!$G$5:$G$230&lt;&gt;"acoes")))*INDEX(Inputs!$K$5:$AJ$230,0,MATCH(Y$2,Inputs!$K$4:$AJ$4,0)))+SUMPRODUCT((Inputs!$E$5:$E$230=$B5)*Inputs!$F$5:$F$230*(((Inputs!$G$5:$G$230="moeda")+(Inputs!$G$5:$G$230="acoes"))*Inputs!$B$1+((Inputs!$G$5:$G$230&lt;&gt;"moeda")*(Inputs!$G$5:$G$230&lt;&gt;"acoes")))*INDEX(Inputs!$K$5:$AJ$230,0,MATCH(Y$2,Inputs!$K$4:$AJ$4,0)))))</f>
        <v>-282.606</v>
      </c>
      <c r="Z5" s="6">
        <f>IF(ISNA(MATCH(Z$2,Inputs!$K$4:$AJ$4,0)),NA(),IF(SUMPRODUCT((Inputs!$A$5:$A$230=$B5)*ISNUMBER(INDEX(Inputs!$K$5:$AJ$230,0,MATCH(Z$2,Inputs!$K$4:$AJ$4,0))))+SUMPRODUCT((Inputs!$C$5:$C$230=$B5)*ISNUMBER(INDEX(Inputs!$K$5:$AJ$230,0,MATCH(Z$2,Inputs!$K$4:$AJ$4,0))))+SUMPRODUCT((Inputs!$E$5:$E$230=$B5)*ISNUMBER(INDEX(Inputs!$K$5:$AJ$230,0,MATCH(Z$2,Inputs!$K$4:$AJ$4,0))))=0,NA(),SUMPRODUCT((Inputs!$A$5:$A$230=$B5)*Inputs!$B$5:$B$230*(((Inputs!$G$5:$G$230="moeda")+(Inputs!$G$5:$G$230="acoes"))*Inputs!$B$1+((Inputs!$G$5:$G$230&lt;&gt;"moeda")*(Inputs!$G$5:$G$230&lt;&gt;"acoes")))*INDEX(Inputs!$K$5:$AJ$230,0,MATCH(Z$2,Inputs!$K$4:$AJ$4,0)))+SUMPRODUCT((Inputs!$C$5:$C$230=$B5)*Inputs!$D$5:$D$230*(((Inputs!$G$5:$G$230="moeda")+(Inputs!$G$5:$G$230="acoes"))*Inputs!$B$1+((Inputs!$G$5:$G$230&lt;&gt;"moeda")*(Inputs!$G$5:$G$230&lt;&gt;"acoes")))*INDEX(Inputs!$K$5:$AJ$230,0,MATCH(Z$2,Inputs!$K$4:$AJ$4,0)))+SUMPRODUCT((Inputs!$E$5:$E$230=$B5)*Inputs!$F$5:$F$230*(((Inputs!$G$5:$G$230="moeda")+(Inputs!$G$5:$G$230="acoes"))*Inputs!$B$1+((Inputs!$G$5:$G$230&lt;&gt;"moeda")*(Inputs!$G$5:$G$230&lt;&gt;"acoes")))*INDEX(Inputs!$K$5:$AJ$230,0,MATCH(Z$2,Inputs!$K$4:$AJ$4,0)))))</f>
        <v>-245.818</v>
      </c>
      <c r="AA5" s="6">
        <f>IF(ISNA(MATCH(AA$2,Inputs!$K$4:$AJ$4,0)),NA(),IF(SUMPRODUCT((Inputs!$A$5:$A$230=$B5)*ISNUMBER(INDEX(Inputs!$K$5:$AJ$230,0,MATCH(AA$2,Inputs!$K$4:$AJ$4,0))))+SUMPRODUCT((Inputs!$C$5:$C$230=$B5)*ISNUMBER(INDEX(Inputs!$K$5:$AJ$230,0,MATCH(AA$2,Inputs!$K$4:$AJ$4,0))))+SUMPRODUCT((Inputs!$E$5:$E$230=$B5)*ISNUMBER(INDEX(Inputs!$K$5:$AJ$230,0,MATCH(AA$2,Inputs!$K$4:$AJ$4,0))))=0,NA(),SUMPRODUCT((Inputs!$A$5:$A$230=$B5)*Inputs!$B$5:$B$230*(((Inputs!$G$5:$G$230="moeda")+(Inputs!$G$5:$G$230="acoes"))*Inputs!$B$1+((Inputs!$G$5:$G$230&lt;&gt;"moeda")*(Inputs!$G$5:$G$230&lt;&gt;"acoes")))*INDEX(Inputs!$K$5:$AJ$230,0,MATCH(AA$2,Inputs!$K$4:$AJ$4,0)))+SUMPRODUCT((Inputs!$C$5:$C$230=$B5)*Inputs!$D$5:$D$230*(((Inputs!$G$5:$G$230="moeda")+(Inputs!$G$5:$G$230="acoes"))*Inputs!$B$1+((Inputs!$G$5:$G$230&lt;&gt;"moeda")*(Inputs!$G$5:$G$230&lt;&gt;"acoes")))*INDEX(Inputs!$K$5:$AJ$230,0,MATCH(AA$2,Inputs!$K$4:$AJ$4,0)))+SUMPRODUCT((Inputs!$E$5:$E$230=$B5)*Inputs!$F$5:$F$230*(((Inputs!$G$5:$G$230="moeda")+(Inputs!$G$5:$G$230="acoes"))*Inputs!$B$1+((Inputs!$G$5:$G$230&lt;&gt;"moeda")*(Inputs!$G$5:$G$230&lt;&gt;"acoes")))*INDEX(Inputs!$K$5:$AJ$230,0,MATCH(AA$2,Inputs!$K$4:$AJ$4,0)))))</f>
        <v>-335.941</v>
      </c>
      <c r="AB5" s="3">
        <f>SUM(X5:AA5)</f>
        <v>-1159.563</v>
      </c>
      <c r="AC5" s="6">
        <f>IF(ISNA(MATCH(AC$2,Inputs!$K$4:$AJ$4,0)),NA(),IF(SUMPRODUCT((Inputs!$A$5:$A$230=$B5)*ISNUMBER(INDEX(Inputs!$K$5:$AJ$230,0,MATCH(AC$2,Inputs!$K$4:$AJ$4,0))))+SUMPRODUCT((Inputs!$C$5:$C$230=$B5)*ISNUMBER(INDEX(Inputs!$K$5:$AJ$230,0,MATCH(AC$2,Inputs!$K$4:$AJ$4,0))))+SUMPRODUCT((Inputs!$E$5:$E$230=$B5)*ISNUMBER(INDEX(Inputs!$K$5:$AJ$230,0,MATCH(AC$2,Inputs!$K$4:$AJ$4,0))))=0,NA(),SUMPRODUCT((Inputs!$A$5:$A$230=$B5)*Inputs!$B$5:$B$230*(((Inputs!$G$5:$G$230="moeda")+(Inputs!$G$5:$G$230="acoes"))*Inputs!$B$1+((Inputs!$G$5:$G$230&lt;&gt;"moeda")*(Inputs!$G$5:$G$230&lt;&gt;"acoes")))*INDEX(Inputs!$K$5:$AJ$230,0,MATCH(AC$2,Inputs!$K$4:$AJ$4,0)))+SUMPRODUCT((Inputs!$C$5:$C$230=$B5)*Inputs!$D$5:$D$230*(((Inputs!$G$5:$G$230="moeda")+(Inputs!$G$5:$G$230="acoes"))*Inputs!$B$1+((Inputs!$G$5:$G$230&lt;&gt;"moeda")*(Inputs!$G$5:$G$230&lt;&gt;"acoes")))*INDEX(Inputs!$K$5:$AJ$230,0,MATCH(AC$2,Inputs!$K$4:$AJ$4,0)))+SUMPRODUCT((Inputs!$E$5:$E$230=$B5)*Inputs!$F$5:$F$230*(((Inputs!$G$5:$G$230="moeda")+(Inputs!$G$5:$G$230="acoes"))*Inputs!$B$1+((Inputs!$G$5:$G$230&lt;&gt;"moeda")*(Inputs!$G$5:$G$230&lt;&gt;"acoes")))*INDEX(Inputs!$K$5:$AJ$230,0,MATCH(AC$2,Inputs!$K$4:$AJ$4,0)))))</f>
        <v>-409.119</v>
      </c>
      <c r="AD5" s="6">
        <f>IF(ISNA(MATCH(AD$2,Inputs!$K$4:$AJ$4,0)),NA(),IF(SUMPRODUCT((Inputs!$A$5:$A$230=$B5)*ISNUMBER(INDEX(Inputs!$K$5:$AJ$230,0,MATCH(AD$2,Inputs!$K$4:$AJ$4,0))))+SUMPRODUCT((Inputs!$C$5:$C$230=$B5)*ISNUMBER(INDEX(Inputs!$K$5:$AJ$230,0,MATCH(AD$2,Inputs!$K$4:$AJ$4,0))))+SUMPRODUCT((Inputs!$E$5:$E$230=$B5)*ISNUMBER(INDEX(Inputs!$K$5:$AJ$230,0,MATCH(AD$2,Inputs!$K$4:$AJ$4,0))))=0,NA(),SUMPRODUCT((Inputs!$A$5:$A$230=$B5)*Inputs!$B$5:$B$230*(((Inputs!$G$5:$G$230="moeda")+(Inputs!$G$5:$G$230="acoes"))*Inputs!$B$1+((Inputs!$G$5:$G$230&lt;&gt;"moeda")*(Inputs!$G$5:$G$230&lt;&gt;"acoes")))*INDEX(Inputs!$K$5:$AJ$230,0,MATCH(AD$2,Inputs!$K$4:$AJ$4,0)))+SUMPRODUCT((Inputs!$C$5:$C$230=$B5)*Inputs!$D$5:$D$230*(((Inputs!$G$5:$G$230="moeda")+(Inputs!$G$5:$G$230="acoes"))*Inputs!$B$1+((Inputs!$G$5:$G$230&lt;&gt;"moeda")*(Inputs!$G$5:$G$230&lt;&gt;"acoes")))*INDEX(Inputs!$K$5:$AJ$230,0,MATCH(AD$2,Inputs!$K$4:$AJ$4,0)))+SUMPRODUCT((Inputs!$E$5:$E$230=$B5)*Inputs!$F$5:$F$230*(((Inputs!$G$5:$G$230="moeda")+(Inputs!$G$5:$G$230="acoes"))*Inputs!$B$1+((Inputs!$G$5:$G$230&lt;&gt;"moeda")*(Inputs!$G$5:$G$230&lt;&gt;"acoes")))*INDEX(Inputs!$K$5:$AJ$230,0,MATCH(AD$2,Inputs!$K$4:$AJ$4,0)))))</f>
        <v>-524.176</v>
      </c>
      <c r="AE5" s="6" t="e">
        <f>IF(ISNA(MATCH(AE$2,Inputs!$K$4:$AJ$4,0)),NA(),IF(SUMPRODUCT((Inputs!$A$5:$A$230=$B5)*ISNUMBER(INDEX(Inputs!$K$5:$AJ$230,0,MATCH(AE$2,Inputs!$K$4:$AJ$4,0))))+SUMPRODUCT((Inputs!$C$5:$C$230=$B5)*ISNUMBER(INDEX(Inputs!$K$5:$AJ$230,0,MATCH(AE$2,Inputs!$K$4:$AJ$4,0))))+SUMPRODUCT((Inputs!$E$5:$E$230=$B5)*ISNUMBER(INDEX(Inputs!$K$5:$AJ$230,0,MATCH(AE$2,Inputs!$K$4:$AJ$4,0))))=0,NA(),SUMPRODUCT((Inputs!$A$5:$A$230=$B5)*Inputs!$B$5:$B$230*(((Inputs!$G$5:$G$230="moeda")+(Inputs!$G$5:$G$230="acoes"))*Inputs!$B$1+((Inputs!$G$5:$G$230&lt;&gt;"moeda")*(Inputs!$G$5:$G$230&lt;&gt;"acoes")))*INDEX(Inputs!$K$5:$AJ$230,0,MATCH(AE$2,Inputs!$K$4:$AJ$4,0)))+SUMPRODUCT((Inputs!$C$5:$C$230=$B5)*Inputs!$D$5:$D$230*(((Inputs!$G$5:$G$230="moeda")+(Inputs!$G$5:$G$230="acoes"))*Inputs!$B$1+((Inputs!$G$5:$G$230&lt;&gt;"moeda")*(Inputs!$G$5:$G$230&lt;&gt;"acoes")))*INDEX(Inputs!$K$5:$AJ$230,0,MATCH(AE$2,Inputs!$K$4:$AJ$4,0)))+SUMPRODUCT((Inputs!$E$5:$E$230=$B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5" s="6" t="e">
        <f>IF(ISNA(MATCH(AF$2,Inputs!$K$4:$AJ$4,0)),NA(),IF(SUMPRODUCT((Inputs!$A$5:$A$230=$B5)*ISNUMBER(INDEX(Inputs!$K$5:$AJ$230,0,MATCH(AF$2,Inputs!$K$4:$AJ$4,0))))+SUMPRODUCT((Inputs!$C$5:$C$230=$B5)*ISNUMBER(INDEX(Inputs!$K$5:$AJ$230,0,MATCH(AF$2,Inputs!$K$4:$AJ$4,0))))+SUMPRODUCT((Inputs!$E$5:$E$230=$B5)*ISNUMBER(INDEX(Inputs!$K$5:$AJ$230,0,MATCH(AF$2,Inputs!$K$4:$AJ$4,0))))=0,NA(),SUMPRODUCT((Inputs!$A$5:$A$230=$B5)*Inputs!$B$5:$B$230*(((Inputs!$G$5:$G$230="moeda")+(Inputs!$G$5:$G$230="acoes"))*Inputs!$B$1+((Inputs!$G$5:$G$230&lt;&gt;"moeda")*(Inputs!$G$5:$G$230&lt;&gt;"acoes")))*INDEX(Inputs!$K$5:$AJ$230,0,MATCH(AF$2,Inputs!$K$4:$AJ$4,0)))+SUMPRODUCT((Inputs!$C$5:$C$230=$B5)*Inputs!$D$5:$D$230*(((Inputs!$G$5:$G$230="moeda")+(Inputs!$G$5:$G$230="acoes"))*Inputs!$B$1+((Inputs!$G$5:$G$230&lt;&gt;"moeda")*(Inputs!$G$5:$G$230&lt;&gt;"acoes")))*INDEX(Inputs!$K$5:$AJ$230,0,MATCH(AF$2,Inputs!$K$4:$AJ$4,0)))+SUMPRODUCT((Inputs!$E$5:$E$230=$B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5" s="3" t="e">
        <f>SUM(AC5:AF5)</f>
        <v>#N/A</v>
      </c>
      <c r="AH5" s="6">
        <f>IF(ISNA(MATCH(AH$2,Inputs!$K$4:$AJ$4,0)),NA(),IF(SUMPRODUCT((Inputs!$A$5:$A$230=$B5)*ISNUMBER(INDEX(Inputs!$K$5:$AJ$230,0,MATCH(AH$2,Inputs!$K$4:$AJ$4,0))))+SUMPRODUCT((Inputs!$C$5:$C$230=$B5)*ISNUMBER(INDEX(Inputs!$K$5:$AJ$230,0,MATCH(AH$2,Inputs!$K$4:$AJ$4,0))))+SUMPRODUCT((Inputs!$E$5:$E$230=$B5)*ISNUMBER(INDEX(Inputs!$K$5:$AJ$230,0,MATCH(AH$2,Inputs!$K$4:$AJ$4,0))))=0,NA(),SUMPRODUCT((Inputs!$A$5:$A$230=$B5)*Inputs!$B$5:$B$230*(((Inputs!$G$5:$G$230="moeda")+(Inputs!$G$5:$G$230="acoes"))*Inputs!$B$1+((Inputs!$G$5:$G$230&lt;&gt;"moeda")*(Inputs!$G$5:$G$230&lt;&gt;"acoes")))*INDEX(Inputs!$K$5:$AJ$230,0,MATCH(AH$2,Inputs!$K$4:$AJ$4,0)))+SUMPRODUCT((Inputs!$C$5:$C$230=$B5)*Inputs!$D$5:$D$230*(((Inputs!$G$5:$G$230="moeda")+(Inputs!$G$5:$G$230="acoes"))*Inputs!$B$1+((Inputs!$G$5:$G$230&lt;&gt;"moeda")*(Inputs!$G$5:$G$230&lt;&gt;"acoes")))*INDEX(Inputs!$K$5:$AJ$230,0,MATCH(AH$2,Inputs!$K$4:$AJ$4,0)))+SUMPRODUCT((Inputs!$E$5:$E$230=$B5)*Inputs!$F$5:$F$230*(((Inputs!$G$5:$G$230="moeda")+(Inputs!$G$5:$G$230="acoes"))*Inputs!$B$1+((Inputs!$G$5:$G$230&lt;&gt;"moeda")*(Inputs!$G$5:$G$230&lt;&gt;"acoes")))*INDEX(Inputs!$K$5:$AJ$230,0,MATCH(AH$2,Inputs!$K$4:$AJ$4,0)))))</f>
        <v>-577.646</v>
      </c>
      <c r="AI5" s="6">
        <f>IF(ISNA(MATCH(AI$2,Inputs!$K$4:$AJ$4,0)),NA(),IF(SUMPRODUCT((Inputs!$A$5:$A$230=$B5)*ISNUMBER(INDEX(Inputs!$K$5:$AJ$230,0,MATCH(AI$2,Inputs!$K$4:$AJ$4,0))))+SUMPRODUCT((Inputs!$C$5:$C$230=$B5)*ISNUMBER(INDEX(Inputs!$K$5:$AJ$230,0,MATCH(AI$2,Inputs!$K$4:$AJ$4,0))))+SUMPRODUCT((Inputs!$E$5:$E$230=$B5)*ISNUMBER(INDEX(Inputs!$K$5:$AJ$230,0,MATCH(AI$2,Inputs!$K$4:$AJ$4,0))))=0,NA(),SUMPRODUCT((Inputs!$A$5:$A$230=$B5)*Inputs!$B$5:$B$230*(((Inputs!$G$5:$G$230="moeda")+(Inputs!$G$5:$G$230="acoes"))*Inputs!$B$1+((Inputs!$G$5:$G$230&lt;&gt;"moeda")*(Inputs!$G$5:$G$230&lt;&gt;"acoes")))*INDEX(Inputs!$K$5:$AJ$230,0,MATCH(AI$2,Inputs!$K$4:$AJ$4,0)))+SUMPRODUCT((Inputs!$C$5:$C$230=$B5)*Inputs!$D$5:$D$230*(((Inputs!$G$5:$G$230="moeda")+(Inputs!$G$5:$G$230="acoes"))*Inputs!$B$1+((Inputs!$G$5:$G$230&lt;&gt;"moeda")*(Inputs!$G$5:$G$230&lt;&gt;"acoes")))*INDEX(Inputs!$K$5:$AJ$230,0,MATCH(AI$2,Inputs!$K$4:$AJ$4,0)))+SUMPRODUCT((Inputs!$E$5:$E$230=$B5)*Inputs!$F$5:$F$230*(((Inputs!$G$5:$G$230="moeda")+(Inputs!$G$5:$G$230="acoes"))*Inputs!$B$1+((Inputs!$G$5:$G$230&lt;&gt;"moeda")*(Inputs!$G$5:$G$230&lt;&gt;"acoes")))*INDEX(Inputs!$K$5:$AJ$230,0,MATCH(AI$2,Inputs!$K$4:$AJ$4,0)))))</f>
        <v>-576.22</v>
      </c>
      <c r="AJ5" s="6">
        <f>IF(ISNA(MATCH(AJ$2,Inputs!$K$4:$AJ$4,0)),NA(),IF(SUMPRODUCT((Inputs!$A$5:$A$230=$B5)*ISNUMBER(INDEX(Inputs!$K$5:$AJ$230,0,MATCH(AJ$2,Inputs!$K$4:$AJ$4,0))))+SUMPRODUCT((Inputs!$C$5:$C$230=$B5)*ISNUMBER(INDEX(Inputs!$K$5:$AJ$230,0,MATCH(AJ$2,Inputs!$K$4:$AJ$4,0))))+SUMPRODUCT((Inputs!$E$5:$E$230=$B5)*ISNUMBER(INDEX(Inputs!$K$5:$AJ$230,0,MATCH(AJ$2,Inputs!$K$4:$AJ$4,0))))=0,NA(),SUMPRODUCT((Inputs!$A$5:$A$230=$B5)*Inputs!$B$5:$B$230*(((Inputs!$G$5:$G$230="moeda")+(Inputs!$G$5:$G$230="acoes"))*Inputs!$B$1+((Inputs!$G$5:$G$230&lt;&gt;"moeda")*(Inputs!$G$5:$G$230&lt;&gt;"acoes")))*INDEX(Inputs!$K$5:$AJ$230,0,MATCH(AJ$2,Inputs!$K$4:$AJ$4,0)))+SUMPRODUCT((Inputs!$C$5:$C$230=$B5)*Inputs!$D$5:$D$230*(((Inputs!$G$5:$G$230="moeda")+(Inputs!$G$5:$G$230="acoes"))*Inputs!$B$1+((Inputs!$G$5:$G$230&lt;&gt;"moeda")*(Inputs!$G$5:$G$230&lt;&gt;"acoes")))*INDEX(Inputs!$K$5:$AJ$230,0,MATCH(AJ$2,Inputs!$K$4:$AJ$4,0)))+SUMPRODUCT((Inputs!$E$5:$E$230=$B5)*Inputs!$F$5:$F$230*(((Inputs!$G$5:$G$230="moeda")+(Inputs!$G$5:$G$230="acoes"))*Inputs!$B$1+((Inputs!$G$5:$G$230&lt;&gt;"moeda")*(Inputs!$G$5:$G$230&lt;&gt;"acoes")))*INDEX(Inputs!$K$5:$AJ$230,0,MATCH(AJ$2,Inputs!$K$4:$AJ$4,0)))))</f>
        <v>-742.279</v>
      </c>
      <c r="AK5" s="6">
        <f>IF(ISNA(MATCH(AK$2,Inputs!$K$4:$AJ$4,0)),NA(),IF(SUMPRODUCT((Inputs!$A$5:$A$230=$B5)*ISNUMBER(INDEX(Inputs!$K$5:$AJ$230,0,MATCH(AK$2,Inputs!$K$4:$AJ$4,0))))+SUMPRODUCT((Inputs!$C$5:$C$230=$B5)*ISNUMBER(INDEX(Inputs!$K$5:$AJ$230,0,MATCH(AK$2,Inputs!$K$4:$AJ$4,0))))+SUMPRODUCT((Inputs!$E$5:$E$230=$B5)*ISNUMBER(INDEX(Inputs!$K$5:$AJ$230,0,MATCH(AK$2,Inputs!$K$4:$AJ$4,0))))=0,NA(),SUMPRODUCT((Inputs!$A$5:$A$230=$B5)*Inputs!$B$5:$B$230*(((Inputs!$G$5:$G$230="moeda")+(Inputs!$G$5:$G$230="acoes"))*Inputs!$B$1+((Inputs!$G$5:$G$230&lt;&gt;"moeda")*(Inputs!$G$5:$G$230&lt;&gt;"acoes")))*INDEX(Inputs!$K$5:$AJ$230,0,MATCH(AK$2,Inputs!$K$4:$AJ$4,0)))+SUMPRODUCT((Inputs!$C$5:$C$230=$B5)*Inputs!$D$5:$D$230*(((Inputs!$G$5:$G$230="moeda")+(Inputs!$G$5:$G$230="acoes"))*Inputs!$B$1+((Inputs!$G$5:$G$230&lt;&gt;"moeda")*(Inputs!$G$5:$G$230&lt;&gt;"acoes")))*INDEX(Inputs!$K$5:$AJ$230,0,MATCH(AK$2,Inputs!$K$4:$AJ$4,0)))+SUMPRODUCT((Inputs!$E$5:$E$230=$B5)*Inputs!$F$5:$F$230*(((Inputs!$G$5:$G$230="moeda")+(Inputs!$G$5:$G$230="acoes"))*Inputs!$B$1+((Inputs!$G$5:$G$230&lt;&gt;"moeda")*(Inputs!$G$5:$G$230&lt;&gt;"acoes")))*INDEX(Inputs!$K$5:$AJ$230,0,MATCH(AK$2,Inputs!$K$4:$AJ$4,0)))))</f>
        <v>-675.582</v>
      </c>
      <c r="AL5" s="3">
        <f>SUM(AH5:AK5)</f>
        <v>-2571.727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$230=$B6)*ISNUMBER(INDEX(Inputs!$K$5:$AJ$230,0,MATCH(D$2,Inputs!$K$4:$AJ$4,0))))+SUMPRODUCT((Inputs!$C$5:$C$230=$B6)*ISNUMBER(INDEX(Inputs!$K$5:$AJ$230,0,MATCH(D$2,Inputs!$K$4:$AJ$4,0))))+SUMPRODUCT((Inputs!$E$5:$E$230=$B6)*ISNUMBER(INDEX(Inputs!$K$5:$AJ$230,0,MATCH(D$2,Inputs!$K$4:$AJ$4,0))))=0,NA(),SUMPRODUCT((Inputs!$A$5:$A$230=$B6)*Inputs!$B$5:$B$230*(((Inputs!$G$5:$G$230="moeda")+(Inputs!$G$5:$G$230="acoes"))*Inputs!$B$1+((Inputs!$G$5:$G$230&lt;&gt;"moeda")*(Inputs!$G$5:$G$230&lt;&gt;"acoes")))*INDEX(Inputs!$K$5:$AJ$230,0,MATCH(D$2,Inputs!$K$4:$AJ$4,0)))+SUMPRODUCT((Inputs!$C$5:$C$230=$B6)*Inputs!$D$5:$D$230*(((Inputs!$G$5:$G$230="moeda")+(Inputs!$G$5:$G$230="acoes"))*Inputs!$B$1+((Inputs!$G$5:$G$230&lt;&gt;"moeda")*(Inputs!$G$5:$G$230&lt;&gt;"acoes")))*INDEX(Inputs!$K$5:$AJ$230,0,MATCH(D$2,Inputs!$K$4:$AJ$4,0)))+SUMPRODUCT((Inputs!$E$5:$E$230=$B6)*Inputs!$F$5:$F$230*(((Inputs!$G$5:$G$230="moeda")+(Inputs!$G$5:$G$230="acoes"))*Inputs!$B$1+((Inputs!$G$5:$G$230&lt;&gt;"moeda")*(Inputs!$G$5:$G$230&lt;&gt;"acoes")))*INDEX(Inputs!$K$5:$AJ$230,0,MATCH(D$2,Inputs!$K$4:$AJ$4,0)))))</f>
        <v>-23.786</v>
      </c>
      <c r="E6" s="6">
        <f>IF(ISNA(MATCH(E$2,Inputs!$K$4:$AJ$4,0)),NA(),IF(SUMPRODUCT((Inputs!$A$5:$A$230=$B6)*ISNUMBER(INDEX(Inputs!$K$5:$AJ$230,0,MATCH(E$2,Inputs!$K$4:$AJ$4,0))))+SUMPRODUCT((Inputs!$C$5:$C$230=$B6)*ISNUMBER(INDEX(Inputs!$K$5:$AJ$230,0,MATCH(E$2,Inputs!$K$4:$AJ$4,0))))+SUMPRODUCT((Inputs!$E$5:$E$230=$B6)*ISNUMBER(INDEX(Inputs!$K$5:$AJ$230,0,MATCH(E$2,Inputs!$K$4:$AJ$4,0))))=0,NA(),SUMPRODUCT((Inputs!$A$5:$A$230=$B6)*Inputs!$B$5:$B$230*(((Inputs!$G$5:$G$230="moeda")+(Inputs!$G$5:$G$230="acoes"))*Inputs!$B$1+((Inputs!$G$5:$G$230&lt;&gt;"moeda")*(Inputs!$G$5:$G$230&lt;&gt;"acoes")))*INDEX(Inputs!$K$5:$AJ$230,0,MATCH(E$2,Inputs!$K$4:$AJ$4,0)))+SUMPRODUCT((Inputs!$C$5:$C$230=$B6)*Inputs!$D$5:$D$230*(((Inputs!$G$5:$G$230="moeda")+(Inputs!$G$5:$G$230="acoes"))*Inputs!$B$1+((Inputs!$G$5:$G$230&lt;&gt;"moeda")*(Inputs!$G$5:$G$230&lt;&gt;"acoes")))*INDEX(Inputs!$K$5:$AJ$230,0,MATCH(E$2,Inputs!$K$4:$AJ$4,0)))+SUMPRODUCT((Inputs!$E$5:$E$230=$B6)*Inputs!$F$5:$F$230*(((Inputs!$G$5:$G$230="moeda")+(Inputs!$G$5:$G$230="acoes"))*Inputs!$B$1+((Inputs!$G$5:$G$230&lt;&gt;"moeda")*(Inputs!$G$5:$G$230&lt;&gt;"acoes")))*INDEX(Inputs!$K$5:$AJ$230,0,MATCH(E$2,Inputs!$K$4:$AJ$4,0)))))</f>
        <v>-8.006</v>
      </c>
      <c r="F6" s="6">
        <f>IF(ISNA(MATCH(F$2,Inputs!$K$4:$AJ$4,0)),NA(),IF(SUMPRODUCT((Inputs!$A$5:$A$230=$B6)*ISNUMBER(INDEX(Inputs!$K$5:$AJ$230,0,MATCH(F$2,Inputs!$K$4:$AJ$4,0))))+SUMPRODUCT((Inputs!$C$5:$C$230=$B6)*ISNUMBER(INDEX(Inputs!$K$5:$AJ$230,0,MATCH(F$2,Inputs!$K$4:$AJ$4,0))))+SUMPRODUCT((Inputs!$E$5:$E$230=$B6)*ISNUMBER(INDEX(Inputs!$K$5:$AJ$230,0,MATCH(F$2,Inputs!$K$4:$AJ$4,0))))=0,NA(),SUMPRODUCT((Inputs!$A$5:$A$230=$B6)*Inputs!$B$5:$B$230*(((Inputs!$G$5:$G$230="moeda")+(Inputs!$G$5:$G$230="acoes"))*Inputs!$B$1+((Inputs!$G$5:$G$230&lt;&gt;"moeda")*(Inputs!$G$5:$G$230&lt;&gt;"acoes")))*INDEX(Inputs!$K$5:$AJ$230,0,MATCH(F$2,Inputs!$K$4:$AJ$4,0)))+SUMPRODUCT((Inputs!$C$5:$C$230=$B6)*Inputs!$D$5:$D$230*(((Inputs!$G$5:$G$230="moeda")+(Inputs!$G$5:$G$230="acoes"))*Inputs!$B$1+((Inputs!$G$5:$G$230&lt;&gt;"moeda")*(Inputs!$G$5:$G$230&lt;&gt;"acoes")))*INDEX(Inputs!$K$5:$AJ$230,0,MATCH(F$2,Inputs!$K$4:$AJ$4,0)))+SUMPRODUCT((Inputs!$E$5:$E$230=$B6)*Inputs!$F$5:$F$230*(((Inputs!$G$5:$G$230="moeda")+(Inputs!$G$5:$G$230="acoes"))*Inputs!$B$1+((Inputs!$G$5:$G$230&lt;&gt;"moeda")*(Inputs!$G$5:$G$230&lt;&gt;"acoes")))*INDEX(Inputs!$K$5:$AJ$230,0,MATCH(F$2,Inputs!$K$4:$AJ$4,0)))))</f>
        <v>21.031</v>
      </c>
      <c r="G6" s="6">
        <f>IF(ISNA(MATCH(G$2,Inputs!$K$4:$AJ$4,0)),NA(),IF(SUMPRODUCT((Inputs!$A$5:$A$230=$B6)*ISNUMBER(INDEX(Inputs!$K$5:$AJ$230,0,MATCH(G$2,Inputs!$K$4:$AJ$4,0))))+SUMPRODUCT((Inputs!$C$5:$C$230=$B6)*ISNUMBER(INDEX(Inputs!$K$5:$AJ$230,0,MATCH(G$2,Inputs!$K$4:$AJ$4,0))))+SUMPRODUCT((Inputs!$E$5:$E$230=$B6)*ISNUMBER(INDEX(Inputs!$K$5:$AJ$230,0,MATCH(G$2,Inputs!$K$4:$AJ$4,0))))=0,NA(),SUMPRODUCT((Inputs!$A$5:$A$230=$B6)*Inputs!$B$5:$B$230*(((Inputs!$G$5:$G$230="moeda")+(Inputs!$G$5:$G$230="acoes"))*Inputs!$B$1+((Inputs!$G$5:$G$230&lt;&gt;"moeda")*(Inputs!$G$5:$G$230&lt;&gt;"acoes")))*INDEX(Inputs!$K$5:$AJ$230,0,MATCH(G$2,Inputs!$K$4:$AJ$4,0)))+SUMPRODUCT((Inputs!$C$5:$C$230=$B6)*Inputs!$D$5:$D$230*(((Inputs!$G$5:$G$230="moeda")+(Inputs!$G$5:$G$230="acoes"))*Inputs!$B$1+((Inputs!$G$5:$G$230&lt;&gt;"moeda")*(Inputs!$G$5:$G$230&lt;&gt;"acoes")))*INDEX(Inputs!$K$5:$AJ$230,0,MATCH(G$2,Inputs!$K$4:$AJ$4,0)))+SUMPRODUCT((Inputs!$E$5:$E$230=$B6)*Inputs!$F$5:$F$230*(((Inputs!$G$5:$G$230="moeda")+(Inputs!$G$5:$G$230="acoes"))*Inputs!$B$1+((Inputs!$G$5:$G$230&lt;&gt;"moeda")*(Inputs!$G$5:$G$230&lt;&gt;"acoes")))*INDEX(Inputs!$K$5:$AJ$230,0,MATCH(G$2,Inputs!$K$4:$AJ$4,0)))))</f>
        <v>-43.997</v>
      </c>
      <c r="H6" s="3">
        <f>SUM(D6:G6)</f>
        <v>-54.758</v>
      </c>
      <c r="I6" s="6">
        <f>IF(ISNA(MATCH(I$2,Inputs!$K$4:$AJ$4,0)),NA(),IF(SUMPRODUCT((Inputs!$A$5:$A$230=$B6)*ISNUMBER(INDEX(Inputs!$K$5:$AJ$230,0,MATCH(I$2,Inputs!$K$4:$AJ$4,0))))+SUMPRODUCT((Inputs!$C$5:$C$230=$B6)*ISNUMBER(INDEX(Inputs!$K$5:$AJ$230,0,MATCH(I$2,Inputs!$K$4:$AJ$4,0))))+SUMPRODUCT((Inputs!$E$5:$E$230=$B6)*ISNUMBER(INDEX(Inputs!$K$5:$AJ$230,0,MATCH(I$2,Inputs!$K$4:$AJ$4,0))))=0,NA(),SUMPRODUCT((Inputs!$A$5:$A$230=$B6)*Inputs!$B$5:$B$230*(((Inputs!$G$5:$G$230="moeda")+(Inputs!$G$5:$G$230="acoes"))*Inputs!$B$1+((Inputs!$G$5:$G$230&lt;&gt;"moeda")*(Inputs!$G$5:$G$230&lt;&gt;"acoes")))*INDEX(Inputs!$K$5:$AJ$230,0,MATCH(I$2,Inputs!$K$4:$AJ$4,0)))+SUMPRODUCT((Inputs!$C$5:$C$230=$B6)*Inputs!$D$5:$D$230*(((Inputs!$G$5:$G$230="moeda")+(Inputs!$G$5:$G$230="acoes"))*Inputs!$B$1+((Inputs!$G$5:$G$230&lt;&gt;"moeda")*(Inputs!$G$5:$G$230&lt;&gt;"acoes")))*INDEX(Inputs!$K$5:$AJ$230,0,MATCH(I$2,Inputs!$K$4:$AJ$4,0)))+SUMPRODUCT((Inputs!$E$5:$E$230=$B6)*Inputs!$F$5:$F$230*(((Inputs!$G$5:$G$230="moeda")+(Inputs!$G$5:$G$230="acoes"))*Inputs!$B$1+((Inputs!$G$5:$G$230&lt;&gt;"moeda")*(Inputs!$G$5:$G$230&lt;&gt;"acoes")))*INDEX(Inputs!$K$5:$AJ$230,0,MATCH(I$2,Inputs!$K$4:$AJ$4,0)))))</f>
        <v>-14.074</v>
      </c>
      <c r="J6" s="6">
        <f>IF(ISNA(MATCH(J$2,Inputs!$K$4:$AJ$4,0)),NA(),IF(SUMPRODUCT((Inputs!$A$5:$A$230=$B6)*ISNUMBER(INDEX(Inputs!$K$5:$AJ$230,0,MATCH(J$2,Inputs!$K$4:$AJ$4,0))))+SUMPRODUCT((Inputs!$C$5:$C$230=$B6)*ISNUMBER(INDEX(Inputs!$K$5:$AJ$230,0,MATCH(J$2,Inputs!$K$4:$AJ$4,0))))+SUMPRODUCT((Inputs!$E$5:$E$230=$B6)*ISNUMBER(INDEX(Inputs!$K$5:$AJ$230,0,MATCH(J$2,Inputs!$K$4:$AJ$4,0))))=0,NA(),SUMPRODUCT((Inputs!$A$5:$A$230=$B6)*Inputs!$B$5:$B$230*(((Inputs!$G$5:$G$230="moeda")+(Inputs!$G$5:$G$230="acoes"))*Inputs!$B$1+((Inputs!$G$5:$G$230&lt;&gt;"moeda")*(Inputs!$G$5:$G$230&lt;&gt;"acoes")))*INDEX(Inputs!$K$5:$AJ$230,0,MATCH(J$2,Inputs!$K$4:$AJ$4,0)))+SUMPRODUCT((Inputs!$C$5:$C$230=$B6)*Inputs!$D$5:$D$230*(((Inputs!$G$5:$G$230="moeda")+(Inputs!$G$5:$G$230="acoes"))*Inputs!$B$1+((Inputs!$G$5:$G$230&lt;&gt;"moeda")*(Inputs!$G$5:$G$230&lt;&gt;"acoes")))*INDEX(Inputs!$K$5:$AJ$230,0,MATCH(J$2,Inputs!$K$4:$AJ$4,0)))+SUMPRODUCT((Inputs!$E$5:$E$230=$B6)*Inputs!$F$5:$F$230*(((Inputs!$G$5:$G$230="moeda")+(Inputs!$G$5:$G$230="acoes"))*Inputs!$B$1+((Inputs!$G$5:$G$230&lt;&gt;"moeda")*(Inputs!$G$5:$G$230&lt;&gt;"acoes")))*INDEX(Inputs!$K$5:$AJ$230,0,MATCH(J$2,Inputs!$K$4:$AJ$4,0)))))</f>
        <v>-174.015</v>
      </c>
      <c r="K6" s="6">
        <f>IF(ISNA(MATCH(K$2,Inputs!$K$4:$AJ$4,0)),NA(),IF(SUMPRODUCT((Inputs!$A$5:$A$230=$B6)*ISNUMBER(INDEX(Inputs!$K$5:$AJ$230,0,MATCH(K$2,Inputs!$K$4:$AJ$4,0))))+SUMPRODUCT((Inputs!$C$5:$C$230=$B6)*ISNUMBER(INDEX(Inputs!$K$5:$AJ$230,0,MATCH(K$2,Inputs!$K$4:$AJ$4,0))))+SUMPRODUCT((Inputs!$E$5:$E$230=$B6)*ISNUMBER(INDEX(Inputs!$K$5:$AJ$230,0,MATCH(K$2,Inputs!$K$4:$AJ$4,0))))=0,NA(),SUMPRODUCT((Inputs!$A$5:$A$230=$B6)*Inputs!$B$5:$B$230*(((Inputs!$G$5:$G$230="moeda")+(Inputs!$G$5:$G$230="acoes"))*Inputs!$B$1+((Inputs!$G$5:$G$230&lt;&gt;"moeda")*(Inputs!$G$5:$G$230&lt;&gt;"acoes")))*INDEX(Inputs!$K$5:$AJ$230,0,MATCH(K$2,Inputs!$K$4:$AJ$4,0)))+SUMPRODUCT((Inputs!$C$5:$C$230=$B6)*Inputs!$D$5:$D$230*(((Inputs!$G$5:$G$230="moeda")+(Inputs!$G$5:$G$230="acoes"))*Inputs!$B$1+((Inputs!$G$5:$G$230&lt;&gt;"moeda")*(Inputs!$G$5:$G$230&lt;&gt;"acoes")))*INDEX(Inputs!$K$5:$AJ$230,0,MATCH(K$2,Inputs!$K$4:$AJ$4,0)))+SUMPRODUCT((Inputs!$E$5:$E$230=$B6)*Inputs!$F$5:$F$230*(((Inputs!$G$5:$G$230="moeda")+(Inputs!$G$5:$G$230="acoes"))*Inputs!$B$1+((Inputs!$G$5:$G$230&lt;&gt;"moeda")*(Inputs!$G$5:$G$230&lt;&gt;"acoes")))*INDEX(Inputs!$K$5:$AJ$230,0,MATCH(K$2,Inputs!$K$4:$AJ$4,0)))))</f>
        <v>-36.025</v>
      </c>
      <c r="L6" s="6">
        <f>IF(ISNA(MATCH(L$2,Inputs!$K$4:$AJ$4,0)),NA(),IF(SUMPRODUCT((Inputs!$A$5:$A$230=$B6)*ISNUMBER(INDEX(Inputs!$K$5:$AJ$230,0,MATCH(L$2,Inputs!$K$4:$AJ$4,0))))+SUMPRODUCT((Inputs!$C$5:$C$230=$B6)*ISNUMBER(INDEX(Inputs!$K$5:$AJ$230,0,MATCH(L$2,Inputs!$K$4:$AJ$4,0))))+SUMPRODUCT((Inputs!$E$5:$E$230=$B6)*ISNUMBER(INDEX(Inputs!$K$5:$AJ$230,0,MATCH(L$2,Inputs!$K$4:$AJ$4,0))))=0,NA(),SUMPRODUCT((Inputs!$A$5:$A$230=$B6)*Inputs!$B$5:$B$230*(((Inputs!$G$5:$G$230="moeda")+(Inputs!$G$5:$G$230="acoes"))*Inputs!$B$1+((Inputs!$G$5:$G$230&lt;&gt;"moeda")*(Inputs!$G$5:$G$230&lt;&gt;"acoes")))*INDEX(Inputs!$K$5:$AJ$230,0,MATCH(L$2,Inputs!$K$4:$AJ$4,0)))+SUMPRODUCT((Inputs!$C$5:$C$230=$B6)*Inputs!$D$5:$D$230*(((Inputs!$G$5:$G$230="moeda")+(Inputs!$G$5:$G$230="acoes"))*Inputs!$B$1+((Inputs!$G$5:$G$230&lt;&gt;"moeda")*(Inputs!$G$5:$G$230&lt;&gt;"acoes")))*INDEX(Inputs!$K$5:$AJ$230,0,MATCH(L$2,Inputs!$K$4:$AJ$4,0)))+SUMPRODUCT((Inputs!$E$5:$E$230=$B6)*Inputs!$F$5:$F$230*(((Inputs!$G$5:$G$230="moeda")+(Inputs!$G$5:$G$230="acoes"))*Inputs!$B$1+((Inputs!$G$5:$G$230&lt;&gt;"moeda")*(Inputs!$G$5:$G$230&lt;&gt;"acoes")))*INDEX(Inputs!$K$5:$AJ$230,0,MATCH(L$2,Inputs!$K$4:$AJ$4,0)))))</f>
        <v>-49.11</v>
      </c>
      <c r="M6" s="3">
        <f>SUM(I6:L6)</f>
        <v>-273.224</v>
      </c>
      <c r="N6" s="6">
        <f>IF(ISNA(MATCH(N$2,Inputs!$K$4:$AJ$4,0)),NA(),IF(SUMPRODUCT((Inputs!$A$5:$A$230=$B6)*ISNUMBER(INDEX(Inputs!$K$5:$AJ$230,0,MATCH(N$2,Inputs!$K$4:$AJ$4,0))))+SUMPRODUCT((Inputs!$C$5:$C$230=$B6)*ISNUMBER(INDEX(Inputs!$K$5:$AJ$230,0,MATCH(N$2,Inputs!$K$4:$AJ$4,0))))+SUMPRODUCT((Inputs!$E$5:$E$230=$B6)*ISNUMBER(INDEX(Inputs!$K$5:$AJ$230,0,MATCH(N$2,Inputs!$K$4:$AJ$4,0))))=0,NA(),SUMPRODUCT((Inputs!$A$5:$A$230=$B6)*Inputs!$B$5:$B$230*(((Inputs!$G$5:$G$230="moeda")+(Inputs!$G$5:$G$230="acoes"))*Inputs!$B$1+((Inputs!$G$5:$G$230&lt;&gt;"moeda")*(Inputs!$G$5:$G$230&lt;&gt;"acoes")))*INDEX(Inputs!$K$5:$AJ$230,0,MATCH(N$2,Inputs!$K$4:$AJ$4,0)))+SUMPRODUCT((Inputs!$C$5:$C$230=$B6)*Inputs!$D$5:$D$230*(((Inputs!$G$5:$G$230="moeda")+(Inputs!$G$5:$G$230="acoes"))*Inputs!$B$1+((Inputs!$G$5:$G$230&lt;&gt;"moeda")*(Inputs!$G$5:$G$230&lt;&gt;"acoes")))*INDEX(Inputs!$K$5:$AJ$230,0,MATCH(N$2,Inputs!$K$4:$AJ$4,0)))+SUMPRODUCT((Inputs!$E$5:$E$230=$B6)*Inputs!$F$5:$F$230*(((Inputs!$G$5:$G$230="moeda")+(Inputs!$G$5:$G$230="acoes"))*Inputs!$B$1+((Inputs!$G$5:$G$230&lt;&gt;"moeda")*(Inputs!$G$5:$G$230&lt;&gt;"acoes")))*INDEX(Inputs!$K$5:$AJ$230,0,MATCH(N$2,Inputs!$K$4:$AJ$4,0)))))</f>
        <v>-31.578</v>
      </c>
      <c r="O6" s="6">
        <f>IF(ISNA(MATCH(O$2,Inputs!$K$4:$AJ$4,0)),NA(),IF(SUMPRODUCT((Inputs!$A$5:$A$230=$B6)*ISNUMBER(INDEX(Inputs!$K$5:$AJ$230,0,MATCH(O$2,Inputs!$K$4:$AJ$4,0))))+SUMPRODUCT((Inputs!$C$5:$C$230=$B6)*ISNUMBER(INDEX(Inputs!$K$5:$AJ$230,0,MATCH(O$2,Inputs!$K$4:$AJ$4,0))))+SUMPRODUCT((Inputs!$E$5:$E$230=$B6)*ISNUMBER(INDEX(Inputs!$K$5:$AJ$230,0,MATCH(O$2,Inputs!$K$4:$AJ$4,0))))=0,NA(),SUMPRODUCT((Inputs!$A$5:$A$230=$B6)*Inputs!$B$5:$B$230*(((Inputs!$G$5:$G$230="moeda")+(Inputs!$G$5:$G$230="acoes"))*Inputs!$B$1+((Inputs!$G$5:$G$230&lt;&gt;"moeda")*(Inputs!$G$5:$G$230&lt;&gt;"acoes")))*INDEX(Inputs!$K$5:$AJ$230,0,MATCH(O$2,Inputs!$K$4:$AJ$4,0)))+SUMPRODUCT((Inputs!$C$5:$C$230=$B6)*Inputs!$D$5:$D$230*(((Inputs!$G$5:$G$230="moeda")+(Inputs!$G$5:$G$230="acoes"))*Inputs!$B$1+((Inputs!$G$5:$G$230&lt;&gt;"moeda")*(Inputs!$G$5:$G$230&lt;&gt;"acoes")))*INDEX(Inputs!$K$5:$AJ$230,0,MATCH(O$2,Inputs!$K$4:$AJ$4,0)))+SUMPRODUCT((Inputs!$E$5:$E$230=$B6)*Inputs!$F$5:$F$230*(((Inputs!$G$5:$G$230="moeda")+(Inputs!$G$5:$G$230="acoes"))*Inputs!$B$1+((Inputs!$G$5:$G$230&lt;&gt;"moeda")*(Inputs!$G$5:$G$230&lt;&gt;"acoes")))*INDEX(Inputs!$K$5:$AJ$230,0,MATCH(O$2,Inputs!$K$4:$AJ$4,0)))))</f>
        <v>-27.46</v>
      </c>
      <c r="P6" s="6">
        <f>IF(ISNA(MATCH(P$2,Inputs!$K$4:$AJ$4,0)),NA(),IF(SUMPRODUCT((Inputs!$A$5:$A$230=$B6)*ISNUMBER(INDEX(Inputs!$K$5:$AJ$230,0,MATCH(P$2,Inputs!$K$4:$AJ$4,0))))+SUMPRODUCT((Inputs!$C$5:$C$230=$B6)*ISNUMBER(INDEX(Inputs!$K$5:$AJ$230,0,MATCH(P$2,Inputs!$K$4:$AJ$4,0))))+SUMPRODUCT((Inputs!$E$5:$E$230=$B6)*ISNUMBER(INDEX(Inputs!$K$5:$AJ$230,0,MATCH(P$2,Inputs!$K$4:$AJ$4,0))))=0,NA(),SUMPRODUCT((Inputs!$A$5:$A$230=$B6)*Inputs!$B$5:$B$230*(((Inputs!$G$5:$G$230="moeda")+(Inputs!$G$5:$G$230="acoes"))*Inputs!$B$1+((Inputs!$G$5:$G$230&lt;&gt;"moeda")*(Inputs!$G$5:$G$230&lt;&gt;"acoes")))*INDEX(Inputs!$K$5:$AJ$230,0,MATCH(P$2,Inputs!$K$4:$AJ$4,0)))+SUMPRODUCT((Inputs!$C$5:$C$230=$B6)*Inputs!$D$5:$D$230*(((Inputs!$G$5:$G$230="moeda")+(Inputs!$G$5:$G$230="acoes"))*Inputs!$B$1+((Inputs!$G$5:$G$230&lt;&gt;"moeda")*(Inputs!$G$5:$G$230&lt;&gt;"acoes")))*INDEX(Inputs!$K$5:$AJ$230,0,MATCH(P$2,Inputs!$K$4:$AJ$4,0)))+SUMPRODUCT((Inputs!$E$5:$E$230=$B6)*Inputs!$F$5:$F$230*(((Inputs!$G$5:$G$230="moeda")+(Inputs!$G$5:$G$230="acoes"))*Inputs!$B$1+((Inputs!$G$5:$G$230&lt;&gt;"moeda")*(Inputs!$G$5:$G$230&lt;&gt;"acoes")))*INDEX(Inputs!$K$5:$AJ$230,0,MATCH(P$2,Inputs!$K$4:$AJ$4,0)))))</f>
        <v>-38.389</v>
      </c>
      <c r="Q6" s="6">
        <f>IF(ISNA(MATCH(Q$2,Inputs!$K$4:$AJ$4,0)),NA(),IF(SUMPRODUCT((Inputs!$A$5:$A$230=$B6)*ISNUMBER(INDEX(Inputs!$K$5:$AJ$230,0,MATCH(Q$2,Inputs!$K$4:$AJ$4,0))))+SUMPRODUCT((Inputs!$C$5:$C$230=$B6)*ISNUMBER(INDEX(Inputs!$K$5:$AJ$230,0,MATCH(Q$2,Inputs!$K$4:$AJ$4,0))))+SUMPRODUCT((Inputs!$E$5:$E$230=$B6)*ISNUMBER(INDEX(Inputs!$K$5:$AJ$230,0,MATCH(Q$2,Inputs!$K$4:$AJ$4,0))))=0,NA(),SUMPRODUCT((Inputs!$A$5:$A$230=$B6)*Inputs!$B$5:$B$230*(((Inputs!$G$5:$G$230="moeda")+(Inputs!$G$5:$G$230="acoes"))*Inputs!$B$1+((Inputs!$G$5:$G$230&lt;&gt;"moeda")*(Inputs!$G$5:$G$230&lt;&gt;"acoes")))*INDEX(Inputs!$K$5:$AJ$230,0,MATCH(Q$2,Inputs!$K$4:$AJ$4,0)))+SUMPRODUCT((Inputs!$C$5:$C$230=$B6)*Inputs!$D$5:$D$230*(((Inputs!$G$5:$G$230="moeda")+(Inputs!$G$5:$G$230="acoes"))*Inputs!$B$1+((Inputs!$G$5:$G$230&lt;&gt;"moeda")*(Inputs!$G$5:$G$230&lt;&gt;"acoes")))*INDEX(Inputs!$K$5:$AJ$230,0,MATCH(Q$2,Inputs!$K$4:$AJ$4,0)))+SUMPRODUCT((Inputs!$E$5:$E$230=$B6)*Inputs!$F$5:$F$230*(((Inputs!$G$5:$G$230="moeda")+(Inputs!$G$5:$G$230="acoes"))*Inputs!$B$1+((Inputs!$G$5:$G$230&lt;&gt;"moeda")*(Inputs!$G$5:$G$230&lt;&gt;"acoes")))*INDEX(Inputs!$K$5:$AJ$230,0,MATCH(Q$2,Inputs!$K$4:$AJ$4,0)))))</f>
        <v>-93.626</v>
      </c>
      <c r="R6" s="3">
        <f>SUM(N6:Q6)</f>
        <v>-191.053</v>
      </c>
      <c r="S6" s="6">
        <f>IF(ISNA(MATCH(S$2,Inputs!$K$4:$AJ$4,0)),NA(),IF(SUMPRODUCT((Inputs!$A$5:$A$230=$B6)*ISNUMBER(INDEX(Inputs!$K$5:$AJ$230,0,MATCH(S$2,Inputs!$K$4:$AJ$4,0))))+SUMPRODUCT((Inputs!$C$5:$C$230=$B6)*ISNUMBER(INDEX(Inputs!$K$5:$AJ$230,0,MATCH(S$2,Inputs!$K$4:$AJ$4,0))))+SUMPRODUCT((Inputs!$E$5:$E$230=$B6)*ISNUMBER(INDEX(Inputs!$K$5:$AJ$230,0,MATCH(S$2,Inputs!$K$4:$AJ$4,0))))=0,NA(),SUMPRODUCT((Inputs!$A$5:$A$230=$B6)*Inputs!$B$5:$B$230*(((Inputs!$G$5:$G$230="moeda")+(Inputs!$G$5:$G$230="acoes"))*Inputs!$B$1+((Inputs!$G$5:$G$230&lt;&gt;"moeda")*(Inputs!$G$5:$G$230&lt;&gt;"acoes")))*INDEX(Inputs!$K$5:$AJ$230,0,MATCH(S$2,Inputs!$K$4:$AJ$4,0)))+SUMPRODUCT((Inputs!$C$5:$C$230=$B6)*Inputs!$D$5:$D$230*(((Inputs!$G$5:$G$230="moeda")+(Inputs!$G$5:$G$230="acoes"))*Inputs!$B$1+((Inputs!$G$5:$G$230&lt;&gt;"moeda")*(Inputs!$G$5:$G$230&lt;&gt;"acoes")))*INDEX(Inputs!$K$5:$AJ$230,0,MATCH(S$2,Inputs!$K$4:$AJ$4,0)))+SUMPRODUCT((Inputs!$E$5:$E$230=$B6)*Inputs!$F$5:$F$230*(((Inputs!$G$5:$G$230="moeda")+(Inputs!$G$5:$G$230="acoes"))*Inputs!$B$1+((Inputs!$G$5:$G$230&lt;&gt;"moeda")*(Inputs!$G$5:$G$230&lt;&gt;"acoes")))*INDEX(Inputs!$K$5:$AJ$230,0,MATCH(S$2,Inputs!$K$4:$AJ$4,0)))))</f>
        <v>-32.73</v>
      </c>
      <c r="T6" s="6">
        <f>IF(ISNA(MATCH(T$2,Inputs!$K$4:$AJ$4,0)),NA(),IF(SUMPRODUCT((Inputs!$A$5:$A$230=$B6)*ISNUMBER(INDEX(Inputs!$K$5:$AJ$230,0,MATCH(T$2,Inputs!$K$4:$AJ$4,0))))+SUMPRODUCT((Inputs!$C$5:$C$230=$B6)*ISNUMBER(INDEX(Inputs!$K$5:$AJ$230,0,MATCH(T$2,Inputs!$K$4:$AJ$4,0))))+SUMPRODUCT((Inputs!$E$5:$E$230=$B6)*ISNUMBER(INDEX(Inputs!$K$5:$AJ$230,0,MATCH(T$2,Inputs!$K$4:$AJ$4,0))))=0,NA(),SUMPRODUCT((Inputs!$A$5:$A$230=$B6)*Inputs!$B$5:$B$230*(((Inputs!$G$5:$G$230="moeda")+(Inputs!$G$5:$G$230="acoes"))*Inputs!$B$1+((Inputs!$G$5:$G$230&lt;&gt;"moeda")*(Inputs!$G$5:$G$230&lt;&gt;"acoes")))*INDEX(Inputs!$K$5:$AJ$230,0,MATCH(T$2,Inputs!$K$4:$AJ$4,0)))+SUMPRODUCT((Inputs!$C$5:$C$230=$B6)*Inputs!$D$5:$D$230*(((Inputs!$G$5:$G$230="moeda")+(Inputs!$G$5:$G$230="acoes"))*Inputs!$B$1+((Inputs!$G$5:$G$230&lt;&gt;"moeda")*(Inputs!$G$5:$G$230&lt;&gt;"acoes")))*INDEX(Inputs!$K$5:$AJ$230,0,MATCH(T$2,Inputs!$K$4:$AJ$4,0)))+SUMPRODUCT((Inputs!$E$5:$E$230=$B6)*Inputs!$F$5:$F$230*(((Inputs!$G$5:$G$230="moeda")+(Inputs!$G$5:$G$230="acoes"))*Inputs!$B$1+((Inputs!$G$5:$G$230&lt;&gt;"moeda")*(Inputs!$G$5:$G$230&lt;&gt;"acoes")))*INDEX(Inputs!$K$5:$AJ$230,0,MATCH(T$2,Inputs!$K$4:$AJ$4,0)))))</f>
        <v>-18.387</v>
      </c>
      <c r="U6" s="6">
        <f>IF(ISNA(MATCH(U$2,Inputs!$K$4:$AJ$4,0)),NA(),IF(SUMPRODUCT((Inputs!$A$5:$A$230=$B6)*ISNUMBER(INDEX(Inputs!$K$5:$AJ$230,0,MATCH(U$2,Inputs!$K$4:$AJ$4,0))))+SUMPRODUCT((Inputs!$C$5:$C$230=$B6)*ISNUMBER(INDEX(Inputs!$K$5:$AJ$230,0,MATCH(U$2,Inputs!$K$4:$AJ$4,0))))+SUMPRODUCT((Inputs!$E$5:$E$230=$B6)*ISNUMBER(INDEX(Inputs!$K$5:$AJ$230,0,MATCH(U$2,Inputs!$K$4:$AJ$4,0))))=0,NA(),SUMPRODUCT((Inputs!$A$5:$A$230=$B6)*Inputs!$B$5:$B$230*(((Inputs!$G$5:$G$230="moeda")+(Inputs!$G$5:$G$230="acoes"))*Inputs!$B$1+((Inputs!$G$5:$G$230&lt;&gt;"moeda")*(Inputs!$G$5:$G$230&lt;&gt;"acoes")))*INDEX(Inputs!$K$5:$AJ$230,0,MATCH(U$2,Inputs!$K$4:$AJ$4,0)))+SUMPRODUCT((Inputs!$C$5:$C$230=$B6)*Inputs!$D$5:$D$230*(((Inputs!$G$5:$G$230="moeda")+(Inputs!$G$5:$G$230="acoes"))*Inputs!$B$1+((Inputs!$G$5:$G$230&lt;&gt;"moeda")*(Inputs!$G$5:$G$230&lt;&gt;"acoes")))*INDEX(Inputs!$K$5:$AJ$230,0,MATCH(U$2,Inputs!$K$4:$AJ$4,0)))+SUMPRODUCT((Inputs!$E$5:$E$230=$B6)*Inputs!$F$5:$F$230*(((Inputs!$G$5:$G$230="moeda")+(Inputs!$G$5:$G$230="acoes"))*Inputs!$B$1+((Inputs!$G$5:$G$230&lt;&gt;"moeda")*(Inputs!$G$5:$G$230&lt;&gt;"acoes")))*INDEX(Inputs!$K$5:$AJ$230,0,MATCH(U$2,Inputs!$K$4:$AJ$4,0)))))</f>
        <v>-37.227</v>
      </c>
      <c r="V6" s="6">
        <f>IF(ISNA(MATCH(V$2,Inputs!$K$4:$AJ$4,0)),NA(),IF(SUMPRODUCT((Inputs!$A$5:$A$230=$B6)*ISNUMBER(INDEX(Inputs!$K$5:$AJ$230,0,MATCH(V$2,Inputs!$K$4:$AJ$4,0))))+SUMPRODUCT((Inputs!$C$5:$C$230=$B6)*ISNUMBER(INDEX(Inputs!$K$5:$AJ$230,0,MATCH(V$2,Inputs!$K$4:$AJ$4,0))))+SUMPRODUCT((Inputs!$E$5:$E$230=$B6)*ISNUMBER(INDEX(Inputs!$K$5:$AJ$230,0,MATCH(V$2,Inputs!$K$4:$AJ$4,0))))=0,NA(),SUMPRODUCT((Inputs!$A$5:$A$230=$B6)*Inputs!$B$5:$B$230*(((Inputs!$G$5:$G$230="moeda")+(Inputs!$G$5:$G$230="acoes"))*Inputs!$B$1+((Inputs!$G$5:$G$230&lt;&gt;"moeda")*(Inputs!$G$5:$G$230&lt;&gt;"acoes")))*INDEX(Inputs!$K$5:$AJ$230,0,MATCH(V$2,Inputs!$K$4:$AJ$4,0)))+SUMPRODUCT((Inputs!$C$5:$C$230=$B6)*Inputs!$D$5:$D$230*(((Inputs!$G$5:$G$230="moeda")+(Inputs!$G$5:$G$230="acoes"))*Inputs!$B$1+((Inputs!$G$5:$G$230&lt;&gt;"moeda")*(Inputs!$G$5:$G$230&lt;&gt;"acoes")))*INDEX(Inputs!$K$5:$AJ$230,0,MATCH(V$2,Inputs!$K$4:$AJ$4,0)))+SUMPRODUCT((Inputs!$E$5:$E$230=$B6)*Inputs!$F$5:$F$230*(((Inputs!$G$5:$G$230="moeda")+(Inputs!$G$5:$G$230="acoes"))*Inputs!$B$1+((Inputs!$G$5:$G$230&lt;&gt;"moeda")*(Inputs!$G$5:$G$230&lt;&gt;"acoes")))*INDEX(Inputs!$K$5:$AJ$230,0,MATCH(V$2,Inputs!$K$4:$AJ$4,0)))))</f>
        <v>-69.055</v>
      </c>
      <c r="W6" s="3">
        <f>SUM(S6:V6)</f>
        <v>-157.399</v>
      </c>
      <c r="X6" s="6">
        <f>IF(ISNA(MATCH(X$2,Inputs!$K$4:$AJ$4,0)),NA(),IF(SUMPRODUCT((Inputs!$A$5:$A$230=$B6)*ISNUMBER(INDEX(Inputs!$K$5:$AJ$230,0,MATCH(X$2,Inputs!$K$4:$AJ$4,0))))+SUMPRODUCT((Inputs!$C$5:$C$230=$B6)*ISNUMBER(INDEX(Inputs!$K$5:$AJ$230,0,MATCH(X$2,Inputs!$K$4:$AJ$4,0))))+SUMPRODUCT((Inputs!$E$5:$E$230=$B6)*ISNUMBER(INDEX(Inputs!$K$5:$AJ$230,0,MATCH(X$2,Inputs!$K$4:$AJ$4,0))))=0,NA(),SUMPRODUCT((Inputs!$A$5:$A$230=$B6)*Inputs!$B$5:$B$230*(((Inputs!$G$5:$G$230="moeda")+(Inputs!$G$5:$G$230="acoes"))*Inputs!$B$1+((Inputs!$G$5:$G$230&lt;&gt;"moeda")*(Inputs!$G$5:$G$230&lt;&gt;"acoes")))*INDEX(Inputs!$K$5:$AJ$230,0,MATCH(X$2,Inputs!$K$4:$AJ$4,0)))+SUMPRODUCT((Inputs!$C$5:$C$230=$B6)*Inputs!$D$5:$D$230*(((Inputs!$G$5:$G$230="moeda")+(Inputs!$G$5:$G$230="acoes"))*Inputs!$B$1+((Inputs!$G$5:$G$230&lt;&gt;"moeda")*(Inputs!$G$5:$G$230&lt;&gt;"acoes")))*INDEX(Inputs!$K$5:$AJ$230,0,MATCH(X$2,Inputs!$K$4:$AJ$4,0)))+SUMPRODUCT((Inputs!$E$5:$E$230=$B6)*Inputs!$F$5:$F$230*(((Inputs!$G$5:$G$230="moeda")+(Inputs!$G$5:$G$230="acoes"))*Inputs!$B$1+((Inputs!$G$5:$G$230&lt;&gt;"moeda")*(Inputs!$G$5:$G$230&lt;&gt;"acoes")))*INDEX(Inputs!$K$5:$AJ$230,0,MATCH(X$2,Inputs!$K$4:$AJ$4,0)))))</f>
        <v>-45.543</v>
      </c>
      <c r="Y6" s="6">
        <f>IF(ISNA(MATCH(Y$2,Inputs!$K$4:$AJ$4,0)),NA(),IF(SUMPRODUCT((Inputs!$A$5:$A$230=$B6)*ISNUMBER(INDEX(Inputs!$K$5:$AJ$230,0,MATCH(Y$2,Inputs!$K$4:$AJ$4,0))))+SUMPRODUCT((Inputs!$C$5:$C$230=$B6)*ISNUMBER(INDEX(Inputs!$K$5:$AJ$230,0,MATCH(Y$2,Inputs!$K$4:$AJ$4,0))))+SUMPRODUCT((Inputs!$E$5:$E$230=$B6)*ISNUMBER(INDEX(Inputs!$K$5:$AJ$230,0,MATCH(Y$2,Inputs!$K$4:$AJ$4,0))))=0,NA(),SUMPRODUCT((Inputs!$A$5:$A$230=$B6)*Inputs!$B$5:$B$230*(((Inputs!$G$5:$G$230="moeda")+(Inputs!$G$5:$G$230="acoes"))*Inputs!$B$1+((Inputs!$G$5:$G$230&lt;&gt;"moeda")*(Inputs!$G$5:$G$230&lt;&gt;"acoes")))*INDEX(Inputs!$K$5:$AJ$230,0,MATCH(Y$2,Inputs!$K$4:$AJ$4,0)))+SUMPRODUCT((Inputs!$C$5:$C$230=$B6)*Inputs!$D$5:$D$230*(((Inputs!$G$5:$G$230="moeda")+(Inputs!$G$5:$G$230="acoes"))*Inputs!$B$1+((Inputs!$G$5:$G$230&lt;&gt;"moeda")*(Inputs!$G$5:$G$230&lt;&gt;"acoes")))*INDEX(Inputs!$K$5:$AJ$230,0,MATCH(Y$2,Inputs!$K$4:$AJ$4,0)))+SUMPRODUCT((Inputs!$E$5:$E$230=$B6)*Inputs!$F$5:$F$230*(((Inputs!$G$5:$G$230="moeda")+(Inputs!$G$5:$G$230="acoes"))*Inputs!$B$1+((Inputs!$G$5:$G$230&lt;&gt;"moeda")*(Inputs!$G$5:$G$230&lt;&gt;"acoes")))*INDEX(Inputs!$K$5:$AJ$230,0,MATCH(Y$2,Inputs!$K$4:$AJ$4,0)))))</f>
        <v>-84.158</v>
      </c>
      <c r="Z6" s="6">
        <f>IF(ISNA(MATCH(Z$2,Inputs!$K$4:$AJ$4,0)),NA(),IF(SUMPRODUCT((Inputs!$A$5:$A$230=$B6)*ISNUMBER(INDEX(Inputs!$K$5:$AJ$230,0,MATCH(Z$2,Inputs!$K$4:$AJ$4,0))))+SUMPRODUCT((Inputs!$C$5:$C$230=$B6)*ISNUMBER(INDEX(Inputs!$K$5:$AJ$230,0,MATCH(Z$2,Inputs!$K$4:$AJ$4,0))))+SUMPRODUCT((Inputs!$E$5:$E$230=$B6)*ISNUMBER(INDEX(Inputs!$K$5:$AJ$230,0,MATCH(Z$2,Inputs!$K$4:$AJ$4,0))))=0,NA(),SUMPRODUCT((Inputs!$A$5:$A$230=$B6)*Inputs!$B$5:$B$230*(((Inputs!$G$5:$G$230="moeda")+(Inputs!$G$5:$G$230="acoes"))*Inputs!$B$1+((Inputs!$G$5:$G$230&lt;&gt;"moeda")*(Inputs!$G$5:$G$230&lt;&gt;"acoes")))*INDEX(Inputs!$K$5:$AJ$230,0,MATCH(Z$2,Inputs!$K$4:$AJ$4,0)))+SUMPRODUCT((Inputs!$C$5:$C$230=$B6)*Inputs!$D$5:$D$230*(((Inputs!$G$5:$G$230="moeda")+(Inputs!$G$5:$G$230="acoes"))*Inputs!$B$1+((Inputs!$G$5:$G$230&lt;&gt;"moeda")*(Inputs!$G$5:$G$230&lt;&gt;"acoes")))*INDEX(Inputs!$K$5:$AJ$230,0,MATCH(Z$2,Inputs!$K$4:$AJ$4,0)))+SUMPRODUCT((Inputs!$E$5:$E$230=$B6)*Inputs!$F$5:$F$230*(((Inputs!$G$5:$G$230="moeda")+(Inputs!$G$5:$G$230="acoes"))*Inputs!$B$1+((Inputs!$G$5:$G$230&lt;&gt;"moeda")*(Inputs!$G$5:$G$230&lt;&gt;"acoes")))*INDEX(Inputs!$K$5:$AJ$230,0,MATCH(Z$2,Inputs!$K$4:$AJ$4,0)))))</f>
        <v>-54.184</v>
      </c>
      <c r="AA6" s="6">
        <f>IF(ISNA(MATCH(AA$2,Inputs!$K$4:$AJ$4,0)),NA(),IF(SUMPRODUCT((Inputs!$A$5:$A$230=$B6)*ISNUMBER(INDEX(Inputs!$K$5:$AJ$230,0,MATCH(AA$2,Inputs!$K$4:$AJ$4,0))))+SUMPRODUCT((Inputs!$C$5:$C$230=$B6)*ISNUMBER(INDEX(Inputs!$K$5:$AJ$230,0,MATCH(AA$2,Inputs!$K$4:$AJ$4,0))))+SUMPRODUCT((Inputs!$E$5:$E$230=$B6)*ISNUMBER(INDEX(Inputs!$K$5:$AJ$230,0,MATCH(AA$2,Inputs!$K$4:$AJ$4,0))))=0,NA(),SUMPRODUCT((Inputs!$A$5:$A$230=$B6)*Inputs!$B$5:$B$230*(((Inputs!$G$5:$G$230="moeda")+(Inputs!$G$5:$G$230="acoes"))*Inputs!$B$1+((Inputs!$G$5:$G$230&lt;&gt;"moeda")*(Inputs!$G$5:$G$230&lt;&gt;"acoes")))*INDEX(Inputs!$K$5:$AJ$230,0,MATCH(AA$2,Inputs!$K$4:$AJ$4,0)))+SUMPRODUCT((Inputs!$C$5:$C$230=$B6)*Inputs!$D$5:$D$230*(((Inputs!$G$5:$G$230="moeda")+(Inputs!$G$5:$G$230="acoes"))*Inputs!$B$1+((Inputs!$G$5:$G$230&lt;&gt;"moeda")*(Inputs!$G$5:$G$230&lt;&gt;"acoes")))*INDEX(Inputs!$K$5:$AJ$230,0,MATCH(AA$2,Inputs!$K$4:$AJ$4,0)))+SUMPRODUCT((Inputs!$E$5:$E$230=$B6)*Inputs!$F$5:$F$230*(((Inputs!$G$5:$G$230="moeda")+(Inputs!$G$5:$G$230="acoes"))*Inputs!$B$1+((Inputs!$G$5:$G$230&lt;&gt;"moeda")*(Inputs!$G$5:$G$230&lt;&gt;"acoes")))*INDEX(Inputs!$K$5:$AJ$230,0,MATCH(AA$2,Inputs!$K$4:$AJ$4,0)))))</f>
        <v>-55.317</v>
      </c>
      <c r="AB6" s="3">
        <f>SUM(X6:AA6)</f>
        <v>-239.202</v>
      </c>
      <c r="AC6" s="6">
        <f>IF(ISNA(MATCH(AC$2,Inputs!$K$4:$AJ$4,0)),NA(),IF(SUMPRODUCT((Inputs!$A$5:$A$230=$B6)*ISNUMBER(INDEX(Inputs!$K$5:$AJ$230,0,MATCH(AC$2,Inputs!$K$4:$AJ$4,0))))+SUMPRODUCT((Inputs!$C$5:$C$230=$B6)*ISNUMBER(INDEX(Inputs!$K$5:$AJ$230,0,MATCH(AC$2,Inputs!$K$4:$AJ$4,0))))+SUMPRODUCT((Inputs!$E$5:$E$230=$B6)*ISNUMBER(INDEX(Inputs!$K$5:$AJ$230,0,MATCH(AC$2,Inputs!$K$4:$AJ$4,0))))=0,NA(),SUMPRODUCT((Inputs!$A$5:$A$230=$B6)*Inputs!$B$5:$B$230*(((Inputs!$G$5:$G$230="moeda")+(Inputs!$G$5:$G$230="acoes"))*Inputs!$B$1+((Inputs!$G$5:$G$230&lt;&gt;"moeda")*(Inputs!$G$5:$G$230&lt;&gt;"acoes")))*INDEX(Inputs!$K$5:$AJ$230,0,MATCH(AC$2,Inputs!$K$4:$AJ$4,0)))+SUMPRODUCT((Inputs!$C$5:$C$230=$B6)*Inputs!$D$5:$D$230*(((Inputs!$G$5:$G$230="moeda")+(Inputs!$G$5:$G$230="acoes"))*Inputs!$B$1+((Inputs!$G$5:$G$230&lt;&gt;"moeda")*(Inputs!$G$5:$G$230&lt;&gt;"acoes")))*INDEX(Inputs!$K$5:$AJ$230,0,MATCH(AC$2,Inputs!$K$4:$AJ$4,0)))+SUMPRODUCT((Inputs!$E$5:$E$230=$B6)*Inputs!$F$5:$F$230*(((Inputs!$G$5:$G$230="moeda")+(Inputs!$G$5:$G$230="acoes"))*Inputs!$B$1+((Inputs!$G$5:$G$230&lt;&gt;"moeda")*(Inputs!$G$5:$G$230&lt;&gt;"acoes")))*INDEX(Inputs!$K$5:$AJ$230,0,MATCH(AC$2,Inputs!$K$4:$AJ$4,0)))))</f>
        <v>-59.4</v>
      </c>
      <c r="AD6" s="6">
        <f>IF(ISNA(MATCH(AD$2,Inputs!$K$4:$AJ$4,0)),NA(),IF(SUMPRODUCT((Inputs!$A$5:$A$230=$B6)*ISNUMBER(INDEX(Inputs!$K$5:$AJ$230,0,MATCH(AD$2,Inputs!$K$4:$AJ$4,0))))+SUMPRODUCT((Inputs!$C$5:$C$230=$B6)*ISNUMBER(INDEX(Inputs!$K$5:$AJ$230,0,MATCH(AD$2,Inputs!$K$4:$AJ$4,0))))+SUMPRODUCT((Inputs!$E$5:$E$230=$B6)*ISNUMBER(INDEX(Inputs!$K$5:$AJ$230,0,MATCH(AD$2,Inputs!$K$4:$AJ$4,0))))=0,NA(),SUMPRODUCT((Inputs!$A$5:$A$230=$B6)*Inputs!$B$5:$B$230*(((Inputs!$G$5:$G$230="moeda")+(Inputs!$G$5:$G$230="acoes"))*Inputs!$B$1+((Inputs!$G$5:$G$230&lt;&gt;"moeda")*(Inputs!$G$5:$G$230&lt;&gt;"acoes")))*INDEX(Inputs!$K$5:$AJ$230,0,MATCH(AD$2,Inputs!$K$4:$AJ$4,0)))+SUMPRODUCT((Inputs!$C$5:$C$230=$B6)*Inputs!$D$5:$D$230*(((Inputs!$G$5:$G$230="moeda")+(Inputs!$G$5:$G$230="acoes"))*Inputs!$B$1+((Inputs!$G$5:$G$230&lt;&gt;"moeda")*(Inputs!$G$5:$G$230&lt;&gt;"acoes")))*INDEX(Inputs!$K$5:$AJ$230,0,MATCH(AD$2,Inputs!$K$4:$AJ$4,0)))+SUMPRODUCT((Inputs!$E$5:$E$230=$B6)*Inputs!$F$5:$F$230*(((Inputs!$G$5:$G$230="moeda")+(Inputs!$G$5:$G$230="acoes"))*Inputs!$B$1+((Inputs!$G$5:$G$230&lt;&gt;"moeda")*(Inputs!$G$5:$G$230&lt;&gt;"acoes")))*INDEX(Inputs!$K$5:$AJ$230,0,MATCH(AD$2,Inputs!$K$4:$AJ$4,0)))))</f>
        <v>-75.963</v>
      </c>
      <c r="AE6" s="6" t="e">
        <f>IF(ISNA(MATCH(AE$2,Inputs!$K$4:$AJ$4,0)),NA(),IF(SUMPRODUCT((Inputs!$A$5:$A$230=$B6)*ISNUMBER(INDEX(Inputs!$K$5:$AJ$230,0,MATCH(AE$2,Inputs!$K$4:$AJ$4,0))))+SUMPRODUCT((Inputs!$C$5:$C$230=$B6)*ISNUMBER(INDEX(Inputs!$K$5:$AJ$230,0,MATCH(AE$2,Inputs!$K$4:$AJ$4,0))))+SUMPRODUCT((Inputs!$E$5:$E$230=$B6)*ISNUMBER(INDEX(Inputs!$K$5:$AJ$230,0,MATCH(AE$2,Inputs!$K$4:$AJ$4,0))))=0,NA(),SUMPRODUCT((Inputs!$A$5:$A$230=$B6)*Inputs!$B$5:$B$230*(((Inputs!$G$5:$G$230="moeda")+(Inputs!$G$5:$G$230="acoes"))*Inputs!$B$1+((Inputs!$G$5:$G$230&lt;&gt;"moeda")*(Inputs!$G$5:$G$230&lt;&gt;"acoes")))*INDEX(Inputs!$K$5:$AJ$230,0,MATCH(AE$2,Inputs!$K$4:$AJ$4,0)))+SUMPRODUCT((Inputs!$C$5:$C$230=$B6)*Inputs!$D$5:$D$230*(((Inputs!$G$5:$G$230="moeda")+(Inputs!$G$5:$G$230="acoes"))*Inputs!$B$1+((Inputs!$G$5:$G$230&lt;&gt;"moeda")*(Inputs!$G$5:$G$230&lt;&gt;"acoes")))*INDEX(Inputs!$K$5:$AJ$230,0,MATCH(AE$2,Inputs!$K$4:$AJ$4,0)))+SUMPRODUCT((Inputs!$E$5:$E$230=$B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" s="6" t="e">
        <f>IF(ISNA(MATCH(AF$2,Inputs!$K$4:$AJ$4,0)),NA(),IF(SUMPRODUCT((Inputs!$A$5:$A$230=$B6)*ISNUMBER(INDEX(Inputs!$K$5:$AJ$230,0,MATCH(AF$2,Inputs!$K$4:$AJ$4,0))))+SUMPRODUCT((Inputs!$C$5:$C$230=$B6)*ISNUMBER(INDEX(Inputs!$K$5:$AJ$230,0,MATCH(AF$2,Inputs!$K$4:$AJ$4,0))))+SUMPRODUCT((Inputs!$E$5:$E$230=$B6)*ISNUMBER(INDEX(Inputs!$K$5:$AJ$230,0,MATCH(AF$2,Inputs!$K$4:$AJ$4,0))))=0,NA(),SUMPRODUCT((Inputs!$A$5:$A$230=$B6)*Inputs!$B$5:$B$230*(((Inputs!$G$5:$G$230="moeda")+(Inputs!$G$5:$G$230="acoes"))*Inputs!$B$1+((Inputs!$G$5:$G$230&lt;&gt;"moeda")*(Inputs!$G$5:$G$230&lt;&gt;"acoes")))*INDEX(Inputs!$K$5:$AJ$230,0,MATCH(AF$2,Inputs!$K$4:$AJ$4,0)))+SUMPRODUCT((Inputs!$C$5:$C$230=$B6)*Inputs!$D$5:$D$230*(((Inputs!$G$5:$G$230="moeda")+(Inputs!$G$5:$G$230="acoes"))*Inputs!$B$1+((Inputs!$G$5:$G$230&lt;&gt;"moeda")*(Inputs!$G$5:$G$230&lt;&gt;"acoes")))*INDEX(Inputs!$K$5:$AJ$230,0,MATCH(AF$2,Inputs!$K$4:$AJ$4,0)))+SUMPRODUCT((Inputs!$E$5:$E$230=$B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" s="3" t="e">
        <f>SUM(AC6:AF6)</f>
        <v>#N/A</v>
      </c>
      <c r="AH6" s="6">
        <f>IF(ISNA(MATCH(AH$2,Inputs!$K$4:$AJ$4,0)),NA(),IF(SUMPRODUCT((Inputs!$A$5:$A$230=$B6)*ISNUMBER(INDEX(Inputs!$K$5:$AJ$230,0,MATCH(AH$2,Inputs!$K$4:$AJ$4,0))))+SUMPRODUCT((Inputs!$C$5:$C$230=$B6)*ISNUMBER(INDEX(Inputs!$K$5:$AJ$230,0,MATCH(AH$2,Inputs!$K$4:$AJ$4,0))))+SUMPRODUCT((Inputs!$E$5:$E$230=$B6)*ISNUMBER(INDEX(Inputs!$K$5:$AJ$230,0,MATCH(AH$2,Inputs!$K$4:$AJ$4,0))))=0,NA(),SUMPRODUCT((Inputs!$A$5:$A$230=$B6)*Inputs!$B$5:$B$230*(((Inputs!$G$5:$G$230="moeda")+(Inputs!$G$5:$G$230="acoes"))*Inputs!$B$1+((Inputs!$G$5:$G$230&lt;&gt;"moeda")*(Inputs!$G$5:$G$230&lt;&gt;"acoes")))*INDEX(Inputs!$K$5:$AJ$230,0,MATCH(AH$2,Inputs!$K$4:$AJ$4,0)))+SUMPRODUCT((Inputs!$C$5:$C$230=$B6)*Inputs!$D$5:$D$230*(((Inputs!$G$5:$G$230="moeda")+(Inputs!$G$5:$G$230="acoes"))*Inputs!$B$1+((Inputs!$G$5:$G$230&lt;&gt;"moeda")*(Inputs!$G$5:$G$230&lt;&gt;"acoes")))*INDEX(Inputs!$K$5:$AJ$230,0,MATCH(AH$2,Inputs!$K$4:$AJ$4,0)))+SUMPRODUCT((Inputs!$E$5:$E$230=$B6)*Inputs!$F$5:$F$230*(((Inputs!$G$5:$G$230="moeda")+(Inputs!$G$5:$G$230="acoes"))*Inputs!$B$1+((Inputs!$G$5:$G$230&lt;&gt;"moeda")*(Inputs!$G$5:$G$230&lt;&gt;"acoes")))*INDEX(Inputs!$K$5:$AJ$230,0,MATCH(AH$2,Inputs!$K$4:$AJ$4,0)))))</f>
        <v>-28.066</v>
      </c>
      <c r="AI6" s="6">
        <f>IF(ISNA(MATCH(AI$2,Inputs!$K$4:$AJ$4,0)),NA(),IF(SUMPRODUCT((Inputs!$A$5:$A$230=$B6)*ISNUMBER(INDEX(Inputs!$K$5:$AJ$230,0,MATCH(AI$2,Inputs!$K$4:$AJ$4,0))))+SUMPRODUCT((Inputs!$C$5:$C$230=$B6)*ISNUMBER(INDEX(Inputs!$K$5:$AJ$230,0,MATCH(AI$2,Inputs!$K$4:$AJ$4,0))))+SUMPRODUCT((Inputs!$E$5:$E$230=$B6)*ISNUMBER(INDEX(Inputs!$K$5:$AJ$230,0,MATCH(AI$2,Inputs!$K$4:$AJ$4,0))))=0,NA(),SUMPRODUCT((Inputs!$A$5:$A$230=$B6)*Inputs!$B$5:$B$230*(((Inputs!$G$5:$G$230="moeda")+(Inputs!$G$5:$G$230="acoes"))*Inputs!$B$1+((Inputs!$G$5:$G$230&lt;&gt;"moeda")*(Inputs!$G$5:$G$230&lt;&gt;"acoes")))*INDEX(Inputs!$K$5:$AJ$230,0,MATCH(AI$2,Inputs!$K$4:$AJ$4,0)))+SUMPRODUCT((Inputs!$C$5:$C$230=$B6)*Inputs!$D$5:$D$230*(((Inputs!$G$5:$G$230="moeda")+(Inputs!$G$5:$G$230="acoes"))*Inputs!$B$1+((Inputs!$G$5:$G$230&lt;&gt;"moeda")*(Inputs!$G$5:$G$230&lt;&gt;"acoes")))*INDEX(Inputs!$K$5:$AJ$230,0,MATCH(AI$2,Inputs!$K$4:$AJ$4,0)))+SUMPRODUCT((Inputs!$E$5:$E$230=$B6)*Inputs!$F$5:$F$230*(((Inputs!$G$5:$G$230="moeda")+(Inputs!$G$5:$G$230="acoes"))*Inputs!$B$1+((Inputs!$G$5:$G$230&lt;&gt;"moeda")*(Inputs!$G$5:$G$230&lt;&gt;"acoes")))*INDEX(Inputs!$K$5:$AJ$230,0,MATCH(AI$2,Inputs!$K$4:$AJ$4,0)))))</f>
        <v>-29.574</v>
      </c>
      <c r="AJ6" s="6">
        <f>IF(ISNA(MATCH(AJ$2,Inputs!$K$4:$AJ$4,0)),NA(),IF(SUMPRODUCT((Inputs!$A$5:$A$230=$B6)*ISNUMBER(INDEX(Inputs!$K$5:$AJ$230,0,MATCH(AJ$2,Inputs!$K$4:$AJ$4,0))))+SUMPRODUCT((Inputs!$C$5:$C$230=$B6)*ISNUMBER(INDEX(Inputs!$K$5:$AJ$230,0,MATCH(AJ$2,Inputs!$K$4:$AJ$4,0))))+SUMPRODUCT((Inputs!$E$5:$E$230=$B6)*ISNUMBER(INDEX(Inputs!$K$5:$AJ$230,0,MATCH(AJ$2,Inputs!$K$4:$AJ$4,0))))=0,NA(),SUMPRODUCT((Inputs!$A$5:$A$230=$B6)*Inputs!$B$5:$B$230*(((Inputs!$G$5:$G$230="moeda")+(Inputs!$G$5:$G$230="acoes"))*Inputs!$B$1+((Inputs!$G$5:$G$230&lt;&gt;"moeda")*(Inputs!$G$5:$G$230&lt;&gt;"acoes")))*INDEX(Inputs!$K$5:$AJ$230,0,MATCH(AJ$2,Inputs!$K$4:$AJ$4,0)))+SUMPRODUCT((Inputs!$C$5:$C$230=$B6)*Inputs!$D$5:$D$230*(((Inputs!$G$5:$G$230="moeda")+(Inputs!$G$5:$G$230="acoes"))*Inputs!$B$1+((Inputs!$G$5:$G$230&lt;&gt;"moeda")*(Inputs!$G$5:$G$230&lt;&gt;"acoes")))*INDEX(Inputs!$K$5:$AJ$230,0,MATCH(AJ$2,Inputs!$K$4:$AJ$4,0)))+SUMPRODUCT((Inputs!$E$5:$E$230=$B6)*Inputs!$F$5:$F$230*(((Inputs!$G$5:$G$230="moeda")+(Inputs!$G$5:$G$230="acoes"))*Inputs!$B$1+((Inputs!$G$5:$G$230&lt;&gt;"moeda")*(Inputs!$G$5:$G$230&lt;&gt;"acoes")))*INDEX(Inputs!$K$5:$AJ$230,0,MATCH(AJ$2,Inputs!$K$4:$AJ$4,0)))))</f>
        <v>-21.066</v>
      </c>
      <c r="AK6" s="6">
        <f>IF(ISNA(MATCH(AK$2,Inputs!$K$4:$AJ$4,0)),NA(),IF(SUMPRODUCT((Inputs!$A$5:$A$230=$B6)*ISNUMBER(INDEX(Inputs!$K$5:$AJ$230,0,MATCH(AK$2,Inputs!$K$4:$AJ$4,0))))+SUMPRODUCT((Inputs!$C$5:$C$230=$B6)*ISNUMBER(INDEX(Inputs!$K$5:$AJ$230,0,MATCH(AK$2,Inputs!$K$4:$AJ$4,0))))+SUMPRODUCT((Inputs!$E$5:$E$230=$B6)*ISNUMBER(INDEX(Inputs!$K$5:$AJ$230,0,MATCH(AK$2,Inputs!$K$4:$AJ$4,0))))=0,NA(),SUMPRODUCT((Inputs!$A$5:$A$230=$B6)*Inputs!$B$5:$B$230*(((Inputs!$G$5:$G$230="moeda")+(Inputs!$G$5:$G$230="acoes"))*Inputs!$B$1+((Inputs!$G$5:$G$230&lt;&gt;"moeda")*(Inputs!$G$5:$G$230&lt;&gt;"acoes")))*INDEX(Inputs!$K$5:$AJ$230,0,MATCH(AK$2,Inputs!$K$4:$AJ$4,0)))+SUMPRODUCT((Inputs!$C$5:$C$230=$B6)*Inputs!$D$5:$D$230*(((Inputs!$G$5:$G$230="moeda")+(Inputs!$G$5:$G$230="acoes"))*Inputs!$B$1+((Inputs!$G$5:$G$230&lt;&gt;"moeda")*(Inputs!$G$5:$G$230&lt;&gt;"acoes")))*INDEX(Inputs!$K$5:$AJ$230,0,MATCH(AK$2,Inputs!$K$4:$AJ$4,0)))+SUMPRODUCT((Inputs!$E$5:$E$230=$B6)*Inputs!$F$5:$F$230*(((Inputs!$G$5:$G$230="moeda")+(Inputs!$G$5:$G$230="acoes"))*Inputs!$B$1+((Inputs!$G$5:$G$230&lt;&gt;"moeda")*(Inputs!$G$5:$G$230&lt;&gt;"acoes")))*INDEX(Inputs!$K$5:$AJ$230,0,MATCH(AK$2,Inputs!$K$4:$AJ$4,0)))))</f>
        <v>-27.349</v>
      </c>
      <c r="AL6" s="3">
        <f>SUM(AH6:AK6)</f>
        <v>-106.055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$230=$B7)*ISNUMBER(INDEX(Inputs!$K$5:$AJ$230,0,MATCH(D$2,Inputs!$K$4:$AJ$4,0))))+SUMPRODUCT((Inputs!$C$5:$C$230=$B7)*ISNUMBER(INDEX(Inputs!$K$5:$AJ$230,0,MATCH(D$2,Inputs!$K$4:$AJ$4,0))))+SUMPRODUCT((Inputs!$E$5:$E$230=$B7)*ISNUMBER(INDEX(Inputs!$K$5:$AJ$230,0,MATCH(D$2,Inputs!$K$4:$AJ$4,0))))=0,NA(),SUMPRODUCT((Inputs!$A$5:$A$230=$B7)*Inputs!$B$5:$B$230*(((Inputs!$G$5:$G$230="moeda")+(Inputs!$G$5:$G$230="acoes"))*Inputs!$B$1+((Inputs!$G$5:$G$230&lt;&gt;"moeda")*(Inputs!$G$5:$G$230&lt;&gt;"acoes")))*INDEX(Inputs!$K$5:$AJ$230,0,MATCH(D$2,Inputs!$K$4:$AJ$4,0)))+SUMPRODUCT((Inputs!$C$5:$C$230=$B7)*Inputs!$D$5:$D$230*(((Inputs!$G$5:$G$230="moeda")+(Inputs!$G$5:$G$230="acoes"))*Inputs!$B$1+((Inputs!$G$5:$G$230&lt;&gt;"moeda")*(Inputs!$G$5:$G$230&lt;&gt;"acoes")))*INDEX(Inputs!$K$5:$AJ$230,0,MATCH(D$2,Inputs!$K$4:$AJ$4,0)))+SUMPRODUCT((Inputs!$E$5:$E$230=$B7)*Inputs!$F$5:$F$230*(((Inputs!$G$5:$G$230="moeda")+(Inputs!$G$5:$G$230="acoes"))*Inputs!$B$1+((Inputs!$G$5:$G$230&lt;&gt;"moeda")*(Inputs!$G$5:$G$230&lt;&gt;"acoes")))*INDEX(Inputs!$K$5:$AJ$230,0,MATCH(D$2,Inputs!$K$4:$AJ$4,0)))))</f>
        <v>-29.436</v>
      </c>
      <c r="E7" s="6">
        <f>IF(ISNA(MATCH(E$2,Inputs!$K$4:$AJ$4,0)),NA(),IF(SUMPRODUCT((Inputs!$A$5:$A$230=$B7)*ISNUMBER(INDEX(Inputs!$K$5:$AJ$230,0,MATCH(E$2,Inputs!$K$4:$AJ$4,0))))+SUMPRODUCT((Inputs!$C$5:$C$230=$B7)*ISNUMBER(INDEX(Inputs!$K$5:$AJ$230,0,MATCH(E$2,Inputs!$K$4:$AJ$4,0))))+SUMPRODUCT((Inputs!$E$5:$E$230=$B7)*ISNUMBER(INDEX(Inputs!$K$5:$AJ$230,0,MATCH(E$2,Inputs!$K$4:$AJ$4,0))))=0,NA(),SUMPRODUCT((Inputs!$A$5:$A$230=$B7)*Inputs!$B$5:$B$230*(((Inputs!$G$5:$G$230="moeda")+(Inputs!$G$5:$G$230="acoes"))*Inputs!$B$1+((Inputs!$G$5:$G$230&lt;&gt;"moeda")*(Inputs!$G$5:$G$230&lt;&gt;"acoes")))*INDEX(Inputs!$K$5:$AJ$230,0,MATCH(E$2,Inputs!$K$4:$AJ$4,0)))+SUMPRODUCT((Inputs!$C$5:$C$230=$B7)*Inputs!$D$5:$D$230*(((Inputs!$G$5:$G$230="moeda")+(Inputs!$G$5:$G$230="acoes"))*Inputs!$B$1+((Inputs!$G$5:$G$230&lt;&gt;"moeda")*(Inputs!$G$5:$G$230&lt;&gt;"acoes")))*INDEX(Inputs!$K$5:$AJ$230,0,MATCH(E$2,Inputs!$K$4:$AJ$4,0)))+SUMPRODUCT((Inputs!$E$5:$E$230=$B7)*Inputs!$F$5:$F$230*(((Inputs!$G$5:$G$230="moeda")+(Inputs!$G$5:$G$230="acoes"))*Inputs!$B$1+((Inputs!$G$5:$G$230&lt;&gt;"moeda")*(Inputs!$G$5:$G$230&lt;&gt;"acoes")))*INDEX(Inputs!$K$5:$AJ$230,0,MATCH(E$2,Inputs!$K$4:$AJ$4,0)))))</f>
        <v>-29.857</v>
      </c>
      <c r="F7" s="6">
        <f>IF(ISNA(MATCH(F$2,Inputs!$K$4:$AJ$4,0)),NA(),IF(SUMPRODUCT((Inputs!$A$5:$A$230=$B7)*ISNUMBER(INDEX(Inputs!$K$5:$AJ$230,0,MATCH(F$2,Inputs!$K$4:$AJ$4,0))))+SUMPRODUCT((Inputs!$C$5:$C$230=$B7)*ISNUMBER(INDEX(Inputs!$K$5:$AJ$230,0,MATCH(F$2,Inputs!$K$4:$AJ$4,0))))+SUMPRODUCT((Inputs!$E$5:$E$230=$B7)*ISNUMBER(INDEX(Inputs!$K$5:$AJ$230,0,MATCH(F$2,Inputs!$K$4:$AJ$4,0))))=0,NA(),SUMPRODUCT((Inputs!$A$5:$A$230=$B7)*Inputs!$B$5:$B$230*(((Inputs!$G$5:$G$230="moeda")+(Inputs!$G$5:$G$230="acoes"))*Inputs!$B$1+((Inputs!$G$5:$G$230&lt;&gt;"moeda")*(Inputs!$G$5:$G$230&lt;&gt;"acoes")))*INDEX(Inputs!$K$5:$AJ$230,0,MATCH(F$2,Inputs!$K$4:$AJ$4,0)))+SUMPRODUCT((Inputs!$C$5:$C$230=$B7)*Inputs!$D$5:$D$230*(((Inputs!$G$5:$G$230="moeda")+(Inputs!$G$5:$G$230="acoes"))*Inputs!$B$1+((Inputs!$G$5:$G$230&lt;&gt;"moeda")*(Inputs!$G$5:$G$230&lt;&gt;"acoes")))*INDEX(Inputs!$K$5:$AJ$230,0,MATCH(F$2,Inputs!$K$4:$AJ$4,0)))+SUMPRODUCT((Inputs!$E$5:$E$230=$B7)*Inputs!$F$5:$F$230*(((Inputs!$G$5:$G$230="moeda")+(Inputs!$G$5:$G$230="acoes"))*Inputs!$B$1+((Inputs!$G$5:$G$230&lt;&gt;"moeda")*(Inputs!$G$5:$G$230&lt;&gt;"acoes")))*INDEX(Inputs!$K$5:$AJ$230,0,MATCH(F$2,Inputs!$K$4:$AJ$4,0)))))</f>
        <v>-44.401</v>
      </c>
      <c r="G7" s="6">
        <f>IF(ISNA(MATCH(G$2,Inputs!$K$4:$AJ$4,0)),NA(),IF(SUMPRODUCT((Inputs!$A$5:$A$230=$B7)*ISNUMBER(INDEX(Inputs!$K$5:$AJ$230,0,MATCH(G$2,Inputs!$K$4:$AJ$4,0))))+SUMPRODUCT((Inputs!$C$5:$C$230=$B7)*ISNUMBER(INDEX(Inputs!$K$5:$AJ$230,0,MATCH(G$2,Inputs!$K$4:$AJ$4,0))))+SUMPRODUCT((Inputs!$E$5:$E$230=$B7)*ISNUMBER(INDEX(Inputs!$K$5:$AJ$230,0,MATCH(G$2,Inputs!$K$4:$AJ$4,0))))=0,NA(),SUMPRODUCT((Inputs!$A$5:$A$230=$B7)*Inputs!$B$5:$B$230*(((Inputs!$G$5:$G$230="moeda")+(Inputs!$G$5:$G$230="acoes"))*Inputs!$B$1+((Inputs!$G$5:$G$230&lt;&gt;"moeda")*(Inputs!$G$5:$G$230&lt;&gt;"acoes")))*INDEX(Inputs!$K$5:$AJ$230,0,MATCH(G$2,Inputs!$K$4:$AJ$4,0)))+SUMPRODUCT((Inputs!$C$5:$C$230=$B7)*Inputs!$D$5:$D$230*(((Inputs!$G$5:$G$230="moeda")+(Inputs!$G$5:$G$230="acoes"))*Inputs!$B$1+((Inputs!$G$5:$G$230&lt;&gt;"moeda")*(Inputs!$G$5:$G$230&lt;&gt;"acoes")))*INDEX(Inputs!$K$5:$AJ$230,0,MATCH(G$2,Inputs!$K$4:$AJ$4,0)))+SUMPRODUCT((Inputs!$E$5:$E$230=$B7)*Inputs!$F$5:$F$230*(((Inputs!$G$5:$G$230="moeda")+(Inputs!$G$5:$G$230="acoes"))*Inputs!$B$1+((Inputs!$G$5:$G$230&lt;&gt;"moeda")*(Inputs!$G$5:$G$230&lt;&gt;"acoes")))*INDEX(Inputs!$K$5:$AJ$230,0,MATCH(G$2,Inputs!$K$4:$AJ$4,0)))))</f>
        <v>-35.869</v>
      </c>
      <c r="H7" s="3">
        <f>SUM(D7:G7)</f>
        <v>-139.563</v>
      </c>
      <c r="I7" s="6">
        <f>IF(ISNA(MATCH(I$2,Inputs!$K$4:$AJ$4,0)),NA(),IF(SUMPRODUCT((Inputs!$A$5:$A$230=$B7)*ISNUMBER(INDEX(Inputs!$K$5:$AJ$230,0,MATCH(I$2,Inputs!$K$4:$AJ$4,0))))+SUMPRODUCT((Inputs!$C$5:$C$230=$B7)*ISNUMBER(INDEX(Inputs!$K$5:$AJ$230,0,MATCH(I$2,Inputs!$K$4:$AJ$4,0))))+SUMPRODUCT((Inputs!$E$5:$E$230=$B7)*ISNUMBER(INDEX(Inputs!$K$5:$AJ$230,0,MATCH(I$2,Inputs!$K$4:$AJ$4,0))))=0,NA(),SUMPRODUCT((Inputs!$A$5:$A$230=$B7)*Inputs!$B$5:$B$230*(((Inputs!$G$5:$G$230="moeda")+(Inputs!$G$5:$G$230="acoes"))*Inputs!$B$1+((Inputs!$G$5:$G$230&lt;&gt;"moeda")*(Inputs!$G$5:$G$230&lt;&gt;"acoes")))*INDEX(Inputs!$K$5:$AJ$230,0,MATCH(I$2,Inputs!$K$4:$AJ$4,0)))+SUMPRODUCT((Inputs!$C$5:$C$230=$B7)*Inputs!$D$5:$D$230*(((Inputs!$G$5:$G$230="moeda")+(Inputs!$G$5:$G$230="acoes"))*Inputs!$B$1+((Inputs!$G$5:$G$230&lt;&gt;"moeda")*(Inputs!$G$5:$G$230&lt;&gt;"acoes")))*INDEX(Inputs!$K$5:$AJ$230,0,MATCH(I$2,Inputs!$K$4:$AJ$4,0)))+SUMPRODUCT((Inputs!$E$5:$E$230=$B7)*Inputs!$F$5:$F$230*(((Inputs!$G$5:$G$230="moeda")+(Inputs!$G$5:$G$230="acoes"))*Inputs!$B$1+((Inputs!$G$5:$G$230&lt;&gt;"moeda")*(Inputs!$G$5:$G$230&lt;&gt;"acoes")))*INDEX(Inputs!$K$5:$AJ$230,0,MATCH(I$2,Inputs!$K$4:$AJ$4,0)))))</f>
        <v>-38.507</v>
      </c>
      <c r="J7" s="6">
        <f>IF(ISNA(MATCH(J$2,Inputs!$K$4:$AJ$4,0)),NA(),IF(SUMPRODUCT((Inputs!$A$5:$A$230=$B7)*ISNUMBER(INDEX(Inputs!$K$5:$AJ$230,0,MATCH(J$2,Inputs!$K$4:$AJ$4,0))))+SUMPRODUCT((Inputs!$C$5:$C$230=$B7)*ISNUMBER(INDEX(Inputs!$K$5:$AJ$230,0,MATCH(J$2,Inputs!$K$4:$AJ$4,0))))+SUMPRODUCT((Inputs!$E$5:$E$230=$B7)*ISNUMBER(INDEX(Inputs!$K$5:$AJ$230,0,MATCH(J$2,Inputs!$K$4:$AJ$4,0))))=0,NA(),SUMPRODUCT((Inputs!$A$5:$A$230=$B7)*Inputs!$B$5:$B$230*(((Inputs!$G$5:$G$230="moeda")+(Inputs!$G$5:$G$230="acoes"))*Inputs!$B$1+((Inputs!$G$5:$G$230&lt;&gt;"moeda")*(Inputs!$G$5:$G$230&lt;&gt;"acoes")))*INDEX(Inputs!$K$5:$AJ$230,0,MATCH(J$2,Inputs!$K$4:$AJ$4,0)))+SUMPRODUCT((Inputs!$C$5:$C$230=$B7)*Inputs!$D$5:$D$230*(((Inputs!$G$5:$G$230="moeda")+(Inputs!$G$5:$G$230="acoes"))*Inputs!$B$1+((Inputs!$G$5:$G$230&lt;&gt;"moeda")*(Inputs!$G$5:$G$230&lt;&gt;"acoes")))*INDEX(Inputs!$K$5:$AJ$230,0,MATCH(J$2,Inputs!$K$4:$AJ$4,0)))+SUMPRODUCT((Inputs!$E$5:$E$230=$B7)*Inputs!$F$5:$F$230*(((Inputs!$G$5:$G$230="moeda")+(Inputs!$G$5:$G$230="acoes"))*Inputs!$B$1+((Inputs!$G$5:$G$230&lt;&gt;"moeda")*(Inputs!$G$5:$G$230&lt;&gt;"acoes")))*INDEX(Inputs!$K$5:$AJ$230,0,MATCH(J$2,Inputs!$K$4:$AJ$4,0)))))</f>
        <v>-36.456</v>
      </c>
      <c r="K7" s="6">
        <f>IF(ISNA(MATCH(K$2,Inputs!$K$4:$AJ$4,0)),NA(),IF(SUMPRODUCT((Inputs!$A$5:$A$230=$B7)*ISNUMBER(INDEX(Inputs!$K$5:$AJ$230,0,MATCH(K$2,Inputs!$K$4:$AJ$4,0))))+SUMPRODUCT((Inputs!$C$5:$C$230=$B7)*ISNUMBER(INDEX(Inputs!$K$5:$AJ$230,0,MATCH(K$2,Inputs!$K$4:$AJ$4,0))))+SUMPRODUCT((Inputs!$E$5:$E$230=$B7)*ISNUMBER(INDEX(Inputs!$K$5:$AJ$230,0,MATCH(K$2,Inputs!$K$4:$AJ$4,0))))=0,NA(),SUMPRODUCT((Inputs!$A$5:$A$230=$B7)*Inputs!$B$5:$B$230*(((Inputs!$G$5:$G$230="moeda")+(Inputs!$G$5:$G$230="acoes"))*Inputs!$B$1+((Inputs!$G$5:$G$230&lt;&gt;"moeda")*(Inputs!$G$5:$G$230&lt;&gt;"acoes")))*INDEX(Inputs!$K$5:$AJ$230,0,MATCH(K$2,Inputs!$K$4:$AJ$4,0)))+SUMPRODUCT((Inputs!$C$5:$C$230=$B7)*Inputs!$D$5:$D$230*(((Inputs!$G$5:$G$230="moeda")+(Inputs!$G$5:$G$230="acoes"))*Inputs!$B$1+((Inputs!$G$5:$G$230&lt;&gt;"moeda")*(Inputs!$G$5:$G$230&lt;&gt;"acoes")))*INDEX(Inputs!$K$5:$AJ$230,0,MATCH(K$2,Inputs!$K$4:$AJ$4,0)))+SUMPRODUCT((Inputs!$E$5:$E$230=$B7)*Inputs!$F$5:$F$230*(((Inputs!$G$5:$G$230="moeda")+(Inputs!$G$5:$G$230="acoes"))*Inputs!$B$1+((Inputs!$G$5:$G$230&lt;&gt;"moeda")*(Inputs!$G$5:$G$230&lt;&gt;"acoes")))*INDEX(Inputs!$K$5:$AJ$230,0,MATCH(K$2,Inputs!$K$4:$AJ$4,0)))))</f>
        <v>-36.74</v>
      </c>
      <c r="L7" s="6">
        <f>IF(ISNA(MATCH(L$2,Inputs!$K$4:$AJ$4,0)),NA(),IF(SUMPRODUCT((Inputs!$A$5:$A$230=$B7)*ISNUMBER(INDEX(Inputs!$K$5:$AJ$230,0,MATCH(L$2,Inputs!$K$4:$AJ$4,0))))+SUMPRODUCT((Inputs!$C$5:$C$230=$B7)*ISNUMBER(INDEX(Inputs!$K$5:$AJ$230,0,MATCH(L$2,Inputs!$K$4:$AJ$4,0))))+SUMPRODUCT((Inputs!$E$5:$E$230=$B7)*ISNUMBER(INDEX(Inputs!$K$5:$AJ$230,0,MATCH(L$2,Inputs!$K$4:$AJ$4,0))))=0,NA(),SUMPRODUCT((Inputs!$A$5:$A$230=$B7)*Inputs!$B$5:$B$230*(((Inputs!$G$5:$G$230="moeda")+(Inputs!$G$5:$G$230="acoes"))*Inputs!$B$1+((Inputs!$G$5:$G$230&lt;&gt;"moeda")*(Inputs!$G$5:$G$230&lt;&gt;"acoes")))*INDEX(Inputs!$K$5:$AJ$230,0,MATCH(L$2,Inputs!$K$4:$AJ$4,0)))+SUMPRODUCT((Inputs!$C$5:$C$230=$B7)*Inputs!$D$5:$D$230*(((Inputs!$G$5:$G$230="moeda")+(Inputs!$G$5:$G$230="acoes"))*Inputs!$B$1+((Inputs!$G$5:$G$230&lt;&gt;"moeda")*(Inputs!$G$5:$G$230&lt;&gt;"acoes")))*INDEX(Inputs!$K$5:$AJ$230,0,MATCH(L$2,Inputs!$K$4:$AJ$4,0)))+SUMPRODUCT((Inputs!$E$5:$E$230=$B7)*Inputs!$F$5:$F$230*(((Inputs!$G$5:$G$230="moeda")+(Inputs!$G$5:$G$230="acoes"))*Inputs!$B$1+((Inputs!$G$5:$G$230&lt;&gt;"moeda")*(Inputs!$G$5:$G$230&lt;&gt;"acoes")))*INDEX(Inputs!$K$5:$AJ$230,0,MATCH(L$2,Inputs!$K$4:$AJ$4,0)))))</f>
        <v>-37.879</v>
      </c>
      <c r="M7" s="3">
        <f>SUM(I7:L7)</f>
        <v>-149.582</v>
      </c>
      <c r="N7" s="6">
        <f>IF(ISNA(MATCH(N$2,Inputs!$K$4:$AJ$4,0)),NA(),IF(SUMPRODUCT((Inputs!$A$5:$A$230=$B7)*ISNUMBER(INDEX(Inputs!$K$5:$AJ$230,0,MATCH(N$2,Inputs!$K$4:$AJ$4,0))))+SUMPRODUCT((Inputs!$C$5:$C$230=$B7)*ISNUMBER(INDEX(Inputs!$K$5:$AJ$230,0,MATCH(N$2,Inputs!$K$4:$AJ$4,0))))+SUMPRODUCT((Inputs!$E$5:$E$230=$B7)*ISNUMBER(INDEX(Inputs!$K$5:$AJ$230,0,MATCH(N$2,Inputs!$K$4:$AJ$4,0))))=0,NA(),SUMPRODUCT((Inputs!$A$5:$A$230=$B7)*Inputs!$B$5:$B$230*(((Inputs!$G$5:$G$230="moeda")+(Inputs!$G$5:$G$230="acoes"))*Inputs!$B$1+((Inputs!$G$5:$G$230&lt;&gt;"moeda")*(Inputs!$G$5:$G$230&lt;&gt;"acoes")))*INDEX(Inputs!$K$5:$AJ$230,0,MATCH(N$2,Inputs!$K$4:$AJ$4,0)))+SUMPRODUCT((Inputs!$C$5:$C$230=$B7)*Inputs!$D$5:$D$230*(((Inputs!$G$5:$G$230="moeda")+(Inputs!$G$5:$G$230="acoes"))*Inputs!$B$1+((Inputs!$G$5:$G$230&lt;&gt;"moeda")*(Inputs!$G$5:$G$230&lt;&gt;"acoes")))*INDEX(Inputs!$K$5:$AJ$230,0,MATCH(N$2,Inputs!$K$4:$AJ$4,0)))+SUMPRODUCT((Inputs!$E$5:$E$230=$B7)*Inputs!$F$5:$F$230*(((Inputs!$G$5:$G$230="moeda")+(Inputs!$G$5:$G$230="acoes"))*Inputs!$B$1+((Inputs!$G$5:$G$230&lt;&gt;"moeda")*(Inputs!$G$5:$G$230&lt;&gt;"acoes")))*INDEX(Inputs!$K$5:$AJ$230,0,MATCH(N$2,Inputs!$K$4:$AJ$4,0)))))</f>
        <v>-34.786</v>
      </c>
      <c r="O7" s="6">
        <f>IF(ISNA(MATCH(O$2,Inputs!$K$4:$AJ$4,0)),NA(),IF(SUMPRODUCT((Inputs!$A$5:$A$230=$B7)*ISNUMBER(INDEX(Inputs!$K$5:$AJ$230,0,MATCH(O$2,Inputs!$K$4:$AJ$4,0))))+SUMPRODUCT((Inputs!$C$5:$C$230=$B7)*ISNUMBER(INDEX(Inputs!$K$5:$AJ$230,0,MATCH(O$2,Inputs!$K$4:$AJ$4,0))))+SUMPRODUCT((Inputs!$E$5:$E$230=$B7)*ISNUMBER(INDEX(Inputs!$K$5:$AJ$230,0,MATCH(O$2,Inputs!$K$4:$AJ$4,0))))=0,NA(),SUMPRODUCT((Inputs!$A$5:$A$230=$B7)*Inputs!$B$5:$B$230*(((Inputs!$G$5:$G$230="moeda")+(Inputs!$G$5:$G$230="acoes"))*Inputs!$B$1+((Inputs!$G$5:$G$230&lt;&gt;"moeda")*(Inputs!$G$5:$G$230&lt;&gt;"acoes")))*INDEX(Inputs!$K$5:$AJ$230,0,MATCH(O$2,Inputs!$K$4:$AJ$4,0)))+SUMPRODUCT((Inputs!$C$5:$C$230=$B7)*Inputs!$D$5:$D$230*(((Inputs!$G$5:$G$230="moeda")+(Inputs!$G$5:$G$230="acoes"))*Inputs!$B$1+((Inputs!$G$5:$G$230&lt;&gt;"moeda")*(Inputs!$G$5:$G$230&lt;&gt;"acoes")))*INDEX(Inputs!$K$5:$AJ$230,0,MATCH(O$2,Inputs!$K$4:$AJ$4,0)))+SUMPRODUCT((Inputs!$E$5:$E$230=$B7)*Inputs!$F$5:$F$230*(((Inputs!$G$5:$G$230="moeda")+(Inputs!$G$5:$G$230="acoes"))*Inputs!$B$1+((Inputs!$G$5:$G$230&lt;&gt;"moeda")*(Inputs!$G$5:$G$230&lt;&gt;"acoes")))*INDEX(Inputs!$K$5:$AJ$230,0,MATCH(O$2,Inputs!$K$4:$AJ$4,0)))))</f>
        <v>-36.346</v>
      </c>
      <c r="P7" s="6">
        <f>IF(ISNA(MATCH(P$2,Inputs!$K$4:$AJ$4,0)),NA(),IF(SUMPRODUCT((Inputs!$A$5:$A$230=$B7)*ISNUMBER(INDEX(Inputs!$K$5:$AJ$230,0,MATCH(P$2,Inputs!$K$4:$AJ$4,0))))+SUMPRODUCT((Inputs!$C$5:$C$230=$B7)*ISNUMBER(INDEX(Inputs!$K$5:$AJ$230,0,MATCH(P$2,Inputs!$K$4:$AJ$4,0))))+SUMPRODUCT((Inputs!$E$5:$E$230=$B7)*ISNUMBER(INDEX(Inputs!$K$5:$AJ$230,0,MATCH(P$2,Inputs!$K$4:$AJ$4,0))))=0,NA(),SUMPRODUCT((Inputs!$A$5:$A$230=$B7)*Inputs!$B$5:$B$230*(((Inputs!$G$5:$G$230="moeda")+(Inputs!$G$5:$G$230="acoes"))*Inputs!$B$1+((Inputs!$G$5:$G$230&lt;&gt;"moeda")*(Inputs!$G$5:$G$230&lt;&gt;"acoes")))*INDEX(Inputs!$K$5:$AJ$230,0,MATCH(P$2,Inputs!$K$4:$AJ$4,0)))+SUMPRODUCT((Inputs!$C$5:$C$230=$B7)*Inputs!$D$5:$D$230*(((Inputs!$G$5:$G$230="moeda")+(Inputs!$G$5:$G$230="acoes"))*Inputs!$B$1+((Inputs!$G$5:$G$230&lt;&gt;"moeda")*(Inputs!$G$5:$G$230&lt;&gt;"acoes")))*INDEX(Inputs!$K$5:$AJ$230,0,MATCH(P$2,Inputs!$K$4:$AJ$4,0)))+SUMPRODUCT((Inputs!$E$5:$E$230=$B7)*Inputs!$F$5:$F$230*(((Inputs!$G$5:$G$230="moeda")+(Inputs!$G$5:$G$230="acoes"))*Inputs!$B$1+((Inputs!$G$5:$G$230&lt;&gt;"moeda")*(Inputs!$G$5:$G$230&lt;&gt;"acoes")))*INDEX(Inputs!$K$5:$AJ$230,0,MATCH(P$2,Inputs!$K$4:$AJ$4,0)))))</f>
        <v>-40.913</v>
      </c>
      <c r="Q7" s="6">
        <f>IF(ISNA(MATCH(Q$2,Inputs!$K$4:$AJ$4,0)),NA(),IF(SUMPRODUCT((Inputs!$A$5:$A$230=$B7)*ISNUMBER(INDEX(Inputs!$K$5:$AJ$230,0,MATCH(Q$2,Inputs!$K$4:$AJ$4,0))))+SUMPRODUCT((Inputs!$C$5:$C$230=$B7)*ISNUMBER(INDEX(Inputs!$K$5:$AJ$230,0,MATCH(Q$2,Inputs!$K$4:$AJ$4,0))))+SUMPRODUCT((Inputs!$E$5:$E$230=$B7)*ISNUMBER(INDEX(Inputs!$K$5:$AJ$230,0,MATCH(Q$2,Inputs!$K$4:$AJ$4,0))))=0,NA(),SUMPRODUCT((Inputs!$A$5:$A$230=$B7)*Inputs!$B$5:$B$230*(((Inputs!$G$5:$G$230="moeda")+(Inputs!$G$5:$G$230="acoes"))*Inputs!$B$1+((Inputs!$G$5:$G$230&lt;&gt;"moeda")*(Inputs!$G$5:$G$230&lt;&gt;"acoes")))*INDEX(Inputs!$K$5:$AJ$230,0,MATCH(Q$2,Inputs!$K$4:$AJ$4,0)))+SUMPRODUCT((Inputs!$C$5:$C$230=$B7)*Inputs!$D$5:$D$230*(((Inputs!$G$5:$G$230="moeda")+(Inputs!$G$5:$G$230="acoes"))*Inputs!$B$1+((Inputs!$G$5:$G$230&lt;&gt;"moeda")*(Inputs!$G$5:$G$230&lt;&gt;"acoes")))*INDEX(Inputs!$K$5:$AJ$230,0,MATCH(Q$2,Inputs!$K$4:$AJ$4,0)))+SUMPRODUCT((Inputs!$E$5:$E$230=$B7)*Inputs!$F$5:$F$230*(((Inputs!$G$5:$G$230="moeda")+(Inputs!$G$5:$G$230="acoes"))*Inputs!$B$1+((Inputs!$G$5:$G$230&lt;&gt;"moeda")*(Inputs!$G$5:$G$230&lt;&gt;"acoes")))*INDEX(Inputs!$K$5:$AJ$230,0,MATCH(Q$2,Inputs!$K$4:$AJ$4,0)))))</f>
        <v>-41.867</v>
      </c>
      <c r="R7" s="3">
        <f>SUM(N7:Q7)</f>
        <v>-153.912</v>
      </c>
      <c r="S7" s="6">
        <f>IF(ISNA(MATCH(S$2,Inputs!$K$4:$AJ$4,0)),NA(),IF(SUMPRODUCT((Inputs!$A$5:$A$230=$B7)*ISNUMBER(INDEX(Inputs!$K$5:$AJ$230,0,MATCH(S$2,Inputs!$K$4:$AJ$4,0))))+SUMPRODUCT((Inputs!$C$5:$C$230=$B7)*ISNUMBER(INDEX(Inputs!$K$5:$AJ$230,0,MATCH(S$2,Inputs!$K$4:$AJ$4,0))))+SUMPRODUCT((Inputs!$E$5:$E$230=$B7)*ISNUMBER(INDEX(Inputs!$K$5:$AJ$230,0,MATCH(S$2,Inputs!$K$4:$AJ$4,0))))=0,NA(),SUMPRODUCT((Inputs!$A$5:$A$230=$B7)*Inputs!$B$5:$B$230*(((Inputs!$G$5:$G$230="moeda")+(Inputs!$G$5:$G$230="acoes"))*Inputs!$B$1+((Inputs!$G$5:$G$230&lt;&gt;"moeda")*(Inputs!$G$5:$G$230&lt;&gt;"acoes")))*INDEX(Inputs!$K$5:$AJ$230,0,MATCH(S$2,Inputs!$K$4:$AJ$4,0)))+SUMPRODUCT((Inputs!$C$5:$C$230=$B7)*Inputs!$D$5:$D$230*(((Inputs!$G$5:$G$230="moeda")+(Inputs!$G$5:$G$230="acoes"))*Inputs!$B$1+((Inputs!$G$5:$G$230&lt;&gt;"moeda")*(Inputs!$G$5:$G$230&lt;&gt;"acoes")))*INDEX(Inputs!$K$5:$AJ$230,0,MATCH(S$2,Inputs!$K$4:$AJ$4,0)))+SUMPRODUCT((Inputs!$E$5:$E$230=$B7)*Inputs!$F$5:$F$230*(((Inputs!$G$5:$G$230="moeda")+(Inputs!$G$5:$G$230="acoes"))*Inputs!$B$1+((Inputs!$G$5:$G$230&lt;&gt;"moeda")*(Inputs!$G$5:$G$230&lt;&gt;"acoes")))*INDEX(Inputs!$K$5:$AJ$230,0,MATCH(S$2,Inputs!$K$4:$AJ$4,0)))))</f>
        <v>-42.888</v>
      </c>
      <c r="T7" s="6">
        <f>IF(ISNA(MATCH(T$2,Inputs!$K$4:$AJ$4,0)),NA(),IF(SUMPRODUCT((Inputs!$A$5:$A$230=$B7)*ISNUMBER(INDEX(Inputs!$K$5:$AJ$230,0,MATCH(T$2,Inputs!$K$4:$AJ$4,0))))+SUMPRODUCT((Inputs!$C$5:$C$230=$B7)*ISNUMBER(INDEX(Inputs!$K$5:$AJ$230,0,MATCH(T$2,Inputs!$K$4:$AJ$4,0))))+SUMPRODUCT((Inputs!$E$5:$E$230=$B7)*ISNUMBER(INDEX(Inputs!$K$5:$AJ$230,0,MATCH(T$2,Inputs!$K$4:$AJ$4,0))))=0,NA(),SUMPRODUCT((Inputs!$A$5:$A$230=$B7)*Inputs!$B$5:$B$230*(((Inputs!$G$5:$G$230="moeda")+(Inputs!$G$5:$G$230="acoes"))*Inputs!$B$1+((Inputs!$G$5:$G$230&lt;&gt;"moeda")*(Inputs!$G$5:$G$230&lt;&gt;"acoes")))*INDEX(Inputs!$K$5:$AJ$230,0,MATCH(T$2,Inputs!$K$4:$AJ$4,0)))+SUMPRODUCT((Inputs!$C$5:$C$230=$B7)*Inputs!$D$5:$D$230*(((Inputs!$G$5:$G$230="moeda")+(Inputs!$G$5:$G$230="acoes"))*Inputs!$B$1+((Inputs!$G$5:$G$230&lt;&gt;"moeda")*(Inputs!$G$5:$G$230&lt;&gt;"acoes")))*INDEX(Inputs!$K$5:$AJ$230,0,MATCH(T$2,Inputs!$K$4:$AJ$4,0)))+SUMPRODUCT((Inputs!$E$5:$E$230=$B7)*Inputs!$F$5:$F$230*(((Inputs!$G$5:$G$230="moeda")+(Inputs!$G$5:$G$230="acoes"))*Inputs!$B$1+((Inputs!$G$5:$G$230&lt;&gt;"moeda")*(Inputs!$G$5:$G$230&lt;&gt;"acoes")))*INDEX(Inputs!$K$5:$AJ$230,0,MATCH(T$2,Inputs!$K$4:$AJ$4,0)))))</f>
        <v>-43.985</v>
      </c>
      <c r="U7" s="6">
        <f>IF(ISNA(MATCH(U$2,Inputs!$K$4:$AJ$4,0)),NA(),IF(SUMPRODUCT((Inputs!$A$5:$A$230=$B7)*ISNUMBER(INDEX(Inputs!$K$5:$AJ$230,0,MATCH(U$2,Inputs!$K$4:$AJ$4,0))))+SUMPRODUCT((Inputs!$C$5:$C$230=$B7)*ISNUMBER(INDEX(Inputs!$K$5:$AJ$230,0,MATCH(U$2,Inputs!$K$4:$AJ$4,0))))+SUMPRODUCT((Inputs!$E$5:$E$230=$B7)*ISNUMBER(INDEX(Inputs!$K$5:$AJ$230,0,MATCH(U$2,Inputs!$K$4:$AJ$4,0))))=0,NA(),SUMPRODUCT((Inputs!$A$5:$A$230=$B7)*Inputs!$B$5:$B$230*(((Inputs!$G$5:$G$230="moeda")+(Inputs!$G$5:$G$230="acoes"))*Inputs!$B$1+((Inputs!$G$5:$G$230&lt;&gt;"moeda")*(Inputs!$G$5:$G$230&lt;&gt;"acoes")))*INDEX(Inputs!$K$5:$AJ$230,0,MATCH(U$2,Inputs!$K$4:$AJ$4,0)))+SUMPRODUCT((Inputs!$C$5:$C$230=$B7)*Inputs!$D$5:$D$230*(((Inputs!$G$5:$G$230="moeda")+(Inputs!$G$5:$G$230="acoes"))*Inputs!$B$1+((Inputs!$G$5:$G$230&lt;&gt;"moeda")*(Inputs!$G$5:$G$230&lt;&gt;"acoes")))*INDEX(Inputs!$K$5:$AJ$230,0,MATCH(U$2,Inputs!$K$4:$AJ$4,0)))+SUMPRODUCT((Inputs!$E$5:$E$230=$B7)*Inputs!$F$5:$F$230*(((Inputs!$G$5:$G$230="moeda")+(Inputs!$G$5:$G$230="acoes"))*Inputs!$B$1+((Inputs!$G$5:$G$230&lt;&gt;"moeda")*(Inputs!$G$5:$G$230&lt;&gt;"acoes")))*INDEX(Inputs!$K$5:$AJ$230,0,MATCH(U$2,Inputs!$K$4:$AJ$4,0)))))</f>
        <v>-45.859</v>
      </c>
      <c r="V7" s="6">
        <f>IF(ISNA(MATCH(V$2,Inputs!$K$4:$AJ$4,0)),NA(),IF(SUMPRODUCT((Inputs!$A$5:$A$230=$B7)*ISNUMBER(INDEX(Inputs!$K$5:$AJ$230,0,MATCH(V$2,Inputs!$K$4:$AJ$4,0))))+SUMPRODUCT((Inputs!$C$5:$C$230=$B7)*ISNUMBER(INDEX(Inputs!$K$5:$AJ$230,0,MATCH(V$2,Inputs!$K$4:$AJ$4,0))))+SUMPRODUCT((Inputs!$E$5:$E$230=$B7)*ISNUMBER(INDEX(Inputs!$K$5:$AJ$230,0,MATCH(V$2,Inputs!$K$4:$AJ$4,0))))=0,NA(),SUMPRODUCT((Inputs!$A$5:$A$230=$B7)*Inputs!$B$5:$B$230*(((Inputs!$G$5:$G$230="moeda")+(Inputs!$G$5:$G$230="acoes"))*Inputs!$B$1+((Inputs!$G$5:$G$230&lt;&gt;"moeda")*(Inputs!$G$5:$G$230&lt;&gt;"acoes")))*INDEX(Inputs!$K$5:$AJ$230,0,MATCH(V$2,Inputs!$K$4:$AJ$4,0)))+SUMPRODUCT((Inputs!$C$5:$C$230=$B7)*Inputs!$D$5:$D$230*(((Inputs!$G$5:$G$230="moeda")+(Inputs!$G$5:$G$230="acoes"))*Inputs!$B$1+((Inputs!$G$5:$G$230&lt;&gt;"moeda")*(Inputs!$G$5:$G$230&lt;&gt;"acoes")))*INDEX(Inputs!$K$5:$AJ$230,0,MATCH(V$2,Inputs!$K$4:$AJ$4,0)))+SUMPRODUCT((Inputs!$E$5:$E$230=$B7)*Inputs!$F$5:$F$230*(((Inputs!$G$5:$G$230="moeda")+(Inputs!$G$5:$G$230="acoes"))*Inputs!$B$1+((Inputs!$G$5:$G$230&lt;&gt;"moeda")*(Inputs!$G$5:$G$230&lt;&gt;"acoes")))*INDEX(Inputs!$K$5:$AJ$230,0,MATCH(V$2,Inputs!$K$4:$AJ$4,0)))))</f>
        <v>-45.423</v>
      </c>
      <c r="W7" s="3">
        <f>SUM(S7:V7)</f>
        <v>-178.155</v>
      </c>
      <c r="X7" s="6">
        <f>IF(ISNA(MATCH(X$2,Inputs!$K$4:$AJ$4,0)),NA(),IF(SUMPRODUCT((Inputs!$A$5:$A$230=$B7)*ISNUMBER(INDEX(Inputs!$K$5:$AJ$230,0,MATCH(X$2,Inputs!$K$4:$AJ$4,0))))+SUMPRODUCT((Inputs!$C$5:$C$230=$B7)*ISNUMBER(INDEX(Inputs!$K$5:$AJ$230,0,MATCH(X$2,Inputs!$K$4:$AJ$4,0))))+SUMPRODUCT((Inputs!$E$5:$E$230=$B7)*ISNUMBER(INDEX(Inputs!$K$5:$AJ$230,0,MATCH(X$2,Inputs!$K$4:$AJ$4,0))))=0,NA(),SUMPRODUCT((Inputs!$A$5:$A$230=$B7)*Inputs!$B$5:$B$230*(((Inputs!$G$5:$G$230="moeda")+(Inputs!$G$5:$G$230="acoes"))*Inputs!$B$1+((Inputs!$G$5:$G$230&lt;&gt;"moeda")*(Inputs!$G$5:$G$230&lt;&gt;"acoes")))*INDEX(Inputs!$K$5:$AJ$230,0,MATCH(X$2,Inputs!$K$4:$AJ$4,0)))+SUMPRODUCT((Inputs!$C$5:$C$230=$B7)*Inputs!$D$5:$D$230*(((Inputs!$G$5:$G$230="moeda")+(Inputs!$G$5:$G$230="acoes"))*Inputs!$B$1+((Inputs!$G$5:$G$230&lt;&gt;"moeda")*(Inputs!$G$5:$G$230&lt;&gt;"acoes")))*INDEX(Inputs!$K$5:$AJ$230,0,MATCH(X$2,Inputs!$K$4:$AJ$4,0)))+SUMPRODUCT((Inputs!$E$5:$E$230=$B7)*Inputs!$F$5:$F$230*(((Inputs!$G$5:$G$230="moeda")+(Inputs!$G$5:$G$230="acoes"))*Inputs!$B$1+((Inputs!$G$5:$G$230&lt;&gt;"moeda")*(Inputs!$G$5:$G$230&lt;&gt;"acoes")))*INDEX(Inputs!$K$5:$AJ$230,0,MATCH(X$2,Inputs!$K$4:$AJ$4,0)))))</f>
        <v>-41.263</v>
      </c>
      <c r="Y7" s="6">
        <f>IF(ISNA(MATCH(Y$2,Inputs!$K$4:$AJ$4,0)),NA(),IF(SUMPRODUCT((Inputs!$A$5:$A$230=$B7)*ISNUMBER(INDEX(Inputs!$K$5:$AJ$230,0,MATCH(Y$2,Inputs!$K$4:$AJ$4,0))))+SUMPRODUCT((Inputs!$C$5:$C$230=$B7)*ISNUMBER(INDEX(Inputs!$K$5:$AJ$230,0,MATCH(Y$2,Inputs!$K$4:$AJ$4,0))))+SUMPRODUCT((Inputs!$E$5:$E$230=$B7)*ISNUMBER(INDEX(Inputs!$K$5:$AJ$230,0,MATCH(Y$2,Inputs!$K$4:$AJ$4,0))))=0,NA(),SUMPRODUCT((Inputs!$A$5:$A$230=$B7)*Inputs!$B$5:$B$230*(((Inputs!$G$5:$G$230="moeda")+(Inputs!$G$5:$G$230="acoes"))*Inputs!$B$1+((Inputs!$G$5:$G$230&lt;&gt;"moeda")*(Inputs!$G$5:$G$230&lt;&gt;"acoes")))*INDEX(Inputs!$K$5:$AJ$230,0,MATCH(Y$2,Inputs!$K$4:$AJ$4,0)))+SUMPRODUCT((Inputs!$C$5:$C$230=$B7)*Inputs!$D$5:$D$230*(((Inputs!$G$5:$G$230="moeda")+(Inputs!$G$5:$G$230="acoes"))*Inputs!$B$1+((Inputs!$G$5:$G$230&lt;&gt;"moeda")*(Inputs!$G$5:$G$230&lt;&gt;"acoes")))*INDEX(Inputs!$K$5:$AJ$230,0,MATCH(Y$2,Inputs!$K$4:$AJ$4,0)))+SUMPRODUCT((Inputs!$E$5:$E$230=$B7)*Inputs!$F$5:$F$230*(((Inputs!$G$5:$G$230="moeda")+(Inputs!$G$5:$G$230="acoes"))*Inputs!$B$1+((Inputs!$G$5:$G$230&lt;&gt;"moeda")*(Inputs!$G$5:$G$230&lt;&gt;"acoes")))*INDEX(Inputs!$K$5:$AJ$230,0,MATCH(Y$2,Inputs!$K$4:$AJ$4,0)))))</f>
        <v>-45.418</v>
      </c>
      <c r="Z7" s="6">
        <f>IF(ISNA(MATCH(Z$2,Inputs!$K$4:$AJ$4,0)),NA(),IF(SUMPRODUCT((Inputs!$A$5:$A$230=$B7)*ISNUMBER(INDEX(Inputs!$K$5:$AJ$230,0,MATCH(Z$2,Inputs!$K$4:$AJ$4,0))))+SUMPRODUCT((Inputs!$C$5:$C$230=$B7)*ISNUMBER(INDEX(Inputs!$K$5:$AJ$230,0,MATCH(Z$2,Inputs!$K$4:$AJ$4,0))))+SUMPRODUCT((Inputs!$E$5:$E$230=$B7)*ISNUMBER(INDEX(Inputs!$K$5:$AJ$230,0,MATCH(Z$2,Inputs!$K$4:$AJ$4,0))))=0,NA(),SUMPRODUCT((Inputs!$A$5:$A$230=$B7)*Inputs!$B$5:$B$230*(((Inputs!$G$5:$G$230="moeda")+(Inputs!$G$5:$G$230="acoes"))*Inputs!$B$1+((Inputs!$G$5:$G$230&lt;&gt;"moeda")*(Inputs!$G$5:$G$230&lt;&gt;"acoes")))*INDEX(Inputs!$K$5:$AJ$230,0,MATCH(Z$2,Inputs!$K$4:$AJ$4,0)))+SUMPRODUCT((Inputs!$C$5:$C$230=$B7)*Inputs!$D$5:$D$230*(((Inputs!$G$5:$G$230="moeda")+(Inputs!$G$5:$G$230="acoes"))*Inputs!$B$1+((Inputs!$G$5:$G$230&lt;&gt;"moeda")*(Inputs!$G$5:$G$230&lt;&gt;"acoes")))*INDEX(Inputs!$K$5:$AJ$230,0,MATCH(Z$2,Inputs!$K$4:$AJ$4,0)))+SUMPRODUCT((Inputs!$E$5:$E$230=$B7)*Inputs!$F$5:$F$230*(((Inputs!$G$5:$G$230="moeda")+(Inputs!$G$5:$G$230="acoes"))*Inputs!$B$1+((Inputs!$G$5:$G$230&lt;&gt;"moeda")*(Inputs!$G$5:$G$230&lt;&gt;"acoes")))*INDEX(Inputs!$K$5:$AJ$230,0,MATCH(Z$2,Inputs!$K$4:$AJ$4,0)))))</f>
        <v>-47.651</v>
      </c>
      <c r="AA7" s="6">
        <f>IF(ISNA(MATCH(AA$2,Inputs!$K$4:$AJ$4,0)),NA(),IF(SUMPRODUCT((Inputs!$A$5:$A$230=$B7)*ISNUMBER(INDEX(Inputs!$K$5:$AJ$230,0,MATCH(AA$2,Inputs!$K$4:$AJ$4,0))))+SUMPRODUCT((Inputs!$C$5:$C$230=$B7)*ISNUMBER(INDEX(Inputs!$K$5:$AJ$230,0,MATCH(AA$2,Inputs!$K$4:$AJ$4,0))))+SUMPRODUCT((Inputs!$E$5:$E$230=$B7)*ISNUMBER(INDEX(Inputs!$K$5:$AJ$230,0,MATCH(AA$2,Inputs!$K$4:$AJ$4,0))))=0,NA(),SUMPRODUCT((Inputs!$A$5:$A$230=$B7)*Inputs!$B$5:$B$230*(((Inputs!$G$5:$G$230="moeda")+(Inputs!$G$5:$G$230="acoes"))*Inputs!$B$1+((Inputs!$G$5:$G$230&lt;&gt;"moeda")*(Inputs!$G$5:$G$230&lt;&gt;"acoes")))*INDEX(Inputs!$K$5:$AJ$230,0,MATCH(AA$2,Inputs!$K$4:$AJ$4,0)))+SUMPRODUCT((Inputs!$C$5:$C$230=$B7)*Inputs!$D$5:$D$230*(((Inputs!$G$5:$G$230="moeda")+(Inputs!$G$5:$G$230="acoes"))*Inputs!$B$1+((Inputs!$G$5:$G$230&lt;&gt;"moeda")*(Inputs!$G$5:$G$230&lt;&gt;"acoes")))*INDEX(Inputs!$K$5:$AJ$230,0,MATCH(AA$2,Inputs!$K$4:$AJ$4,0)))+SUMPRODUCT((Inputs!$E$5:$E$230=$B7)*Inputs!$F$5:$F$230*(((Inputs!$G$5:$G$230="moeda")+(Inputs!$G$5:$G$230="acoes"))*Inputs!$B$1+((Inputs!$G$5:$G$230&lt;&gt;"moeda")*(Inputs!$G$5:$G$230&lt;&gt;"acoes")))*INDEX(Inputs!$K$5:$AJ$230,0,MATCH(AA$2,Inputs!$K$4:$AJ$4,0)))))</f>
        <v>-51.46</v>
      </c>
      <c r="AB7" s="3">
        <f>SUM(X7:AA7)</f>
        <v>-185.792</v>
      </c>
      <c r="AC7" s="6">
        <f>IF(ISNA(MATCH(AC$2,Inputs!$K$4:$AJ$4,0)),NA(),IF(SUMPRODUCT((Inputs!$A$5:$A$230=$B7)*ISNUMBER(INDEX(Inputs!$K$5:$AJ$230,0,MATCH(AC$2,Inputs!$K$4:$AJ$4,0))))+SUMPRODUCT((Inputs!$C$5:$C$230=$B7)*ISNUMBER(INDEX(Inputs!$K$5:$AJ$230,0,MATCH(AC$2,Inputs!$K$4:$AJ$4,0))))+SUMPRODUCT((Inputs!$E$5:$E$230=$B7)*ISNUMBER(INDEX(Inputs!$K$5:$AJ$230,0,MATCH(AC$2,Inputs!$K$4:$AJ$4,0))))=0,NA(),SUMPRODUCT((Inputs!$A$5:$A$230=$B7)*Inputs!$B$5:$B$230*(((Inputs!$G$5:$G$230="moeda")+(Inputs!$G$5:$G$230="acoes"))*Inputs!$B$1+((Inputs!$G$5:$G$230&lt;&gt;"moeda")*(Inputs!$G$5:$G$230&lt;&gt;"acoes")))*INDEX(Inputs!$K$5:$AJ$230,0,MATCH(AC$2,Inputs!$K$4:$AJ$4,0)))+SUMPRODUCT((Inputs!$C$5:$C$230=$B7)*Inputs!$D$5:$D$230*(((Inputs!$G$5:$G$230="moeda")+(Inputs!$G$5:$G$230="acoes"))*Inputs!$B$1+((Inputs!$G$5:$G$230&lt;&gt;"moeda")*(Inputs!$G$5:$G$230&lt;&gt;"acoes")))*INDEX(Inputs!$K$5:$AJ$230,0,MATCH(AC$2,Inputs!$K$4:$AJ$4,0)))+SUMPRODUCT((Inputs!$E$5:$E$230=$B7)*Inputs!$F$5:$F$230*(((Inputs!$G$5:$G$230="moeda")+(Inputs!$G$5:$G$230="acoes"))*Inputs!$B$1+((Inputs!$G$5:$G$230&lt;&gt;"moeda")*(Inputs!$G$5:$G$230&lt;&gt;"acoes")))*INDEX(Inputs!$K$5:$AJ$230,0,MATCH(AC$2,Inputs!$K$4:$AJ$4,0)))))</f>
        <v>-56.114</v>
      </c>
      <c r="AD7" s="6">
        <f>IF(ISNA(MATCH(AD$2,Inputs!$K$4:$AJ$4,0)),NA(),IF(SUMPRODUCT((Inputs!$A$5:$A$230=$B7)*ISNUMBER(INDEX(Inputs!$K$5:$AJ$230,0,MATCH(AD$2,Inputs!$K$4:$AJ$4,0))))+SUMPRODUCT((Inputs!$C$5:$C$230=$B7)*ISNUMBER(INDEX(Inputs!$K$5:$AJ$230,0,MATCH(AD$2,Inputs!$K$4:$AJ$4,0))))+SUMPRODUCT((Inputs!$E$5:$E$230=$B7)*ISNUMBER(INDEX(Inputs!$K$5:$AJ$230,0,MATCH(AD$2,Inputs!$K$4:$AJ$4,0))))=0,NA(),SUMPRODUCT((Inputs!$A$5:$A$230=$B7)*Inputs!$B$5:$B$230*(((Inputs!$G$5:$G$230="moeda")+(Inputs!$G$5:$G$230="acoes"))*Inputs!$B$1+((Inputs!$G$5:$G$230&lt;&gt;"moeda")*(Inputs!$G$5:$G$230&lt;&gt;"acoes")))*INDEX(Inputs!$K$5:$AJ$230,0,MATCH(AD$2,Inputs!$K$4:$AJ$4,0)))+SUMPRODUCT((Inputs!$C$5:$C$230=$B7)*Inputs!$D$5:$D$230*(((Inputs!$G$5:$G$230="moeda")+(Inputs!$G$5:$G$230="acoes"))*Inputs!$B$1+((Inputs!$G$5:$G$230&lt;&gt;"moeda")*(Inputs!$G$5:$G$230&lt;&gt;"acoes")))*INDEX(Inputs!$K$5:$AJ$230,0,MATCH(AD$2,Inputs!$K$4:$AJ$4,0)))+SUMPRODUCT((Inputs!$E$5:$E$230=$B7)*Inputs!$F$5:$F$230*(((Inputs!$G$5:$G$230="moeda")+(Inputs!$G$5:$G$230="acoes"))*Inputs!$B$1+((Inputs!$G$5:$G$230&lt;&gt;"moeda")*(Inputs!$G$5:$G$230&lt;&gt;"acoes")))*INDEX(Inputs!$K$5:$AJ$230,0,MATCH(AD$2,Inputs!$K$4:$AJ$4,0)))))</f>
        <v>-51.589</v>
      </c>
      <c r="AE7" s="6" t="e">
        <f>IF(ISNA(MATCH(AE$2,Inputs!$K$4:$AJ$4,0)),NA(),IF(SUMPRODUCT((Inputs!$A$5:$A$230=$B7)*ISNUMBER(INDEX(Inputs!$K$5:$AJ$230,0,MATCH(AE$2,Inputs!$K$4:$AJ$4,0))))+SUMPRODUCT((Inputs!$C$5:$C$230=$B7)*ISNUMBER(INDEX(Inputs!$K$5:$AJ$230,0,MATCH(AE$2,Inputs!$K$4:$AJ$4,0))))+SUMPRODUCT((Inputs!$E$5:$E$230=$B7)*ISNUMBER(INDEX(Inputs!$K$5:$AJ$230,0,MATCH(AE$2,Inputs!$K$4:$AJ$4,0))))=0,NA(),SUMPRODUCT((Inputs!$A$5:$A$230=$B7)*Inputs!$B$5:$B$230*(((Inputs!$G$5:$G$230="moeda")+(Inputs!$G$5:$G$230="acoes"))*Inputs!$B$1+((Inputs!$G$5:$G$230&lt;&gt;"moeda")*(Inputs!$G$5:$G$230&lt;&gt;"acoes")))*INDEX(Inputs!$K$5:$AJ$230,0,MATCH(AE$2,Inputs!$K$4:$AJ$4,0)))+SUMPRODUCT((Inputs!$C$5:$C$230=$B7)*Inputs!$D$5:$D$230*(((Inputs!$G$5:$G$230="moeda")+(Inputs!$G$5:$G$230="acoes"))*Inputs!$B$1+((Inputs!$G$5:$G$230&lt;&gt;"moeda")*(Inputs!$G$5:$G$230&lt;&gt;"acoes")))*INDEX(Inputs!$K$5:$AJ$230,0,MATCH(AE$2,Inputs!$K$4:$AJ$4,0)))+SUMPRODUCT((Inputs!$E$5:$E$230=$B7)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" s="6" t="e">
        <f>IF(ISNA(MATCH(AF$2,Inputs!$K$4:$AJ$4,0)),NA(),IF(SUMPRODUCT((Inputs!$A$5:$A$230=$B7)*ISNUMBER(INDEX(Inputs!$K$5:$AJ$230,0,MATCH(AF$2,Inputs!$K$4:$AJ$4,0))))+SUMPRODUCT((Inputs!$C$5:$C$230=$B7)*ISNUMBER(INDEX(Inputs!$K$5:$AJ$230,0,MATCH(AF$2,Inputs!$K$4:$AJ$4,0))))+SUMPRODUCT((Inputs!$E$5:$E$230=$B7)*ISNUMBER(INDEX(Inputs!$K$5:$AJ$230,0,MATCH(AF$2,Inputs!$K$4:$AJ$4,0))))=0,NA(),SUMPRODUCT((Inputs!$A$5:$A$230=$B7)*Inputs!$B$5:$B$230*(((Inputs!$G$5:$G$230="moeda")+(Inputs!$G$5:$G$230="acoes"))*Inputs!$B$1+((Inputs!$G$5:$G$230&lt;&gt;"moeda")*(Inputs!$G$5:$G$230&lt;&gt;"acoes")))*INDEX(Inputs!$K$5:$AJ$230,0,MATCH(AF$2,Inputs!$K$4:$AJ$4,0)))+SUMPRODUCT((Inputs!$C$5:$C$230=$B7)*Inputs!$D$5:$D$230*(((Inputs!$G$5:$G$230="moeda")+(Inputs!$G$5:$G$230="acoes"))*Inputs!$B$1+((Inputs!$G$5:$G$230&lt;&gt;"moeda")*(Inputs!$G$5:$G$230&lt;&gt;"acoes")))*INDEX(Inputs!$K$5:$AJ$230,0,MATCH(AF$2,Inputs!$K$4:$AJ$4,0)))+SUMPRODUCT((Inputs!$E$5:$E$230=$B7)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" s="3" t="e">
        <f>SUM(AC7:AF7)</f>
        <v>#N/A</v>
      </c>
      <c r="AH7" s="6">
        <f>IF(ISNA(MATCH(AH$2,Inputs!$K$4:$AJ$4,0)),NA(),IF(SUMPRODUCT((Inputs!$A$5:$A$230=$B7)*ISNUMBER(INDEX(Inputs!$K$5:$AJ$230,0,MATCH(AH$2,Inputs!$K$4:$AJ$4,0))))+SUMPRODUCT((Inputs!$C$5:$C$230=$B7)*ISNUMBER(INDEX(Inputs!$K$5:$AJ$230,0,MATCH(AH$2,Inputs!$K$4:$AJ$4,0))))+SUMPRODUCT((Inputs!$E$5:$E$230=$B7)*ISNUMBER(INDEX(Inputs!$K$5:$AJ$230,0,MATCH(AH$2,Inputs!$K$4:$AJ$4,0))))=0,NA(),SUMPRODUCT((Inputs!$A$5:$A$230=$B7)*Inputs!$B$5:$B$230*(((Inputs!$G$5:$G$230="moeda")+(Inputs!$G$5:$G$230="acoes"))*Inputs!$B$1+((Inputs!$G$5:$G$230&lt;&gt;"moeda")*(Inputs!$G$5:$G$230&lt;&gt;"acoes")))*INDEX(Inputs!$K$5:$AJ$230,0,MATCH(AH$2,Inputs!$K$4:$AJ$4,0)))+SUMPRODUCT((Inputs!$C$5:$C$230=$B7)*Inputs!$D$5:$D$230*(((Inputs!$G$5:$G$230="moeda")+(Inputs!$G$5:$G$230="acoes"))*Inputs!$B$1+((Inputs!$G$5:$G$230&lt;&gt;"moeda")*(Inputs!$G$5:$G$230&lt;&gt;"acoes")))*INDEX(Inputs!$K$5:$AJ$230,0,MATCH(AH$2,Inputs!$K$4:$AJ$4,0)))+SUMPRODUCT((Inputs!$E$5:$E$230=$B7)*Inputs!$F$5:$F$230*(((Inputs!$G$5:$G$230="moeda")+(Inputs!$G$5:$G$230="acoes"))*Inputs!$B$1+((Inputs!$G$5:$G$230&lt;&gt;"moeda")*(Inputs!$G$5:$G$230&lt;&gt;"acoes")))*INDEX(Inputs!$K$5:$AJ$230,0,MATCH(AH$2,Inputs!$K$4:$AJ$4,0)))))</f>
        <v>-27.964</v>
      </c>
      <c r="AI7" s="6">
        <f>IF(ISNA(MATCH(AI$2,Inputs!$K$4:$AJ$4,0)),NA(),IF(SUMPRODUCT((Inputs!$A$5:$A$230=$B7)*ISNUMBER(INDEX(Inputs!$K$5:$AJ$230,0,MATCH(AI$2,Inputs!$K$4:$AJ$4,0))))+SUMPRODUCT((Inputs!$C$5:$C$230=$B7)*ISNUMBER(INDEX(Inputs!$K$5:$AJ$230,0,MATCH(AI$2,Inputs!$K$4:$AJ$4,0))))+SUMPRODUCT((Inputs!$E$5:$E$230=$B7)*ISNUMBER(INDEX(Inputs!$K$5:$AJ$230,0,MATCH(AI$2,Inputs!$K$4:$AJ$4,0))))=0,NA(),SUMPRODUCT((Inputs!$A$5:$A$230=$B7)*Inputs!$B$5:$B$230*(((Inputs!$G$5:$G$230="moeda")+(Inputs!$G$5:$G$230="acoes"))*Inputs!$B$1+((Inputs!$G$5:$G$230&lt;&gt;"moeda")*(Inputs!$G$5:$G$230&lt;&gt;"acoes")))*INDEX(Inputs!$K$5:$AJ$230,0,MATCH(AI$2,Inputs!$K$4:$AJ$4,0)))+SUMPRODUCT((Inputs!$C$5:$C$230=$B7)*Inputs!$D$5:$D$230*(((Inputs!$G$5:$G$230="moeda")+(Inputs!$G$5:$G$230="acoes"))*Inputs!$B$1+((Inputs!$G$5:$G$230&lt;&gt;"moeda")*(Inputs!$G$5:$G$230&lt;&gt;"acoes")))*INDEX(Inputs!$K$5:$AJ$230,0,MATCH(AI$2,Inputs!$K$4:$AJ$4,0)))+SUMPRODUCT((Inputs!$E$5:$E$230=$B7)*Inputs!$F$5:$F$230*(((Inputs!$G$5:$G$230="moeda")+(Inputs!$G$5:$G$230="acoes"))*Inputs!$B$1+((Inputs!$G$5:$G$230&lt;&gt;"moeda")*(Inputs!$G$5:$G$230&lt;&gt;"acoes")))*INDEX(Inputs!$K$5:$AJ$230,0,MATCH(AI$2,Inputs!$K$4:$AJ$4,0)))))</f>
        <v>-49.987</v>
      </c>
      <c r="AJ7" s="6">
        <f>IF(ISNA(MATCH(AJ$2,Inputs!$K$4:$AJ$4,0)),NA(),IF(SUMPRODUCT((Inputs!$A$5:$A$230=$B7)*ISNUMBER(INDEX(Inputs!$K$5:$AJ$230,0,MATCH(AJ$2,Inputs!$K$4:$AJ$4,0))))+SUMPRODUCT((Inputs!$C$5:$C$230=$B7)*ISNUMBER(INDEX(Inputs!$K$5:$AJ$230,0,MATCH(AJ$2,Inputs!$K$4:$AJ$4,0))))+SUMPRODUCT((Inputs!$E$5:$E$230=$B7)*ISNUMBER(INDEX(Inputs!$K$5:$AJ$230,0,MATCH(AJ$2,Inputs!$K$4:$AJ$4,0))))=0,NA(),SUMPRODUCT((Inputs!$A$5:$A$230=$B7)*Inputs!$B$5:$B$230*(((Inputs!$G$5:$G$230="moeda")+(Inputs!$G$5:$G$230="acoes"))*Inputs!$B$1+((Inputs!$G$5:$G$230&lt;&gt;"moeda")*(Inputs!$G$5:$G$230&lt;&gt;"acoes")))*INDEX(Inputs!$K$5:$AJ$230,0,MATCH(AJ$2,Inputs!$K$4:$AJ$4,0)))+SUMPRODUCT((Inputs!$C$5:$C$230=$B7)*Inputs!$D$5:$D$230*(((Inputs!$G$5:$G$230="moeda")+(Inputs!$G$5:$G$230="acoes"))*Inputs!$B$1+((Inputs!$G$5:$G$230&lt;&gt;"moeda")*(Inputs!$G$5:$G$230&lt;&gt;"acoes")))*INDEX(Inputs!$K$5:$AJ$230,0,MATCH(AJ$2,Inputs!$K$4:$AJ$4,0)))+SUMPRODUCT((Inputs!$E$5:$E$230=$B7)*Inputs!$F$5:$F$230*(((Inputs!$G$5:$G$230="moeda")+(Inputs!$G$5:$G$230="acoes"))*Inputs!$B$1+((Inputs!$G$5:$G$230&lt;&gt;"moeda")*(Inputs!$G$5:$G$230&lt;&gt;"acoes")))*INDEX(Inputs!$K$5:$AJ$230,0,MATCH(AJ$2,Inputs!$K$4:$AJ$4,0)))))</f>
        <v>-28.455</v>
      </c>
      <c r="AK7" s="6">
        <f>IF(ISNA(MATCH(AK$2,Inputs!$K$4:$AJ$4,0)),NA(),IF(SUMPRODUCT((Inputs!$A$5:$A$230=$B7)*ISNUMBER(INDEX(Inputs!$K$5:$AJ$230,0,MATCH(AK$2,Inputs!$K$4:$AJ$4,0))))+SUMPRODUCT((Inputs!$C$5:$C$230=$B7)*ISNUMBER(INDEX(Inputs!$K$5:$AJ$230,0,MATCH(AK$2,Inputs!$K$4:$AJ$4,0))))+SUMPRODUCT((Inputs!$E$5:$E$230=$B7)*ISNUMBER(INDEX(Inputs!$K$5:$AJ$230,0,MATCH(AK$2,Inputs!$K$4:$AJ$4,0))))=0,NA(),SUMPRODUCT((Inputs!$A$5:$A$230=$B7)*Inputs!$B$5:$B$230*(((Inputs!$G$5:$G$230="moeda")+(Inputs!$G$5:$G$230="acoes"))*Inputs!$B$1+((Inputs!$G$5:$G$230&lt;&gt;"moeda")*(Inputs!$G$5:$G$230&lt;&gt;"acoes")))*INDEX(Inputs!$K$5:$AJ$230,0,MATCH(AK$2,Inputs!$K$4:$AJ$4,0)))+SUMPRODUCT((Inputs!$C$5:$C$230=$B7)*Inputs!$D$5:$D$230*(((Inputs!$G$5:$G$230="moeda")+(Inputs!$G$5:$G$230="acoes"))*Inputs!$B$1+((Inputs!$G$5:$G$230&lt;&gt;"moeda")*(Inputs!$G$5:$G$230&lt;&gt;"acoes")))*INDEX(Inputs!$K$5:$AJ$230,0,MATCH(AK$2,Inputs!$K$4:$AJ$4,0)))+SUMPRODUCT((Inputs!$E$5:$E$230=$B7)*Inputs!$F$5:$F$230*(((Inputs!$G$5:$G$230="moeda")+(Inputs!$G$5:$G$230="acoes"))*Inputs!$B$1+((Inputs!$G$5:$G$230&lt;&gt;"moeda")*(Inputs!$G$5:$G$230&lt;&gt;"acoes")))*INDEX(Inputs!$K$5:$AJ$230,0,MATCH(AK$2,Inputs!$K$4:$AJ$4,0)))))</f>
        <v>-28.779</v>
      </c>
      <c r="AL7" s="3">
        <f>SUM(AH7:AK7)</f>
        <v>-135.185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$230=$B8)*ISNUMBER(INDEX(Inputs!$K$5:$AJ$230,0,MATCH(D$2,Inputs!$K$4:$AJ$4,0))))+SUMPRODUCT((Inputs!$C$5:$C$230=$B8)*ISNUMBER(INDEX(Inputs!$K$5:$AJ$230,0,MATCH(D$2,Inputs!$K$4:$AJ$4,0))))+SUMPRODUCT((Inputs!$E$5:$E$230=$B8)*ISNUMBER(INDEX(Inputs!$K$5:$AJ$230,0,MATCH(D$2,Inputs!$K$4:$AJ$4,0))))=0,NA(),SUMPRODUCT((Inputs!$A$5:$A$230=$B8)*Inputs!$B$5:$B$230*(((Inputs!$G$5:$G$230="moeda")+(Inputs!$G$5:$G$230="acoes"))*Inputs!$B$1+((Inputs!$G$5:$G$230&lt;&gt;"moeda")*(Inputs!$G$5:$G$230&lt;&gt;"acoes")))*INDEX(Inputs!$K$5:$AJ$230,0,MATCH(D$2,Inputs!$K$4:$AJ$4,0)))+SUMPRODUCT((Inputs!$C$5:$C$230=$B8)*Inputs!$D$5:$D$230*(((Inputs!$G$5:$G$230="moeda")+(Inputs!$G$5:$G$230="acoes"))*Inputs!$B$1+((Inputs!$G$5:$G$230&lt;&gt;"moeda")*(Inputs!$G$5:$G$230&lt;&gt;"acoes")))*INDEX(Inputs!$K$5:$AJ$230,0,MATCH(D$2,Inputs!$K$4:$AJ$4,0)))+SUMPRODUCT((Inputs!$E$5:$E$230=$B8)*Inputs!$F$5:$F$230*(((Inputs!$G$5:$G$230="moeda")+(Inputs!$G$5:$G$230="acoes"))*Inputs!$B$1+((Inputs!$G$5:$G$230&lt;&gt;"moeda")*(Inputs!$G$5:$G$230&lt;&gt;"acoes")))*INDEX(Inputs!$K$5:$AJ$230,0,MATCH(D$2,Inputs!$K$4:$AJ$4,0)))))</f>
        <v>-181.976</v>
      </c>
      <c r="E8" s="6">
        <f>IF(ISNA(MATCH(E$2,Inputs!$K$4:$AJ$4,0)),NA(),IF(SUMPRODUCT((Inputs!$A$5:$A$230=$B8)*ISNUMBER(INDEX(Inputs!$K$5:$AJ$230,0,MATCH(E$2,Inputs!$K$4:$AJ$4,0))))+SUMPRODUCT((Inputs!$C$5:$C$230=$B8)*ISNUMBER(INDEX(Inputs!$K$5:$AJ$230,0,MATCH(E$2,Inputs!$K$4:$AJ$4,0))))+SUMPRODUCT((Inputs!$E$5:$E$230=$B8)*ISNUMBER(INDEX(Inputs!$K$5:$AJ$230,0,MATCH(E$2,Inputs!$K$4:$AJ$4,0))))=0,NA(),SUMPRODUCT((Inputs!$A$5:$A$230=$B8)*Inputs!$B$5:$B$230*(((Inputs!$G$5:$G$230="moeda")+(Inputs!$G$5:$G$230="acoes"))*Inputs!$B$1+((Inputs!$G$5:$G$230&lt;&gt;"moeda")*(Inputs!$G$5:$G$230&lt;&gt;"acoes")))*INDEX(Inputs!$K$5:$AJ$230,0,MATCH(E$2,Inputs!$K$4:$AJ$4,0)))+SUMPRODUCT((Inputs!$C$5:$C$230=$B8)*Inputs!$D$5:$D$230*(((Inputs!$G$5:$G$230="moeda")+(Inputs!$G$5:$G$230="acoes"))*Inputs!$B$1+((Inputs!$G$5:$G$230&lt;&gt;"moeda")*(Inputs!$G$5:$G$230&lt;&gt;"acoes")))*INDEX(Inputs!$K$5:$AJ$230,0,MATCH(E$2,Inputs!$K$4:$AJ$4,0)))+SUMPRODUCT((Inputs!$E$5:$E$230=$B8)*Inputs!$F$5:$F$230*(((Inputs!$G$5:$G$230="moeda")+(Inputs!$G$5:$G$230="acoes"))*Inputs!$B$1+((Inputs!$G$5:$G$230&lt;&gt;"moeda")*(Inputs!$G$5:$G$230&lt;&gt;"acoes")))*INDEX(Inputs!$K$5:$AJ$230,0,MATCH(E$2,Inputs!$K$4:$AJ$4,0)))))</f>
        <v>-186.631</v>
      </c>
      <c r="F8" s="6">
        <f>IF(ISNA(MATCH(F$2,Inputs!$K$4:$AJ$4,0)),NA(),IF(SUMPRODUCT((Inputs!$A$5:$A$230=$B8)*ISNUMBER(INDEX(Inputs!$K$5:$AJ$230,0,MATCH(F$2,Inputs!$K$4:$AJ$4,0))))+SUMPRODUCT((Inputs!$C$5:$C$230=$B8)*ISNUMBER(INDEX(Inputs!$K$5:$AJ$230,0,MATCH(F$2,Inputs!$K$4:$AJ$4,0))))+SUMPRODUCT((Inputs!$E$5:$E$230=$B8)*ISNUMBER(INDEX(Inputs!$K$5:$AJ$230,0,MATCH(F$2,Inputs!$K$4:$AJ$4,0))))=0,NA(),SUMPRODUCT((Inputs!$A$5:$A$230=$B8)*Inputs!$B$5:$B$230*(((Inputs!$G$5:$G$230="moeda")+(Inputs!$G$5:$G$230="acoes"))*Inputs!$B$1+((Inputs!$G$5:$G$230&lt;&gt;"moeda")*(Inputs!$G$5:$G$230&lt;&gt;"acoes")))*INDEX(Inputs!$K$5:$AJ$230,0,MATCH(F$2,Inputs!$K$4:$AJ$4,0)))+SUMPRODUCT((Inputs!$C$5:$C$230=$B8)*Inputs!$D$5:$D$230*(((Inputs!$G$5:$G$230="moeda")+(Inputs!$G$5:$G$230="acoes"))*Inputs!$B$1+((Inputs!$G$5:$G$230&lt;&gt;"moeda")*(Inputs!$G$5:$G$230&lt;&gt;"acoes")))*INDEX(Inputs!$K$5:$AJ$230,0,MATCH(F$2,Inputs!$K$4:$AJ$4,0)))+SUMPRODUCT((Inputs!$E$5:$E$230=$B8)*Inputs!$F$5:$F$230*(((Inputs!$G$5:$G$230="moeda")+(Inputs!$G$5:$G$230="acoes"))*Inputs!$B$1+((Inputs!$G$5:$G$230&lt;&gt;"moeda")*(Inputs!$G$5:$G$230&lt;&gt;"acoes")))*INDEX(Inputs!$K$5:$AJ$230,0,MATCH(F$2,Inputs!$K$4:$AJ$4,0)))))</f>
        <v>-237.76</v>
      </c>
      <c r="G8" s="6">
        <f>IF(ISNA(MATCH(G$2,Inputs!$K$4:$AJ$4,0)),NA(),IF(SUMPRODUCT((Inputs!$A$5:$A$230=$B8)*ISNUMBER(INDEX(Inputs!$K$5:$AJ$230,0,MATCH(G$2,Inputs!$K$4:$AJ$4,0))))+SUMPRODUCT((Inputs!$C$5:$C$230=$B8)*ISNUMBER(INDEX(Inputs!$K$5:$AJ$230,0,MATCH(G$2,Inputs!$K$4:$AJ$4,0))))+SUMPRODUCT((Inputs!$E$5:$E$230=$B8)*ISNUMBER(INDEX(Inputs!$K$5:$AJ$230,0,MATCH(G$2,Inputs!$K$4:$AJ$4,0))))=0,NA(),SUMPRODUCT((Inputs!$A$5:$A$230=$B8)*Inputs!$B$5:$B$230*(((Inputs!$G$5:$G$230="moeda")+(Inputs!$G$5:$G$230="acoes"))*Inputs!$B$1+((Inputs!$G$5:$G$230&lt;&gt;"moeda")*(Inputs!$G$5:$G$230&lt;&gt;"acoes")))*INDEX(Inputs!$K$5:$AJ$230,0,MATCH(G$2,Inputs!$K$4:$AJ$4,0)))+SUMPRODUCT((Inputs!$C$5:$C$230=$B8)*Inputs!$D$5:$D$230*(((Inputs!$G$5:$G$230="moeda")+(Inputs!$G$5:$G$230="acoes"))*Inputs!$B$1+((Inputs!$G$5:$G$230&lt;&gt;"moeda")*(Inputs!$G$5:$G$230&lt;&gt;"acoes")))*INDEX(Inputs!$K$5:$AJ$230,0,MATCH(G$2,Inputs!$K$4:$AJ$4,0)))+SUMPRODUCT((Inputs!$E$5:$E$230=$B8)*Inputs!$F$5:$F$230*(((Inputs!$G$5:$G$230="moeda")+(Inputs!$G$5:$G$230="acoes"))*Inputs!$B$1+((Inputs!$G$5:$G$230&lt;&gt;"moeda")*(Inputs!$G$5:$G$230&lt;&gt;"acoes")))*INDEX(Inputs!$K$5:$AJ$230,0,MATCH(G$2,Inputs!$K$4:$AJ$4,0)))))</f>
        <v>-278.357</v>
      </c>
      <c r="H8" s="3">
        <f>SUM(D8:G8)</f>
        <v>-884.724</v>
      </c>
      <c r="I8" s="6">
        <f>IF(ISNA(MATCH(I$2,Inputs!$K$4:$AJ$4,0)),NA(),IF(SUMPRODUCT((Inputs!$A$5:$A$230=$B8)*ISNUMBER(INDEX(Inputs!$K$5:$AJ$230,0,MATCH(I$2,Inputs!$K$4:$AJ$4,0))))+SUMPRODUCT((Inputs!$C$5:$C$230=$B8)*ISNUMBER(INDEX(Inputs!$K$5:$AJ$230,0,MATCH(I$2,Inputs!$K$4:$AJ$4,0))))+SUMPRODUCT((Inputs!$E$5:$E$230=$B8)*ISNUMBER(INDEX(Inputs!$K$5:$AJ$230,0,MATCH(I$2,Inputs!$K$4:$AJ$4,0))))=0,NA(),SUMPRODUCT((Inputs!$A$5:$A$230=$B8)*Inputs!$B$5:$B$230*(((Inputs!$G$5:$G$230="moeda")+(Inputs!$G$5:$G$230="acoes"))*Inputs!$B$1+((Inputs!$G$5:$G$230&lt;&gt;"moeda")*(Inputs!$G$5:$G$230&lt;&gt;"acoes")))*INDEX(Inputs!$K$5:$AJ$230,0,MATCH(I$2,Inputs!$K$4:$AJ$4,0)))+SUMPRODUCT((Inputs!$C$5:$C$230=$B8)*Inputs!$D$5:$D$230*(((Inputs!$G$5:$G$230="moeda")+(Inputs!$G$5:$G$230="acoes"))*Inputs!$B$1+((Inputs!$G$5:$G$230&lt;&gt;"moeda")*(Inputs!$G$5:$G$230&lt;&gt;"acoes")))*INDEX(Inputs!$K$5:$AJ$230,0,MATCH(I$2,Inputs!$K$4:$AJ$4,0)))+SUMPRODUCT((Inputs!$E$5:$E$230=$B8)*Inputs!$F$5:$F$230*(((Inputs!$G$5:$G$230="moeda")+(Inputs!$G$5:$G$230="acoes"))*Inputs!$B$1+((Inputs!$G$5:$G$230&lt;&gt;"moeda")*(Inputs!$G$5:$G$230&lt;&gt;"acoes")))*INDEX(Inputs!$K$5:$AJ$230,0,MATCH(I$2,Inputs!$K$4:$AJ$4,0)))))</f>
        <v>-330.641</v>
      </c>
      <c r="J8" s="6">
        <f>IF(ISNA(MATCH(J$2,Inputs!$K$4:$AJ$4,0)),NA(),IF(SUMPRODUCT((Inputs!$A$5:$A$230=$B8)*ISNUMBER(INDEX(Inputs!$K$5:$AJ$230,0,MATCH(J$2,Inputs!$K$4:$AJ$4,0))))+SUMPRODUCT((Inputs!$C$5:$C$230=$B8)*ISNUMBER(INDEX(Inputs!$K$5:$AJ$230,0,MATCH(J$2,Inputs!$K$4:$AJ$4,0))))+SUMPRODUCT((Inputs!$E$5:$E$230=$B8)*ISNUMBER(INDEX(Inputs!$K$5:$AJ$230,0,MATCH(J$2,Inputs!$K$4:$AJ$4,0))))=0,NA(),SUMPRODUCT((Inputs!$A$5:$A$230=$B8)*Inputs!$B$5:$B$230*(((Inputs!$G$5:$G$230="moeda")+(Inputs!$G$5:$G$230="acoes"))*Inputs!$B$1+((Inputs!$G$5:$G$230&lt;&gt;"moeda")*(Inputs!$G$5:$G$230&lt;&gt;"acoes")))*INDEX(Inputs!$K$5:$AJ$230,0,MATCH(J$2,Inputs!$K$4:$AJ$4,0)))+SUMPRODUCT((Inputs!$C$5:$C$230=$B8)*Inputs!$D$5:$D$230*(((Inputs!$G$5:$G$230="moeda")+(Inputs!$G$5:$G$230="acoes"))*Inputs!$B$1+((Inputs!$G$5:$G$230&lt;&gt;"moeda")*(Inputs!$G$5:$G$230&lt;&gt;"acoes")))*INDEX(Inputs!$K$5:$AJ$230,0,MATCH(J$2,Inputs!$K$4:$AJ$4,0)))+SUMPRODUCT((Inputs!$E$5:$E$230=$B8)*Inputs!$F$5:$F$230*(((Inputs!$G$5:$G$230="moeda")+(Inputs!$G$5:$G$230="acoes"))*Inputs!$B$1+((Inputs!$G$5:$G$230&lt;&gt;"moeda")*(Inputs!$G$5:$G$230&lt;&gt;"acoes")))*INDEX(Inputs!$K$5:$AJ$230,0,MATCH(J$2,Inputs!$K$4:$AJ$4,0)))))</f>
        <v>-370.837</v>
      </c>
      <c r="K8" s="6">
        <f>IF(ISNA(MATCH(K$2,Inputs!$K$4:$AJ$4,0)),NA(),IF(SUMPRODUCT((Inputs!$A$5:$A$230=$B8)*ISNUMBER(INDEX(Inputs!$K$5:$AJ$230,0,MATCH(K$2,Inputs!$K$4:$AJ$4,0))))+SUMPRODUCT((Inputs!$C$5:$C$230=$B8)*ISNUMBER(INDEX(Inputs!$K$5:$AJ$230,0,MATCH(K$2,Inputs!$K$4:$AJ$4,0))))+SUMPRODUCT((Inputs!$E$5:$E$230=$B8)*ISNUMBER(INDEX(Inputs!$K$5:$AJ$230,0,MATCH(K$2,Inputs!$K$4:$AJ$4,0))))=0,NA(),SUMPRODUCT((Inputs!$A$5:$A$230=$B8)*Inputs!$B$5:$B$230*(((Inputs!$G$5:$G$230="moeda")+(Inputs!$G$5:$G$230="acoes"))*Inputs!$B$1+((Inputs!$G$5:$G$230&lt;&gt;"moeda")*(Inputs!$G$5:$G$230&lt;&gt;"acoes")))*INDEX(Inputs!$K$5:$AJ$230,0,MATCH(K$2,Inputs!$K$4:$AJ$4,0)))+SUMPRODUCT((Inputs!$C$5:$C$230=$B8)*Inputs!$D$5:$D$230*(((Inputs!$G$5:$G$230="moeda")+(Inputs!$G$5:$G$230="acoes"))*Inputs!$B$1+((Inputs!$G$5:$G$230&lt;&gt;"moeda")*(Inputs!$G$5:$G$230&lt;&gt;"acoes")))*INDEX(Inputs!$K$5:$AJ$230,0,MATCH(K$2,Inputs!$K$4:$AJ$4,0)))+SUMPRODUCT((Inputs!$E$5:$E$230=$B8)*Inputs!$F$5:$F$230*(((Inputs!$G$5:$G$230="moeda")+(Inputs!$G$5:$G$230="acoes"))*Inputs!$B$1+((Inputs!$G$5:$G$230&lt;&gt;"moeda")*(Inputs!$G$5:$G$230&lt;&gt;"acoes")))*INDEX(Inputs!$K$5:$AJ$230,0,MATCH(K$2,Inputs!$K$4:$AJ$4,0)))))</f>
        <v>-191.864</v>
      </c>
      <c r="L8" s="6">
        <f>IF(ISNA(MATCH(L$2,Inputs!$K$4:$AJ$4,0)),NA(),IF(SUMPRODUCT((Inputs!$A$5:$A$230=$B8)*ISNUMBER(INDEX(Inputs!$K$5:$AJ$230,0,MATCH(L$2,Inputs!$K$4:$AJ$4,0))))+SUMPRODUCT((Inputs!$C$5:$C$230=$B8)*ISNUMBER(INDEX(Inputs!$K$5:$AJ$230,0,MATCH(L$2,Inputs!$K$4:$AJ$4,0))))+SUMPRODUCT((Inputs!$E$5:$E$230=$B8)*ISNUMBER(INDEX(Inputs!$K$5:$AJ$230,0,MATCH(L$2,Inputs!$K$4:$AJ$4,0))))=0,NA(),SUMPRODUCT((Inputs!$A$5:$A$230=$B8)*Inputs!$B$5:$B$230*(((Inputs!$G$5:$G$230="moeda")+(Inputs!$G$5:$G$230="acoes"))*Inputs!$B$1+((Inputs!$G$5:$G$230&lt;&gt;"moeda")*(Inputs!$G$5:$G$230&lt;&gt;"acoes")))*INDEX(Inputs!$K$5:$AJ$230,0,MATCH(L$2,Inputs!$K$4:$AJ$4,0)))+SUMPRODUCT((Inputs!$C$5:$C$230=$B8)*Inputs!$D$5:$D$230*(((Inputs!$G$5:$G$230="moeda")+(Inputs!$G$5:$G$230="acoes"))*Inputs!$B$1+((Inputs!$G$5:$G$230&lt;&gt;"moeda")*(Inputs!$G$5:$G$230&lt;&gt;"acoes")))*INDEX(Inputs!$K$5:$AJ$230,0,MATCH(L$2,Inputs!$K$4:$AJ$4,0)))+SUMPRODUCT((Inputs!$E$5:$E$230=$B8)*Inputs!$F$5:$F$230*(((Inputs!$G$5:$G$230="moeda")+(Inputs!$G$5:$G$230="acoes"))*Inputs!$B$1+((Inputs!$G$5:$G$230&lt;&gt;"moeda")*(Inputs!$G$5:$G$230&lt;&gt;"acoes")))*INDEX(Inputs!$K$5:$AJ$230,0,MATCH(L$2,Inputs!$K$4:$AJ$4,0)))))</f>
        <v>-287.488</v>
      </c>
      <c r="M8" s="3">
        <f>SUM(I8:L8)</f>
        <v>-1180.83</v>
      </c>
      <c r="N8" s="6">
        <f>IF(ISNA(MATCH(N$2,Inputs!$K$4:$AJ$4,0)),NA(),IF(SUMPRODUCT((Inputs!$A$5:$A$230=$B8)*ISNUMBER(INDEX(Inputs!$K$5:$AJ$230,0,MATCH(N$2,Inputs!$K$4:$AJ$4,0))))+SUMPRODUCT((Inputs!$C$5:$C$230=$B8)*ISNUMBER(INDEX(Inputs!$K$5:$AJ$230,0,MATCH(N$2,Inputs!$K$4:$AJ$4,0))))+SUMPRODUCT((Inputs!$E$5:$E$230=$B8)*ISNUMBER(INDEX(Inputs!$K$5:$AJ$230,0,MATCH(N$2,Inputs!$K$4:$AJ$4,0))))=0,NA(),SUMPRODUCT((Inputs!$A$5:$A$230=$B8)*Inputs!$B$5:$B$230*(((Inputs!$G$5:$G$230="moeda")+(Inputs!$G$5:$G$230="acoes"))*Inputs!$B$1+((Inputs!$G$5:$G$230&lt;&gt;"moeda")*(Inputs!$G$5:$G$230&lt;&gt;"acoes")))*INDEX(Inputs!$K$5:$AJ$230,0,MATCH(N$2,Inputs!$K$4:$AJ$4,0)))+SUMPRODUCT((Inputs!$C$5:$C$230=$B8)*Inputs!$D$5:$D$230*(((Inputs!$G$5:$G$230="moeda")+(Inputs!$G$5:$G$230="acoes"))*Inputs!$B$1+((Inputs!$G$5:$G$230&lt;&gt;"moeda")*(Inputs!$G$5:$G$230&lt;&gt;"acoes")))*INDEX(Inputs!$K$5:$AJ$230,0,MATCH(N$2,Inputs!$K$4:$AJ$4,0)))+SUMPRODUCT((Inputs!$E$5:$E$230=$B8)*Inputs!$F$5:$F$230*(((Inputs!$G$5:$G$230="moeda")+(Inputs!$G$5:$G$230="acoes"))*Inputs!$B$1+((Inputs!$G$5:$G$230&lt;&gt;"moeda")*(Inputs!$G$5:$G$230&lt;&gt;"acoes")))*INDEX(Inputs!$K$5:$AJ$230,0,MATCH(N$2,Inputs!$K$4:$AJ$4,0)))))</f>
        <v>-356.946</v>
      </c>
      <c r="O8" s="6">
        <f>IF(ISNA(MATCH(O$2,Inputs!$K$4:$AJ$4,0)),NA(),IF(SUMPRODUCT((Inputs!$A$5:$A$230=$B8)*ISNUMBER(INDEX(Inputs!$K$5:$AJ$230,0,MATCH(O$2,Inputs!$K$4:$AJ$4,0))))+SUMPRODUCT((Inputs!$C$5:$C$230=$B8)*ISNUMBER(INDEX(Inputs!$K$5:$AJ$230,0,MATCH(O$2,Inputs!$K$4:$AJ$4,0))))+SUMPRODUCT((Inputs!$E$5:$E$230=$B8)*ISNUMBER(INDEX(Inputs!$K$5:$AJ$230,0,MATCH(O$2,Inputs!$K$4:$AJ$4,0))))=0,NA(),SUMPRODUCT((Inputs!$A$5:$A$230=$B8)*Inputs!$B$5:$B$230*(((Inputs!$G$5:$G$230="moeda")+(Inputs!$G$5:$G$230="acoes"))*Inputs!$B$1+((Inputs!$G$5:$G$230&lt;&gt;"moeda")*(Inputs!$G$5:$G$230&lt;&gt;"acoes")))*INDEX(Inputs!$K$5:$AJ$230,0,MATCH(O$2,Inputs!$K$4:$AJ$4,0)))+SUMPRODUCT((Inputs!$C$5:$C$230=$B8)*Inputs!$D$5:$D$230*(((Inputs!$G$5:$G$230="moeda")+(Inputs!$G$5:$G$230="acoes"))*Inputs!$B$1+((Inputs!$G$5:$G$230&lt;&gt;"moeda")*(Inputs!$G$5:$G$230&lt;&gt;"acoes")))*INDEX(Inputs!$K$5:$AJ$230,0,MATCH(O$2,Inputs!$K$4:$AJ$4,0)))+SUMPRODUCT((Inputs!$E$5:$E$230=$B8)*Inputs!$F$5:$F$230*(((Inputs!$G$5:$G$230="moeda")+(Inputs!$G$5:$G$230="acoes"))*Inputs!$B$1+((Inputs!$G$5:$G$230&lt;&gt;"moeda")*(Inputs!$G$5:$G$230&lt;&gt;"acoes")))*INDEX(Inputs!$K$5:$AJ$230,0,MATCH(O$2,Inputs!$K$4:$AJ$4,0)))))</f>
        <v>-285.361</v>
      </c>
      <c r="P8" s="6">
        <f>IF(ISNA(MATCH(P$2,Inputs!$K$4:$AJ$4,0)),NA(),IF(SUMPRODUCT((Inputs!$A$5:$A$230=$B8)*ISNUMBER(INDEX(Inputs!$K$5:$AJ$230,0,MATCH(P$2,Inputs!$K$4:$AJ$4,0))))+SUMPRODUCT((Inputs!$C$5:$C$230=$B8)*ISNUMBER(INDEX(Inputs!$K$5:$AJ$230,0,MATCH(P$2,Inputs!$K$4:$AJ$4,0))))+SUMPRODUCT((Inputs!$E$5:$E$230=$B8)*ISNUMBER(INDEX(Inputs!$K$5:$AJ$230,0,MATCH(P$2,Inputs!$K$4:$AJ$4,0))))=0,NA(),SUMPRODUCT((Inputs!$A$5:$A$230=$B8)*Inputs!$B$5:$B$230*(((Inputs!$G$5:$G$230="moeda")+(Inputs!$G$5:$G$230="acoes"))*Inputs!$B$1+((Inputs!$G$5:$G$230&lt;&gt;"moeda")*(Inputs!$G$5:$G$230&lt;&gt;"acoes")))*INDEX(Inputs!$K$5:$AJ$230,0,MATCH(P$2,Inputs!$K$4:$AJ$4,0)))+SUMPRODUCT((Inputs!$C$5:$C$230=$B8)*Inputs!$D$5:$D$230*(((Inputs!$G$5:$G$230="moeda")+(Inputs!$G$5:$G$230="acoes"))*Inputs!$B$1+((Inputs!$G$5:$G$230&lt;&gt;"moeda")*(Inputs!$G$5:$G$230&lt;&gt;"acoes")))*INDEX(Inputs!$K$5:$AJ$230,0,MATCH(P$2,Inputs!$K$4:$AJ$4,0)))+SUMPRODUCT((Inputs!$E$5:$E$230=$B8)*Inputs!$F$5:$F$230*(((Inputs!$G$5:$G$230="moeda")+(Inputs!$G$5:$G$230="acoes"))*Inputs!$B$1+((Inputs!$G$5:$G$230&lt;&gt;"moeda")*(Inputs!$G$5:$G$230&lt;&gt;"acoes")))*INDEX(Inputs!$K$5:$AJ$230,0,MATCH(P$2,Inputs!$K$4:$AJ$4,0)))))</f>
        <v>-260.613</v>
      </c>
      <c r="Q8" s="6">
        <f>IF(ISNA(MATCH(Q$2,Inputs!$K$4:$AJ$4,0)),NA(),IF(SUMPRODUCT((Inputs!$A$5:$A$230=$B8)*ISNUMBER(INDEX(Inputs!$K$5:$AJ$230,0,MATCH(Q$2,Inputs!$K$4:$AJ$4,0))))+SUMPRODUCT((Inputs!$C$5:$C$230=$B8)*ISNUMBER(INDEX(Inputs!$K$5:$AJ$230,0,MATCH(Q$2,Inputs!$K$4:$AJ$4,0))))+SUMPRODUCT((Inputs!$E$5:$E$230=$B8)*ISNUMBER(INDEX(Inputs!$K$5:$AJ$230,0,MATCH(Q$2,Inputs!$K$4:$AJ$4,0))))=0,NA(),SUMPRODUCT((Inputs!$A$5:$A$230=$B8)*Inputs!$B$5:$B$230*(((Inputs!$G$5:$G$230="moeda")+(Inputs!$G$5:$G$230="acoes"))*Inputs!$B$1+((Inputs!$G$5:$G$230&lt;&gt;"moeda")*(Inputs!$G$5:$G$230&lt;&gt;"acoes")))*INDEX(Inputs!$K$5:$AJ$230,0,MATCH(Q$2,Inputs!$K$4:$AJ$4,0)))+SUMPRODUCT((Inputs!$C$5:$C$230=$B8)*Inputs!$D$5:$D$230*(((Inputs!$G$5:$G$230="moeda")+(Inputs!$G$5:$G$230="acoes"))*Inputs!$B$1+((Inputs!$G$5:$G$230&lt;&gt;"moeda")*(Inputs!$G$5:$G$230&lt;&gt;"acoes")))*INDEX(Inputs!$K$5:$AJ$230,0,MATCH(Q$2,Inputs!$K$4:$AJ$4,0)))+SUMPRODUCT((Inputs!$E$5:$E$230=$B8)*Inputs!$F$5:$F$230*(((Inputs!$G$5:$G$230="moeda")+(Inputs!$G$5:$G$230="acoes"))*Inputs!$B$1+((Inputs!$G$5:$G$230&lt;&gt;"moeda")*(Inputs!$G$5:$G$230&lt;&gt;"acoes")))*INDEX(Inputs!$K$5:$AJ$230,0,MATCH(Q$2,Inputs!$K$4:$AJ$4,0)))))</f>
        <v>-263.293</v>
      </c>
      <c r="R8" s="3">
        <f>SUM(N8:Q8)</f>
        <v>-1166.213</v>
      </c>
      <c r="S8" s="6">
        <f>IF(ISNA(MATCH(S$2,Inputs!$K$4:$AJ$4,0)),NA(),IF(SUMPRODUCT((Inputs!$A$5:$A$230=$B8)*ISNUMBER(INDEX(Inputs!$K$5:$AJ$230,0,MATCH(S$2,Inputs!$K$4:$AJ$4,0))))+SUMPRODUCT((Inputs!$C$5:$C$230=$B8)*ISNUMBER(INDEX(Inputs!$K$5:$AJ$230,0,MATCH(S$2,Inputs!$K$4:$AJ$4,0))))+SUMPRODUCT((Inputs!$E$5:$E$230=$B8)*ISNUMBER(INDEX(Inputs!$K$5:$AJ$230,0,MATCH(S$2,Inputs!$K$4:$AJ$4,0))))=0,NA(),SUMPRODUCT((Inputs!$A$5:$A$230=$B8)*Inputs!$B$5:$B$230*(((Inputs!$G$5:$G$230="moeda")+(Inputs!$G$5:$G$230="acoes"))*Inputs!$B$1+((Inputs!$G$5:$G$230&lt;&gt;"moeda")*(Inputs!$G$5:$G$230&lt;&gt;"acoes")))*INDEX(Inputs!$K$5:$AJ$230,0,MATCH(S$2,Inputs!$K$4:$AJ$4,0)))+SUMPRODUCT((Inputs!$C$5:$C$230=$B8)*Inputs!$D$5:$D$230*(((Inputs!$G$5:$G$230="moeda")+(Inputs!$G$5:$G$230="acoes"))*Inputs!$B$1+((Inputs!$G$5:$G$230&lt;&gt;"moeda")*(Inputs!$G$5:$G$230&lt;&gt;"acoes")))*INDEX(Inputs!$K$5:$AJ$230,0,MATCH(S$2,Inputs!$K$4:$AJ$4,0)))+SUMPRODUCT((Inputs!$E$5:$E$230=$B8)*Inputs!$F$5:$F$230*(((Inputs!$G$5:$G$230="moeda")+(Inputs!$G$5:$G$230="acoes"))*Inputs!$B$1+((Inputs!$G$5:$G$230&lt;&gt;"moeda")*(Inputs!$G$5:$G$230&lt;&gt;"acoes")))*INDEX(Inputs!$K$5:$AJ$230,0,MATCH(S$2,Inputs!$K$4:$AJ$4,0)))))</f>
        <v>-322.739</v>
      </c>
      <c r="T8" s="6">
        <f>IF(ISNA(MATCH(T$2,Inputs!$K$4:$AJ$4,0)),NA(),IF(SUMPRODUCT((Inputs!$A$5:$A$230=$B8)*ISNUMBER(INDEX(Inputs!$K$5:$AJ$230,0,MATCH(T$2,Inputs!$K$4:$AJ$4,0))))+SUMPRODUCT((Inputs!$C$5:$C$230=$B8)*ISNUMBER(INDEX(Inputs!$K$5:$AJ$230,0,MATCH(T$2,Inputs!$K$4:$AJ$4,0))))+SUMPRODUCT((Inputs!$E$5:$E$230=$B8)*ISNUMBER(INDEX(Inputs!$K$5:$AJ$230,0,MATCH(T$2,Inputs!$K$4:$AJ$4,0))))=0,NA(),SUMPRODUCT((Inputs!$A$5:$A$230=$B8)*Inputs!$B$5:$B$230*(((Inputs!$G$5:$G$230="moeda")+(Inputs!$G$5:$G$230="acoes"))*Inputs!$B$1+((Inputs!$G$5:$G$230&lt;&gt;"moeda")*(Inputs!$G$5:$G$230&lt;&gt;"acoes")))*INDEX(Inputs!$K$5:$AJ$230,0,MATCH(T$2,Inputs!$K$4:$AJ$4,0)))+SUMPRODUCT((Inputs!$C$5:$C$230=$B8)*Inputs!$D$5:$D$230*(((Inputs!$G$5:$G$230="moeda")+(Inputs!$G$5:$G$230="acoes"))*Inputs!$B$1+((Inputs!$G$5:$G$230&lt;&gt;"moeda")*(Inputs!$G$5:$G$230&lt;&gt;"acoes")))*INDEX(Inputs!$K$5:$AJ$230,0,MATCH(T$2,Inputs!$K$4:$AJ$4,0)))+SUMPRODUCT((Inputs!$E$5:$E$230=$B8)*Inputs!$F$5:$F$230*(((Inputs!$G$5:$G$230="moeda")+(Inputs!$G$5:$G$230="acoes"))*Inputs!$B$1+((Inputs!$G$5:$G$230&lt;&gt;"moeda")*(Inputs!$G$5:$G$230&lt;&gt;"acoes")))*INDEX(Inputs!$K$5:$AJ$230,0,MATCH(T$2,Inputs!$K$4:$AJ$4,0)))))</f>
        <v>-285.754</v>
      </c>
      <c r="U8" s="6">
        <f>IF(ISNA(MATCH(U$2,Inputs!$K$4:$AJ$4,0)),NA(),IF(SUMPRODUCT((Inputs!$A$5:$A$230=$B8)*ISNUMBER(INDEX(Inputs!$K$5:$AJ$230,0,MATCH(U$2,Inputs!$K$4:$AJ$4,0))))+SUMPRODUCT((Inputs!$C$5:$C$230=$B8)*ISNUMBER(INDEX(Inputs!$K$5:$AJ$230,0,MATCH(U$2,Inputs!$K$4:$AJ$4,0))))+SUMPRODUCT((Inputs!$E$5:$E$230=$B8)*ISNUMBER(INDEX(Inputs!$K$5:$AJ$230,0,MATCH(U$2,Inputs!$K$4:$AJ$4,0))))=0,NA(),SUMPRODUCT((Inputs!$A$5:$A$230=$B8)*Inputs!$B$5:$B$230*(((Inputs!$G$5:$G$230="moeda")+(Inputs!$G$5:$G$230="acoes"))*Inputs!$B$1+((Inputs!$G$5:$G$230&lt;&gt;"moeda")*(Inputs!$G$5:$G$230&lt;&gt;"acoes")))*INDEX(Inputs!$K$5:$AJ$230,0,MATCH(U$2,Inputs!$K$4:$AJ$4,0)))+SUMPRODUCT((Inputs!$C$5:$C$230=$B8)*Inputs!$D$5:$D$230*(((Inputs!$G$5:$G$230="moeda")+(Inputs!$G$5:$G$230="acoes"))*Inputs!$B$1+((Inputs!$G$5:$G$230&lt;&gt;"moeda")*(Inputs!$G$5:$G$230&lt;&gt;"acoes")))*INDEX(Inputs!$K$5:$AJ$230,0,MATCH(U$2,Inputs!$K$4:$AJ$4,0)))+SUMPRODUCT((Inputs!$E$5:$E$230=$B8)*Inputs!$F$5:$F$230*(((Inputs!$G$5:$G$230="moeda")+(Inputs!$G$5:$G$230="acoes"))*Inputs!$B$1+((Inputs!$G$5:$G$230&lt;&gt;"moeda")*(Inputs!$G$5:$G$230&lt;&gt;"acoes")))*INDEX(Inputs!$K$5:$AJ$230,0,MATCH(U$2,Inputs!$K$4:$AJ$4,0)))))</f>
        <v>-282.534</v>
      </c>
      <c r="V8" s="6">
        <f>IF(ISNA(MATCH(V$2,Inputs!$K$4:$AJ$4,0)),NA(),IF(SUMPRODUCT((Inputs!$A$5:$A$230=$B8)*ISNUMBER(INDEX(Inputs!$K$5:$AJ$230,0,MATCH(V$2,Inputs!$K$4:$AJ$4,0))))+SUMPRODUCT((Inputs!$C$5:$C$230=$B8)*ISNUMBER(INDEX(Inputs!$K$5:$AJ$230,0,MATCH(V$2,Inputs!$K$4:$AJ$4,0))))+SUMPRODUCT((Inputs!$E$5:$E$230=$B8)*ISNUMBER(INDEX(Inputs!$K$5:$AJ$230,0,MATCH(V$2,Inputs!$K$4:$AJ$4,0))))=0,NA(),SUMPRODUCT((Inputs!$A$5:$A$230=$B8)*Inputs!$B$5:$B$230*(((Inputs!$G$5:$G$230="moeda")+(Inputs!$G$5:$G$230="acoes"))*Inputs!$B$1+((Inputs!$G$5:$G$230&lt;&gt;"moeda")*(Inputs!$G$5:$G$230&lt;&gt;"acoes")))*INDEX(Inputs!$K$5:$AJ$230,0,MATCH(V$2,Inputs!$K$4:$AJ$4,0)))+SUMPRODUCT((Inputs!$C$5:$C$230=$B8)*Inputs!$D$5:$D$230*(((Inputs!$G$5:$G$230="moeda")+(Inputs!$G$5:$G$230="acoes"))*Inputs!$B$1+((Inputs!$G$5:$G$230&lt;&gt;"moeda")*(Inputs!$G$5:$G$230&lt;&gt;"acoes")))*INDEX(Inputs!$K$5:$AJ$230,0,MATCH(V$2,Inputs!$K$4:$AJ$4,0)))+SUMPRODUCT((Inputs!$E$5:$E$230=$B8)*Inputs!$F$5:$F$230*(((Inputs!$G$5:$G$230="moeda")+(Inputs!$G$5:$G$230="acoes"))*Inputs!$B$1+((Inputs!$G$5:$G$230&lt;&gt;"moeda")*(Inputs!$G$5:$G$230&lt;&gt;"acoes")))*INDEX(Inputs!$K$5:$AJ$230,0,MATCH(V$2,Inputs!$K$4:$AJ$4,0)))))</f>
        <v>-331.378</v>
      </c>
      <c r="W8" s="3">
        <f>SUM(S8:V8)</f>
        <v>-1222.405</v>
      </c>
      <c r="X8" s="6">
        <f>IF(ISNA(MATCH(X$2,Inputs!$K$4:$AJ$4,0)),NA(),IF(SUMPRODUCT((Inputs!$A$5:$A$230=$B8)*ISNUMBER(INDEX(Inputs!$K$5:$AJ$230,0,MATCH(X$2,Inputs!$K$4:$AJ$4,0))))+SUMPRODUCT((Inputs!$C$5:$C$230=$B8)*ISNUMBER(INDEX(Inputs!$K$5:$AJ$230,0,MATCH(X$2,Inputs!$K$4:$AJ$4,0))))+SUMPRODUCT((Inputs!$E$5:$E$230=$B8)*ISNUMBER(INDEX(Inputs!$K$5:$AJ$230,0,MATCH(X$2,Inputs!$K$4:$AJ$4,0))))=0,NA(),SUMPRODUCT((Inputs!$A$5:$A$230=$B8)*Inputs!$B$5:$B$230*(((Inputs!$G$5:$G$230="moeda")+(Inputs!$G$5:$G$230="acoes"))*Inputs!$B$1+((Inputs!$G$5:$G$230&lt;&gt;"moeda")*(Inputs!$G$5:$G$230&lt;&gt;"acoes")))*INDEX(Inputs!$K$5:$AJ$230,0,MATCH(X$2,Inputs!$K$4:$AJ$4,0)))+SUMPRODUCT((Inputs!$C$5:$C$230=$B8)*Inputs!$D$5:$D$230*(((Inputs!$G$5:$G$230="moeda")+(Inputs!$G$5:$G$230="acoes"))*Inputs!$B$1+((Inputs!$G$5:$G$230&lt;&gt;"moeda")*(Inputs!$G$5:$G$230&lt;&gt;"acoes")))*INDEX(Inputs!$K$5:$AJ$230,0,MATCH(X$2,Inputs!$K$4:$AJ$4,0)))+SUMPRODUCT((Inputs!$E$5:$E$230=$B8)*Inputs!$F$5:$F$230*(((Inputs!$G$5:$G$230="moeda")+(Inputs!$G$5:$G$230="acoes"))*Inputs!$B$1+((Inputs!$G$5:$G$230&lt;&gt;"moeda")*(Inputs!$G$5:$G$230&lt;&gt;"acoes")))*INDEX(Inputs!$K$5:$AJ$230,0,MATCH(X$2,Inputs!$K$4:$AJ$4,0)))))</f>
        <v>-385.908</v>
      </c>
      <c r="Y8" s="6">
        <f>IF(ISNA(MATCH(Y$2,Inputs!$K$4:$AJ$4,0)),NA(),IF(SUMPRODUCT((Inputs!$A$5:$A$230=$B8)*ISNUMBER(INDEX(Inputs!$K$5:$AJ$230,0,MATCH(Y$2,Inputs!$K$4:$AJ$4,0))))+SUMPRODUCT((Inputs!$C$5:$C$230=$B8)*ISNUMBER(INDEX(Inputs!$K$5:$AJ$230,0,MATCH(Y$2,Inputs!$K$4:$AJ$4,0))))+SUMPRODUCT((Inputs!$E$5:$E$230=$B8)*ISNUMBER(INDEX(Inputs!$K$5:$AJ$230,0,MATCH(Y$2,Inputs!$K$4:$AJ$4,0))))=0,NA(),SUMPRODUCT((Inputs!$A$5:$A$230=$B8)*Inputs!$B$5:$B$230*(((Inputs!$G$5:$G$230="moeda")+(Inputs!$G$5:$G$230="acoes"))*Inputs!$B$1+((Inputs!$G$5:$G$230&lt;&gt;"moeda")*(Inputs!$G$5:$G$230&lt;&gt;"acoes")))*INDEX(Inputs!$K$5:$AJ$230,0,MATCH(Y$2,Inputs!$K$4:$AJ$4,0)))+SUMPRODUCT((Inputs!$C$5:$C$230=$B8)*Inputs!$D$5:$D$230*(((Inputs!$G$5:$G$230="moeda")+(Inputs!$G$5:$G$230="acoes"))*Inputs!$B$1+((Inputs!$G$5:$G$230&lt;&gt;"moeda")*(Inputs!$G$5:$G$230&lt;&gt;"acoes")))*INDEX(Inputs!$K$5:$AJ$230,0,MATCH(Y$2,Inputs!$K$4:$AJ$4,0)))+SUMPRODUCT((Inputs!$E$5:$E$230=$B8)*Inputs!$F$5:$F$230*(((Inputs!$G$5:$G$230="moeda")+(Inputs!$G$5:$G$230="acoes"))*Inputs!$B$1+((Inputs!$G$5:$G$230&lt;&gt;"moeda")*(Inputs!$G$5:$G$230&lt;&gt;"acoes")))*INDEX(Inputs!$K$5:$AJ$230,0,MATCH(Y$2,Inputs!$K$4:$AJ$4,0)))))</f>
        <v>-306.645</v>
      </c>
      <c r="Z8" s="6">
        <f>IF(ISNA(MATCH(Z$2,Inputs!$K$4:$AJ$4,0)),NA(),IF(SUMPRODUCT((Inputs!$A$5:$A$230=$B8)*ISNUMBER(INDEX(Inputs!$K$5:$AJ$230,0,MATCH(Z$2,Inputs!$K$4:$AJ$4,0))))+SUMPRODUCT((Inputs!$C$5:$C$230=$B8)*ISNUMBER(INDEX(Inputs!$K$5:$AJ$230,0,MATCH(Z$2,Inputs!$K$4:$AJ$4,0))))+SUMPRODUCT((Inputs!$E$5:$E$230=$B8)*ISNUMBER(INDEX(Inputs!$K$5:$AJ$230,0,MATCH(Z$2,Inputs!$K$4:$AJ$4,0))))=0,NA(),SUMPRODUCT((Inputs!$A$5:$A$230=$B8)*Inputs!$B$5:$B$230*(((Inputs!$G$5:$G$230="moeda")+(Inputs!$G$5:$G$230="acoes"))*Inputs!$B$1+((Inputs!$G$5:$G$230&lt;&gt;"moeda")*(Inputs!$G$5:$G$230&lt;&gt;"acoes")))*INDEX(Inputs!$K$5:$AJ$230,0,MATCH(Z$2,Inputs!$K$4:$AJ$4,0)))+SUMPRODUCT((Inputs!$C$5:$C$230=$B8)*Inputs!$D$5:$D$230*(((Inputs!$G$5:$G$230="moeda")+(Inputs!$G$5:$G$230="acoes"))*Inputs!$B$1+((Inputs!$G$5:$G$230&lt;&gt;"moeda")*(Inputs!$G$5:$G$230&lt;&gt;"acoes")))*INDEX(Inputs!$K$5:$AJ$230,0,MATCH(Z$2,Inputs!$K$4:$AJ$4,0)))+SUMPRODUCT((Inputs!$E$5:$E$230=$B8)*Inputs!$F$5:$F$230*(((Inputs!$G$5:$G$230="moeda")+(Inputs!$G$5:$G$230="acoes"))*Inputs!$B$1+((Inputs!$G$5:$G$230&lt;&gt;"moeda")*(Inputs!$G$5:$G$230&lt;&gt;"acoes")))*INDEX(Inputs!$K$5:$AJ$230,0,MATCH(Z$2,Inputs!$K$4:$AJ$4,0)))))</f>
        <v>-311.413</v>
      </c>
      <c r="AA8" s="6">
        <f>IF(ISNA(MATCH(AA$2,Inputs!$K$4:$AJ$4,0)),NA(),IF(SUMPRODUCT((Inputs!$A$5:$A$230=$B8)*ISNUMBER(INDEX(Inputs!$K$5:$AJ$230,0,MATCH(AA$2,Inputs!$K$4:$AJ$4,0))))+SUMPRODUCT((Inputs!$C$5:$C$230=$B8)*ISNUMBER(INDEX(Inputs!$K$5:$AJ$230,0,MATCH(AA$2,Inputs!$K$4:$AJ$4,0))))+SUMPRODUCT((Inputs!$E$5:$E$230=$B8)*ISNUMBER(INDEX(Inputs!$K$5:$AJ$230,0,MATCH(AA$2,Inputs!$K$4:$AJ$4,0))))=0,NA(),SUMPRODUCT((Inputs!$A$5:$A$230=$B8)*Inputs!$B$5:$B$230*(((Inputs!$G$5:$G$230="moeda")+(Inputs!$G$5:$G$230="acoes"))*Inputs!$B$1+((Inputs!$G$5:$G$230&lt;&gt;"moeda")*(Inputs!$G$5:$G$230&lt;&gt;"acoes")))*INDEX(Inputs!$K$5:$AJ$230,0,MATCH(AA$2,Inputs!$K$4:$AJ$4,0)))+SUMPRODUCT((Inputs!$C$5:$C$230=$B8)*Inputs!$D$5:$D$230*(((Inputs!$G$5:$G$230="moeda")+(Inputs!$G$5:$G$230="acoes"))*Inputs!$B$1+((Inputs!$G$5:$G$230&lt;&gt;"moeda")*(Inputs!$G$5:$G$230&lt;&gt;"acoes")))*INDEX(Inputs!$K$5:$AJ$230,0,MATCH(AA$2,Inputs!$K$4:$AJ$4,0)))+SUMPRODUCT((Inputs!$E$5:$E$230=$B8)*Inputs!$F$5:$F$230*(((Inputs!$G$5:$G$230="moeda")+(Inputs!$G$5:$G$230="acoes"))*Inputs!$B$1+((Inputs!$G$5:$G$230&lt;&gt;"moeda")*(Inputs!$G$5:$G$230&lt;&gt;"acoes")))*INDEX(Inputs!$K$5:$AJ$230,0,MATCH(AA$2,Inputs!$K$4:$AJ$4,0)))))</f>
        <v>-320.395</v>
      </c>
      <c r="AB8" s="3">
        <f>SUM(X8:AA8)</f>
        <v>-1324.361</v>
      </c>
      <c r="AC8" s="6">
        <f>IF(ISNA(MATCH(AC$2,Inputs!$K$4:$AJ$4,0)),NA(),IF(SUMPRODUCT((Inputs!$A$5:$A$230=$B8)*ISNUMBER(INDEX(Inputs!$K$5:$AJ$230,0,MATCH(AC$2,Inputs!$K$4:$AJ$4,0))))+SUMPRODUCT((Inputs!$C$5:$C$230=$B8)*ISNUMBER(INDEX(Inputs!$K$5:$AJ$230,0,MATCH(AC$2,Inputs!$K$4:$AJ$4,0))))+SUMPRODUCT((Inputs!$E$5:$E$230=$B8)*ISNUMBER(INDEX(Inputs!$K$5:$AJ$230,0,MATCH(AC$2,Inputs!$K$4:$AJ$4,0))))=0,NA(),SUMPRODUCT((Inputs!$A$5:$A$230=$B8)*Inputs!$B$5:$B$230*(((Inputs!$G$5:$G$230="moeda")+(Inputs!$G$5:$G$230="acoes"))*Inputs!$B$1+((Inputs!$G$5:$G$230&lt;&gt;"moeda")*(Inputs!$G$5:$G$230&lt;&gt;"acoes")))*INDEX(Inputs!$K$5:$AJ$230,0,MATCH(AC$2,Inputs!$K$4:$AJ$4,0)))+SUMPRODUCT((Inputs!$C$5:$C$230=$B8)*Inputs!$D$5:$D$230*(((Inputs!$G$5:$G$230="moeda")+(Inputs!$G$5:$G$230="acoes"))*Inputs!$B$1+((Inputs!$G$5:$G$230&lt;&gt;"moeda")*(Inputs!$G$5:$G$230&lt;&gt;"acoes")))*INDEX(Inputs!$K$5:$AJ$230,0,MATCH(AC$2,Inputs!$K$4:$AJ$4,0)))+SUMPRODUCT((Inputs!$E$5:$E$230=$B8)*Inputs!$F$5:$F$230*(((Inputs!$G$5:$G$230="moeda")+(Inputs!$G$5:$G$230="acoes"))*Inputs!$B$1+((Inputs!$G$5:$G$230&lt;&gt;"moeda")*(Inputs!$G$5:$G$230&lt;&gt;"acoes")))*INDEX(Inputs!$K$5:$AJ$230,0,MATCH(AC$2,Inputs!$K$4:$AJ$4,0)))))</f>
        <v>-362.798</v>
      </c>
      <c r="AD8" s="6">
        <f>IF(ISNA(MATCH(AD$2,Inputs!$K$4:$AJ$4,0)),NA(),IF(SUMPRODUCT((Inputs!$A$5:$A$230=$B8)*ISNUMBER(INDEX(Inputs!$K$5:$AJ$230,0,MATCH(AD$2,Inputs!$K$4:$AJ$4,0))))+SUMPRODUCT((Inputs!$C$5:$C$230=$B8)*ISNUMBER(INDEX(Inputs!$K$5:$AJ$230,0,MATCH(AD$2,Inputs!$K$4:$AJ$4,0))))+SUMPRODUCT((Inputs!$E$5:$E$230=$B8)*ISNUMBER(INDEX(Inputs!$K$5:$AJ$230,0,MATCH(AD$2,Inputs!$K$4:$AJ$4,0))))=0,NA(),SUMPRODUCT((Inputs!$A$5:$A$230=$B8)*Inputs!$B$5:$B$230*(((Inputs!$G$5:$G$230="moeda")+(Inputs!$G$5:$G$230="acoes"))*Inputs!$B$1+((Inputs!$G$5:$G$230&lt;&gt;"moeda")*(Inputs!$G$5:$G$230&lt;&gt;"acoes")))*INDEX(Inputs!$K$5:$AJ$230,0,MATCH(AD$2,Inputs!$K$4:$AJ$4,0)))+SUMPRODUCT((Inputs!$C$5:$C$230=$B8)*Inputs!$D$5:$D$230*(((Inputs!$G$5:$G$230="moeda")+(Inputs!$G$5:$G$230="acoes"))*Inputs!$B$1+((Inputs!$G$5:$G$230&lt;&gt;"moeda")*(Inputs!$G$5:$G$230&lt;&gt;"acoes")))*INDEX(Inputs!$K$5:$AJ$230,0,MATCH(AD$2,Inputs!$K$4:$AJ$4,0)))+SUMPRODUCT((Inputs!$E$5:$E$230=$B8)*Inputs!$F$5:$F$230*(((Inputs!$G$5:$G$230="moeda")+(Inputs!$G$5:$G$230="acoes"))*Inputs!$B$1+((Inputs!$G$5:$G$230&lt;&gt;"moeda")*(Inputs!$G$5:$G$230&lt;&gt;"acoes")))*INDEX(Inputs!$K$5:$AJ$230,0,MATCH(AD$2,Inputs!$K$4:$AJ$4,0)))))</f>
        <v>-389.195</v>
      </c>
      <c r="AE8" s="6" t="e">
        <f>IF(ISNA(MATCH(AE$2,Inputs!$K$4:$AJ$4,0)),NA(),IF(SUMPRODUCT((Inputs!$A$5:$A$230=$B8)*ISNUMBER(INDEX(Inputs!$K$5:$AJ$230,0,MATCH(AE$2,Inputs!$K$4:$AJ$4,0))))+SUMPRODUCT((Inputs!$C$5:$C$230=$B8)*ISNUMBER(INDEX(Inputs!$K$5:$AJ$230,0,MATCH(AE$2,Inputs!$K$4:$AJ$4,0))))+SUMPRODUCT((Inputs!$E$5:$E$230=$B8)*ISNUMBER(INDEX(Inputs!$K$5:$AJ$230,0,MATCH(AE$2,Inputs!$K$4:$AJ$4,0))))=0,NA(),SUMPRODUCT((Inputs!$A$5:$A$230=$B8)*Inputs!$B$5:$B$230*(((Inputs!$G$5:$G$230="moeda")+(Inputs!$G$5:$G$230="acoes"))*Inputs!$B$1+((Inputs!$G$5:$G$230&lt;&gt;"moeda")*(Inputs!$G$5:$G$230&lt;&gt;"acoes")))*INDEX(Inputs!$K$5:$AJ$230,0,MATCH(AE$2,Inputs!$K$4:$AJ$4,0)))+SUMPRODUCT((Inputs!$C$5:$C$230=$B8)*Inputs!$D$5:$D$230*(((Inputs!$G$5:$G$230="moeda")+(Inputs!$G$5:$G$230="acoes"))*Inputs!$B$1+((Inputs!$G$5:$G$230&lt;&gt;"moeda")*(Inputs!$G$5:$G$230&lt;&gt;"acoes")))*INDEX(Inputs!$K$5:$AJ$230,0,MATCH(AE$2,Inputs!$K$4:$AJ$4,0)))+SUMPRODUCT((Inputs!$E$5:$E$230=$B8)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" s="6" t="e">
        <f>IF(ISNA(MATCH(AF$2,Inputs!$K$4:$AJ$4,0)),NA(),IF(SUMPRODUCT((Inputs!$A$5:$A$230=$B8)*ISNUMBER(INDEX(Inputs!$K$5:$AJ$230,0,MATCH(AF$2,Inputs!$K$4:$AJ$4,0))))+SUMPRODUCT((Inputs!$C$5:$C$230=$B8)*ISNUMBER(INDEX(Inputs!$K$5:$AJ$230,0,MATCH(AF$2,Inputs!$K$4:$AJ$4,0))))+SUMPRODUCT((Inputs!$E$5:$E$230=$B8)*ISNUMBER(INDEX(Inputs!$K$5:$AJ$230,0,MATCH(AF$2,Inputs!$K$4:$AJ$4,0))))=0,NA(),SUMPRODUCT((Inputs!$A$5:$A$230=$B8)*Inputs!$B$5:$B$230*(((Inputs!$G$5:$G$230="moeda")+(Inputs!$G$5:$G$230="acoes"))*Inputs!$B$1+((Inputs!$G$5:$G$230&lt;&gt;"moeda")*(Inputs!$G$5:$G$230&lt;&gt;"acoes")))*INDEX(Inputs!$K$5:$AJ$230,0,MATCH(AF$2,Inputs!$K$4:$AJ$4,0)))+SUMPRODUCT((Inputs!$C$5:$C$230=$B8)*Inputs!$D$5:$D$230*(((Inputs!$G$5:$G$230="moeda")+(Inputs!$G$5:$G$230="acoes"))*Inputs!$B$1+((Inputs!$G$5:$G$230&lt;&gt;"moeda")*(Inputs!$G$5:$G$230&lt;&gt;"acoes")))*INDEX(Inputs!$K$5:$AJ$230,0,MATCH(AF$2,Inputs!$K$4:$AJ$4,0)))+SUMPRODUCT((Inputs!$E$5:$E$230=$B8)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" s="3" t="e">
        <f>SUM(AC8:AF8)</f>
        <v>#N/A</v>
      </c>
      <c r="AH8" s="6">
        <f>IF(ISNA(MATCH(AH$2,Inputs!$K$4:$AJ$4,0)),NA(),IF(SUMPRODUCT((Inputs!$A$5:$A$230=$B8)*ISNUMBER(INDEX(Inputs!$K$5:$AJ$230,0,MATCH(AH$2,Inputs!$K$4:$AJ$4,0))))+SUMPRODUCT((Inputs!$C$5:$C$230=$B8)*ISNUMBER(INDEX(Inputs!$K$5:$AJ$230,0,MATCH(AH$2,Inputs!$K$4:$AJ$4,0))))+SUMPRODUCT((Inputs!$E$5:$E$230=$B8)*ISNUMBER(INDEX(Inputs!$K$5:$AJ$230,0,MATCH(AH$2,Inputs!$K$4:$AJ$4,0))))=0,NA(),SUMPRODUCT((Inputs!$A$5:$A$230=$B8)*Inputs!$B$5:$B$230*(((Inputs!$G$5:$G$230="moeda")+(Inputs!$G$5:$G$230="acoes"))*Inputs!$B$1+((Inputs!$G$5:$G$230&lt;&gt;"moeda")*(Inputs!$G$5:$G$230&lt;&gt;"acoes")))*INDEX(Inputs!$K$5:$AJ$230,0,MATCH(AH$2,Inputs!$K$4:$AJ$4,0)))+SUMPRODUCT((Inputs!$C$5:$C$230=$B8)*Inputs!$D$5:$D$230*(((Inputs!$G$5:$G$230="moeda")+(Inputs!$G$5:$G$230="acoes"))*Inputs!$B$1+((Inputs!$G$5:$G$230&lt;&gt;"moeda")*(Inputs!$G$5:$G$230&lt;&gt;"acoes")))*INDEX(Inputs!$K$5:$AJ$230,0,MATCH(AH$2,Inputs!$K$4:$AJ$4,0)))+SUMPRODUCT((Inputs!$E$5:$E$230=$B8)*Inputs!$F$5:$F$230*(((Inputs!$G$5:$G$230="moeda")+(Inputs!$G$5:$G$230="acoes"))*Inputs!$B$1+((Inputs!$G$5:$G$230&lt;&gt;"moeda")*(Inputs!$G$5:$G$230&lt;&gt;"acoes")))*INDEX(Inputs!$K$5:$AJ$230,0,MATCH(AH$2,Inputs!$K$4:$AJ$4,0)))))</f>
        <v>-86.301</v>
      </c>
      <c r="AI8" s="6">
        <f>IF(ISNA(MATCH(AI$2,Inputs!$K$4:$AJ$4,0)),NA(),IF(SUMPRODUCT((Inputs!$A$5:$A$230=$B8)*ISNUMBER(INDEX(Inputs!$K$5:$AJ$230,0,MATCH(AI$2,Inputs!$K$4:$AJ$4,0))))+SUMPRODUCT((Inputs!$C$5:$C$230=$B8)*ISNUMBER(INDEX(Inputs!$K$5:$AJ$230,0,MATCH(AI$2,Inputs!$K$4:$AJ$4,0))))+SUMPRODUCT((Inputs!$E$5:$E$230=$B8)*ISNUMBER(INDEX(Inputs!$K$5:$AJ$230,0,MATCH(AI$2,Inputs!$K$4:$AJ$4,0))))=0,NA(),SUMPRODUCT((Inputs!$A$5:$A$230=$B8)*Inputs!$B$5:$B$230*(((Inputs!$G$5:$G$230="moeda")+(Inputs!$G$5:$G$230="acoes"))*Inputs!$B$1+((Inputs!$G$5:$G$230&lt;&gt;"moeda")*(Inputs!$G$5:$G$230&lt;&gt;"acoes")))*INDEX(Inputs!$K$5:$AJ$230,0,MATCH(AI$2,Inputs!$K$4:$AJ$4,0)))+SUMPRODUCT((Inputs!$C$5:$C$230=$B8)*Inputs!$D$5:$D$230*(((Inputs!$G$5:$G$230="moeda")+(Inputs!$G$5:$G$230="acoes"))*Inputs!$B$1+((Inputs!$G$5:$G$230&lt;&gt;"moeda")*(Inputs!$G$5:$G$230&lt;&gt;"acoes")))*INDEX(Inputs!$K$5:$AJ$230,0,MATCH(AI$2,Inputs!$K$4:$AJ$4,0)))+SUMPRODUCT((Inputs!$E$5:$E$230=$B8)*Inputs!$F$5:$F$230*(((Inputs!$G$5:$G$230="moeda")+(Inputs!$G$5:$G$230="acoes"))*Inputs!$B$1+((Inputs!$G$5:$G$230&lt;&gt;"moeda")*(Inputs!$G$5:$G$230&lt;&gt;"acoes")))*INDEX(Inputs!$K$5:$AJ$230,0,MATCH(AI$2,Inputs!$K$4:$AJ$4,0)))))</f>
        <v>-57.992</v>
      </c>
      <c r="AJ8" s="6">
        <f>IF(ISNA(MATCH(AJ$2,Inputs!$K$4:$AJ$4,0)),NA(),IF(SUMPRODUCT((Inputs!$A$5:$A$230=$B8)*ISNUMBER(INDEX(Inputs!$K$5:$AJ$230,0,MATCH(AJ$2,Inputs!$K$4:$AJ$4,0))))+SUMPRODUCT((Inputs!$C$5:$C$230=$B8)*ISNUMBER(INDEX(Inputs!$K$5:$AJ$230,0,MATCH(AJ$2,Inputs!$K$4:$AJ$4,0))))+SUMPRODUCT((Inputs!$E$5:$E$230=$B8)*ISNUMBER(INDEX(Inputs!$K$5:$AJ$230,0,MATCH(AJ$2,Inputs!$K$4:$AJ$4,0))))=0,NA(),SUMPRODUCT((Inputs!$A$5:$A$230=$B8)*Inputs!$B$5:$B$230*(((Inputs!$G$5:$G$230="moeda")+(Inputs!$G$5:$G$230="acoes"))*Inputs!$B$1+((Inputs!$G$5:$G$230&lt;&gt;"moeda")*(Inputs!$G$5:$G$230&lt;&gt;"acoes")))*INDEX(Inputs!$K$5:$AJ$230,0,MATCH(AJ$2,Inputs!$K$4:$AJ$4,0)))+SUMPRODUCT((Inputs!$C$5:$C$230=$B8)*Inputs!$D$5:$D$230*(((Inputs!$G$5:$G$230="moeda")+(Inputs!$G$5:$G$230="acoes"))*Inputs!$B$1+((Inputs!$G$5:$G$230&lt;&gt;"moeda")*(Inputs!$G$5:$G$230&lt;&gt;"acoes")))*INDEX(Inputs!$K$5:$AJ$230,0,MATCH(AJ$2,Inputs!$K$4:$AJ$4,0)))+SUMPRODUCT((Inputs!$E$5:$E$230=$B8)*Inputs!$F$5:$F$230*(((Inputs!$G$5:$G$230="moeda")+(Inputs!$G$5:$G$230="acoes"))*Inputs!$B$1+((Inputs!$G$5:$G$230&lt;&gt;"moeda")*(Inputs!$G$5:$G$230&lt;&gt;"acoes")))*INDEX(Inputs!$K$5:$AJ$230,0,MATCH(AJ$2,Inputs!$K$4:$AJ$4,0)))))</f>
        <v>-81.496</v>
      </c>
      <c r="AK8" s="6">
        <f>IF(ISNA(MATCH(AK$2,Inputs!$K$4:$AJ$4,0)),NA(),IF(SUMPRODUCT((Inputs!$A$5:$A$230=$B8)*ISNUMBER(INDEX(Inputs!$K$5:$AJ$230,0,MATCH(AK$2,Inputs!$K$4:$AJ$4,0))))+SUMPRODUCT((Inputs!$C$5:$C$230=$B8)*ISNUMBER(INDEX(Inputs!$K$5:$AJ$230,0,MATCH(AK$2,Inputs!$K$4:$AJ$4,0))))+SUMPRODUCT((Inputs!$E$5:$E$230=$B8)*ISNUMBER(INDEX(Inputs!$K$5:$AJ$230,0,MATCH(AK$2,Inputs!$K$4:$AJ$4,0))))=0,NA(),SUMPRODUCT((Inputs!$A$5:$A$230=$B8)*Inputs!$B$5:$B$230*(((Inputs!$G$5:$G$230="moeda")+(Inputs!$G$5:$G$230="acoes"))*Inputs!$B$1+((Inputs!$G$5:$G$230&lt;&gt;"moeda")*(Inputs!$G$5:$G$230&lt;&gt;"acoes")))*INDEX(Inputs!$K$5:$AJ$230,0,MATCH(AK$2,Inputs!$K$4:$AJ$4,0)))+SUMPRODUCT((Inputs!$C$5:$C$230=$B8)*Inputs!$D$5:$D$230*(((Inputs!$G$5:$G$230="moeda")+(Inputs!$G$5:$G$230="acoes"))*Inputs!$B$1+((Inputs!$G$5:$G$230&lt;&gt;"moeda")*(Inputs!$G$5:$G$230&lt;&gt;"acoes")))*INDEX(Inputs!$K$5:$AJ$230,0,MATCH(AK$2,Inputs!$K$4:$AJ$4,0)))+SUMPRODUCT((Inputs!$E$5:$E$230=$B8)*Inputs!$F$5:$F$230*(((Inputs!$G$5:$G$230="moeda")+(Inputs!$G$5:$G$230="acoes"))*Inputs!$B$1+((Inputs!$G$5:$G$230&lt;&gt;"moeda")*(Inputs!$G$5:$G$230&lt;&gt;"acoes")))*INDEX(Inputs!$K$5:$AJ$230,0,MATCH(AK$2,Inputs!$K$4:$AJ$4,0)))))</f>
        <v>-166.642</v>
      </c>
      <c r="AL8" s="3">
        <f>SUM(AH8:AK8)</f>
        <v>-392.431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$230=$B9)*ISNUMBER(INDEX(Inputs!$K$5:$AJ$230,0,MATCH(D$2,Inputs!$K$4:$AJ$4,0))))+SUMPRODUCT((Inputs!$C$5:$C$230=$B9)*ISNUMBER(INDEX(Inputs!$K$5:$AJ$230,0,MATCH(D$2,Inputs!$K$4:$AJ$4,0))))+SUMPRODUCT((Inputs!$E$5:$E$230=$B9)*ISNUMBER(INDEX(Inputs!$K$5:$AJ$230,0,MATCH(D$2,Inputs!$K$4:$AJ$4,0))))=0,NA(),SUMPRODUCT((Inputs!$A$5:$A$230=$B9)*Inputs!$B$5:$B$230*(((Inputs!$G$5:$G$230="moeda")+(Inputs!$G$5:$G$230="acoes"))*Inputs!$B$1+((Inputs!$G$5:$G$230&lt;&gt;"moeda")*(Inputs!$G$5:$G$230&lt;&gt;"acoes")))*INDEX(Inputs!$K$5:$AJ$230,0,MATCH(D$2,Inputs!$K$4:$AJ$4,0)))+SUMPRODUCT((Inputs!$C$5:$C$230=$B9)*Inputs!$D$5:$D$230*(((Inputs!$G$5:$G$230="moeda")+(Inputs!$G$5:$G$230="acoes"))*Inputs!$B$1+((Inputs!$G$5:$G$230&lt;&gt;"moeda")*(Inputs!$G$5:$G$230&lt;&gt;"acoes")))*INDEX(Inputs!$K$5:$AJ$230,0,MATCH(D$2,Inputs!$K$4:$AJ$4,0)))+SUMPRODUCT((Inputs!$E$5:$E$230=$B9)*Inputs!$F$5:$F$230*(((Inputs!$G$5:$G$230="moeda")+(Inputs!$G$5:$G$230="acoes"))*Inputs!$B$1+((Inputs!$G$5:$G$230&lt;&gt;"moeda")*(Inputs!$G$5:$G$230&lt;&gt;"acoes")))*INDEX(Inputs!$K$5:$AJ$230,0,MATCH(D$2,Inputs!$K$4:$AJ$4,0)))))</f>
        <v>-28.134</v>
      </c>
      <c r="E9" s="6">
        <f>IF(ISNA(MATCH(E$2,Inputs!$K$4:$AJ$4,0)),NA(),IF(SUMPRODUCT((Inputs!$A$5:$A$230=$B9)*ISNUMBER(INDEX(Inputs!$K$5:$AJ$230,0,MATCH(E$2,Inputs!$K$4:$AJ$4,0))))+SUMPRODUCT((Inputs!$C$5:$C$230=$B9)*ISNUMBER(INDEX(Inputs!$K$5:$AJ$230,0,MATCH(E$2,Inputs!$K$4:$AJ$4,0))))+SUMPRODUCT((Inputs!$E$5:$E$230=$B9)*ISNUMBER(INDEX(Inputs!$K$5:$AJ$230,0,MATCH(E$2,Inputs!$K$4:$AJ$4,0))))=0,NA(),SUMPRODUCT((Inputs!$A$5:$A$230=$B9)*Inputs!$B$5:$B$230*(((Inputs!$G$5:$G$230="moeda")+(Inputs!$G$5:$G$230="acoes"))*Inputs!$B$1+((Inputs!$G$5:$G$230&lt;&gt;"moeda")*(Inputs!$G$5:$G$230&lt;&gt;"acoes")))*INDEX(Inputs!$K$5:$AJ$230,0,MATCH(E$2,Inputs!$K$4:$AJ$4,0)))+SUMPRODUCT((Inputs!$C$5:$C$230=$B9)*Inputs!$D$5:$D$230*(((Inputs!$G$5:$G$230="moeda")+(Inputs!$G$5:$G$230="acoes"))*Inputs!$B$1+((Inputs!$G$5:$G$230&lt;&gt;"moeda")*(Inputs!$G$5:$G$230&lt;&gt;"acoes")))*INDEX(Inputs!$K$5:$AJ$230,0,MATCH(E$2,Inputs!$K$4:$AJ$4,0)))+SUMPRODUCT((Inputs!$E$5:$E$230=$B9)*Inputs!$F$5:$F$230*(((Inputs!$G$5:$G$230="moeda")+(Inputs!$G$5:$G$230="acoes"))*Inputs!$B$1+((Inputs!$G$5:$G$230&lt;&gt;"moeda")*(Inputs!$G$5:$G$230&lt;&gt;"acoes")))*INDEX(Inputs!$K$5:$AJ$230,0,MATCH(E$2,Inputs!$K$4:$AJ$4,0)))))</f>
        <v>-14.504</v>
      </c>
      <c r="F9" s="6">
        <f>IF(ISNA(MATCH(F$2,Inputs!$K$4:$AJ$4,0)),NA(),IF(SUMPRODUCT((Inputs!$A$5:$A$230=$B9)*ISNUMBER(INDEX(Inputs!$K$5:$AJ$230,0,MATCH(F$2,Inputs!$K$4:$AJ$4,0))))+SUMPRODUCT((Inputs!$C$5:$C$230=$B9)*ISNUMBER(INDEX(Inputs!$K$5:$AJ$230,0,MATCH(F$2,Inputs!$K$4:$AJ$4,0))))+SUMPRODUCT((Inputs!$E$5:$E$230=$B9)*ISNUMBER(INDEX(Inputs!$K$5:$AJ$230,0,MATCH(F$2,Inputs!$K$4:$AJ$4,0))))=0,NA(),SUMPRODUCT((Inputs!$A$5:$A$230=$B9)*Inputs!$B$5:$B$230*(((Inputs!$G$5:$G$230="moeda")+(Inputs!$G$5:$G$230="acoes"))*Inputs!$B$1+((Inputs!$G$5:$G$230&lt;&gt;"moeda")*(Inputs!$G$5:$G$230&lt;&gt;"acoes")))*INDEX(Inputs!$K$5:$AJ$230,0,MATCH(F$2,Inputs!$K$4:$AJ$4,0)))+SUMPRODUCT((Inputs!$C$5:$C$230=$B9)*Inputs!$D$5:$D$230*(((Inputs!$G$5:$G$230="moeda")+(Inputs!$G$5:$G$230="acoes"))*Inputs!$B$1+((Inputs!$G$5:$G$230&lt;&gt;"moeda")*(Inputs!$G$5:$G$230&lt;&gt;"acoes")))*INDEX(Inputs!$K$5:$AJ$230,0,MATCH(F$2,Inputs!$K$4:$AJ$4,0)))+SUMPRODUCT((Inputs!$E$5:$E$230=$B9)*Inputs!$F$5:$F$230*(((Inputs!$G$5:$G$230="moeda")+(Inputs!$G$5:$G$230="acoes"))*Inputs!$B$1+((Inputs!$G$5:$G$230&lt;&gt;"moeda")*(Inputs!$G$5:$G$230&lt;&gt;"acoes")))*INDEX(Inputs!$K$5:$AJ$230,0,MATCH(F$2,Inputs!$K$4:$AJ$4,0)))))</f>
        <v>-49.987</v>
      </c>
      <c r="G9" s="6">
        <f>IF(ISNA(MATCH(G$2,Inputs!$K$4:$AJ$4,0)),NA(),IF(SUMPRODUCT((Inputs!$A$5:$A$230=$B9)*ISNUMBER(INDEX(Inputs!$K$5:$AJ$230,0,MATCH(G$2,Inputs!$K$4:$AJ$4,0))))+SUMPRODUCT((Inputs!$C$5:$C$230=$B9)*ISNUMBER(INDEX(Inputs!$K$5:$AJ$230,0,MATCH(G$2,Inputs!$K$4:$AJ$4,0))))+SUMPRODUCT((Inputs!$E$5:$E$230=$B9)*ISNUMBER(INDEX(Inputs!$K$5:$AJ$230,0,MATCH(G$2,Inputs!$K$4:$AJ$4,0))))=0,NA(),SUMPRODUCT((Inputs!$A$5:$A$230=$B9)*Inputs!$B$5:$B$230*(((Inputs!$G$5:$G$230="moeda")+(Inputs!$G$5:$G$230="acoes"))*Inputs!$B$1+((Inputs!$G$5:$G$230&lt;&gt;"moeda")*(Inputs!$G$5:$G$230&lt;&gt;"acoes")))*INDEX(Inputs!$K$5:$AJ$230,0,MATCH(G$2,Inputs!$K$4:$AJ$4,0)))+SUMPRODUCT((Inputs!$C$5:$C$230=$B9)*Inputs!$D$5:$D$230*(((Inputs!$G$5:$G$230="moeda")+(Inputs!$G$5:$G$230="acoes"))*Inputs!$B$1+((Inputs!$G$5:$G$230&lt;&gt;"moeda")*(Inputs!$G$5:$G$230&lt;&gt;"acoes")))*INDEX(Inputs!$K$5:$AJ$230,0,MATCH(G$2,Inputs!$K$4:$AJ$4,0)))+SUMPRODUCT((Inputs!$E$5:$E$230=$B9)*Inputs!$F$5:$F$230*(((Inputs!$G$5:$G$230="moeda")+(Inputs!$G$5:$G$230="acoes"))*Inputs!$B$1+((Inputs!$G$5:$G$230&lt;&gt;"moeda")*(Inputs!$G$5:$G$230&lt;&gt;"acoes")))*INDEX(Inputs!$K$5:$AJ$230,0,MATCH(G$2,Inputs!$K$4:$AJ$4,0)))))</f>
        <v>61.804</v>
      </c>
      <c r="H9" s="3">
        <f>SUM(D9:G9)</f>
        <v>-30.821</v>
      </c>
      <c r="I9" s="6">
        <f>IF(ISNA(MATCH(I$2,Inputs!$K$4:$AJ$4,0)),NA(),IF(SUMPRODUCT((Inputs!$A$5:$A$230=$B9)*ISNUMBER(INDEX(Inputs!$K$5:$AJ$230,0,MATCH(I$2,Inputs!$K$4:$AJ$4,0))))+SUMPRODUCT((Inputs!$C$5:$C$230=$B9)*ISNUMBER(INDEX(Inputs!$K$5:$AJ$230,0,MATCH(I$2,Inputs!$K$4:$AJ$4,0))))+SUMPRODUCT((Inputs!$E$5:$E$230=$B9)*ISNUMBER(INDEX(Inputs!$K$5:$AJ$230,0,MATCH(I$2,Inputs!$K$4:$AJ$4,0))))=0,NA(),SUMPRODUCT((Inputs!$A$5:$A$230=$B9)*Inputs!$B$5:$B$230*(((Inputs!$G$5:$G$230="moeda")+(Inputs!$G$5:$G$230="acoes"))*Inputs!$B$1+((Inputs!$G$5:$G$230&lt;&gt;"moeda")*(Inputs!$G$5:$G$230&lt;&gt;"acoes")))*INDEX(Inputs!$K$5:$AJ$230,0,MATCH(I$2,Inputs!$K$4:$AJ$4,0)))+SUMPRODUCT((Inputs!$C$5:$C$230=$B9)*Inputs!$D$5:$D$230*(((Inputs!$G$5:$G$230="moeda")+(Inputs!$G$5:$G$230="acoes"))*Inputs!$B$1+((Inputs!$G$5:$G$230&lt;&gt;"moeda")*(Inputs!$G$5:$G$230&lt;&gt;"acoes")))*INDEX(Inputs!$K$5:$AJ$230,0,MATCH(I$2,Inputs!$K$4:$AJ$4,0)))+SUMPRODUCT((Inputs!$E$5:$E$230=$B9)*Inputs!$F$5:$F$230*(((Inputs!$G$5:$G$230="moeda")+(Inputs!$G$5:$G$230="acoes"))*Inputs!$B$1+((Inputs!$G$5:$G$230&lt;&gt;"moeda")*(Inputs!$G$5:$G$230&lt;&gt;"acoes")))*INDEX(Inputs!$K$5:$AJ$230,0,MATCH(I$2,Inputs!$K$4:$AJ$4,0)))))</f>
        <v>105.333</v>
      </c>
      <c r="J9" s="6">
        <f>IF(ISNA(MATCH(J$2,Inputs!$K$4:$AJ$4,0)),NA(),IF(SUMPRODUCT((Inputs!$A$5:$A$230=$B9)*ISNUMBER(INDEX(Inputs!$K$5:$AJ$230,0,MATCH(J$2,Inputs!$K$4:$AJ$4,0))))+SUMPRODUCT((Inputs!$C$5:$C$230=$B9)*ISNUMBER(INDEX(Inputs!$K$5:$AJ$230,0,MATCH(J$2,Inputs!$K$4:$AJ$4,0))))+SUMPRODUCT((Inputs!$E$5:$E$230=$B9)*ISNUMBER(INDEX(Inputs!$K$5:$AJ$230,0,MATCH(J$2,Inputs!$K$4:$AJ$4,0))))=0,NA(),SUMPRODUCT((Inputs!$A$5:$A$230=$B9)*Inputs!$B$5:$B$230*(((Inputs!$G$5:$G$230="moeda")+(Inputs!$G$5:$G$230="acoes"))*Inputs!$B$1+((Inputs!$G$5:$G$230&lt;&gt;"moeda")*(Inputs!$G$5:$G$230&lt;&gt;"acoes")))*INDEX(Inputs!$K$5:$AJ$230,0,MATCH(J$2,Inputs!$K$4:$AJ$4,0)))+SUMPRODUCT((Inputs!$C$5:$C$230=$B9)*Inputs!$D$5:$D$230*(((Inputs!$G$5:$G$230="moeda")+(Inputs!$G$5:$G$230="acoes"))*Inputs!$B$1+((Inputs!$G$5:$G$230&lt;&gt;"moeda")*(Inputs!$G$5:$G$230&lt;&gt;"acoes")))*INDEX(Inputs!$K$5:$AJ$230,0,MATCH(J$2,Inputs!$K$4:$AJ$4,0)))+SUMPRODUCT((Inputs!$E$5:$E$230=$B9)*Inputs!$F$5:$F$230*(((Inputs!$G$5:$G$230="moeda")+(Inputs!$G$5:$G$230="acoes"))*Inputs!$B$1+((Inputs!$G$5:$G$230&lt;&gt;"moeda")*(Inputs!$G$5:$G$230&lt;&gt;"acoes")))*INDEX(Inputs!$K$5:$AJ$230,0,MATCH(J$2,Inputs!$K$4:$AJ$4,0)))))</f>
        <v>29.885</v>
      </c>
      <c r="K9" s="6">
        <f>IF(ISNA(MATCH(K$2,Inputs!$K$4:$AJ$4,0)),NA(),IF(SUMPRODUCT((Inputs!$A$5:$A$230=$B9)*ISNUMBER(INDEX(Inputs!$K$5:$AJ$230,0,MATCH(K$2,Inputs!$K$4:$AJ$4,0))))+SUMPRODUCT((Inputs!$C$5:$C$230=$B9)*ISNUMBER(INDEX(Inputs!$K$5:$AJ$230,0,MATCH(K$2,Inputs!$K$4:$AJ$4,0))))+SUMPRODUCT((Inputs!$E$5:$E$230=$B9)*ISNUMBER(INDEX(Inputs!$K$5:$AJ$230,0,MATCH(K$2,Inputs!$K$4:$AJ$4,0))))=0,NA(),SUMPRODUCT((Inputs!$A$5:$A$230=$B9)*Inputs!$B$5:$B$230*(((Inputs!$G$5:$G$230="moeda")+(Inputs!$G$5:$G$230="acoes"))*Inputs!$B$1+((Inputs!$G$5:$G$230&lt;&gt;"moeda")*(Inputs!$G$5:$G$230&lt;&gt;"acoes")))*INDEX(Inputs!$K$5:$AJ$230,0,MATCH(K$2,Inputs!$K$4:$AJ$4,0)))+SUMPRODUCT((Inputs!$C$5:$C$230=$B9)*Inputs!$D$5:$D$230*(((Inputs!$G$5:$G$230="moeda")+(Inputs!$G$5:$G$230="acoes"))*Inputs!$B$1+((Inputs!$G$5:$G$230&lt;&gt;"moeda")*(Inputs!$G$5:$G$230&lt;&gt;"acoes")))*INDEX(Inputs!$K$5:$AJ$230,0,MATCH(K$2,Inputs!$K$4:$AJ$4,0)))+SUMPRODUCT((Inputs!$E$5:$E$230=$B9)*Inputs!$F$5:$F$230*(((Inputs!$G$5:$G$230="moeda")+(Inputs!$G$5:$G$230="acoes"))*Inputs!$B$1+((Inputs!$G$5:$G$230&lt;&gt;"moeda")*(Inputs!$G$5:$G$230&lt;&gt;"acoes")))*INDEX(Inputs!$K$5:$AJ$230,0,MATCH(K$2,Inputs!$K$4:$AJ$4,0)))))</f>
        <v>9.146</v>
      </c>
      <c r="L9" s="6">
        <f>IF(ISNA(MATCH(L$2,Inputs!$K$4:$AJ$4,0)),NA(),IF(SUMPRODUCT((Inputs!$A$5:$A$230=$B9)*ISNUMBER(INDEX(Inputs!$K$5:$AJ$230,0,MATCH(L$2,Inputs!$K$4:$AJ$4,0))))+SUMPRODUCT((Inputs!$C$5:$C$230=$B9)*ISNUMBER(INDEX(Inputs!$K$5:$AJ$230,0,MATCH(L$2,Inputs!$K$4:$AJ$4,0))))+SUMPRODUCT((Inputs!$E$5:$E$230=$B9)*ISNUMBER(INDEX(Inputs!$K$5:$AJ$230,0,MATCH(L$2,Inputs!$K$4:$AJ$4,0))))=0,NA(),SUMPRODUCT((Inputs!$A$5:$A$230=$B9)*Inputs!$B$5:$B$230*(((Inputs!$G$5:$G$230="moeda")+(Inputs!$G$5:$G$230="acoes"))*Inputs!$B$1+((Inputs!$G$5:$G$230&lt;&gt;"moeda")*(Inputs!$G$5:$G$230&lt;&gt;"acoes")))*INDEX(Inputs!$K$5:$AJ$230,0,MATCH(L$2,Inputs!$K$4:$AJ$4,0)))+SUMPRODUCT((Inputs!$C$5:$C$230=$B9)*Inputs!$D$5:$D$230*(((Inputs!$G$5:$G$230="moeda")+(Inputs!$G$5:$G$230="acoes"))*Inputs!$B$1+((Inputs!$G$5:$G$230&lt;&gt;"moeda")*(Inputs!$G$5:$G$230&lt;&gt;"acoes")))*INDEX(Inputs!$K$5:$AJ$230,0,MATCH(L$2,Inputs!$K$4:$AJ$4,0)))+SUMPRODUCT((Inputs!$E$5:$E$230=$B9)*Inputs!$F$5:$F$230*(((Inputs!$G$5:$G$230="moeda")+(Inputs!$G$5:$G$230="acoes"))*Inputs!$B$1+((Inputs!$G$5:$G$230&lt;&gt;"moeda")*(Inputs!$G$5:$G$230&lt;&gt;"acoes")))*INDEX(Inputs!$K$5:$AJ$230,0,MATCH(L$2,Inputs!$K$4:$AJ$4,0)))))</f>
        <v>70.34</v>
      </c>
      <c r="M9" s="3">
        <f>SUM(I9:L9)</f>
        <v>214.704</v>
      </c>
      <c r="N9" s="6">
        <f>IF(ISNA(MATCH(N$2,Inputs!$K$4:$AJ$4,0)),NA(),IF(SUMPRODUCT((Inputs!$A$5:$A$230=$B9)*ISNUMBER(INDEX(Inputs!$K$5:$AJ$230,0,MATCH(N$2,Inputs!$K$4:$AJ$4,0))))+SUMPRODUCT((Inputs!$C$5:$C$230=$B9)*ISNUMBER(INDEX(Inputs!$K$5:$AJ$230,0,MATCH(N$2,Inputs!$K$4:$AJ$4,0))))+SUMPRODUCT((Inputs!$E$5:$E$230=$B9)*ISNUMBER(INDEX(Inputs!$K$5:$AJ$230,0,MATCH(N$2,Inputs!$K$4:$AJ$4,0))))=0,NA(),SUMPRODUCT((Inputs!$A$5:$A$230=$B9)*Inputs!$B$5:$B$230*(((Inputs!$G$5:$G$230="moeda")+(Inputs!$G$5:$G$230="acoes"))*Inputs!$B$1+((Inputs!$G$5:$G$230&lt;&gt;"moeda")*(Inputs!$G$5:$G$230&lt;&gt;"acoes")))*INDEX(Inputs!$K$5:$AJ$230,0,MATCH(N$2,Inputs!$K$4:$AJ$4,0)))+SUMPRODUCT((Inputs!$C$5:$C$230=$B9)*Inputs!$D$5:$D$230*(((Inputs!$G$5:$G$230="moeda")+(Inputs!$G$5:$G$230="acoes"))*Inputs!$B$1+((Inputs!$G$5:$G$230&lt;&gt;"moeda")*(Inputs!$G$5:$G$230&lt;&gt;"acoes")))*INDEX(Inputs!$K$5:$AJ$230,0,MATCH(N$2,Inputs!$K$4:$AJ$4,0)))+SUMPRODUCT((Inputs!$E$5:$E$230=$B9)*Inputs!$F$5:$F$230*(((Inputs!$G$5:$G$230="moeda")+(Inputs!$G$5:$G$230="acoes"))*Inputs!$B$1+((Inputs!$G$5:$G$230&lt;&gt;"moeda")*(Inputs!$G$5:$G$230&lt;&gt;"acoes")))*INDEX(Inputs!$K$5:$AJ$230,0,MATCH(N$2,Inputs!$K$4:$AJ$4,0)))))</f>
        <v>72.297</v>
      </c>
      <c r="O9" s="6">
        <f>IF(ISNA(MATCH(O$2,Inputs!$K$4:$AJ$4,0)),NA(),IF(SUMPRODUCT((Inputs!$A$5:$A$230=$B9)*ISNUMBER(INDEX(Inputs!$K$5:$AJ$230,0,MATCH(O$2,Inputs!$K$4:$AJ$4,0))))+SUMPRODUCT((Inputs!$C$5:$C$230=$B9)*ISNUMBER(INDEX(Inputs!$K$5:$AJ$230,0,MATCH(O$2,Inputs!$K$4:$AJ$4,0))))+SUMPRODUCT((Inputs!$E$5:$E$230=$B9)*ISNUMBER(INDEX(Inputs!$K$5:$AJ$230,0,MATCH(O$2,Inputs!$K$4:$AJ$4,0))))=0,NA(),SUMPRODUCT((Inputs!$A$5:$A$230=$B9)*Inputs!$B$5:$B$230*(((Inputs!$G$5:$G$230="moeda")+(Inputs!$G$5:$G$230="acoes"))*Inputs!$B$1+((Inputs!$G$5:$G$230&lt;&gt;"moeda")*(Inputs!$G$5:$G$230&lt;&gt;"acoes")))*INDEX(Inputs!$K$5:$AJ$230,0,MATCH(O$2,Inputs!$K$4:$AJ$4,0)))+SUMPRODUCT((Inputs!$C$5:$C$230=$B9)*Inputs!$D$5:$D$230*(((Inputs!$G$5:$G$230="moeda")+(Inputs!$G$5:$G$230="acoes"))*Inputs!$B$1+((Inputs!$G$5:$G$230&lt;&gt;"moeda")*(Inputs!$G$5:$G$230&lt;&gt;"acoes")))*INDEX(Inputs!$K$5:$AJ$230,0,MATCH(O$2,Inputs!$K$4:$AJ$4,0)))+SUMPRODUCT((Inputs!$E$5:$E$230=$B9)*Inputs!$F$5:$F$230*(((Inputs!$G$5:$G$230="moeda")+(Inputs!$G$5:$G$230="acoes"))*Inputs!$B$1+((Inputs!$G$5:$G$230&lt;&gt;"moeda")*(Inputs!$G$5:$G$230&lt;&gt;"acoes")))*INDEX(Inputs!$K$5:$AJ$230,0,MATCH(O$2,Inputs!$K$4:$AJ$4,0)))))</f>
        <v>90.615</v>
      </c>
      <c r="P9" s="6">
        <f>IF(ISNA(MATCH(P$2,Inputs!$K$4:$AJ$4,0)),NA(),IF(SUMPRODUCT((Inputs!$A$5:$A$230=$B9)*ISNUMBER(INDEX(Inputs!$K$5:$AJ$230,0,MATCH(P$2,Inputs!$K$4:$AJ$4,0))))+SUMPRODUCT((Inputs!$C$5:$C$230=$B9)*ISNUMBER(INDEX(Inputs!$K$5:$AJ$230,0,MATCH(P$2,Inputs!$K$4:$AJ$4,0))))+SUMPRODUCT((Inputs!$E$5:$E$230=$B9)*ISNUMBER(INDEX(Inputs!$K$5:$AJ$230,0,MATCH(P$2,Inputs!$K$4:$AJ$4,0))))=0,NA(),SUMPRODUCT((Inputs!$A$5:$A$230=$B9)*Inputs!$B$5:$B$230*(((Inputs!$G$5:$G$230="moeda")+(Inputs!$G$5:$G$230="acoes"))*Inputs!$B$1+((Inputs!$G$5:$G$230&lt;&gt;"moeda")*(Inputs!$G$5:$G$230&lt;&gt;"acoes")))*INDEX(Inputs!$K$5:$AJ$230,0,MATCH(P$2,Inputs!$K$4:$AJ$4,0)))+SUMPRODUCT((Inputs!$C$5:$C$230=$B9)*Inputs!$D$5:$D$230*(((Inputs!$G$5:$G$230="moeda")+(Inputs!$G$5:$G$230="acoes"))*Inputs!$B$1+((Inputs!$G$5:$G$230&lt;&gt;"moeda")*(Inputs!$G$5:$G$230&lt;&gt;"acoes")))*INDEX(Inputs!$K$5:$AJ$230,0,MATCH(P$2,Inputs!$K$4:$AJ$4,0)))+SUMPRODUCT((Inputs!$E$5:$E$230=$B9)*Inputs!$F$5:$F$230*(((Inputs!$G$5:$G$230="moeda")+(Inputs!$G$5:$G$230="acoes"))*Inputs!$B$1+((Inputs!$G$5:$G$230&lt;&gt;"moeda")*(Inputs!$G$5:$G$230&lt;&gt;"acoes")))*INDEX(Inputs!$K$5:$AJ$230,0,MATCH(P$2,Inputs!$K$4:$AJ$4,0)))))</f>
        <v>46.426</v>
      </c>
      <c r="Q9" s="6">
        <f>IF(ISNA(MATCH(Q$2,Inputs!$K$4:$AJ$4,0)),NA(),IF(SUMPRODUCT((Inputs!$A$5:$A$230=$B9)*ISNUMBER(INDEX(Inputs!$K$5:$AJ$230,0,MATCH(Q$2,Inputs!$K$4:$AJ$4,0))))+SUMPRODUCT((Inputs!$C$5:$C$230=$B9)*ISNUMBER(INDEX(Inputs!$K$5:$AJ$230,0,MATCH(Q$2,Inputs!$K$4:$AJ$4,0))))+SUMPRODUCT((Inputs!$E$5:$E$230=$B9)*ISNUMBER(INDEX(Inputs!$K$5:$AJ$230,0,MATCH(Q$2,Inputs!$K$4:$AJ$4,0))))=0,NA(),SUMPRODUCT((Inputs!$A$5:$A$230=$B9)*Inputs!$B$5:$B$230*(((Inputs!$G$5:$G$230="moeda")+(Inputs!$G$5:$G$230="acoes"))*Inputs!$B$1+((Inputs!$G$5:$G$230&lt;&gt;"moeda")*(Inputs!$G$5:$G$230&lt;&gt;"acoes")))*INDEX(Inputs!$K$5:$AJ$230,0,MATCH(Q$2,Inputs!$K$4:$AJ$4,0)))+SUMPRODUCT((Inputs!$C$5:$C$230=$B9)*Inputs!$D$5:$D$230*(((Inputs!$G$5:$G$230="moeda")+(Inputs!$G$5:$G$230="acoes"))*Inputs!$B$1+((Inputs!$G$5:$G$230&lt;&gt;"moeda")*(Inputs!$G$5:$G$230&lt;&gt;"acoes")))*INDEX(Inputs!$K$5:$AJ$230,0,MATCH(Q$2,Inputs!$K$4:$AJ$4,0)))+SUMPRODUCT((Inputs!$E$5:$E$230=$B9)*Inputs!$F$5:$F$230*(((Inputs!$G$5:$G$230="moeda")+(Inputs!$G$5:$G$230="acoes"))*Inputs!$B$1+((Inputs!$G$5:$G$230&lt;&gt;"moeda")*(Inputs!$G$5:$G$230&lt;&gt;"acoes")))*INDEX(Inputs!$K$5:$AJ$230,0,MATCH(Q$2,Inputs!$K$4:$AJ$4,0)))))</f>
        <v>79.443</v>
      </c>
      <c r="R9" s="3">
        <f>SUM(N9:Q9)</f>
        <v>288.781</v>
      </c>
      <c r="S9" s="6">
        <f>IF(ISNA(MATCH(S$2,Inputs!$K$4:$AJ$4,0)),NA(),IF(SUMPRODUCT((Inputs!$A$5:$A$230=$B9)*ISNUMBER(INDEX(Inputs!$K$5:$AJ$230,0,MATCH(S$2,Inputs!$K$4:$AJ$4,0))))+SUMPRODUCT((Inputs!$C$5:$C$230=$B9)*ISNUMBER(INDEX(Inputs!$K$5:$AJ$230,0,MATCH(S$2,Inputs!$K$4:$AJ$4,0))))+SUMPRODUCT((Inputs!$E$5:$E$230=$B9)*ISNUMBER(INDEX(Inputs!$K$5:$AJ$230,0,MATCH(S$2,Inputs!$K$4:$AJ$4,0))))=0,NA(),SUMPRODUCT((Inputs!$A$5:$A$230=$B9)*Inputs!$B$5:$B$230*(((Inputs!$G$5:$G$230="moeda")+(Inputs!$G$5:$G$230="acoes"))*Inputs!$B$1+((Inputs!$G$5:$G$230&lt;&gt;"moeda")*(Inputs!$G$5:$G$230&lt;&gt;"acoes")))*INDEX(Inputs!$K$5:$AJ$230,0,MATCH(S$2,Inputs!$K$4:$AJ$4,0)))+SUMPRODUCT((Inputs!$C$5:$C$230=$B9)*Inputs!$D$5:$D$230*(((Inputs!$G$5:$G$230="moeda")+(Inputs!$G$5:$G$230="acoes"))*Inputs!$B$1+((Inputs!$G$5:$G$230&lt;&gt;"moeda")*(Inputs!$G$5:$G$230&lt;&gt;"acoes")))*INDEX(Inputs!$K$5:$AJ$230,0,MATCH(S$2,Inputs!$K$4:$AJ$4,0)))+SUMPRODUCT((Inputs!$E$5:$E$230=$B9)*Inputs!$F$5:$F$230*(((Inputs!$G$5:$G$230="moeda")+(Inputs!$G$5:$G$230="acoes"))*Inputs!$B$1+((Inputs!$G$5:$G$230&lt;&gt;"moeda")*(Inputs!$G$5:$G$230&lt;&gt;"acoes")))*INDEX(Inputs!$K$5:$AJ$230,0,MATCH(S$2,Inputs!$K$4:$AJ$4,0)))))</f>
        <v>68.858</v>
      </c>
      <c r="T9" s="6">
        <f>IF(ISNA(MATCH(T$2,Inputs!$K$4:$AJ$4,0)),NA(),IF(SUMPRODUCT((Inputs!$A$5:$A$230=$B9)*ISNUMBER(INDEX(Inputs!$K$5:$AJ$230,0,MATCH(T$2,Inputs!$K$4:$AJ$4,0))))+SUMPRODUCT((Inputs!$C$5:$C$230=$B9)*ISNUMBER(INDEX(Inputs!$K$5:$AJ$230,0,MATCH(T$2,Inputs!$K$4:$AJ$4,0))))+SUMPRODUCT((Inputs!$E$5:$E$230=$B9)*ISNUMBER(INDEX(Inputs!$K$5:$AJ$230,0,MATCH(T$2,Inputs!$K$4:$AJ$4,0))))=0,NA(),SUMPRODUCT((Inputs!$A$5:$A$230=$B9)*Inputs!$B$5:$B$230*(((Inputs!$G$5:$G$230="moeda")+(Inputs!$G$5:$G$230="acoes"))*Inputs!$B$1+((Inputs!$G$5:$G$230&lt;&gt;"moeda")*(Inputs!$G$5:$G$230&lt;&gt;"acoes")))*INDEX(Inputs!$K$5:$AJ$230,0,MATCH(T$2,Inputs!$K$4:$AJ$4,0)))+SUMPRODUCT((Inputs!$C$5:$C$230=$B9)*Inputs!$D$5:$D$230*(((Inputs!$G$5:$G$230="moeda")+(Inputs!$G$5:$G$230="acoes"))*Inputs!$B$1+((Inputs!$G$5:$G$230&lt;&gt;"moeda")*(Inputs!$G$5:$G$230&lt;&gt;"acoes")))*INDEX(Inputs!$K$5:$AJ$230,0,MATCH(T$2,Inputs!$K$4:$AJ$4,0)))+SUMPRODUCT((Inputs!$E$5:$E$230=$B9)*Inputs!$F$5:$F$230*(((Inputs!$G$5:$G$230="moeda")+(Inputs!$G$5:$G$230="acoes"))*Inputs!$B$1+((Inputs!$G$5:$G$230&lt;&gt;"moeda")*(Inputs!$G$5:$G$230&lt;&gt;"acoes")))*INDEX(Inputs!$K$5:$AJ$230,0,MATCH(T$2,Inputs!$K$4:$AJ$4,0)))))</f>
        <v>51.672</v>
      </c>
      <c r="U9" s="6">
        <f>IF(ISNA(MATCH(U$2,Inputs!$K$4:$AJ$4,0)),NA(),IF(SUMPRODUCT((Inputs!$A$5:$A$230=$B9)*ISNUMBER(INDEX(Inputs!$K$5:$AJ$230,0,MATCH(U$2,Inputs!$K$4:$AJ$4,0))))+SUMPRODUCT((Inputs!$C$5:$C$230=$B9)*ISNUMBER(INDEX(Inputs!$K$5:$AJ$230,0,MATCH(U$2,Inputs!$K$4:$AJ$4,0))))+SUMPRODUCT((Inputs!$E$5:$E$230=$B9)*ISNUMBER(INDEX(Inputs!$K$5:$AJ$230,0,MATCH(U$2,Inputs!$K$4:$AJ$4,0))))=0,NA(),SUMPRODUCT((Inputs!$A$5:$A$230=$B9)*Inputs!$B$5:$B$230*(((Inputs!$G$5:$G$230="moeda")+(Inputs!$G$5:$G$230="acoes"))*Inputs!$B$1+((Inputs!$G$5:$G$230&lt;&gt;"moeda")*(Inputs!$G$5:$G$230&lt;&gt;"acoes")))*INDEX(Inputs!$K$5:$AJ$230,0,MATCH(U$2,Inputs!$K$4:$AJ$4,0)))+SUMPRODUCT((Inputs!$C$5:$C$230=$B9)*Inputs!$D$5:$D$230*(((Inputs!$G$5:$G$230="moeda")+(Inputs!$G$5:$G$230="acoes"))*Inputs!$B$1+((Inputs!$G$5:$G$230&lt;&gt;"moeda")*(Inputs!$G$5:$G$230&lt;&gt;"acoes")))*INDEX(Inputs!$K$5:$AJ$230,0,MATCH(U$2,Inputs!$K$4:$AJ$4,0)))+SUMPRODUCT((Inputs!$E$5:$E$230=$B9)*Inputs!$F$5:$F$230*(((Inputs!$G$5:$G$230="moeda")+(Inputs!$G$5:$G$230="acoes"))*Inputs!$B$1+((Inputs!$G$5:$G$230&lt;&gt;"moeda")*(Inputs!$G$5:$G$230&lt;&gt;"acoes")))*INDEX(Inputs!$K$5:$AJ$230,0,MATCH(U$2,Inputs!$K$4:$AJ$4,0)))))</f>
        <v>91.093</v>
      </c>
      <c r="V9" s="6">
        <f>IF(ISNA(MATCH(V$2,Inputs!$K$4:$AJ$4,0)),NA(),IF(SUMPRODUCT((Inputs!$A$5:$A$230=$B9)*ISNUMBER(INDEX(Inputs!$K$5:$AJ$230,0,MATCH(V$2,Inputs!$K$4:$AJ$4,0))))+SUMPRODUCT((Inputs!$C$5:$C$230=$B9)*ISNUMBER(INDEX(Inputs!$K$5:$AJ$230,0,MATCH(V$2,Inputs!$K$4:$AJ$4,0))))+SUMPRODUCT((Inputs!$E$5:$E$230=$B9)*ISNUMBER(INDEX(Inputs!$K$5:$AJ$230,0,MATCH(V$2,Inputs!$K$4:$AJ$4,0))))=0,NA(),SUMPRODUCT((Inputs!$A$5:$A$230=$B9)*Inputs!$B$5:$B$230*(((Inputs!$G$5:$G$230="moeda")+(Inputs!$G$5:$G$230="acoes"))*Inputs!$B$1+((Inputs!$G$5:$G$230&lt;&gt;"moeda")*(Inputs!$G$5:$G$230&lt;&gt;"acoes")))*INDEX(Inputs!$K$5:$AJ$230,0,MATCH(V$2,Inputs!$K$4:$AJ$4,0)))+SUMPRODUCT((Inputs!$C$5:$C$230=$B9)*Inputs!$D$5:$D$230*(((Inputs!$G$5:$G$230="moeda")+(Inputs!$G$5:$G$230="acoes"))*Inputs!$B$1+((Inputs!$G$5:$G$230&lt;&gt;"moeda")*(Inputs!$G$5:$G$230&lt;&gt;"acoes")))*INDEX(Inputs!$K$5:$AJ$230,0,MATCH(V$2,Inputs!$K$4:$AJ$4,0)))+SUMPRODUCT((Inputs!$E$5:$E$230=$B9)*Inputs!$F$5:$F$230*(((Inputs!$G$5:$G$230="moeda")+(Inputs!$G$5:$G$230="acoes"))*Inputs!$B$1+((Inputs!$G$5:$G$230&lt;&gt;"moeda")*(Inputs!$G$5:$G$230&lt;&gt;"acoes")))*INDEX(Inputs!$K$5:$AJ$230,0,MATCH(V$2,Inputs!$K$4:$AJ$4,0)))))</f>
        <v>59.663</v>
      </c>
      <c r="W9" s="3">
        <f>SUM(S9:V9)</f>
        <v>271.286</v>
      </c>
      <c r="X9" s="6">
        <f>IF(ISNA(MATCH(X$2,Inputs!$K$4:$AJ$4,0)),NA(),IF(SUMPRODUCT((Inputs!$A$5:$A$230=$B9)*ISNUMBER(INDEX(Inputs!$K$5:$AJ$230,0,MATCH(X$2,Inputs!$K$4:$AJ$4,0))))+SUMPRODUCT((Inputs!$C$5:$C$230=$B9)*ISNUMBER(INDEX(Inputs!$K$5:$AJ$230,0,MATCH(X$2,Inputs!$K$4:$AJ$4,0))))+SUMPRODUCT((Inputs!$E$5:$E$230=$B9)*ISNUMBER(INDEX(Inputs!$K$5:$AJ$230,0,MATCH(X$2,Inputs!$K$4:$AJ$4,0))))=0,NA(),SUMPRODUCT((Inputs!$A$5:$A$230=$B9)*Inputs!$B$5:$B$230*(((Inputs!$G$5:$G$230="moeda")+(Inputs!$G$5:$G$230="acoes"))*Inputs!$B$1+((Inputs!$G$5:$G$230&lt;&gt;"moeda")*(Inputs!$G$5:$G$230&lt;&gt;"acoes")))*INDEX(Inputs!$K$5:$AJ$230,0,MATCH(X$2,Inputs!$K$4:$AJ$4,0)))+SUMPRODUCT((Inputs!$C$5:$C$230=$B9)*Inputs!$D$5:$D$230*(((Inputs!$G$5:$G$230="moeda")+(Inputs!$G$5:$G$230="acoes"))*Inputs!$B$1+((Inputs!$G$5:$G$230&lt;&gt;"moeda")*(Inputs!$G$5:$G$230&lt;&gt;"acoes")))*INDEX(Inputs!$K$5:$AJ$230,0,MATCH(X$2,Inputs!$K$4:$AJ$4,0)))+SUMPRODUCT((Inputs!$E$5:$E$230=$B9)*Inputs!$F$5:$F$230*(((Inputs!$G$5:$G$230="moeda")+(Inputs!$G$5:$G$230="acoes"))*Inputs!$B$1+((Inputs!$G$5:$G$230&lt;&gt;"moeda")*(Inputs!$G$5:$G$230&lt;&gt;"acoes")))*INDEX(Inputs!$K$5:$AJ$230,0,MATCH(X$2,Inputs!$K$4:$AJ$4,0)))))</f>
        <v>111.171</v>
      </c>
      <c r="Y9" s="6">
        <f>IF(ISNA(MATCH(Y$2,Inputs!$K$4:$AJ$4,0)),NA(),IF(SUMPRODUCT((Inputs!$A$5:$A$230=$B9)*ISNUMBER(INDEX(Inputs!$K$5:$AJ$230,0,MATCH(Y$2,Inputs!$K$4:$AJ$4,0))))+SUMPRODUCT((Inputs!$C$5:$C$230=$B9)*ISNUMBER(INDEX(Inputs!$K$5:$AJ$230,0,MATCH(Y$2,Inputs!$K$4:$AJ$4,0))))+SUMPRODUCT((Inputs!$E$5:$E$230=$B9)*ISNUMBER(INDEX(Inputs!$K$5:$AJ$230,0,MATCH(Y$2,Inputs!$K$4:$AJ$4,0))))=0,NA(),SUMPRODUCT((Inputs!$A$5:$A$230=$B9)*Inputs!$B$5:$B$230*(((Inputs!$G$5:$G$230="moeda")+(Inputs!$G$5:$G$230="acoes"))*Inputs!$B$1+((Inputs!$G$5:$G$230&lt;&gt;"moeda")*(Inputs!$G$5:$G$230&lt;&gt;"acoes")))*INDEX(Inputs!$K$5:$AJ$230,0,MATCH(Y$2,Inputs!$K$4:$AJ$4,0)))+SUMPRODUCT((Inputs!$C$5:$C$230=$B9)*Inputs!$D$5:$D$230*(((Inputs!$G$5:$G$230="moeda")+(Inputs!$G$5:$G$230="acoes"))*Inputs!$B$1+((Inputs!$G$5:$G$230&lt;&gt;"moeda")*(Inputs!$G$5:$G$230&lt;&gt;"acoes")))*INDEX(Inputs!$K$5:$AJ$230,0,MATCH(Y$2,Inputs!$K$4:$AJ$4,0)))+SUMPRODUCT((Inputs!$E$5:$E$230=$B9)*Inputs!$F$5:$F$230*(((Inputs!$G$5:$G$230="moeda")+(Inputs!$G$5:$G$230="acoes"))*Inputs!$B$1+((Inputs!$G$5:$G$230&lt;&gt;"moeda")*(Inputs!$G$5:$G$230&lt;&gt;"acoes")))*INDEX(Inputs!$K$5:$AJ$230,0,MATCH(Y$2,Inputs!$K$4:$AJ$4,0)))))</f>
        <v>100.653</v>
      </c>
      <c r="Z9" s="6">
        <f>IF(ISNA(MATCH(Z$2,Inputs!$K$4:$AJ$4,0)),NA(),IF(SUMPRODUCT((Inputs!$A$5:$A$230=$B9)*ISNUMBER(INDEX(Inputs!$K$5:$AJ$230,0,MATCH(Z$2,Inputs!$K$4:$AJ$4,0))))+SUMPRODUCT((Inputs!$C$5:$C$230=$B9)*ISNUMBER(INDEX(Inputs!$K$5:$AJ$230,0,MATCH(Z$2,Inputs!$K$4:$AJ$4,0))))+SUMPRODUCT((Inputs!$E$5:$E$230=$B9)*ISNUMBER(INDEX(Inputs!$K$5:$AJ$230,0,MATCH(Z$2,Inputs!$K$4:$AJ$4,0))))=0,NA(),SUMPRODUCT((Inputs!$A$5:$A$230=$B9)*Inputs!$B$5:$B$230*(((Inputs!$G$5:$G$230="moeda")+(Inputs!$G$5:$G$230="acoes"))*Inputs!$B$1+((Inputs!$G$5:$G$230&lt;&gt;"moeda")*(Inputs!$G$5:$G$230&lt;&gt;"acoes")))*INDEX(Inputs!$K$5:$AJ$230,0,MATCH(Z$2,Inputs!$K$4:$AJ$4,0)))+SUMPRODUCT((Inputs!$C$5:$C$230=$B9)*Inputs!$D$5:$D$230*(((Inputs!$G$5:$G$230="moeda")+(Inputs!$G$5:$G$230="acoes"))*Inputs!$B$1+((Inputs!$G$5:$G$230&lt;&gt;"moeda")*(Inputs!$G$5:$G$230&lt;&gt;"acoes")))*INDEX(Inputs!$K$5:$AJ$230,0,MATCH(Z$2,Inputs!$K$4:$AJ$4,0)))+SUMPRODUCT((Inputs!$E$5:$E$230=$B9)*Inputs!$F$5:$F$230*(((Inputs!$G$5:$G$230="moeda")+(Inputs!$G$5:$G$230="acoes"))*Inputs!$B$1+((Inputs!$G$5:$G$230&lt;&gt;"moeda")*(Inputs!$G$5:$G$230&lt;&gt;"acoes")))*INDEX(Inputs!$K$5:$AJ$230,0,MATCH(Z$2,Inputs!$K$4:$AJ$4,0)))))</f>
        <v>98.845</v>
      </c>
      <c r="AA9" s="6">
        <f>IF(ISNA(MATCH(AA$2,Inputs!$K$4:$AJ$4,0)),NA(),IF(SUMPRODUCT((Inputs!$A$5:$A$230=$B9)*ISNUMBER(INDEX(Inputs!$K$5:$AJ$230,0,MATCH(AA$2,Inputs!$K$4:$AJ$4,0))))+SUMPRODUCT((Inputs!$C$5:$C$230=$B9)*ISNUMBER(INDEX(Inputs!$K$5:$AJ$230,0,MATCH(AA$2,Inputs!$K$4:$AJ$4,0))))+SUMPRODUCT((Inputs!$E$5:$E$230=$B9)*ISNUMBER(INDEX(Inputs!$K$5:$AJ$230,0,MATCH(AA$2,Inputs!$K$4:$AJ$4,0))))=0,NA(),SUMPRODUCT((Inputs!$A$5:$A$230=$B9)*Inputs!$B$5:$B$230*(((Inputs!$G$5:$G$230="moeda")+(Inputs!$G$5:$G$230="acoes"))*Inputs!$B$1+((Inputs!$G$5:$G$230&lt;&gt;"moeda")*(Inputs!$G$5:$G$230&lt;&gt;"acoes")))*INDEX(Inputs!$K$5:$AJ$230,0,MATCH(AA$2,Inputs!$K$4:$AJ$4,0)))+SUMPRODUCT((Inputs!$C$5:$C$230=$B9)*Inputs!$D$5:$D$230*(((Inputs!$G$5:$G$230="moeda")+(Inputs!$G$5:$G$230="acoes"))*Inputs!$B$1+((Inputs!$G$5:$G$230&lt;&gt;"moeda")*(Inputs!$G$5:$G$230&lt;&gt;"acoes")))*INDEX(Inputs!$K$5:$AJ$230,0,MATCH(AA$2,Inputs!$K$4:$AJ$4,0)))+SUMPRODUCT((Inputs!$E$5:$E$230=$B9)*Inputs!$F$5:$F$230*(((Inputs!$G$5:$G$230="moeda")+(Inputs!$G$5:$G$230="acoes"))*Inputs!$B$1+((Inputs!$G$5:$G$230&lt;&gt;"moeda")*(Inputs!$G$5:$G$230&lt;&gt;"acoes")))*INDEX(Inputs!$K$5:$AJ$230,0,MATCH(AA$2,Inputs!$K$4:$AJ$4,0)))))</f>
        <v>141.855</v>
      </c>
      <c r="AB9" s="3">
        <f>SUM(X9:AA9)</f>
        <v>452.524</v>
      </c>
      <c r="AC9" s="6">
        <f>IF(ISNA(MATCH(AC$2,Inputs!$K$4:$AJ$4,0)),NA(),IF(SUMPRODUCT((Inputs!$A$5:$A$230=$B9)*ISNUMBER(INDEX(Inputs!$K$5:$AJ$230,0,MATCH(AC$2,Inputs!$K$4:$AJ$4,0))))+SUMPRODUCT((Inputs!$C$5:$C$230=$B9)*ISNUMBER(INDEX(Inputs!$K$5:$AJ$230,0,MATCH(AC$2,Inputs!$K$4:$AJ$4,0))))+SUMPRODUCT((Inputs!$E$5:$E$230=$B9)*ISNUMBER(INDEX(Inputs!$K$5:$AJ$230,0,MATCH(AC$2,Inputs!$K$4:$AJ$4,0))))=0,NA(),SUMPRODUCT((Inputs!$A$5:$A$230=$B9)*Inputs!$B$5:$B$230*(((Inputs!$G$5:$G$230="moeda")+(Inputs!$G$5:$G$230="acoes"))*Inputs!$B$1+((Inputs!$G$5:$G$230&lt;&gt;"moeda")*(Inputs!$G$5:$G$230&lt;&gt;"acoes")))*INDEX(Inputs!$K$5:$AJ$230,0,MATCH(AC$2,Inputs!$K$4:$AJ$4,0)))+SUMPRODUCT((Inputs!$C$5:$C$230=$B9)*Inputs!$D$5:$D$230*(((Inputs!$G$5:$G$230="moeda")+(Inputs!$G$5:$G$230="acoes"))*Inputs!$B$1+((Inputs!$G$5:$G$230&lt;&gt;"moeda")*(Inputs!$G$5:$G$230&lt;&gt;"acoes")))*INDEX(Inputs!$K$5:$AJ$230,0,MATCH(AC$2,Inputs!$K$4:$AJ$4,0)))+SUMPRODUCT((Inputs!$E$5:$E$230=$B9)*Inputs!$F$5:$F$230*(((Inputs!$G$5:$G$230="moeda")+(Inputs!$G$5:$G$230="acoes"))*Inputs!$B$1+((Inputs!$G$5:$G$230&lt;&gt;"moeda")*(Inputs!$G$5:$G$230&lt;&gt;"acoes")))*INDEX(Inputs!$K$5:$AJ$230,0,MATCH(AC$2,Inputs!$K$4:$AJ$4,0)))))</f>
        <v>60.684</v>
      </c>
      <c r="AD9" s="6">
        <f>IF(ISNA(MATCH(AD$2,Inputs!$K$4:$AJ$4,0)),NA(),IF(SUMPRODUCT((Inputs!$A$5:$A$230=$B9)*ISNUMBER(INDEX(Inputs!$K$5:$AJ$230,0,MATCH(AD$2,Inputs!$K$4:$AJ$4,0))))+SUMPRODUCT((Inputs!$C$5:$C$230=$B9)*ISNUMBER(INDEX(Inputs!$K$5:$AJ$230,0,MATCH(AD$2,Inputs!$K$4:$AJ$4,0))))+SUMPRODUCT((Inputs!$E$5:$E$230=$B9)*ISNUMBER(INDEX(Inputs!$K$5:$AJ$230,0,MATCH(AD$2,Inputs!$K$4:$AJ$4,0))))=0,NA(),SUMPRODUCT((Inputs!$A$5:$A$230=$B9)*Inputs!$B$5:$B$230*(((Inputs!$G$5:$G$230="moeda")+(Inputs!$G$5:$G$230="acoes"))*Inputs!$B$1+((Inputs!$G$5:$G$230&lt;&gt;"moeda")*(Inputs!$G$5:$G$230&lt;&gt;"acoes")))*INDEX(Inputs!$K$5:$AJ$230,0,MATCH(AD$2,Inputs!$K$4:$AJ$4,0)))+SUMPRODUCT((Inputs!$C$5:$C$230=$B9)*Inputs!$D$5:$D$230*(((Inputs!$G$5:$G$230="moeda")+(Inputs!$G$5:$G$230="acoes"))*Inputs!$B$1+((Inputs!$G$5:$G$230&lt;&gt;"moeda")*(Inputs!$G$5:$G$230&lt;&gt;"acoes")))*INDEX(Inputs!$K$5:$AJ$230,0,MATCH(AD$2,Inputs!$K$4:$AJ$4,0)))+SUMPRODUCT((Inputs!$E$5:$E$230=$B9)*Inputs!$F$5:$F$230*(((Inputs!$G$5:$G$230="moeda")+(Inputs!$G$5:$G$230="acoes"))*Inputs!$B$1+((Inputs!$G$5:$G$230&lt;&gt;"moeda")*(Inputs!$G$5:$G$230&lt;&gt;"acoes")))*INDEX(Inputs!$K$5:$AJ$230,0,MATCH(AD$2,Inputs!$K$4:$AJ$4,0)))))</f>
        <v>151.17</v>
      </c>
      <c r="AE9" s="6" t="e">
        <f>IF(ISNA(MATCH(AE$2,Inputs!$K$4:$AJ$4,0)),NA(),IF(SUMPRODUCT((Inputs!$A$5:$A$230=$B9)*ISNUMBER(INDEX(Inputs!$K$5:$AJ$230,0,MATCH(AE$2,Inputs!$K$4:$AJ$4,0))))+SUMPRODUCT((Inputs!$C$5:$C$230=$B9)*ISNUMBER(INDEX(Inputs!$K$5:$AJ$230,0,MATCH(AE$2,Inputs!$K$4:$AJ$4,0))))+SUMPRODUCT((Inputs!$E$5:$E$230=$B9)*ISNUMBER(INDEX(Inputs!$K$5:$AJ$230,0,MATCH(AE$2,Inputs!$K$4:$AJ$4,0))))=0,NA(),SUMPRODUCT((Inputs!$A$5:$A$230=$B9)*Inputs!$B$5:$B$230*(((Inputs!$G$5:$G$230="moeda")+(Inputs!$G$5:$G$230="acoes"))*Inputs!$B$1+((Inputs!$G$5:$G$230&lt;&gt;"moeda")*(Inputs!$G$5:$G$230&lt;&gt;"acoes")))*INDEX(Inputs!$K$5:$AJ$230,0,MATCH(AE$2,Inputs!$K$4:$AJ$4,0)))+SUMPRODUCT((Inputs!$C$5:$C$230=$B9)*Inputs!$D$5:$D$230*(((Inputs!$G$5:$G$230="moeda")+(Inputs!$G$5:$G$230="acoes"))*Inputs!$B$1+((Inputs!$G$5:$G$230&lt;&gt;"moeda")*(Inputs!$G$5:$G$230&lt;&gt;"acoes")))*INDEX(Inputs!$K$5:$AJ$230,0,MATCH(AE$2,Inputs!$K$4:$AJ$4,0)))+SUMPRODUCT((Inputs!$E$5:$E$230=$B9)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" s="6" t="e">
        <f>IF(ISNA(MATCH(AF$2,Inputs!$K$4:$AJ$4,0)),NA(),IF(SUMPRODUCT((Inputs!$A$5:$A$230=$B9)*ISNUMBER(INDEX(Inputs!$K$5:$AJ$230,0,MATCH(AF$2,Inputs!$K$4:$AJ$4,0))))+SUMPRODUCT((Inputs!$C$5:$C$230=$B9)*ISNUMBER(INDEX(Inputs!$K$5:$AJ$230,0,MATCH(AF$2,Inputs!$K$4:$AJ$4,0))))+SUMPRODUCT((Inputs!$E$5:$E$230=$B9)*ISNUMBER(INDEX(Inputs!$K$5:$AJ$230,0,MATCH(AF$2,Inputs!$K$4:$AJ$4,0))))=0,NA(),SUMPRODUCT((Inputs!$A$5:$A$230=$B9)*Inputs!$B$5:$B$230*(((Inputs!$G$5:$G$230="moeda")+(Inputs!$G$5:$G$230="acoes"))*Inputs!$B$1+((Inputs!$G$5:$G$230&lt;&gt;"moeda")*(Inputs!$G$5:$G$230&lt;&gt;"acoes")))*INDEX(Inputs!$K$5:$AJ$230,0,MATCH(AF$2,Inputs!$K$4:$AJ$4,0)))+SUMPRODUCT((Inputs!$C$5:$C$230=$B9)*Inputs!$D$5:$D$230*(((Inputs!$G$5:$G$230="moeda")+(Inputs!$G$5:$G$230="acoes"))*Inputs!$B$1+((Inputs!$G$5:$G$230&lt;&gt;"moeda")*(Inputs!$G$5:$G$230&lt;&gt;"acoes")))*INDEX(Inputs!$K$5:$AJ$230,0,MATCH(AF$2,Inputs!$K$4:$AJ$4,0)))+SUMPRODUCT((Inputs!$E$5:$E$230=$B9)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" s="3" t="e">
        <f>SUM(AC9:AF9)</f>
        <v>#N/A</v>
      </c>
      <c r="AH9" s="6">
        <f>IF(ISNA(MATCH(AH$2,Inputs!$K$4:$AJ$4,0)),NA(),IF(SUMPRODUCT((Inputs!$A$5:$A$230=$B9)*ISNUMBER(INDEX(Inputs!$K$5:$AJ$230,0,MATCH(AH$2,Inputs!$K$4:$AJ$4,0))))+SUMPRODUCT((Inputs!$C$5:$C$230=$B9)*ISNUMBER(INDEX(Inputs!$K$5:$AJ$230,0,MATCH(AH$2,Inputs!$K$4:$AJ$4,0))))+SUMPRODUCT((Inputs!$E$5:$E$230=$B9)*ISNUMBER(INDEX(Inputs!$K$5:$AJ$230,0,MATCH(AH$2,Inputs!$K$4:$AJ$4,0))))=0,NA(),SUMPRODUCT((Inputs!$A$5:$A$230=$B9)*Inputs!$B$5:$B$230*(((Inputs!$G$5:$G$230="moeda")+(Inputs!$G$5:$G$230="acoes"))*Inputs!$B$1+((Inputs!$G$5:$G$230&lt;&gt;"moeda")*(Inputs!$G$5:$G$230&lt;&gt;"acoes")))*INDEX(Inputs!$K$5:$AJ$230,0,MATCH(AH$2,Inputs!$K$4:$AJ$4,0)))+SUMPRODUCT((Inputs!$C$5:$C$230=$B9)*Inputs!$D$5:$D$230*(((Inputs!$G$5:$G$230="moeda")+(Inputs!$G$5:$G$230="acoes"))*Inputs!$B$1+((Inputs!$G$5:$G$230&lt;&gt;"moeda")*(Inputs!$G$5:$G$230&lt;&gt;"acoes")))*INDEX(Inputs!$K$5:$AJ$230,0,MATCH(AH$2,Inputs!$K$4:$AJ$4,0)))+SUMPRODUCT((Inputs!$E$5:$E$230=$B9)*Inputs!$F$5:$F$230*(((Inputs!$G$5:$G$230="moeda")+(Inputs!$G$5:$G$230="acoes"))*Inputs!$B$1+((Inputs!$G$5:$G$230&lt;&gt;"moeda")*(Inputs!$G$5:$G$230&lt;&gt;"acoes")))*INDEX(Inputs!$K$5:$AJ$230,0,MATCH(AH$2,Inputs!$K$4:$AJ$4,0)))))</f>
        <v>-5.969</v>
      </c>
      <c r="AI9" s="6">
        <f>IF(ISNA(MATCH(AI$2,Inputs!$K$4:$AJ$4,0)),NA(),IF(SUMPRODUCT((Inputs!$A$5:$A$230=$B9)*ISNUMBER(INDEX(Inputs!$K$5:$AJ$230,0,MATCH(AI$2,Inputs!$K$4:$AJ$4,0))))+SUMPRODUCT((Inputs!$C$5:$C$230=$B9)*ISNUMBER(INDEX(Inputs!$K$5:$AJ$230,0,MATCH(AI$2,Inputs!$K$4:$AJ$4,0))))+SUMPRODUCT((Inputs!$E$5:$E$230=$B9)*ISNUMBER(INDEX(Inputs!$K$5:$AJ$230,0,MATCH(AI$2,Inputs!$K$4:$AJ$4,0))))=0,NA(),SUMPRODUCT((Inputs!$A$5:$A$230=$B9)*Inputs!$B$5:$B$230*(((Inputs!$G$5:$G$230="moeda")+(Inputs!$G$5:$G$230="acoes"))*Inputs!$B$1+((Inputs!$G$5:$G$230&lt;&gt;"moeda")*(Inputs!$G$5:$G$230&lt;&gt;"acoes")))*INDEX(Inputs!$K$5:$AJ$230,0,MATCH(AI$2,Inputs!$K$4:$AJ$4,0)))+SUMPRODUCT((Inputs!$C$5:$C$230=$B9)*Inputs!$D$5:$D$230*(((Inputs!$G$5:$G$230="moeda")+(Inputs!$G$5:$G$230="acoes"))*Inputs!$B$1+((Inputs!$G$5:$G$230&lt;&gt;"moeda")*(Inputs!$G$5:$G$230&lt;&gt;"acoes")))*INDEX(Inputs!$K$5:$AJ$230,0,MATCH(AI$2,Inputs!$K$4:$AJ$4,0)))+SUMPRODUCT((Inputs!$E$5:$E$230=$B9)*Inputs!$F$5:$F$230*(((Inputs!$G$5:$G$230="moeda")+(Inputs!$G$5:$G$230="acoes"))*Inputs!$B$1+((Inputs!$G$5:$G$230&lt;&gt;"moeda")*(Inputs!$G$5:$G$230&lt;&gt;"acoes")))*INDEX(Inputs!$K$5:$AJ$230,0,MATCH(AI$2,Inputs!$K$4:$AJ$4,0)))))</f>
        <v>-11.079</v>
      </c>
      <c r="AJ9" s="6">
        <f>IF(ISNA(MATCH(AJ$2,Inputs!$K$4:$AJ$4,0)),NA(),IF(SUMPRODUCT((Inputs!$A$5:$A$230=$B9)*ISNUMBER(INDEX(Inputs!$K$5:$AJ$230,0,MATCH(AJ$2,Inputs!$K$4:$AJ$4,0))))+SUMPRODUCT((Inputs!$C$5:$C$230=$B9)*ISNUMBER(INDEX(Inputs!$K$5:$AJ$230,0,MATCH(AJ$2,Inputs!$K$4:$AJ$4,0))))+SUMPRODUCT((Inputs!$E$5:$E$230=$B9)*ISNUMBER(INDEX(Inputs!$K$5:$AJ$230,0,MATCH(AJ$2,Inputs!$K$4:$AJ$4,0))))=0,NA(),SUMPRODUCT((Inputs!$A$5:$A$230=$B9)*Inputs!$B$5:$B$230*(((Inputs!$G$5:$G$230="moeda")+(Inputs!$G$5:$G$230="acoes"))*Inputs!$B$1+((Inputs!$G$5:$G$230&lt;&gt;"moeda")*(Inputs!$G$5:$G$230&lt;&gt;"acoes")))*INDEX(Inputs!$K$5:$AJ$230,0,MATCH(AJ$2,Inputs!$K$4:$AJ$4,0)))+SUMPRODUCT((Inputs!$C$5:$C$230=$B9)*Inputs!$D$5:$D$230*(((Inputs!$G$5:$G$230="moeda")+(Inputs!$G$5:$G$230="acoes"))*Inputs!$B$1+((Inputs!$G$5:$G$230&lt;&gt;"moeda")*(Inputs!$G$5:$G$230&lt;&gt;"acoes")))*INDEX(Inputs!$K$5:$AJ$230,0,MATCH(AJ$2,Inputs!$K$4:$AJ$4,0)))+SUMPRODUCT((Inputs!$E$5:$E$230=$B9)*Inputs!$F$5:$F$230*(((Inputs!$G$5:$G$230="moeda")+(Inputs!$G$5:$G$230="acoes"))*Inputs!$B$1+((Inputs!$G$5:$G$230&lt;&gt;"moeda")*(Inputs!$G$5:$G$230&lt;&gt;"acoes")))*INDEX(Inputs!$K$5:$AJ$230,0,MATCH(AJ$2,Inputs!$K$4:$AJ$4,0)))))</f>
        <v>-15.618</v>
      </c>
      <c r="AK9" s="6">
        <f>IF(ISNA(MATCH(AK$2,Inputs!$K$4:$AJ$4,0)),NA(),IF(SUMPRODUCT((Inputs!$A$5:$A$230=$B9)*ISNUMBER(INDEX(Inputs!$K$5:$AJ$230,0,MATCH(AK$2,Inputs!$K$4:$AJ$4,0))))+SUMPRODUCT((Inputs!$C$5:$C$230=$B9)*ISNUMBER(INDEX(Inputs!$K$5:$AJ$230,0,MATCH(AK$2,Inputs!$K$4:$AJ$4,0))))+SUMPRODUCT((Inputs!$E$5:$E$230=$B9)*ISNUMBER(INDEX(Inputs!$K$5:$AJ$230,0,MATCH(AK$2,Inputs!$K$4:$AJ$4,0))))=0,NA(),SUMPRODUCT((Inputs!$A$5:$A$230=$B9)*Inputs!$B$5:$B$230*(((Inputs!$G$5:$G$230="moeda")+(Inputs!$G$5:$G$230="acoes"))*Inputs!$B$1+((Inputs!$G$5:$G$230&lt;&gt;"moeda")*(Inputs!$G$5:$G$230&lt;&gt;"acoes")))*INDEX(Inputs!$K$5:$AJ$230,0,MATCH(AK$2,Inputs!$K$4:$AJ$4,0)))+SUMPRODUCT((Inputs!$C$5:$C$230=$B9)*Inputs!$D$5:$D$230*(((Inputs!$G$5:$G$230="moeda")+(Inputs!$G$5:$G$230="acoes"))*Inputs!$B$1+((Inputs!$G$5:$G$230&lt;&gt;"moeda")*(Inputs!$G$5:$G$230&lt;&gt;"acoes")))*INDEX(Inputs!$K$5:$AJ$230,0,MATCH(AK$2,Inputs!$K$4:$AJ$4,0)))+SUMPRODUCT((Inputs!$E$5:$E$230=$B9)*Inputs!$F$5:$F$230*(((Inputs!$G$5:$G$230="moeda")+(Inputs!$G$5:$G$230="acoes"))*Inputs!$B$1+((Inputs!$G$5:$G$230&lt;&gt;"moeda")*(Inputs!$G$5:$G$230&lt;&gt;"acoes")))*INDEX(Inputs!$K$5:$AJ$230,0,MATCH(AK$2,Inputs!$K$4:$AJ$4,0)))))</f>
        <v>-36.642</v>
      </c>
      <c r="AL9" s="3">
        <f>SUM(AH9:AK9)</f>
        <v>-69.308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$230=$B10)*ISNUMBER(INDEX(Inputs!$K$5:$AJ$230,0,MATCH(D$2,Inputs!$K$4:$AJ$4,0))))+SUMPRODUCT((Inputs!$C$5:$C$230=$B10)*ISNUMBER(INDEX(Inputs!$K$5:$AJ$230,0,MATCH(D$2,Inputs!$K$4:$AJ$4,0))))+SUMPRODUCT((Inputs!$E$5:$E$230=$B10)*ISNUMBER(INDEX(Inputs!$K$5:$AJ$230,0,MATCH(D$2,Inputs!$K$4:$AJ$4,0))))=0,NA(),SUMPRODUCT((Inputs!$A$5:$A$230=$B10)*Inputs!$B$5:$B$230*(((Inputs!$G$5:$G$230="moeda")+(Inputs!$G$5:$G$230="acoes"))*Inputs!$B$1+((Inputs!$G$5:$G$230&lt;&gt;"moeda")*(Inputs!$G$5:$G$230&lt;&gt;"acoes")))*INDEX(Inputs!$K$5:$AJ$230,0,MATCH(D$2,Inputs!$K$4:$AJ$4,0)))+SUMPRODUCT((Inputs!$C$5:$C$230=$B10)*Inputs!$D$5:$D$230*(((Inputs!$G$5:$G$230="moeda")+(Inputs!$G$5:$G$230="acoes"))*Inputs!$B$1+((Inputs!$G$5:$G$230&lt;&gt;"moeda")*(Inputs!$G$5:$G$230&lt;&gt;"acoes")))*INDEX(Inputs!$K$5:$AJ$230,0,MATCH(D$2,Inputs!$K$4:$AJ$4,0)))+SUMPRODUCT((Inputs!$E$5:$E$230=$B10)*Inputs!$F$5:$F$230*(((Inputs!$G$5:$G$230="moeda")+(Inputs!$G$5:$G$230="acoes"))*Inputs!$B$1+((Inputs!$G$5:$G$230&lt;&gt;"moeda")*(Inputs!$G$5:$G$230&lt;&gt;"acoes")))*INDEX(Inputs!$K$5:$AJ$230,0,MATCH(D$2,Inputs!$K$4:$AJ$4,0)))))</f>
        <v>-207.688</v>
      </c>
      <c r="E10" s="6">
        <f>IF(ISNA(MATCH(E$2,Inputs!$K$4:$AJ$4,0)),NA(),IF(SUMPRODUCT((Inputs!$A$5:$A$230=$B10)*ISNUMBER(INDEX(Inputs!$K$5:$AJ$230,0,MATCH(E$2,Inputs!$K$4:$AJ$4,0))))+SUMPRODUCT((Inputs!$C$5:$C$230=$B10)*ISNUMBER(INDEX(Inputs!$K$5:$AJ$230,0,MATCH(E$2,Inputs!$K$4:$AJ$4,0))))+SUMPRODUCT((Inputs!$E$5:$E$230=$B10)*ISNUMBER(INDEX(Inputs!$K$5:$AJ$230,0,MATCH(E$2,Inputs!$K$4:$AJ$4,0))))=0,NA(),SUMPRODUCT((Inputs!$A$5:$A$230=$B10)*Inputs!$B$5:$B$230*(((Inputs!$G$5:$G$230="moeda")+(Inputs!$G$5:$G$230="acoes"))*Inputs!$B$1+((Inputs!$G$5:$G$230&lt;&gt;"moeda")*(Inputs!$G$5:$G$230&lt;&gt;"acoes")))*INDEX(Inputs!$K$5:$AJ$230,0,MATCH(E$2,Inputs!$K$4:$AJ$4,0)))+SUMPRODUCT((Inputs!$C$5:$C$230=$B10)*Inputs!$D$5:$D$230*(((Inputs!$G$5:$G$230="moeda")+(Inputs!$G$5:$G$230="acoes"))*Inputs!$B$1+((Inputs!$G$5:$G$230&lt;&gt;"moeda")*(Inputs!$G$5:$G$230&lt;&gt;"acoes")))*INDEX(Inputs!$K$5:$AJ$230,0,MATCH(E$2,Inputs!$K$4:$AJ$4,0)))+SUMPRODUCT((Inputs!$E$5:$E$230=$B10)*Inputs!$F$5:$F$230*(((Inputs!$G$5:$G$230="moeda")+(Inputs!$G$5:$G$230="acoes"))*Inputs!$B$1+((Inputs!$G$5:$G$230&lt;&gt;"moeda")*(Inputs!$G$5:$G$230&lt;&gt;"acoes")))*INDEX(Inputs!$K$5:$AJ$230,0,MATCH(E$2,Inputs!$K$4:$AJ$4,0)))))</f>
        <v>-222.51</v>
      </c>
      <c r="F10" s="6">
        <f>IF(ISNA(MATCH(F$2,Inputs!$K$4:$AJ$4,0)),NA(),IF(SUMPRODUCT((Inputs!$A$5:$A$230=$B10)*ISNUMBER(INDEX(Inputs!$K$5:$AJ$230,0,MATCH(F$2,Inputs!$K$4:$AJ$4,0))))+SUMPRODUCT((Inputs!$C$5:$C$230=$B10)*ISNUMBER(INDEX(Inputs!$K$5:$AJ$230,0,MATCH(F$2,Inputs!$K$4:$AJ$4,0))))+SUMPRODUCT((Inputs!$E$5:$E$230=$B10)*ISNUMBER(INDEX(Inputs!$K$5:$AJ$230,0,MATCH(F$2,Inputs!$K$4:$AJ$4,0))))=0,NA(),SUMPRODUCT((Inputs!$A$5:$A$230=$B10)*Inputs!$B$5:$B$230*(((Inputs!$G$5:$G$230="moeda")+(Inputs!$G$5:$G$230="acoes"))*Inputs!$B$1+((Inputs!$G$5:$G$230&lt;&gt;"moeda")*(Inputs!$G$5:$G$230&lt;&gt;"acoes")))*INDEX(Inputs!$K$5:$AJ$230,0,MATCH(F$2,Inputs!$K$4:$AJ$4,0)))+SUMPRODUCT((Inputs!$C$5:$C$230=$B10)*Inputs!$D$5:$D$230*(((Inputs!$G$5:$G$230="moeda")+(Inputs!$G$5:$G$230="acoes"))*Inputs!$B$1+((Inputs!$G$5:$G$230&lt;&gt;"moeda")*(Inputs!$G$5:$G$230&lt;&gt;"acoes")))*INDEX(Inputs!$K$5:$AJ$230,0,MATCH(F$2,Inputs!$K$4:$AJ$4,0)))+SUMPRODUCT((Inputs!$E$5:$E$230=$B10)*Inputs!$F$5:$F$230*(((Inputs!$G$5:$G$230="moeda")+(Inputs!$G$5:$G$230="acoes"))*Inputs!$B$1+((Inputs!$G$5:$G$230&lt;&gt;"moeda")*(Inputs!$G$5:$G$230&lt;&gt;"acoes")))*INDEX(Inputs!$K$5:$AJ$230,0,MATCH(F$2,Inputs!$K$4:$AJ$4,0)))))</f>
        <v>-141.599</v>
      </c>
      <c r="G10" s="6">
        <f>IF(ISNA(MATCH(G$2,Inputs!$K$4:$AJ$4,0)),NA(),IF(SUMPRODUCT((Inputs!$A$5:$A$230=$B10)*ISNUMBER(INDEX(Inputs!$K$5:$AJ$230,0,MATCH(G$2,Inputs!$K$4:$AJ$4,0))))+SUMPRODUCT((Inputs!$C$5:$C$230=$B10)*ISNUMBER(INDEX(Inputs!$K$5:$AJ$230,0,MATCH(G$2,Inputs!$K$4:$AJ$4,0))))+SUMPRODUCT((Inputs!$E$5:$E$230=$B10)*ISNUMBER(INDEX(Inputs!$K$5:$AJ$230,0,MATCH(G$2,Inputs!$K$4:$AJ$4,0))))=0,NA(),SUMPRODUCT((Inputs!$A$5:$A$230=$B10)*Inputs!$B$5:$B$230*(((Inputs!$G$5:$G$230="moeda")+(Inputs!$G$5:$G$230="acoes"))*Inputs!$B$1+((Inputs!$G$5:$G$230&lt;&gt;"moeda")*(Inputs!$G$5:$G$230&lt;&gt;"acoes")))*INDEX(Inputs!$K$5:$AJ$230,0,MATCH(G$2,Inputs!$K$4:$AJ$4,0)))+SUMPRODUCT((Inputs!$C$5:$C$230=$B10)*Inputs!$D$5:$D$230*(((Inputs!$G$5:$G$230="moeda")+(Inputs!$G$5:$G$230="acoes"))*Inputs!$B$1+((Inputs!$G$5:$G$230&lt;&gt;"moeda")*(Inputs!$G$5:$G$230&lt;&gt;"acoes")))*INDEX(Inputs!$K$5:$AJ$230,0,MATCH(G$2,Inputs!$K$4:$AJ$4,0)))+SUMPRODUCT((Inputs!$E$5:$E$230=$B10)*Inputs!$F$5:$F$230*(((Inputs!$G$5:$G$230="moeda")+(Inputs!$G$5:$G$230="acoes"))*Inputs!$B$1+((Inputs!$G$5:$G$230&lt;&gt;"moeda")*(Inputs!$G$5:$G$230&lt;&gt;"acoes")))*INDEX(Inputs!$K$5:$AJ$230,0,MATCH(G$2,Inputs!$K$4:$AJ$4,0)))))</f>
        <v>-169.854</v>
      </c>
      <c r="H10" s="3">
        <f>SUM(D10:G10)</f>
        <v>-741.651</v>
      </c>
      <c r="I10" s="6">
        <f>IF(ISNA(MATCH(I$2,Inputs!$K$4:$AJ$4,0)),NA(),IF(SUMPRODUCT((Inputs!$A$5:$A$230=$B10)*ISNUMBER(INDEX(Inputs!$K$5:$AJ$230,0,MATCH(I$2,Inputs!$K$4:$AJ$4,0))))+SUMPRODUCT((Inputs!$C$5:$C$230=$B10)*ISNUMBER(INDEX(Inputs!$K$5:$AJ$230,0,MATCH(I$2,Inputs!$K$4:$AJ$4,0))))+SUMPRODUCT((Inputs!$E$5:$E$230=$B10)*ISNUMBER(INDEX(Inputs!$K$5:$AJ$230,0,MATCH(I$2,Inputs!$K$4:$AJ$4,0))))=0,NA(),SUMPRODUCT((Inputs!$A$5:$A$230=$B10)*Inputs!$B$5:$B$230*(((Inputs!$G$5:$G$230="moeda")+(Inputs!$G$5:$G$230="acoes"))*Inputs!$B$1+((Inputs!$G$5:$G$230&lt;&gt;"moeda")*(Inputs!$G$5:$G$230&lt;&gt;"acoes")))*INDEX(Inputs!$K$5:$AJ$230,0,MATCH(I$2,Inputs!$K$4:$AJ$4,0)))+SUMPRODUCT((Inputs!$C$5:$C$230=$B10)*Inputs!$D$5:$D$230*(((Inputs!$G$5:$G$230="moeda")+(Inputs!$G$5:$G$230="acoes"))*Inputs!$B$1+((Inputs!$G$5:$G$230&lt;&gt;"moeda")*(Inputs!$G$5:$G$230&lt;&gt;"acoes")))*INDEX(Inputs!$K$5:$AJ$230,0,MATCH(I$2,Inputs!$K$4:$AJ$4,0)))+SUMPRODUCT((Inputs!$E$5:$E$230=$B10)*Inputs!$F$5:$F$230*(((Inputs!$G$5:$G$230="moeda")+(Inputs!$G$5:$G$230="acoes"))*Inputs!$B$1+((Inputs!$G$5:$G$230&lt;&gt;"moeda")*(Inputs!$G$5:$G$230&lt;&gt;"acoes")))*INDEX(Inputs!$K$5:$AJ$230,0,MATCH(I$2,Inputs!$K$4:$AJ$4,0)))))</f>
        <v>-128.849</v>
      </c>
      <c r="J10" s="6">
        <f>IF(ISNA(MATCH(J$2,Inputs!$K$4:$AJ$4,0)),NA(),IF(SUMPRODUCT((Inputs!$A$5:$A$230=$B10)*ISNUMBER(INDEX(Inputs!$K$5:$AJ$230,0,MATCH(J$2,Inputs!$K$4:$AJ$4,0))))+SUMPRODUCT((Inputs!$C$5:$C$230=$B10)*ISNUMBER(INDEX(Inputs!$K$5:$AJ$230,0,MATCH(J$2,Inputs!$K$4:$AJ$4,0))))+SUMPRODUCT((Inputs!$E$5:$E$230=$B10)*ISNUMBER(INDEX(Inputs!$K$5:$AJ$230,0,MATCH(J$2,Inputs!$K$4:$AJ$4,0))))=0,NA(),SUMPRODUCT((Inputs!$A$5:$A$230=$B10)*Inputs!$B$5:$B$230*(((Inputs!$G$5:$G$230="moeda")+(Inputs!$G$5:$G$230="acoes"))*Inputs!$B$1+((Inputs!$G$5:$G$230&lt;&gt;"moeda")*(Inputs!$G$5:$G$230&lt;&gt;"acoes")))*INDEX(Inputs!$K$5:$AJ$230,0,MATCH(J$2,Inputs!$K$4:$AJ$4,0)))+SUMPRODUCT((Inputs!$C$5:$C$230=$B10)*Inputs!$D$5:$D$230*(((Inputs!$G$5:$G$230="moeda")+(Inputs!$G$5:$G$230="acoes"))*Inputs!$B$1+((Inputs!$G$5:$G$230&lt;&gt;"moeda")*(Inputs!$G$5:$G$230&lt;&gt;"acoes")))*INDEX(Inputs!$K$5:$AJ$230,0,MATCH(J$2,Inputs!$K$4:$AJ$4,0)))+SUMPRODUCT((Inputs!$E$5:$E$230=$B10)*Inputs!$F$5:$F$230*(((Inputs!$G$5:$G$230="moeda")+(Inputs!$G$5:$G$230="acoes"))*Inputs!$B$1+((Inputs!$G$5:$G$230&lt;&gt;"moeda")*(Inputs!$G$5:$G$230&lt;&gt;"acoes")))*INDEX(Inputs!$K$5:$AJ$230,0,MATCH(J$2,Inputs!$K$4:$AJ$4,0)))))</f>
        <v>-127.79</v>
      </c>
      <c r="K10" s="6">
        <f>IF(ISNA(MATCH(K$2,Inputs!$K$4:$AJ$4,0)),NA(),IF(SUMPRODUCT((Inputs!$A$5:$A$230=$B10)*ISNUMBER(INDEX(Inputs!$K$5:$AJ$230,0,MATCH(K$2,Inputs!$K$4:$AJ$4,0))))+SUMPRODUCT((Inputs!$C$5:$C$230=$B10)*ISNUMBER(INDEX(Inputs!$K$5:$AJ$230,0,MATCH(K$2,Inputs!$K$4:$AJ$4,0))))+SUMPRODUCT((Inputs!$E$5:$E$230=$B10)*ISNUMBER(INDEX(Inputs!$K$5:$AJ$230,0,MATCH(K$2,Inputs!$K$4:$AJ$4,0))))=0,NA(),SUMPRODUCT((Inputs!$A$5:$A$230=$B10)*Inputs!$B$5:$B$230*(((Inputs!$G$5:$G$230="moeda")+(Inputs!$G$5:$G$230="acoes"))*Inputs!$B$1+((Inputs!$G$5:$G$230&lt;&gt;"moeda")*(Inputs!$G$5:$G$230&lt;&gt;"acoes")))*INDEX(Inputs!$K$5:$AJ$230,0,MATCH(K$2,Inputs!$K$4:$AJ$4,0)))+SUMPRODUCT((Inputs!$C$5:$C$230=$B10)*Inputs!$D$5:$D$230*(((Inputs!$G$5:$G$230="moeda")+(Inputs!$G$5:$G$230="acoes"))*Inputs!$B$1+((Inputs!$G$5:$G$230&lt;&gt;"moeda")*(Inputs!$G$5:$G$230&lt;&gt;"acoes")))*INDEX(Inputs!$K$5:$AJ$230,0,MATCH(K$2,Inputs!$K$4:$AJ$4,0)))+SUMPRODUCT((Inputs!$E$5:$E$230=$B10)*Inputs!$F$5:$F$230*(((Inputs!$G$5:$G$230="moeda")+(Inputs!$G$5:$G$230="acoes"))*Inputs!$B$1+((Inputs!$G$5:$G$230&lt;&gt;"moeda")*(Inputs!$G$5:$G$230&lt;&gt;"acoes")))*INDEX(Inputs!$K$5:$AJ$230,0,MATCH(K$2,Inputs!$K$4:$AJ$4,0)))))</f>
        <v>-17.437</v>
      </c>
      <c r="L10" s="6">
        <f>IF(ISNA(MATCH(L$2,Inputs!$K$4:$AJ$4,0)),NA(),IF(SUMPRODUCT((Inputs!$A$5:$A$230=$B10)*ISNUMBER(INDEX(Inputs!$K$5:$AJ$230,0,MATCH(L$2,Inputs!$K$4:$AJ$4,0))))+SUMPRODUCT((Inputs!$C$5:$C$230=$B10)*ISNUMBER(INDEX(Inputs!$K$5:$AJ$230,0,MATCH(L$2,Inputs!$K$4:$AJ$4,0))))+SUMPRODUCT((Inputs!$E$5:$E$230=$B10)*ISNUMBER(INDEX(Inputs!$K$5:$AJ$230,0,MATCH(L$2,Inputs!$K$4:$AJ$4,0))))=0,NA(),SUMPRODUCT((Inputs!$A$5:$A$230=$B10)*Inputs!$B$5:$B$230*(((Inputs!$G$5:$G$230="moeda")+(Inputs!$G$5:$G$230="acoes"))*Inputs!$B$1+((Inputs!$G$5:$G$230&lt;&gt;"moeda")*(Inputs!$G$5:$G$230&lt;&gt;"acoes")))*INDEX(Inputs!$K$5:$AJ$230,0,MATCH(L$2,Inputs!$K$4:$AJ$4,0)))+SUMPRODUCT((Inputs!$C$5:$C$230=$B10)*Inputs!$D$5:$D$230*(((Inputs!$G$5:$G$230="moeda")+(Inputs!$G$5:$G$230="acoes"))*Inputs!$B$1+((Inputs!$G$5:$G$230&lt;&gt;"moeda")*(Inputs!$G$5:$G$230&lt;&gt;"acoes")))*INDEX(Inputs!$K$5:$AJ$230,0,MATCH(L$2,Inputs!$K$4:$AJ$4,0)))+SUMPRODUCT((Inputs!$E$5:$E$230=$B10)*Inputs!$F$5:$F$230*(((Inputs!$G$5:$G$230="moeda")+(Inputs!$G$5:$G$230="acoes"))*Inputs!$B$1+((Inputs!$G$5:$G$230&lt;&gt;"moeda")*(Inputs!$G$5:$G$230&lt;&gt;"acoes")))*INDEX(Inputs!$K$5:$AJ$230,0,MATCH(L$2,Inputs!$K$4:$AJ$4,0)))))</f>
        <v>38.12</v>
      </c>
      <c r="M10" s="3">
        <f>SUM(I10:L10)</f>
        <v>-235.956</v>
      </c>
      <c r="N10" s="6">
        <f>IF(ISNA(MATCH(N$2,Inputs!$K$4:$AJ$4,0)),NA(),IF(SUMPRODUCT((Inputs!$A$5:$A$230=$B10)*ISNUMBER(INDEX(Inputs!$K$5:$AJ$230,0,MATCH(N$2,Inputs!$K$4:$AJ$4,0))))+SUMPRODUCT((Inputs!$C$5:$C$230=$B10)*ISNUMBER(INDEX(Inputs!$K$5:$AJ$230,0,MATCH(N$2,Inputs!$K$4:$AJ$4,0))))+SUMPRODUCT((Inputs!$E$5:$E$230=$B10)*ISNUMBER(INDEX(Inputs!$K$5:$AJ$230,0,MATCH(N$2,Inputs!$K$4:$AJ$4,0))))=0,NA(),SUMPRODUCT((Inputs!$A$5:$A$230=$B10)*Inputs!$B$5:$B$230*(((Inputs!$G$5:$G$230="moeda")+(Inputs!$G$5:$G$230="acoes"))*Inputs!$B$1+((Inputs!$G$5:$G$230&lt;&gt;"moeda")*(Inputs!$G$5:$G$230&lt;&gt;"acoes")))*INDEX(Inputs!$K$5:$AJ$230,0,MATCH(N$2,Inputs!$K$4:$AJ$4,0)))+SUMPRODUCT((Inputs!$C$5:$C$230=$B10)*Inputs!$D$5:$D$230*(((Inputs!$G$5:$G$230="moeda")+(Inputs!$G$5:$G$230="acoes"))*Inputs!$B$1+((Inputs!$G$5:$G$230&lt;&gt;"moeda")*(Inputs!$G$5:$G$230&lt;&gt;"acoes")))*INDEX(Inputs!$K$5:$AJ$230,0,MATCH(N$2,Inputs!$K$4:$AJ$4,0)))+SUMPRODUCT((Inputs!$E$5:$E$230=$B10)*Inputs!$F$5:$F$230*(((Inputs!$G$5:$G$230="moeda")+(Inputs!$G$5:$G$230="acoes"))*Inputs!$B$1+((Inputs!$G$5:$G$230&lt;&gt;"moeda")*(Inputs!$G$5:$G$230&lt;&gt;"acoes")))*INDEX(Inputs!$K$5:$AJ$230,0,MATCH(N$2,Inputs!$K$4:$AJ$4,0)))))</f>
        <v>-104.797</v>
      </c>
      <c r="O10" s="6">
        <f>IF(ISNA(MATCH(O$2,Inputs!$K$4:$AJ$4,0)),NA(),IF(SUMPRODUCT((Inputs!$A$5:$A$230=$B10)*ISNUMBER(INDEX(Inputs!$K$5:$AJ$230,0,MATCH(O$2,Inputs!$K$4:$AJ$4,0))))+SUMPRODUCT((Inputs!$C$5:$C$230=$B10)*ISNUMBER(INDEX(Inputs!$K$5:$AJ$230,0,MATCH(O$2,Inputs!$K$4:$AJ$4,0))))+SUMPRODUCT((Inputs!$E$5:$E$230=$B10)*ISNUMBER(INDEX(Inputs!$K$5:$AJ$230,0,MATCH(O$2,Inputs!$K$4:$AJ$4,0))))=0,NA(),SUMPRODUCT((Inputs!$A$5:$A$230=$B10)*Inputs!$B$5:$B$230*(((Inputs!$G$5:$G$230="moeda")+(Inputs!$G$5:$G$230="acoes"))*Inputs!$B$1+((Inputs!$G$5:$G$230&lt;&gt;"moeda")*(Inputs!$G$5:$G$230&lt;&gt;"acoes")))*INDEX(Inputs!$K$5:$AJ$230,0,MATCH(O$2,Inputs!$K$4:$AJ$4,0)))+SUMPRODUCT((Inputs!$C$5:$C$230=$B10)*Inputs!$D$5:$D$230*(((Inputs!$G$5:$G$230="moeda")+(Inputs!$G$5:$G$230="acoes"))*Inputs!$B$1+((Inputs!$G$5:$G$230&lt;&gt;"moeda")*(Inputs!$G$5:$G$230&lt;&gt;"acoes")))*INDEX(Inputs!$K$5:$AJ$230,0,MATCH(O$2,Inputs!$K$4:$AJ$4,0)))+SUMPRODUCT((Inputs!$E$5:$E$230=$B10)*Inputs!$F$5:$F$230*(((Inputs!$G$5:$G$230="moeda")+(Inputs!$G$5:$G$230="acoes"))*Inputs!$B$1+((Inputs!$G$5:$G$230&lt;&gt;"moeda")*(Inputs!$G$5:$G$230&lt;&gt;"acoes")))*INDEX(Inputs!$K$5:$AJ$230,0,MATCH(O$2,Inputs!$K$4:$AJ$4,0)))))</f>
        <v>-65.437</v>
      </c>
      <c r="P10" s="6">
        <f>IF(ISNA(MATCH(P$2,Inputs!$K$4:$AJ$4,0)),NA(),IF(SUMPRODUCT((Inputs!$A$5:$A$230=$B10)*ISNUMBER(INDEX(Inputs!$K$5:$AJ$230,0,MATCH(P$2,Inputs!$K$4:$AJ$4,0))))+SUMPRODUCT((Inputs!$C$5:$C$230=$B10)*ISNUMBER(INDEX(Inputs!$K$5:$AJ$230,0,MATCH(P$2,Inputs!$K$4:$AJ$4,0))))+SUMPRODUCT((Inputs!$E$5:$E$230=$B10)*ISNUMBER(INDEX(Inputs!$K$5:$AJ$230,0,MATCH(P$2,Inputs!$K$4:$AJ$4,0))))=0,NA(),SUMPRODUCT((Inputs!$A$5:$A$230=$B10)*Inputs!$B$5:$B$230*(((Inputs!$G$5:$G$230="moeda")+(Inputs!$G$5:$G$230="acoes"))*Inputs!$B$1+((Inputs!$G$5:$G$230&lt;&gt;"moeda")*(Inputs!$G$5:$G$230&lt;&gt;"acoes")))*INDEX(Inputs!$K$5:$AJ$230,0,MATCH(P$2,Inputs!$K$4:$AJ$4,0)))+SUMPRODUCT((Inputs!$C$5:$C$230=$B10)*Inputs!$D$5:$D$230*(((Inputs!$G$5:$G$230="moeda")+(Inputs!$G$5:$G$230="acoes"))*Inputs!$B$1+((Inputs!$G$5:$G$230&lt;&gt;"moeda")*(Inputs!$G$5:$G$230&lt;&gt;"acoes")))*INDEX(Inputs!$K$5:$AJ$230,0,MATCH(P$2,Inputs!$K$4:$AJ$4,0)))+SUMPRODUCT((Inputs!$E$5:$E$230=$B10)*Inputs!$F$5:$F$230*(((Inputs!$G$5:$G$230="moeda")+(Inputs!$G$5:$G$230="acoes"))*Inputs!$B$1+((Inputs!$G$5:$G$230&lt;&gt;"moeda")*(Inputs!$G$5:$G$230&lt;&gt;"acoes")))*INDEX(Inputs!$K$5:$AJ$230,0,MATCH(P$2,Inputs!$K$4:$AJ$4,0)))))</f>
        <v>-32.784</v>
      </c>
      <c r="Q10" s="6">
        <f>IF(ISNA(MATCH(Q$2,Inputs!$K$4:$AJ$4,0)),NA(),IF(SUMPRODUCT((Inputs!$A$5:$A$230=$B10)*ISNUMBER(INDEX(Inputs!$K$5:$AJ$230,0,MATCH(Q$2,Inputs!$K$4:$AJ$4,0))))+SUMPRODUCT((Inputs!$C$5:$C$230=$B10)*ISNUMBER(INDEX(Inputs!$K$5:$AJ$230,0,MATCH(Q$2,Inputs!$K$4:$AJ$4,0))))+SUMPRODUCT((Inputs!$E$5:$E$230=$B10)*ISNUMBER(INDEX(Inputs!$K$5:$AJ$230,0,MATCH(Q$2,Inputs!$K$4:$AJ$4,0))))=0,NA(),SUMPRODUCT((Inputs!$A$5:$A$230=$B10)*Inputs!$B$5:$B$230*(((Inputs!$G$5:$G$230="moeda")+(Inputs!$G$5:$G$230="acoes"))*Inputs!$B$1+((Inputs!$G$5:$G$230&lt;&gt;"moeda")*(Inputs!$G$5:$G$230&lt;&gt;"acoes")))*INDEX(Inputs!$K$5:$AJ$230,0,MATCH(Q$2,Inputs!$K$4:$AJ$4,0)))+SUMPRODUCT((Inputs!$C$5:$C$230=$B10)*Inputs!$D$5:$D$230*(((Inputs!$G$5:$G$230="moeda")+(Inputs!$G$5:$G$230="acoes"))*Inputs!$B$1+((Inputs!$G$5:$G$230&lt;&gt;"moeda")*(Inputs!$G$5:$G$230&lt;&gt;"acoes")))*INDEX(Inputs!$K$5:$AJ$230,0,MATCH(Q$2,Inputs!$K$4:$AJ$4,0)))+SUMPRODUCT((Inputs!$E$5:$E$230=$B10)*Inputs!$F$5:$F$230*(((Inputs!$G$5:$G$230="moeda")+(Inputs!$G$5:$G$230="acoes"))*Inputs!$B$1+((Inputs!$G$5:$G$230&lt;&gt;"moeda")*(Inputs!$G$5:$G$230&lt;&gt;"acoes")))*INDEX(Inputs!$K$5:$AJ$230,0,MATCH(Q$2,Inputs!$K$4:$AJ$4,0)))))</f>
        <v>-126.259</v>
      </c>
      <c r="R10" s="3">
        <f>SUM(N10:Q10)</f>
        <v>-329.277</v>
      </c>
      <c r="S10" s="6">
        <f>IF(ISNA(MATCH(S$2,Inputs!$K$4:$AJ$4,0)),NA(),IF(SUMPRODUCT((Inputs!$A$5:$A$230=$B10)*ISNUMBER(INDEX(Inputs!$K$5:$AJ$230,0,MATCH(S$2,Inputs!$K$4:$AJ$4,0))))+SUMPRODUCT((Inputs!$C$5:$C$230=$B10)*ISNUMBER(INDEX(Inputs!$K$5:$AJ$230,0,MATCH(S$2,Inputs!$K$4:$AJ$4,0))))+SUMPRODUCT((Inputs!$E$5:$E$230=$B10)*ISNUMBER(INDEX(Inputs!$K$5:$AJ$230,0,MATCH(S$2,Inputs!$K$4:$AJ$4,0))))=0,NA(),SUMPRODUCT((Inputs!$A$5:$A$230=$B10)*Inputs!$B$5:$B$230*(((Inputs!$G$5:$G$230="moeda")+(Inputs!$G$5:$G$230="acoes"))*Inputs!$B$1+((Inputs!$G$5:$G$230&lt;&gt;"moeda")*(Inputs!$G$5:$G$230&lt;&gt;"acoes")))*INDEX(Inputs!$K$5:$AJ$230,0,MATCH(S$2,Inputs!$K$4:$AJ$4,0)))+SUMPRODUCT((Inputs!$C$5:$C$230=$B10)*Inputs!$D$5:$D$230*(((Inputs!$G$5:$G$230="moeda")+(Inputs!$G$5:$G$230="acoes"))*Inputs!$B$1+((Inputs!$G$5:$G$230&lt;&gt;"moeda")*(Inputs!$G$5:$G$230&lt;&gt;"acoes")))*INDEX(Inputs!$K$5:$AJ$230,0,MATCH(S$2,Inputs!$K$4:$AJ$4,0)))+SUMPRODUCT((Inputs!$E$5:$E$230=$B10)*Inputs!$F$5:$F$230*(((Inputs!$G$5:$G$230="moeda")+(Inputs!$G$5:$G$230="acoes"))*Inputs!$B$1+((Inputs!$G$5:$G$230&lt;&gt;"moeda")*(Inputs!$G$5:$G$230&lt;&gt;"acoes")))*INDEX(Inputs!$K$5:$AJ$230,0,MATCH(S$2,Inputs!$K$4:$AJ$4,0)))))</f>
        <v>-112.21</v>
      </c>
      <c r="T10" s="6">
        <f>IF(ISNA(MATCH(T$2,Inputs!$K$4:$AJ$4,0)),NA(),IF(SUMPRODUCT((Inputs!$A$5:$A$230=$B10)*ISNUMBER(INDEX(Inputs!$K$5:$AJ$230,0,MATCH(T$2,Inputs!$K$4:$AJ$4,0))))+SUMPRODUCT((Inputs!$C$5:$C$230=$B10)*ISNUMBER(INDEX(Inputs!$K$5:$AJ$230,0,MATCH(T$2,Inputs!$K$4:$AJ$4,0))))+SUMPRODUCT((Inputs!$E$5:$E$230=$B10)*ISNUMBER(INDEX(Inputs!$K$5:$AJ$230,0,MATCH(T$2,Inputs!$K$4:$AJ$4,0))))=0,NA(),SUMPRODUCT((Inputs!$A$5:$A$230=$B10)*Inputs!$B$5:$B$230*(((Inputs!$G$5:$G$230="moeda")+(Inputs!$G$5:$G$230="acoes"))*Inputs!$B$1+((Inputs!$G$5:$G$230&lt;&gt;"moeda")*(Inputs!$G$5:$G$230&lt;&gt;"acoes")))*INDEX(Inputs!$K$5:$AJ$230,0,MATCH(T$2,Inputs!$K$4:$AJ$4,0)))+SUMPRODUCT((Inputs!$C$5:$C$230=$B10)*Inputs!$D$5:$D$230*(((Inputs!$G$5:$G$230="moeda")+(Inputs!$G$5:$G$230="acoes"))*Inputs!$B$1+((Inputs!$G$5:$G$230&lt;&gt;"moeda")*(Inputs!$G$5:$G$230&lt;&gt;"acoes")))*INDEX(Inputs!$K$5:$AJ$230,0,MATCH(T$2,Inputs!$K$4:$AJ$4,0)))+SUMPRODUCT((Inputs!$E$5:$E$230=$B10)*Inputs!$F$5:$F$230*(((Inputs!$G$5:$G$230="moeda")+(Inputs!$G$5:$G$230="acoes"))*Inputs!$B$1+((Inputs!$G$5:$G$230&lt;&gt;"moeda")*(Inputs!$G$5:$G$230&lt;&gt;"acoes")))*INDEX(Inputs!$K$5:$AJ$230,0,MATCH(T$2,Inputs!$K$4:$AJ$4,0)))))</f>
        <v>-114.191</v>
      </c>
      <c r="U10" s="6">
        <f>IF(ISNA(MATCH(U$2,Inputs!$K$4:$AJ$4,0)),NA(),IF(SUMPRODUCT((Inputs!$A$5:$A$230=$B10)*ISNUMBER(INDEX(Inputs!$K$5:$AJ$230,0,MATCH(U$2,Inputs!$K$4:$AJ$4,0))))+SUMPRODUCT((Inputs!$C$5:$C$230=$B10)*ISNUMBER(INDEX(Inputs!$K$5:$AJ$230,0,MATCH(U$2,Inputs!$K$4:$AJ$4,0))))+SUMPRODUCT((Inputs!$E$5:$E$230=$B10)*ISNUMBER(INDEX(Inputs!$K$5:$AJ$230,0,MATCH(U$2,Inputs!$K$4:$AJ$4,0))))=0,NA(),SUMPRODUCT((Inputs!$A$5:$A$230=$B10)*Inputs!$B$5:$B$230*(((Inputs!$G$5:$G$230="moeda")+(Inputs!$G$5:$G$230="acoes"))*Inputs!$B$1+((Inputs!$G$5:$G$230&lt;&gt;"moeda")*(Inputs!$G$5:$G$230&lt;&gt;"acoes")))*INDEX(Inputs!$K$5:$AJ$230,0,MATCH(U$2,Inputs!$K$4:$AJ$4,0)))+SUMPRODUCT((Inputs!$C$5:$C$230=$B10)*Inputs!$D$5:$D$230*(((Inputs!$G$5:$G$230="moeda")+(Inputs!$G$5:$G$230="acoes"))*Inputs!$B$1+((Inputs!$G$5:$G$230&lt;&gt;"moeda")*(Inputs!$G$5:$G$230&lt;&gt;"acoes")))*INDEX(Inputs!$K$5:$AJ$230,0,MATCH(U$2,Inputs!$K$4:$AJ$4,0)))+SUMPRODUCT((Inputs!$E$5:$E$230=$B10)*Inputs!$F$5:$F$230*(((Inputs!$G$5:$G$230="moeda")+(Inputs!$G$5:$G$230="acoes"))*Inputs!$B$1+((Inputs!$G$5:$G$230&lt;&gt;"moeda")*(Inputs!$G$5:$G$230&lt;&gt;"acoes")))*INDEX(Inputs!$K$5:$AJ$230,0,MATCH(U$2,Inputs!$K$4:$AJ$4,0)))))</f>
        <v>189.882</v>
      </c>
      <c r="V10" s="6">
        <f>IF(ISNA(MATCH(V$2,Inputs!$K$4:$AJ$4,0)),NA(),IF(SUMPRODUCT((Inputs!$A$5:$A$230=$B10)*ISNUMBER(INDEX(Inputs!$K$5:$AJ$230,0,MATCH(V$2,Inputs!$K$4:$AJ$4,0))))+SUMPRODUCT((Inputs!$C$5:$C$230=$B10)*ISNUMBER(INDEX(Inputs!$K$5:$AJ$230,0,MATCH(V$2,Inputs!$K$4:$AJ$4,0))))+SUMPRODUCT((Inputs!$E$5:$E$230=$B10)*ISNUMBER(INDEX(Inputs!$K$5:$AJ$230,0,MATCH(V$2,Inputs!$K$4:$AJ$4,0))))=0,NA(),SUMPRODUCT((Inputs!$A$5:$A$230=$B10)*Inputs!$B$5:$B$230*(((Inputs!$G$5:$G$230="moeda")+(Inputs!$G$5:$G$230="acoes"))*Inputs!$B$1+((Inputs!$G$5:$G$230&lt;&gt;"moeda")*(Inputs!$G$5:$G$230&lt;&gt;"acoes")))*INDEX(Inputs!$K$5:$AJ$230,0,MATCH(V$2,Inputs!$K$4:$AJ$4,0)))+SUMPRODUCT((Inputs!$C$5:$C$230=$B10)*Inputs!$D$5:$D$230*(((Inputs!$G$5:$G$230="moeda")+(Inputs!$G$5:$G$230="acoes"))*Inputs!$B$1+((Inputs!$G$5:$G$230&lt;&gt;"moeda")*(Inputs!$G$5:$G$230&lt;&gt;"acoes")))*INDEX(Inputs!$K$5:$AJ$230,0,MATCH(V$2,Inputs!$K$4:$AJ$4,0)))+SUMPRODUCT((Inputs!$E$5:$E$230=$B10)*Inputs!$F$5:$F$230*(((Inputs!$G$5:$G$230="moeda")+(Inputs!$G$5:$G$230="acoes"))*Inputs!$B$1+((Inputs!$G$5:$G$230&lt;&gt;"moeda")*(Inputs!$G$5:$G$230&lt;&gt;"acoes")))*INDEX(Inputs!$K$5:$AJ$230,0,MATCH(V$2,Inputs!$K$4:$AJ$4,0)))))</f>
        <v>-45.092</v>
      </c>
      <c r="W10" s="3">
        <f>SUM(S10:V10)</f>
        <v>-81.611</v>
      </c>
      <c r="X10" s="6">
        <f>IF(ISNA(MATCH(X$2,Inputs!$K$4:$AJ$4,0)),NA(),IF(SUMPRODUCT((Inputs!$A$5:$A$230=$B10)*ISNUMBER(INDEX(Inputs!$K$5:$AJ$230,0,MATCH(X$2,Inputs!$K$4:$AJ$4,0))))+SUMPRODUCT((Inputs!$C$5:$C$230=$B10)*ISNUMBER(INDEX(Inputs!$K$5:$AJ$230,0,MATCH(X$2,Inputs!$K$4:$AJ$4,0))))+SUMPRODUCT((Inputs!$E$5:$E$230=$B10)*ISNUMBER(INDEX(Inputs!$K$5:$AJ$230,0,MATCH(X$2,Inputs!$K$4:$AJ$4,0))))=0,NA(),SUMPRODUCT((Inputs!$A$5:$A$230=$B10)*Inputs!$B$5:$B$230*(((Inputs!$G$5:$G$230="moeda")+(Inputs!$G$5:$G$230="acoes"))*Inputs!$B$1+((Inputs!$G$5:$G$230&lt;&gt;"moeda")*(Inputs!$G$5:$G$230&lt;&gt;"acoes")))*INDEX(Inputs!$K$5:$AJ$230,0,MATCH(X$2,Inputs!$K$4:$AJ$4,0)))+SUMPRODUCT((Inputs!$C$5:$C$230=$B10)*Inputs!$D$5:$D$230*(((Inputs!$G$5:$G$230="moeda")+(Inputs!$G$5:$G$230="acoes"))*Inputs!$B$1+((Inputs!$G$5:$G$230&lt;&gt;"moeda")*(Inputs!$G$5:$G$230&lt;&gt;"acoes")))*INDEX(Inputs!$K$5:$AJ$230,0,MATCH(X$2,Inputs!$K$4:$AJ$4,0)))+SUMPRODUCT((Inputs!$E$5:$E$230=$B10)*Inputs!$F$5:$F$230*(((Inputs!$G$5:$G$230="moeda")+(Inputs!$G$5:$G$230="acoes"))*Inputs!$B$1+((Inputs!$G$5:$G$230&lt;&gt;"moeda")*(Inputs!$G$5:$G$230&lt;&gt;"acoes")))*INDEX(Inputs!$K$5:$AJ$230,0,MATCH(X$2,Inputs!$K$4:$AJ$4,0)))))</f>
        <v>-131.237</v>
      </c>
      <c r="Y10" s="6">
        <f>IF(ISNA(MATCH(Y$2,Inputs!$K$4:$AJ$4,0)),NA(),IF(SUMPRODUCT((Inputs!$A$5:$A$230=$B10)*ISNUMBER(INDEX(Inputs!$K$5:$AJ$230,0,MATCH(Y$2,Inputs!$K$4:$AJ$4,0))))+SUMPRODUCT((Inputs!$C$5:$C$230=$B10)*ISNUMBER(INDEX(Inputs!$K$5:$AJ$230,0,MATCH(Y$2,Inputs!$K$4:$AJ$4,0))))+SUMPRODUCT((Inputs!$E$5:$E$230=$B10)*ISNUMBER(INDEX(Inputs!$K$5:$AJ$230,0,MATCH(Y$2,Inputs!$K$4:$AJ$4,0))))=0,NA(),SUMPRODUCT((Inputs!$A$5:$A$230=$B10)*Inputs!$B$5:$B$230*(((Inputs!$G$5:$G$230="moeda")+(Inputs!$G$5:$G$230="acoes"))*Inputs!$B$1+((Inputs!$G$5:$G$230&lt;&gt;"moeda")*(Inputs!$G$5:$G$230&lt;&gt;"acoes")))*INDEX(Inputs!$K$5:$AJ$230,0,MATCH(Y$2,Inputs!$K$4:$AJ$4,0)))+SUMPRODUCT((Inputs!$C$5:$C$230=$B10)*Inputs!$D$5:$D$230*(((Inputs!$G$5:$G$230="moeda")+(Inputs!$G$5:$G$230="acoes"))*Inputs!$B$1+((Inputs!$G$5:$G$230&lt;&gt;"moeda")*(Inputs!$G$5:$G$230&lt;&gt;"acoes")))*INDEX(Inputs!$K$5:$AJ$230,0,MATCH(Y$2,Inputs!$K$4:$AJ$4,0)))+SUMPRODUCT((Inputs!$E$5:$E$230=$B10)*Inputs!$F$5:$F$230*(((Inputs!$G$5:$G$230="moeda")+(Inputs!$G$5:$G$230="acoes"))*Inputs!$B$1+((Inputs!$G$5:$G$230&lt;&gt;"moeda")*(Inputs!$G$5:$G$230&lt;&gt;"acoes")))*INDEX(Inputs!$K$5:$AJ$230,0,MATCH(Y$2,Inputs!$K$4:$AJ$4,0)))))</f>
        <v>-65.277</v>
      </c>
      <c r="Z10" s="6">
        <f>IF(ISNA(MATCH(Z$2,Inputs!$K$4:$AJ$4,0)),NA(),IF(SUMPRODUCT((Inputs!$A$5:$A$230=$B10)*ISNUMBER(INDEX(Inputs!$K$5:$AJ$230,0,MATCH(Z$2,Inputs!$K$4:$AJ$4,0))))+SUMPRODUCT((Inputs!$C$5:$C$230=$B10)*ISNUMBER(INDEX(Inputs!$K$5:$AJ$230,0,MATCH(Z$2,Inputs!$K$4:$AJ$4,0))))+SUMPRODUCT((Inputs!$E$5:$E$230=$B10)*ISNUMBER(INDEX(Inputs!$K$5:$AJ$230,0,MATCH(Z$2,Inputs!$K$4:$AJ$4,0))))=0,NA(),SUMPRODUCT((Inputs!$A$5:$A$230=$B10)*Inputs!$B$5:$B$230*(((Inputs!$G$5:$G$230="moeda")+(Inputs!$G$5:$G$230="acoes"))*Inputs!$B$1+((Inputs!$G$5:$G$230&lt;&gt;"moeda")*(Inputs!$G$5:$G$230&lt;&gt;"acoes")))*INDEX(Inputs!$K$5:$AJ$230,0,MATCH(Z$2,Inputs!$K$4:$AJ$4,0)))+SUMPRODUCT((Inputs!$C$5:$C$230=$B10)*Inputs!$D$5:$D$230*(((Inputs!$G$5:$G$230="moeda")+(Inputs!$G$5:$G$230="acoes"))*Inputs!$B$1+((Inputs!$G$5:$G$230&lt;&gt;"moeda")*(Inputs!$G$5:$G$230&lt;&gt;"acoes")))*INDEX(Inputs!$K$5:$AJ$230,0,MATCH(Z$2,Inputs!$K$4:$AJ$4,0)))+SUMPRODUCT((Inputs!$E$5:$E$230=$B10)*Inputs!$F$5:$F$230*(((Inputs!$G$5:$G$230="moeda")+(Inputs!$G$5:$G$230="acoes"))*Inputs!$B$1+((Inputs!$G$5:$G$230&lt;&gt;"moeda")*(Inputs!$G$5:$G$230&lt;&gt;"acoes")))*INDEX(Inputs!$K$5:$AJ$230,0,MATCH(Z$2,Inputs!$K$4:$AJ$4,0)))))</f>
        <v>-191.825</v>
      </c>
      <c r="AA10" s="6">
        <f>IF(ISNA(MATCH(AA$2,Inputs!$K$4:$AJ$4,0)),NA(),IF(SUMPRODUCT((Inputs!$A$5:$A$230=$B10)*ISNUMBER(INDEX(Inputs!$K$5:$AJ$230,0,MATCH(AA$2,Inputs!$K$4:$AJ$4,0))))+SUMPRODUCT((Inputs!$C$5:$C$230=$B10)*ISNUMBER(INDEX(Inputs!$K$5:$AJ$230,0,MATCH(AA$2,Inputs!$K$4:$AJ$4,0))))+SUMPRODUCT((Inputs!$E$5:$E$230=$B10)*ISNUMBER(INDEX(Inputs!$K$5:$AJ$230,0,MATCH(AA$2,Inputs!$K$4:$AJ$4,0))))=0,NA(),SUMPRODUCT((Inputs!$A$5:$A$230=$B10)*Inputs!$B$5:$B$230*(((Inputs!$G$5:$G$230="moeda")+(Inputs!$G$5:$G$230="acoes"))*Inputs!$B$1+((Inputs!$G$5:$G$230&lt;&gt;"moeda")*(Inputs!$G$5:$G$230&lt;&gt;"acoes")))*INDEX(Inputs!$K$5:$AJ$230,0,MATCH(AA$2,Inputs!$K$4:$AJ$4,0)))+SUMPRODUCT((Inputs!$C$5:$C$230=$B10)*Inputs!$D$5:$D$230*(((Inputs!$G$5:$G$230="moeda")+(Inputs!$G$5:$G$230="acoes"))*Inputs!$B$1+((Inputs!$G$5:$G$230&lt;&gt;"moeda")*(Inputs!$G$5:$G$230&lt;&gt;"acoes")))*INDEX(Inputs!$K$5:$AJ$230,0,MATCH(AA$2,Inputs!$K$4:$AJ$4,0)))+SUMPRODUCT((Inputs!$E$5:$E$230=$B10)*Inputs!$F$5:$F$230*(((Inputs!$G$5:$G$230="moeda")+(Inputs!$G$5:$G$230="acoes"))*Inputs!$B$1+((Inputs!$G$5:$G$230&lt;&gt;"moeda")*(Inputs!$G$5:$G$230&lt;&gt;"acoes")))*INDEX(Inputs!$K$5:$AJ$230,0,MATCH(AA$2,Inputs!$K$4:$AJ$4,0)))))</f>
        <v>-121.15</v>
      </c>
      <c r="AB10" s="3">
        <f>SUM(X10:AA10)</f>
        <v>-509.489</v>
      </c>
      <c r="AC10" s="6">
        <f>IF(ISNA(MATCH(AC$2,Inputs!$K$4:$AJ$4,0)),NA(),IF(SUMPRODUCT((Inputs!$A$5:$A$230=$B10)*ISNUMBER(INDEX(Inputs!$K$5:$AJ$230,0,MATCH(AC$2,Inputs!$K$4:$AJ$4,0))))+SUMPRODUCT((Inputs!$C$5:$C$230=$B10)*ISNUMBER(INDEX(Inputs!$K$5:$AJ$230,0,MATCH(AC$2,Inputs!$K$4:$AJ$4,0))))+SUMPRODUCT((Inputs!$E$5:$E$230=$B10)*ISNUMBER(INDEX(Inputs!$K$5:$AJ$230,0,MATCH(AC$2,Inputs!$K$4:$AJ$4,0))))=0,NA(),SUMPRODUCT((Inputs!$A$5:$A$230=$B10)*Inputs!$B$5:$B$230*(((Inputs!$G$5:$G$230="moeda")+(Inputs!$G$5:$G$230="acoes"))*Inputs!$B$1+((Inputs!$G$5:$G$230&lt;&gt;"moeda")*(Inputs!$G$5:$G$230&lt;&gt;"acoes")))*INDEX(Inputs!$K$5:$AJ$230,0,MATCH(AC$2,Inputs!$K$4:$AJ$4,0)))+SUMPRODUCT((Inputs!$C$5:$C$230=$B10)*Inputs!$D$5:$D$230*(((Inputs!$G$5:$G$230="moeda")+(Inputs!$G$5:$G$230="acoes"))*Inputs!$B$1+((Inputs!$G$5:$G$230&lt;&gt;"moeda")*(Inputs!$G$5:$G$230&lt;&gt;"acoes")))*INDEX(Inputs!$K$5:$AJ$230,0,MATCH(AC$2,Inputs!$K$4:$AJ$4,0)))+SUMPRODUCT((Inputs!$E$5:$E$230=$B10)*Inputs!$F$5:$F$230*(((Inputs!$G$5:$G$230="moeda")+(Inputs!$G$5:$G$230="acoes"))*Inputs!$B$1+((Inputs!$G$5:$G$230&lt;&gt;"moeda")*(Inputs!$G$5:$G$230&lt;&gt;"acoes")))*INDEX(Inputs!$K$5:$AJ$230,0,MATCH(AC$2,Inputs!$K$4:$AJ$4,0)))))</f>
        <v>-116.027</v>
      </c>
      <c r="AD10" s="6">
        <f>IF(ISNA(MATCH(AD$2,Inputs!$K$4:$AJ$4,0)),NA(),IF(SUMPRODUCT((Inputs!$A$5:$A$230=$B10)*ISNUMBER(INDEX(Inputs!$K$5:$AJ$230,0,MATCH(AD$2,Inputs!$K$4:$AJ$4,0))))+SUMPRODUCT((Inputs!$C$5:$C$230=$B10)*ISNUMBER(INDEX(Inputs!$K$5:$AJ$230,0,MATCH(AD$2,Inputs!$K$4:$AJ$4,0))))+SUMPRODUCT((Inputs!$E$5:$E$230=$B10)*ISNUMBER(INDEX(Inputs!$K$5:$AJ$230,0,MATCH(AD$2,Inputs!$K$4:$AJ$4,0))))=0,NA(),SUMPRODUCT((Inputs!$A$5:$A$230=$B10)*Inputs!$B$5:$B$230*(((Inputs!$G$5:$G$230="moeda")+(Inputs!$G$5:$G$230="acoes"))*Inputs!$B$1+((Inputs!$G$5:$G$230&lt;&gt;"moeda")*(Inputs!$G$5:$G$230&lt;&gt;"acoes")))*INDEX(Inputs!$K$5:$AJ$230,0,MATCH(AD$2,Inputs!$K$4:$AJ$4,0)))+SUMPRODUCT((Inputs!$C$5:$C$230=$B10)*Inputs!$D$5:$D$230*(((Inputs!$G$5:$G$230="moeda")+(Inputs!$G$5:$G$230="acoes"))*Inputs!$B$1+((Inputs!$G$5:$G$230&lt;&gt;"moeda")*(Inputs!$G$5:$G$230&lt;&gt;"acoes")))*INDEX(Inputs!$K$5:$AJ$230,0,MATCH(AD$2,Inputs!$K$4:$AJ$4,0)))+SUMPRODUCT((Inputs!$E$5:$E$230=$B10)*Inputs!$F$5:$F$230*(((Inputs!$G$5:$G$230="moeda")+(Inputs!$G$5:$G$230="acoes"))*Inputs!$B$1+((Inputs!$G$5:$G$230&lt;&gt;"moeda")*(Inputs!$G$5:$G$230&lt;&gt;"acoes")))*INDEX(Inputs!$K$5:$AJ$230,0,MATCH(AD$2,Inputs!$K$4:$AJ$4,0)))))</f>
        <v>-54.921</v>
      </c>
      <c r="AE10" s="6" t="e">
        <f>IF(ISNA(MATCH(AE$2,Inputs!$K$4:$AJ$4,0)),NA(),IF(SUMPRODUCT((Inputs!$A$5:$A$230=$B10)*ISNUMBER(INDEX(Inputs!$K$5:$AJ$230,0,MATCH(AE$2,Inputs!$K$4:$AJ$4,0))))+SUMPRODUCT((Inputs!$C$5:$C$230=$B10)*ISNUMBER(INDEX(Inputs!$K$5:$AJ$230,0,MATCH(AE$2,Inputs!$K$4:$AJ$4,0))))+SUMPRODUCT((Inputs!$E$5:$E$230=$B10)*ISNUMBER(INDEX(Inputs!$K$5:$AJ$230,0,MATCH(AE$2,Inputs!$K$4:$AJ$4,0))))=0,NA(),SUMPRODUCT((Inputs!$A$5:$A$230=$B10)*Inputs!$B$5:$B$230*(((Inputs!$G$5:$G$230="moeda")+(Inputs!$G$5:$G$230="acoes"))*Inputs!$B$1+((Inputs!$G$5:$G$230&lt;&gt;"moeda")*(Inputs!$G$5:$G$230&lt;&gt;"acoes")))*INDEX(Inputs!$K$5:$AJ$230,0,MATCH(AE$2,Inputs!$K$4:$AJ$4,0)))+SUMPRODUCT((Inputs!$C$5:$C$230=$B10)*Inputs!$D$5:$D$230*(((Inputs!$G$5:$G$230="moeda")+(Inputs!$G$5:$G$230="acoes"))*Inputs!$B$1+((Inputs!$G$5:$G$230&lt;&gt;"moeda")*(Inputs!$G$5:$G$230&lt;&gt;"acoes")))*INDEX(Inputs!$K$5:$AJ$230,0,MATCH(AE$2,Inputs!$K$4:$AJ$4,0)))+SUMPRODUCT((Inputs!$E$5:$E$230=$B10)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0" s="6" t="e">
        <f>IF(ISNA(MATCH(AF$2,Inputs!$K$4:$AJ$4,0)),NA(),IF(SUMPRODUCT((Inputs!$A$5:$A$230=$B10)*ISNUMBER(INDEX(Inputs!$K$5:$AJ$230,0,MATCH(AF$2,Inputs!$K$4:$AJ$4,0))))+SUMPRODUCT((Inputs!$C$5:$C$230=$B10)*ISNUMBER(INDEX(Inputs!$K$5:$AJ$230,0,MATCH(AF$2,Inputs!$K$4:$AJ$4,0))))+SUMPRODUCT((Inputs!$E$5:$E$230=$B10)*ISNUMBER(INDEX(Inputs!$K$5:$AJ$230,0,MATCH(AF$2,Inputs!$K$4:$AJ$4,0))))=0,NA(),SUMPRODUCT((Inputs!$A$5:$A$230=$B10)*Inputs!$B$5:$B$230*(((Inputs!$G$5:$G$230="moeda")+(Inputs!$G$5:$G$230="acoes"))*Inputs!$B$1+((Inputs!$G$5:$G$230&lt;&gt;"moeda")*(Inputs!$G$5:$G$230&lt;&gt;"acoes")))*INDEX(Inputs!$K$5:$AJ$230,0,MATCH(AF$2,Inputs!$K$4:$AJ$4,0)))+SUMPRODUCT((Inputs!$C$5:$C$230=$B10)*Inputs!$D$5:$D$230*(((Inputs!$G$5:$G$230="moeda")+(Inputs!$G$5:$G$230="acoes"))*Inputs!$B$1+((Inputs!$G$5:$G$230&lt;&gt;"moeda")*(Inputs!$G$5:$G$230&lt;&gt;"acoes")))*INDEX(Inputs!$K$5:$AJ$230,0,MATCH(AF$2,Inputs!$K$4:$AJ$4,0)))+SUMPRODUCT((Inputs!$E$5:$E$230=$B10)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0" s="3" t="e">
        <f>SUM(AC10:AF10)</f>
        <v>#N/A</v>
      </c>
      <c r="AH10" s="6">
        <f>IF(ISNA(MATCH(AH$2,Inputs!$K$4:$AJ$4,0)),NA(),IF(SUMPRODUCT((Inputs!$A$5:$A$230=$B10)*ISNUMBER(INDEX(Inputs!$K$5:$AJ$230,0,MATCH(AH$2,Inputs!$K$4:$AJ$4,0))))+SUMPRODUCT((Inputs!$C$5:$C$230=$B10)*ISNUMBER(INDEX(Inputs!$K$5:$AJ$230,0,MATCH(AH$2,Inputs!$K$4:$AJ$4,0))))+SUMPRODUCT((Inputs!$E$5:$E$230=$B10)*ISNUMBER(INDEX(Inputs!$K$5:$AJ$230,0,MATCH(AH$2,Inputs!$K$4:$AJ$4,0))))=0,NA(),SUMPRODUCT((Inputs!$A$5:$A$230=$B10)*Inputs!$B$5:$B$230*(((Inputs!$G$5:$G$230="moeda")+(Inputs!$G$5:$G$230="acoes"))*Inputs!$B$1+((Inputs!$G$5:$G$230&lt;&gt;"moeda")*(Inputs!$G$5:$G$230&lt;&gt;"acoes")))*INDEX(Inputs!$K$5:$AJ$230,0,MATCH(AH$2,Inputs!$K$4:$AJ$4,0)))+SUMPRODUCT((Inputs!$C$5:$C$230=$B10)*Inputs!$D$5:$D$230*(((Inputs!$G$5:$G$230="moeda")+(Inputs!$G$5:$G$230="acoes"))*Inputs!$B$1+((Inputs!$G$5:$G$230&lt;&gt;"moeda")*(Inputs!$G$5:$G$230&lt;&gt;"acoes")))*INDEX(Inputs!$K$5:$AJ$230,0,MATCH(AH$2,Inputs!$K$4:$AJ$4,0)))+SUMPRODUCT((Inputs!$E$5:$E$230=$B10)*Inputs!$F$5:$F$230*(((Inputs!$G$5:$G$230="moeda")+(Inputs!$G$5:$G$230="acoes"))*Inputs!$B$1+((Inputs!$G$5:$G$230&lt;&gt;"moeda")*(Inputs!$G$5:$G$230&lt;&gt;"acoes")))*INDEX(Inputs!$K$5:$AJ$230,0,MATCH(AH$2,Inputs!$K$4:$AJ$4,0)))))</f>
        <v>-111.997</v>
      </c>
      <c r="AI10" s="6">
        <f>IF(ISNA(MATCH(AI$2,Inputs!$K$4:$AJ$4,0)),NA(),IF(SUMPRODUCT((Inputs!$A$5:$A$230=$B10)*ISNUMBER(INDEX(Inputs!$K$5:$AJ$230,0,MATCH(AI$2,Inputs!$K$4:$AJ$4,0))))+SUMPRODUCT((Inputs!$C$5:$C$230=$B10)*ISNUMBER(INDEX(Inputs!$K$5:$AJ$230,0,MATCH(AI$2,Inputs!$K$4:$AJ$4,0))))+SUMPRODUCT((Inputs!$E$5:$E$230=$B10)*ISNUMBER(INDEX(Inputs!$K$5:$AJ$230,0,MATCH(AI$2,Inputs!$K$4:$AJ$4,0))))=0,NA(),SUMPRODUCT((Inputs!$A$5:$A$230=$B10)*Inputs!$B$5:$B$230*(((Inputs!$G$5:$G$230="moeda")+(Inputs!$G$5:$G$230="acoes"))*Inputs!$B$1+((Inputs!$G$5:$G$230&lt;&gt;"moeda")*(Inputs!$G$5:$G$230&lt;&gt;"acoes")))*INDEX(Inputs!$K$5:$AJ$230,0,MATCH(AI$2,Inputs!$K$4:$AJ$4,0)))+SUMPRODUCT((Inputs!$C$5:$C$230=$B10)*Inputs!$D$5:$D$230*(((Inputs!$G$5:$G$230="moeda")+(Inputs!$G$5:$G$230="acoes"))*Inputs!$B$1+((Inputs!$G$5:$G$230&lt;&gt;"moeda")*(Inputs!$G$5:$G$230&lt;&gt;"acoes")))*INDEX(Inputs!$K$5:$AJ$230,0,MATCH(AI$2,Inputs!$K$4:$AJ$4,0)))+SUMPRODUCT((Inputs!$E$5:$E$230=$B10)*Inputs!$F$5:$F$230*(((Inputs!$G$5:$G$230="moeda")+(Inputs!$G$5:$G$230="acoes"))*Inputs!$B$1+((Inputs!$G$5:$G$230&lt;&gt;"moeda")*(Inputs!$G$5:$G$230&lt;&gt;"acoes")))*INDEX(Inputs!$K$5:$AJ$230,0,MATCH(AI$2,Inputs!$K$4:$AJ$4,0)))))</f>
        <v>-105.085</v>
      </c>
      <c r="AJ10" s="6">
        <f>IF(ISNA(MATCH(AJ$2,Inputs!$K$4:$AJ$4,0)),NA(),IF(SUMPRODUCT((Inputs!$A$5:$A$230=$B10)*ISNUMBER(INDEX(Inputs!$K$5:$AJ$230,0,MATCH(AJ$2,Inputs!$K$4:$AJ$4,0))))+SUMPRODUCT((Inputs!$C$5:$C$230=$B10)*ISNUMBER(INDEX(Inputs!$K$5:$AJ$230,0,MATCH(AJ$2,Inputs!$K$4:$AJ$4,0))))+SUMPRODUCT((Inputs!$E$5:$E$230=$B10)*ISNUMBER(INDEX(Inputs!$K$5:$AJ$230,0,MATCH(AJ$2,Inputs!$K$4:$AJ$4,0))))=0,NA(),SUMPRODUCT((Inputs!$A$5:$A$230=$B10)*Inputs!$B$5:$B$230*(((Inputs!$G$5:$G$230="moeda")+(Inputs!$G$5:$G$230="acoes"))*Inputs!$B$1+((Inputs!$G$5:$G$230&lt;&gt;"moeda")*(Inputs!$G$5:$G$230&lt;&gt;"acoes")))*INDEX(Inputs!$K$5:$AJ$230,0,MATCH(AJ$2,Inputs!$K$4:$AJ$4,0)))+SUMPRODUCT((Inputs!$C$5:$C$230=$B10)*Inputs!$D$5:$D$230*(((Inputs!$G$5:$G$230="moeda")+(Inputs!$G$5:$G$230="acoes"))*Inputs!$B$1+((Inputs!$G$5:$G$230&lt;&gt;"moeda")*(Inputs!$G$5:$G$230&lt;&gt;"acoes")))*INDEX(Inputs!$K$5:$AJ$230,0,MATCH(AJ$2,Inputs!$K$4:$AJ$4,0)))+SUMPRODUCT((Inputs!$E$5:$E$230=$B10)*Inputs!$F$5:$F$230*(((Inputs!$G$5:$G$230="moeda")+(Inputs!$G$5:$G$230="acoes"))*Inputs!$B$1+((Inputs!$G$5:$G$230&lt;&gt;"moeda")*(Inputs!$G$5:$G$230&lt;&gt;"acoes")))*INDEX(Inputs!$K$5:$AJ$230,0,MATCH(AJ$2,Inputs!$K$4:$AJ$4,0)))))</f>
        <v>-155.754</v>
      </c>
      <c r="AK10" s="6">
        <f>IF(ISNA(MATCH(AK$2,Inputs!$K$4:$AJ$4,0)),NA(),IF(SUMPRODUCT((Inputs!$A$5:$A$230=$B10)*ISNUMBER(INDEX(Inputs!$K$5:$AJ$230,0,MATCH(AK$2,Inputs!$K$4:$AJ$4,0))))+SUMPRODUCT((Inputs!$C$5:$C$230=$B10)*ISNUMBER(INDEX(Inputs!$K$5:$AJ$230,0,MATCH(AK$2,Inputs!$K$4:$AJ$4,0))))+SUMPRODUCT((Inputs!$E$5:$E$230=$B10)*ISNUMBER(INDEX(Inputs!$K$5:$AJ$230,0,MATCH(AK$2,Inputs!$K$4:$AJ$4,0))))=0,NA(),SUMPRODUCT((Inputs!$A$5:$A$230=$B10)*Inputs!$B$5:$B$230*(((Inputs!$G$5:$G$230="moeda")+(Inputs!$G$5:$G$230="acoes"))*Inputs!$B$1+((Inputs!$G$5:$G$230&lt;&gt;"moeda")*(Inputs!$G$5:$G$230&lt;&gt;"acoes")))*INDEX(Inputs!$K$5:$AJ$230,0,MATCH(AK$2,Inputs!$K$4:$AJ$4,0)))+SUMPRODUCT((Inputs!$C$5:$C$230=$B10)*Inputs!$D$5:$D$230*(((Inputs!$G$5:$G$230="moeda")+(Inputs!$G$5:$G$230="acoes"))*Inputs!$B$1+((Inputs!$G$5:$G$230&lt;&gt;"moeda")*(Inputs!$G$5:$G$230&lt;&gt;"acoes")))*INDEX(Inputs!$K$5:$AJ$230,0,MATCH(AK$2,Inputs!$K$4:$AJ$4,0)))+SUMPRODUCT((Inputs!$E$5:$E$230=$B10)*Inputs!$F$5:$F$230*(((Inputs!$G$5:$G$230="moeda")+(Inputs!$G$5:$G$230="acoes"))*Inputs!$B$1+((Inputs!$G$5:$G$230&lt;&gt;"moeda")*(Inputs!$G$5:$G$230&lt;&gt;"acoes")))*INDEX(Inputs!$K$5:$AJ$230,0,MATCH(AK$2,Inputs!$K$4:$AJ$4,0)))))</f>
        <v>-428.474</v>
      </c>
      <c r="AL10" s="3">
        <f>SUM(AH10:AK10)</f>
        <v>-801.31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$230=$B11)*ISNUMBER(INDEX(Inputs!$K$5:$AJ$230,0,MATCH(D$2,Inputs!$K$4:$AJ$4,0))))+SUMPRODUCT((Inputs!$C$5:$C$230=$B11)*ISNUMBER(INDEX(Inputs!$K$5:$AJ$230,0,MATCH(D$2,Inputs!$K$4:$AJ$4,0))))+SUMPRODUCT((Inputs!$E$5:$E$230=$B11)*ISNUMBER(INDEX(Inputs!$K$5:$AJ$230,0,MATCH(D$2,Inputs!$K$4:$AJ$4,0))))=0,NA(),SUMPRODUCT((Inputs!$A$5:$A$230=$B11)*Inputs!$B$5:$B$230*(((Inputs!$G$5:$G$230="moeda")+(Inputs!$G$5:$G$230="acoes"))*Inputs!$B$1+((Inputs!$G$5:$G$230&lt;&gt;"moeda")*(Inputs!$G$5:$G$230&lt;&gt;"acoes")))*INDEX(Inputs!$K$5:$AJ$230,0,MATCH(D$2,Inputs!$K$4:$AJ$4,0)))+SUMPRODUCT((Inputs!$C$5:$C$230=$B11)*Inputs!$D$5:$D$230*(((Inputs!$G$5:$G$230="moeda")+(Inputs!$G$5:$G$230="acoes"))*Inputs!$B$1+((Inputs!$G$5:$G$230&lt;&gt;"moeda")*(Inputs!$G$5:$G$230&lt;&gt;"acoes")))*INDEX(Inputs!$K$5:$AJ$230,0,MATCH(D$2,Inputs!$K$4:$AJ$4,0)))+SUMPRODUCT((Inputs!$E$5:$E$230=$B11)*Inputs!$F$5:$F$230*(((Inputs!$G$5:$G$230="moeda")+(Inputs!$G$5:$G$230="acoes"))*Inputs!$B$1+((Inputs!$G$5:$G$230&lt;&gt;"moeda")*(Inputs!$G$5:$G$230&lt;&gt;"acoes")))*INDEX(Inputs!$K$5:$AJ$230,0,MATCH(D$2,Inputs!$K$4:$AJ$4,0)))))</f>
        <v>1.466</v>
      </c>
      <c r="E11" s="6">
        <f>IF(ISNA(MATCH(E$2,Inputs!$K$4:$AJ$4,0)),NA(),IF(SUMPRODUCT((Inputs!$A$5:$A$230=$B11)*ISNUMBER(INDEX(Inputs!$K$5:$AJ$230,0,MATCH(E$2,Inputs!$K$4:$AJ$4,0))))+SUMPRODUCT((Inputs!$C$5:$C$230=$B11)*ISNUMBER(INDEX(Inputs!$K$5:$AJ$230,0,MATCH(E$2,Inputs!$K$4:$AJ$4,0))))+SUMPRODUCT((Inputs!$E$5:$E$230=$B11)*ISNUMBER(INDEX(Inputs!$K$5:$AJ$230,0,MATCH(E$2,Inputs!$K$4:$AJ$4,0))))=0,NA(),SUMPRODUCT((Inputs!$A$5:$A$230=$B11)*Inputs!$B$5:$B$230*(((Inputs!$G$5:$G$230="moeda")+(Inputs!$G$5:$G$230="acoes"))*Inputs!$B$1+((Inputs!$G$5:$G$230&lt;&gt;"moeda")*(Inputs!$G$5:$G$230&lt;&gt;"acoes")))*INDEX(Inputs!$K$5:$AJ$230,0,MATCH(E$2,Inputs!$K$4:$AJ$4,0)))+SUMPRODUCT((Inputs!$C$5:$C$230=$B11)*Inputs!$D$5:$D$230*(((Inputs!$G$5:$G$230="moeda")+(Inputs!$G$5:$G$230="acoes"))*Inputs!$B$1+((Inputs!$G$5:$G$230&lt;&gt;"moeda")*(Inputs!$G$5:$G$230&lt;&gt;"acoes")))*INDEX(Inputs!$K$5:$AJ$230,0,MATCH(E$2,Inputs!$K$4:$AJ$4,0)))+SUMPRODUCT((Inputs!$E$5:$E$230=$B11)*Inputs!$F$5:$F$230*(((Inputs!$G$5:$G$230="moeda")+(Inputs!$G$5:$G$230="acoes"))*Inputs!$B$1+((Inputs!$G$5:$G$230&lt;&gt;"moeda")*(Inputs!$G$5:$G$230&lt;&gt;"acoes")))*INDEX(Inputs!$K$5:$AJ$230,0,MATCH(E$2,Inputs!$K$4:$AJ$4,0)))))</f>
        <v>2.109</v>
      </c>
      <c r="F11" s="6">
        <f>IF(ISNA(MATCH(F$2,Inputs!$K$4:$AJ$4,0)),NA(),IF(SUMPRODUCT((Inputs!$A$5:$A$230=$B11)*ISNUMBER(INDEX(Inputs!$K$5:$AJ$230,0,MATCH(F$2,Inputs!$K$4:$AJ$4,0))))+SUMPRODUCT((Inputs!$C$5:$C$230=$B11)*ISNUMBER(INDEX(Inputs!$K$5:$AJ$230,0,MATCH(F$2,Inputs!$K$4:$AJ$4,0))))+SUMPRODUCT((Inputs!$E$5:$E$230=$B11)*ISNUMBER(INDEX(Inputs!$K$5:$AJ$230,0,MATCH(F$2,Inputs!$K$4:$AJ$4,0))))=0,NA(),SUMPRODUCT((Inputs!$A$5:$A$230=$B11)*Inputs!$B$5:$B$230*(((Inputs!$G$5:$G$230="moeda")+(Inputs!$G$5:$G$230="acoes"))*Inputs!$B$1+((Inputs!$G$5:$G$230&lt;&gt;"moeda")*(Inputs!$G$5:$G$230&lt;&gt;"acoes")))*INDEX(Inputs!$K$5:$AJ$230,0,MATCH(F$2,Inputs!$K$4:$AJ$4,0)))+SUMPRODUCT((Inputs!$C$5:$C$230=$B11)*Inputs!$D$5:$D$230*(((Inputs!$G$5:$G$230="moeda")+(Inputs!$G$5:$G$230="acoes"))*Inputs!$B$1+((Inputs!$G$5:$G$230&lt;&gt;"moeda")*(Inputs!$G$5:$G$230&lt;&gt;"acoes")))*INDEX(Inputs!$K$5:$AJ$230,0,MATCH(F$2,Inputs!$K$4:$AJ$4,0)))+SUMPRODUCT((Inputs!$E$5:$E$230=$B11)*Inputs!$F$5:$F$230*(((Inputs!$G$5:$G$230="moeda")+(Inputs!$G$5:$G$230="acoes"))*Inputs!$B$1+((Inputs!$G$5:$G$230&lt;&gt;"moeda")*(Inputs!$G$5:$G$230&lt;&gt;"acoes")))*INDEX(Inputs!$K$5:$AJ$230,0,MATCH(F$2,Inputs!$K$4:$AJ$4,0)))))</f>
        <v>1.143</v>
      </c>
      <c r="G11" s="6">
        <f>IF(ISNA(MATCH(G$2,Inputs!$K$4:$AJ$4,0)),NA(),IF(SUMPRODUCT((Inputs!$A$5:$A$230=$B11)*ISNUMBER(INDEX(Inputs!$K$5:$AJ$230,0,MATCH(G$2,Inputs!$K$4:$AJ$4,0))))+SUMPRODUCT((Inputs!$C$5:$C$230=$B11)*ISNUMBER(INDEX(Inputs!$K$5:$AJ$230,0,MATCH(G$2,Inputs!$K$4:$AJ$4,0))))+SUMPRODUCT((Inputs!$E$5:$E$230=$B11)*ISNUMBER(INDEX(Inputs!$K$5:$AJ$230,0,MATCH(G$2,Inputs!$K$4:$AJ$4,0))))=0,NA(),SUMPRODUCT((Inputs!$A$5:$A$230=$B11)*Inputs!$B$5:$B$230*(((Inputs!$G$5:$G$230="moeda")+(Inputs!$G$5:$G$230="acoes"))*Inputs!$B$1+((Inputs!$G$5:$G$230&lt;&gt;"moeda")*(Inputs!$G$5:$G$230&lt;&gt;"acoes")))*INDEX(Inputs!$K$5:$AJ$230,0,MATCH(G$2,Inputs!$K$4:$AJ$4,0)))+SUMPRODUCT((Inputs!$C$5:$C$230=$B11)*Inputs!$D$5:$D$230*(((Inputs!$G$5:$G$230="moeda")+(Inputs!$G$5:$G$230="acoes"))*Inputs!$B$1+((Inputs!$G$5:$G$230&lt;&gt;"moeda")*(Inputs!$G$5:$G$230&lt;&gt;"acoes")))*INDEX(Inputs!$K$5:$AJ$230,0,MATCH(G$2,Inputs!$K$4:$AJ$4,0)))+SUMPRODUCT((Inputs!$E$5:$E$230=$B11)*Inputs!$F$5:$F$230*(((Inputs!$G$5:$G$230="moeda")+(Inputs!$G$5:$G$230="acoes"))*Inputs!$B$1+((Inputs!$G$5:$G$230&lt;&gt;"moeda")*(Inputs!$G$5:$G$230&lt;&gt;"acoes")))*INDEX(Inputs!$K$5:$AJ$230,0,MATCH(G$2,Inputs!$K$4:$AJ$4,0)))))</f>
        <v>0.537</v>
      </c>
      <c r="H11" s="3">
        <f>SUM(D11:G11)</f>
        <v>5.255</v>
      </c>
      <c r="I11" s="6">
        <f>IF(ISNA(MATCH(I$2,Inputs!$K$4:$AJ$4,0)),NA(),IF(SUMPRODUCT((Inputs!$A$5:$A$230=$B11)*ISNUMBER(INDEX(Inputs!$K$5:$AJ$230,0,MATCH(I$2,Inputs!$K$4:$AJ$4,0))))+SUMPRODUCT((Inputs!$C$5:$C$230=$B11)*ISNUMBER(INDEX(Inputs!$K$5:$AJ$230,0,MATCH(I$2,Inputs!$K$4:$AJ$4,0))))+SUMPRODUCT((Inputs!$E$5:$E$230=$B11)*ISNUMBER(INDEX(Inputs!$K$5:$AJ$230,0,MATCH(I$2,Inputs!$K$4:$AJ$4,0))))=0,NA(),SUMPRODUCT((Inputs!$A$5:$A$230=$B11)*Inputs!$B$5:$B$230*(((Inputs!$G$5:$G$230="moeda")+(Inputs!$G$5:$G$230="acoes"))*Inputs!$B$1+((Inputs!$G$5:$G$230&lt;&gt;"moeda")*(Inputs!$G$5:$G$230&lt;&gt;"acoes")))*INDEX(Inputs!$K$5:$AJ$230,0,MATCH(I$2,Inputs!$K$4:$AJ$4,0)))+SUMPRODUCT((Inputs!$C$5:$C$230=$B11)*Inputs!$D$5:$D$230*(((Inputs!$G$5:$G$230="moeda")+(Inputs!$G$5:$G$230="acoes"))*Inputs!$B$1+((Inputs!$G$5:$G$230&lt;&gt;"moeda")*(Inputs!$G$5:$G$230&lt;&gt;"acoes")))*INDEX(Inputs!$K$5:$AJ$230,0,MATCH(I$2,Inputs!$K$4:$AJ$4,0)))+SUMPRODUCT((Inputs!$E$5:$E$230=$B11)*Inputs!$F$5:$F$230*(((Inputs!$G$5:$G$230="moeda")+(Inputs!$G$5:$G$230="acoes"))*Inputs!$B$1+((Inputs!$G$5:$G$230&lt;&gt;"moeda")*(Inputs!$G$5:$G$230&lt;&gt;"acoes")))*INDEX(Inputs!$K$5:$AJ$230,0,MATCH(I$2,Inputs!$K$4:$AJ$4,0)))))</f>
        <v>-0.114</v>
      </c>
      <c r="J11" s="6">
        <f>IF(ISNA(MATCH(J$2,Inputs!$K$4:$AJ$4,0)),NA(),IF(SUMPRODUCT((Inputs!$A$5:$A$230=$B11)*ISNUMBER(INDEX(Inputs!$K$5:$AJ$230,0,MATCH(J$2,Inputs!$K$4:$AJ$4,0))))+SUMPRODUCT((Inputs!$C$5:$C$230=$B11)*ISNUMBER(INDEX(Inputs!$K$5:$AJ$230,0,MATCH(J$2,Inputs!$K$4:$AJ$4,0))))+SUMPRODUCT((Inputs!$E$5:$E$230=$B11)*ISNUMBER(INDEX(Inputs!$K$5:$AJ$230,0,MATCH(J$2,Inputs!$K$4:$AJ$4,0))))=0,NA(),SUMPRODUCT((Inputs!$A$5:$A$230=$B11)*Inputs!$B$5:$B$230*(((Inputs!$G$5:$G$230="moeda")+(Inputs!$G$5:$G$230="acoes"))*Inputs!$B$1+((Inputs!$G$5:$G$230&lt;&gt;"moeda")*(Inputs!$G$5:$G$230&lt;&gt;"acoes")))*INDEX(Inputs!$K$5:$AJ$230,0,MATCH(J$2,Inputs!$K$4:$AJ$4,0)))+SUMPRODUCT((Inputs!$C$5:$C$230=$B11)*Inputs!$D$5:$D$230*(((Inputs!$G$5:$G$230="moeda")+(Inputs!$G$5:$G$230="acoes"))*Inputs!$B$1+((Inputs!$G$5:$G$230&lt;&gt;"moeda")*(Inputs!$G$5:$G$230&lt;&gt;"acoes")))*INDEX(Inputs!$K$5:$AJ$230,0,MATCH(J$2,Inputs!$K$4:$AJ$4,0)))+SUMPRODUCT((Inputs!$E$5:$E$230=$B11)*Inputs!$F$5:$F$230*(((Inputs!$G$5:$G$230="moeda")+(Inputs!$G$5:$G$230="acoes"))*Inputs!$B$1+((Inputs!$G$5:$G$230&lt;&gt;"moeda")*(Inputs!$G$5:$G$230&lt;&gt;"acoes")))*INDEX(Inputs!$K$5:$AJ$230,0,MATCH(J$2,Inputs!$K$4:$AJ$4,0)))))</f>
        <v>2.533</v>
      </c>
      <c r="K11" s="6">
        <f>IF(ISNA(MATCH(K$2,Inputs!$K$4:$AJ$4,0)),NA(),IF(SUMPRODUCT((Inputs!$A$5:$A$230=$B11)*ISNUMBER(INDEX(Inputs!$K$5:$AJ$230,0,MATCH(K$2,Inputs!$K$4:$AJ$4,0))))+SUMPRODUCT((Inputs!$C$5:$C$230=$B11)*ISNUMBER(INDEX(Inputs!$K$5:$AJ$230,0,MATCH(K$2,Inputs!$K$4:$AJ$4,0))))+SUMPRODUCT((Inputs!$E$5:$E$230=$B11)*ISNUMBER(INDEX(Inputs!$K$5:$AJ$230,0,MATCH(K$2,Inputs!$K$4:$AJ$4,0))))=0,NA(),SUMPRODUCT((Inputs!$A$5:$A$230=$B11)*Inputs!$B$5:$B$230*(((Inputs!$G$5:$G$230="moeda")+(Inputs!$G$5:$G$230="acoes"))*Inputs!$B$1+((Inputs!$G$5:$G$230&lt;&gt;"moeda")*(Inputs!$G$5:$G$230&lt;&gt;"acoes")))*INDEX(Inputs!$K$5:$AJ$230,0,MATCH(K$2,Inputs!$K$4:$AJ$4,0)))+SUMPRODUCT((Inputs!$C$5:$C$230=$B11)*Inputs!$D$5:$D$230*(((Inputs!$G$5:$G$230="moeda")+(Inputs!$G$5:$G$230="acoes"))*Inputs!$B$1+((Inputs!$G$5:$G$230&lt;&gt;"moeda")*(Inputs!$G$5:$G$230&lt;&gt;"acoes")))*INDEX(Inputs!$K$5:$AJ$230,0,MATCH(K$2,Inputs!$K$4:$AJ$4,0)))+SUMPRODUCT((Inputs!$E$5:$E$230=$B11)*Inputs!$F$5:$F$230*(((Inputs!$G$5:$G$230="moeda")+(Inputs!$G$5:$G$230="acoes"))*Inputs!$B$1+((Inputs!$G$5:$G$230&lt;&gt;"moeda")*(Inputs!$G$5:$G$230&lt;&gt;"acoes")))*INDEX(Inputs!$K$5:$AJ$230,0,MATCH(K$2,Inputs!$K$4:$AJ$4,0)))))</f>
        <v>1.949</v>
      </c>
      <c r="L11" s="6">
        <f>IF(ISNA(MATCH(L$2,Inputs!$K$4:$AJ$4,0)),NA(),IF(SUMPRODUCT((Inputs!$A$5:$A$230=$B11)*ISNUMBER(INDEX(Inputs!$K$5:$AJ$230,0,MATCH(L$2,Inputs!$K$4:$AJ$4,0))))+SUMPRODUCT((Inputs!$C$5:$C$230=$B11)*ISNUMBER(INDEX(Inputs!$K$5:$AJ$230,0,MATCH(L$2,Inputs!$K$4:$AJ$4,0))))+SUMPRODUCT((Inputs!$E$5:$E$230=$B11)*ISNUMBER(INDEX(Inputs!$K$5:$AJ$230,0,MATCH(L$2,Inputs!$K$4:$AJ$4,0))))=0,NA(),SUMPRODUCT((Inputs!$A$5:$A$230=$B11)*Inputs!$B$5:$B$230*(((Inputs!$G$5:$G$230="moeda")+(Inputs!$G$5:$G$230="acoes"))*Inputs!$B$1+((Inputs!$G$5:$G$230&lt;&gt;"moeda")*(Inputs!$G$5:$G$230&lt;&gt;"acoes")))*INDEX(Inputs!$K$5:$AJ$230,0,MATCH(L$2,Inputs!$K$4:$AJ$4,0)))+SUMPRODUCT((Inputs!$C$5:$C$230=$B11)*Inputs!$D$5:$D$230*(((Inputs!$G$5:$G$230="moeda")+(Inputs!$G$5:$G$230="acoes"))*Inputs!$B$1+((Inputs!$G$5:$G$230&lt;&gt;"moeda")*(Inputs!$G$5:$G$230&lt;&gt;"acoes")))*INDEX(Inputs!$K$5:$AJ$230,0,MATCH(L$2,Inputs!$K$4:$AJ$4,0)))+SUMPRODUCT((Inputs!$E$5:$E$230=$B11)*Inputs!$F$5:$F$230*(((Inputs!$G$5:$G$230="moeda")+(Inputs!$G$5:$G$230="acoes"))*Inputs!$B$1+((Inputs!$G$5:$G$230&lt;&gt;"moeda")*(Inputs!$G$5:$G$230&lt;&gt;"acoes")))*INDEX(Inputs!$K$5:$AJ$230,0,MATCH(L$2,Inputs!$K$4:$AJ$4,0)))))</f>
        <v>1.598</v>
      </c>
      <c r="M11" s="3">
        <f>SUM(I11:L11)</f>
        <v>5.966</v>
      </c>
      <c r="N11" s="6">
        <f>IF(ISNA(MATCH(N$2,Inputs!$K$4:$AJ$4,0)),NA(),IF(SUMPRODUCT((Inputs!$A$5:$A$230=$B11)*ISNUMBER(INDEX(Inputs!$K$5:$AJ$230,0,MATCH(N$2,Inputs!$K$4:$AJ$4,0))))+SUMPRODUCT((Inputs!$C$5:$C$230=$B11)*ISNUMBER(INDEX(Inputs!$K$5:$AJ$230,0,MATCH(N$2,Inputs!$K$4:$AJ$4,0))))+SUMPRODUCT((Inputs!$E$5:$E$230=$B11)*ISNUMBER(INDEX(Inputs!$K$5:$AJ$230,0,MATCH(N$2,Inputs!$K$4:$AJ$4,0))))=0,NA(),SUMPRODUCT((Inputs!$A$5:$A$230=$B11)*Inputs!$B$5:$B$230*(((Inputs!$G$5:$G$230="moeda")+(Inputs!$G$5:$G$230="acoes"))*Inputs!$B$1+((Inputs!$G$5:$G$230&lt;&gt;"moeda")*(Inputs!$G$5:$G$230&lt;&gt;"acoes")))*INDEX(Inputs!$K$5:$AJ$230,0,MATCH(N$2,Inputs!$K$4:$AJ$4,0)))+SUMPRODUCT((Inputs!$C$5:$C$230=$B11)*Inputs!$D$5:$D$230*(((Inputs!$G$5:$G$230="moeda")+(Inputs!$G$5:$G$230="acoes"))*Inputs!$B$1+((Inputs!$G$5:$G$230&lt;&gt;"moeda")*(Inputs!$G$5:$G$230&lt;&gt;"acoes")))*INDEX(Inputs!$K$5:$AJ$230,0,MATCH(N$2,Inputs!$K$4:$AJ$4,0)))+SUMPRODUCT((Inputs!$E$5:$E$230=$B11)*Inputs!$F$5:$F$230*(((Inputs!$G$5:$G$230="moeda")+(Inputs!$G$5:$G$230="acoes"))*Inputs!$B$1+((Inputs!$G$5:$G$230&lt;&gt;"moeda")*(Inputs!$G$5:$G$230&lt;&gt;"acoes")))*INDEX(Inputs!$K$5:$AJ$230,0,MATCH(N$2,Inputs!$K$4:$AJ$4,0)))))</f>
        <v>0.859</v>
      </c>
      <c r="O11" s="6">
        <f>IF(ISNA(MATCH(O$2,Inputs!$K$4:$AJ$4,0)),NA(),IF(SUMPRODUCT((Inputs!$A$5:$A$230=$B11)*ISNUMBER(INDEX(Inputs!$K$5:$AJ$230,0,MATCH(O$2,Inputs!$K$4:$AJ$4,0))))+SUMPRODUCT((Inputs!$C$5:$C$230=$B11)*ISNUMBER(INDEX(Inputs!$K$5:$AJ$230,0,MATCH(O$2,Inputs!$K$4:$AJ$4,0))))+SUMPRODUCT((Inputs!$E$5:$E$230=$B11)*ISNUMBER(INDEX(Inputs!$K$5:$AJ$230,0,MATCH(O$2,Inputs!$K$4:$AJ$4,0))))=0,NA(),SUMPRODUCT((Inputs!$A$5:$A$230=$B11)*Inputs!$B$5:$B$230*(((Inputs!$G$5:$G$230="moeda")+(Inputs!$G$5:$G$230="acoes"))*Inputs!$B$1+((Inputs!$G$5:$G$230&lt;&gt;"moeda")*(Inputs!$G$5:$G$230&lt;&gt;"acoes")))*INDEX(Inputs!$K$5:$AJ$230,0,MATCH(O$2,Inputs!$K$4:$AJ$4,0)))+SUMPRODUCT((Inputs!$C$5:$C$230=$B11)*Inputs!$D$5:$D$230*(((Inputs!$G$5:$G$230="moeda")+(Inputs!$G$5:$G$230="acoes"))*Inputs!$B$1+((Inputs!$G$5:$G$230&lt;&gt;"moeda")*(Inputs!$G$5:$G$230&lt;&gt;"acoes")))*INDEX(Inputs!$K$5:$AJ$230,0,MATCH(O$2,Inputs!$K$4:$AJ$4,0)))+SUMPRODUCT((Inputs!$E$5:$E$230=$B11)*Inputs!$F$5:$F$230*(((Inputs!$G$5:$G$230="moeda")+(Inputs!$G$5:$G$230="acoes"))*Inputs!$B$1+((Inputs!$G$5:$G$230&lt;&gt;"moeda")*(Inputs!$G$5:$G$230&lt;&gt;"acoes")))*INDEX(Inputs!$K$5:$AJ$230,0,MATCH(O$2,Inputs!$K$4:$AJ$4,0)))))</f>
        <v>20.152</v>
      </c>
      <c r="P11" s="6">
        <f>IF(ISNA(MATCH(P$2,Inputs!$K$4:$AJ$4,0)),NA(),IF(SUMPRODUCT((Inputs!$A$5:$A$230=$B11)*ISNUMBER(INDEX(Inputs!$K$5:$AJ$230,0,MATCH(P$2,Inputs!$K$4:$AJ$4,0))))+SUMPRODUCT((Inputs!$C$5:$C$230=$B11)*ISNUMBER(INDEX(Inputs!$K$5:$AJ$230,0,MATCH(P$2,Inputs!$K$4:$AJ$4,0))))+SUMPRODUCT((Inputs!$E$5:$E$230=$B11)*ISNUMBER(INDEX(Inputs!$K$5:$AJ$230,0,MATCH(P$2,Inputs!$K$4:$AJ$4,0))))=0,NA(),SUMPRODUCT((Inputs!$A$5:$A$230=$B11)*Inputs!$B$5:$B$230*(((Inputs!$G$5:$G$230="moeda")+(Inputs!$G$5:$G$230="acoes"))*Inputs!$B$1+((Inputs!$G$5:$G$230&lt;&gt;"moeda")*(Inputs!$G$5:$G$230&lt;&gt;"acoes")))*INDEX(Inputs!$K$5:$AJ$230,0,MATCH(P$2,Inputs!$K$4:$AJ$4,0)))+SUMPRODUCT((Inputs!$C$5:$C$230=$B11)*Inputs!$D$5:$D$230*(((Inputs!$G$5:$G$230="moeda")+(Inputs!$G$5:$G$230="acoes"))*Inputs!$B$1+((Inputs!$G$5:$G$230&lt;&gt;"moeda")*(Inputs!$G$5:$G$230&lt;&gt;"acoes")))*INDEX(Inputs!$K$5:$AJ$230,0,MATCH(P$2,Inputs!$K$4:$AJ$4,0)))+SUMPRODUCT((Inputs!$E$5:$E$230=$B11)*Inputs!$F$5:$F$230*(((Inputs!$G$5:$G$230="moeda")+(Inputs!$G$5:$G$230="acoes"))*Inputs!$B$1+((Inputs!$G$5:$G$230&lt;&gt;"moeda")*(Inputs!$G$5:$G$230&lt;&gt;"acoes")))*INDEX(Inputs!$K$5:$AJ$230,0,MATCH(P$2,Inputs!$K$4:$AJ$4,0)))))</f>
        <v>6.246</v>
      </c>
      <c r="Q11" s="6">
        <f>IF(ISNA(MATCH(Q$2,Inputs!$K$4:$AJ$4,0)),NA(),IF(SUMPRODUCT((Inputs!$A$5:$A$230=$B11)*ISNUMBER(INDEX(Inputs!$K$5:$AJ$230,0,MATCH(Q$2,Inputs!$K$4:$AJ$4,0))))+SUMPRODUCT((Inputs!$C$5:$C$230=$B11)*ISNUMBER(INDEX(Inputs!$K$5:$AJ$230,0,MATCH(Q$2,Inputs!$K$4:$AJ$4,0))))+SUMPRODUCT((Inputs!$E$5:$E$230=$B11)*ISNUMBER(INDEX(Inputs!$K$5:$AJ$230,0,MATCH(Q$2,Inputs!$K$4:$AJ$4,0))))=0,NA(),SUMPRODUCT((Inputs!$A$5:$A$230=$B11)*Inputs!$B$5:$B$230*(((Inputs!$G$5:$G$230="moeda")+(Inputs!$G$5:$G$230="acoes"))*Inputs!$B$1+((Inputs!$G$5:$G$230&lt;&gt;"moeda")*(Inputs!$G$5:$G$230&lt;&gt;"acoes")))*INDEX(Inputs!$K$5:$AJ$230,0,MATCH(Q$2,Inputs!$K$4:$AJ$4,0)))+SUMPRODUCT((Inputs!$C$5:$C$230=$B11)*Inputs!$D$5:$D$230*(((Inputs!$G$5:$G$230="moeda")+(Inputs!$G$5:$G$230="acoes"))*Inputs!$B$1+((Inputs!$G$5:$G$230&lt;&gt;"moeda")*(Inputs!$G$5:$G$230&lt;&gt;"acoes")))*INDEX(Inputs!$K$5:$AJ$230,0,MATCH(Q$2,Inputs!$K$4:$AJ$4,0)))+SUMPRODUCT((Inputs!$E$5:$E$230=$B11)*Inputs!$F$5:$F$230*(((Inputs!$G$5:$G$230="moeda")+(Inputs!$G$5:$G$230="acoes"))*Inputs!$B$1+((Inputs!$G$5:$G$230&lt;&gt;"moeda")*(Inputs!$G$5:$G$230&lt;&gt;"acoes")))*INDEX(Inputs!$K$5:$AJ$230,0,MATCH(Q$2,Inputs!$K$4:$AJ$4,0)))))</f>
        <v>13.911</v>
      </c>
      <c r="R11" s="3">
        <f>SUM(N11:Q11)</f>
        <v>41.168</v>
      </c>
      <c r="S11" s="6">
        <f>IF(ISNA(MATCH(S$2,Inputs!$K$4:$AJ$4,0)),NA(),IF(SUMPRODUCT((Inputs!$A$5:$A$230=$B11)*ISNUMBER(INDEX(Inputs!$K$5:$AJ$230,0,MATCH(S$2,Inputs!$K$4:$AJ$4,0))))+SUMPRODUCT((Inputs!$C$5:$C$230=$B11)*ISNUMBER(INDEX(Inputs!$K$5:$AJ$230,0,MATCH(S$2,Inputs!$K$4:$AJ$4,0))))+SUMPRODUCT((Inputs!$E$5:$E$230=$B11)*ISNUMBER(INDEX(Inputs!$K$5:$AJ$230,0,MATCH(S$2,Inputs!$K$4:$AJ$4,0))))=0,NA(),SUMPRODUCT((Inputs!$A$5:$A$230=$B11)*Inputs!$B$5:$B$230*(((Inputs!$G$5:$G$230="moeda")+(Inputs!$G$5:$G$230="acoes"))*Inputs!$B$1+((Inputs!$G$5:$G$230&lt;&gt;"moeda")*(Inputs!$G$5:$G$230&lt;&gt;"acoes")))*INDEX(Inputs!$K$5:$AJ$230,0,MATCH(S$2,Inputs!$K$4:$AJ$4,0)))+SUMPRODUCT((Inputs!$C$5:$C$230=$B11)*Inputs!$D$5:$D$230*(((Inputs!$G$5:$G$230="moeda")+(Inputs!$G$5:$G$230="acoes"))*Inputs!$B$1+((Inputs!$G$5:$G$230&lt;&gt;"moeda")*(Inputs!$G$5:$G$230&lt;&gt;"acoes")))*INDEX(Inputs!$K$5:$AJ$230,0,MATCH(S$2,Inputs!$K$4:$AJ$4,0)))+SUMPRODUCT((Inputs!$E$5:$E$230=$B11)*Inputs!$F$5:$F$230*(((Inputs!$G$5:$G$230="moeda")+(Inputs!$G$5:$G$230="acoes"))*Inputs!$B$1+((Inputs!$G$5:$G$230&lt;&gt;"moeda")*(Inputs!$G$5:$G$230&lt;&gt;"acoes")))*INDEX(Inputs!$K$5:$AJ$230,0,MATCH(S$2,Inputs!$K$4:$AJ$4,0)))))</f>
        <v>16.182</v>
      </c>
      <c r="T11" s="6">
        <f>IF(ISNA(MATCH(T$2,Inputs!$K$4:$AJ$4,0)),NA(),IF(SUMPRODUCT((Inputs!$A$5:$A$230=$B11)*ISNUMBER(INDEX(Inputs!$K$5:$AJ$230,0,MATCH(T$2,Inputs!$K$4:$AJ$4,0))))+SUMPRODUCT((Inputs!$C$5:$C$230=$B11)*ISNUMBER(INDEX(Inputs!$K$5:$AJ$230,0,MATCH(T$2,Inputs!$K$4:$AJ$4,0))))+SUMPRODUCT((Inputs!$E$5:$E$230=$B11)*ISNUMBER(INDEX(Inputs!$K$5:$AJ$230,0,MATCH(T$2,Inputs!$K$4:$AJ$4,0))))=0,NA(),SUMPRODUCT((Inputs!$A$5:$A$230=$B11)*Inputs!$B$5:$B$230*(((Inputs!$G$5:$G$230="moeda")+(Inputs!$G$5:$G$230="acoes"))*Inputs!$B$1+((Inputs!$G$5:$G$230&lt;&gt;"moeda")*(Inputs!$G$5:$G$230&lt;&gt;"acoes")))*INDEX(Inputs!$K$5:$AJ$230,0,MATCH(T$2,Inputs!$K$4:$AJ$4,0)))+SUMPRODUCT((Inputs!$C$5:$C$230=$B11)*Inputs!$D$5:$D$230*(((Inputs!$G$5:$G$230="moeda")+(Inputs!$G$5:$G$230="acoes"))*Inputs!$B$1+((Inputs!$G$5:$G$230&lt;&gt;"moeda")*(Inputs!$G$5:$G$230&lt;&gt;"acoes")))*INDEX(Inputs!$K$5:$AJ$230,0,MATCH(T$2,Inputs!$K$4:$AJ$4,0)))+SUMPRODUCT((Inputs!$E$5:$E$230=$B11)*Inputs!$F$5:$F$230*(((Inputs!$G$5:$G$230="moeda")+(Inputs!$G$5:$G$230="acoes"))*Inputs!$B$1+((Inputs!$G$5:$G$230&lt;&gt;"moeda")*(Inputs!$G$5:$G$230&lt;&gt;"acoes")))*INDEX(Inputs!$K$5:$AJ$230,0,MATCH(T$2,Inputs!$K$4:$AJ$4,0)))))</f>
        <v>30.808</v>
      </c>
      <c r="U11" s="6">
        <f>IF(ISNA(MATCH(U$2,Inputs!$K$4:$AJ$4,0)),NA(),IF(SUMPRODUCT((Inputs!$A$5:$A$230=$B11)*ISNUMBER(INDEX(Inputs!$K$5:$AJ$230,0,MATCH(U$2,Inputs!$K$4:$AJ$4,0))))+SUMPRODUCT((Inputs!$C$5:$C$230=$B11)*ISNUMBER(INDEX(Inputs!$K$5:$AJ$230,0,MATCH(U$2,Inputs!$K$4:$AJ$4,0))))+SUMPRODUCT((Inputs!$E$5:$E$230=$B11)*ISNUMBER(INDEX(Inputs!$K$5:$AJ$230,0,MATCH(U$2,Inputs!$K$4:$AJ$4,0))))=0,NA(),SUMPRODUCT((Inputs!$A$5:$A$230=$B11)*Inputs!$B$5:$B$230*(((Inputs!$G$5:$G$230="moeda")+(Inputs!$G$5:$G$230="acoes"))*Inputs!$B$1+((Inputs!$G$5:$G$230&lt;&gt;"moeda")*(Inputs!$G$5:$G$230&lt;&gt;"acoes")))*INDEX(Inputs!$K$5:$AJ$230,0,MATCH(U$2,Inputs!$K$4:$AJ$4,0)))+SUMPRODUCT((Inputs!$C$5:$C$230=$B11)*Inputs!$D$5:$D$230*(((Inputs!$G$5:$G$230="moeda")+(Inputs!$G$5:$G$230="acoes"))*Inputs!$B$1+((Inputs!$G$5:$G$230&lt;&gt;"moeda")*(Inputs!$G$5:$G$230&lt;&gt;"acoes")))*INDEX(Inputs!$K$5:$AJ$230,0,MATCH(U$2,Inputs!$K$4:$AJ$4,0)))+SUMPRODUCT((Inputs!$E$5:$E$230=$B11)*Inputs!$F$5:$F$230*(((Inputs!$G$5:$G$230="moeda")+(Inputs!$G$5:$G$230="acoes"))*Inputs!$B$1+((Inputs!$G$5:$G$230&lt;&gt;"moeda")*(Inputs!$G$5:$G$230&lt;&gt;"acoes")))*INDEX(Inputs!$K$5:$AJ$230,0,MATCH(U$2,Inputs!$K$4:$AJ$4,0)))))</f>
        <v>48.416</v>
      </c>
      <c r="V11" s="6">
        <f>IF(ISNA(MATCH(V$2,Inputs!$K$4:$AJ$4,0)),NA(),IF(SUMPRODUCT((Inputs!$A$5:$A$230=$B11)*ISNUMBER(INDEX(Inputs!$K$5:$AJ$230,0,MATCH(V$2,Inputs!$K$4:$AJ$4,0))))+SUMPRODUCT((Inputs!$C$5:$C$230=$B11)*ISNUMBER(INDEX(Inputs!$K$5:$AJ$230,0,MATCH(V$2,Inputs!$K$4:$AJ$4,0))))+SUMPRODUCT((Inputs!$E$5:$E$230=$B11)*ISNUMBER(INDEX(Inputs!$K$5:$AJ$230,0,MATCH(V$2,Inputs!$K$4:$AJ$4,0))))=0,NA(),SUMPRODUCT((Inputs!$A$5:$A$230=$B11)*Inputs!$B$5:$B$230*(((Inputs!$G$5:$G$230="moeda")+(Inputs!$G$5:$G$230="acoes"))*Inputs!$B$1+((Inputs!$G$5:$G$230&lt;&gt;"moeda")*(Inputs!$G$5:$G$230&lt;&gt;"acoes")))*INDEX(Inputs!$K$5:$AJ$230,0,MATCH(V$2,Inputs!$K$4:$AJ$4,0)))+SUMPRODUCT((Inputs!$C$5:$C$230=$B11)*Inputs!$D$5:$D$230*(((Inputs!$G$5:$G$230="moeda")+(Inputs!$G$5:$G$230="acoes"))*Inputs!$B$1+((Inputs!$G$5:$G$230&lt;&gt;"moeda")*(Inputs!$G$5:$G$230&lt;&gt;"acoes")))*INDEX(Inputs!$K$5:$AJ$230,0,MATCH(V$2,Inputs!$K$4:$AJ$4,0)))+SUMPRODUCT((Inputs!$E$5:$E$230=$B11)*Inputs!$F$5:$F$230*(((Inputs!$G$5:$G$230="moeda")+(Inputs!$G$5:$G$230="acoes"))*Inputs!$B$1+((Inputs!$G$5:$G$230&lt;&gt;"moeda")*(Inputs!$G$5:$G$230&lt;&gt;"acoes")))*INDEX(Inputs!$K$5:$AJ$230,0,MATCH(V$2,Inputs!$K$4:$AJ$4,0)))))</f>
        <v>53.597</v>
      </c>
      <c r="W11" s="3">
        <f>SUM(S11:V11)</f>
        <v>149.003</v>
      </c>
      <c r="X11" s="6">
        <f>IF(ISNA(MATCH(X$2,Inputs!$K$4:$AJ$4,0)),NA(),IF(SUMPRODUCT((Inputs!$A$5:$A$230=$B11)*ISNUMBER(INDEX(Inputs!$K$5:$AJ$230,0,MATCH(X$2,Inputs!$K$4:$AJ$4,0))))+SUMPRODUCT((Inputs!$C$5:$C$230=$B11)*ISNUMBER(INDEX(Inputs!$K$5:$AJ$230,0,MATCH(X$2,Inputs!$K$4:$AJ$4,0))))+SUMPRODUCT((Inputs!$E$5:$E$230=$B11)*ISNUMBER(INDEX(Inputs!$K$5:$AJ$230,0,MATCH(X$2,Inputs!$K$4:$AJ$4,0))))=0,NA(),SUMPRODUCT((Inputs!$A$5:$A$230=$B11)*Inputs!$B$5:$B$230*(((Inputs!$G$5:$G$230="moeda")+(Inputs!$G$5:$G$230="acoes"))*Inputs!$B$1+((Inputs!$G$5:$G$230&lt;&gt;"moeda")*(Inputs!$G$5:$G$230&lt;&gt;"acoes")))*INDEX(Inputs!$K$5:$AJ$230,0,MATCH(X$2,Inputs!$K$4:$AJ$4,0)))+SUMPRODUCT((Inputs!$C$5:$C$230=$B11)*Inputs!$D$5:$D$230*(((Inputs!$G$5:$G$230="moeda")+(Inputs!$G$5:$G$230="acoes"))*Inputs!$B$1+((Inputs!$G$5:$G$230&lt;&gt;"moeda")*(Inputs!$G$5:$G$230&lt;&gt;"acoes")))*INDEX(Inputs!$K$5:$AJ$230,0,MATCH(X$2,Inputs!$K$4:$AJ$4,0)))+SUMPRODUCT((Inputs!$E$5:$E$230=$B11)*Inputs!$F$5:$F$230*(((Inputs!$G$5:$G$230="moeda")+(Inputs!$G$5:$G$230="acoes"))*Inputs!$B$1+((Inputs!$G$5:$G$230&lt;&gt;"moeda")*(Inputs!$G$5:$G$230&lt;&gt;"acoes")))*INDEX(Inputs!$K$5:$AJ$230,0,MATCH(X$2,Inputs!$K$4:$AJ$4,0)))))</f>
        <v>49.547</v>
      </c>
      <c r="Y11" s="6">
        <f>IF(ISNA(MATCH(Y$2,Inputs!$K$4:$AJ$4,0)),NA(),IF(SUMPRODUCT((Inputs!$A$5:$A$230=$B11)*ISNUMBER(INDEX(Inputs!$K$5:$AJ$230,0,MATCH(Y$2,Inputs!$K$4:$AJ$4,0))))+SUMPRODUCT((Inputs!$C$5:$C$230=$B11)*ISNUMBER(INDEX(Inputs!$K$5:$AJ$230,0,MATCH(Y$2,Inputs!$K$4:$AJ$4,0))))+SUMPRODUCT((Inputs!$E$5:$E$230=$B11)*ISNUMBER(INDEX(Inputs!$K$5:$AJ$230,0,MATCH(Y$2,Inputs!$K$4:$AJ$4,0))))=0,NA(),SUMPRODUCT((Inputs!$A$5:$A$230=$B11)*Inputs!$B$5:$B$230*(((Inputs!$G$5:$G$230="moeda")+(Inputs!$G$5:$G$230="acoes"))*Inputs!$B$1+((Inputs!$G$5:$G$230&lt;&gt;"moeda")*(Inputs!$G$5:$G$230&lt;&gt;"acoes")))*INDEX(Inputs!$K$5:$AJ$230,0,MATCH(Y$2,Inputs!$K$4:$AJ$4,0)))+SUMPRODUCT((Inputs!$C$5:$C$230=$B11)*Inputs!$D$5:$D$230*(((Inputs!$G$5:$G$230="moeda")+(Inputs!$G$5:$G$230="acoes"))*Inputs!$B$1+((Inputs!$G$5:$G$230&lt;&gt;"moeda")*(Inputs!$G$5:$G$230&lt;&gt;"acoes")))*INDEX(Inputs!$K$5:$AJ$230,0,MATCH(Y$2,Inputs!$K$4:$AJ$4,0)))+SUMPRODUCT((Inputs!$E$5:$E$230=$B11)*Inputs!$F$5:$F$230*(((Inputs!$G$5:$G$230="moeda")+(Inputs!$G$5:$G$230="acoes"))*Inputs!$B$1+((Inputs!$G$5:$G$230&lt;&gt;"moeda")*(Inputs!$G$5:$G$230&lt;&gt;"acoes")))*INDEX(Inputs!$K$5:$AJ$230,0,MATCH(Y$2,Inputs!$K$4:$AJ$4,0)))))</f>
        <v>-79.856</v>
      </c>
      <c r="Z11" s="6">
        <f>IF(ISNA(MATCH(Z$2,Inputs!$K$4:$AJ$4,0)),NA(),IF(SUMPRODUCT((Inputs!$A$5:$A$230=$B11)*ISNUMBER(INDEX(Inputs!$K$5:$AJ$230,0,MATCH(Z$2,Inputs!$K$4:$AJ$4,0))))+SUMPRODUCT((Inputs!$C$5:$C$230=$B11)*ISNUMBER(INDEX(Inputs!$K$5:$AJ$230,0,MATCH(Z$2,Inputs!$K$4:$AJ$4,0))))+SUMPRODUCT((Inputs!$E$5:$E$230=$B11)*ISNUMBER(INDEX(Inputs!$K$5:$AJ$230,0,MATCH(Z$2,Inputs!$K$4:$AJ$4,0))))=0,NA(),SUMPRODUCT((Inputs!$A$5:$A$230=$B11)*Inputs!$B$5:$B$230*(((Inputs!$G$5:$G$230="moeda")+(Inputs!$G$5:$G$230="acoes"))*Inputs!$B$1+((Inputs!$G$5:$G$230&lt;&gt;"moeda")*(Inputs!$G$5:$G$230&lt;&gt;"acoes")))*INDEX(Inputs!$K$5:$AJ$230,0,MATCH(Z$2,Inputs!$K$4:$AJ$4,0)))+SUMPRODUCT((Inputs!$C$5:$C$230=$B11)*Inputs!$D$5:$D$230*(((Inputs!$G$5:$G$230="moeda")+(Inputs!$G$5:$G$230="acoes"))*Inputs!$B$1+((Inputs!$G$5:$G$230&lt;&gt;"moeda")*(Inputs!$G$5:$G$230&lt;&gt;"acoes")))*INDEX(Inputs!$K$5:$AJ$230,0,MATCH(Z$2,Inputs!$K$4:$AJ$4,0)))+SUMPRODUCT((Inputs!$E$5:$E$230=$B11)*Inputs!$F$5:$F$230*(((Inputs!$G$5:$G$230="moeda")+(Inputs!$G$5:$G$230="acoes"))*Inputs!$B$1+((Inputs!$G$5:$G$230&lt;&gt;"moeda")*(Inputs!$G$5:$G$230&lt;&gt;"acoes")))*INDEX(Inputs!$K$5:$AJ$230,0,MATCH(Z$2,Inputs!$K$4:$AJ$4,0)))))</f>
        <v>321.289</v>
      </c>
      <c r="AA11" s="6">
        <f>IF(ISNA(MATCH(AA$2,Inputs!$K$4:$AJ$4,0)),NA(),IF(SUMPRODUCT((Inputs!$A$5:$A$230=$B11)*ISNUMBER(INDEX(Inputs!$K$5:$AJ$230,0,MATCH(AA$2,Inputs!$K$4:$AJ$4,0))))+SUMPRODUCT((Inputs!$C$5:$C$230=$B11)*ISNUMBER(INDEX(Inputs!$K$5:$AJ$230,0,MATCH(AA$2,Inputs!$K$4:$AJ$4,0))))+SUMPRODUCT((Inputs!$E$5:$E$230=$B11)*ISNUMBER(INDEX(Inputs!$K$5:$AJ$230,0,MATCH(AA$2,Inputs!$K$4:$AJ$4,0))))=0,NA(),SUMPRODUCT((Inputs!$A$5:$A$230=$B11)*Inputs!$B$5:$B$230*(((Inputs!$G$5:$G$230="moeda")+(Inputs!$G$5:$G$230="acoes"))*Inputs!$B$1+((Inputs!$G$5:$G$230&lt;&gt;"moeda")*(Inputs!$G$5:$G$230&lt;&gt;"acoes")))*INDEX(Inputs!$K$5:$AJ$230,0,MATCH(AA$2,Inputs!$K$4:$AJ$4,0)))+SUMPRODUCT((Inputs!$C$5:$C$230=$B11)*Inputs!$D$5:$D$230*(((Inputs!$G$5:$G$230="moeda")+(Inputs!$G$5:$G$230="acoes"))*Inputs!$B$1+((Inputs!$G$5:$G$230&lt;&gt;"moeda")*(Inputs!$G$5:$G$230&lt;&gt;"acoes")))*INDEX(Inputs!$K$5:$AJ$230,0,MATCH(AA$2,Inputs!$K$4:$AJ$4,0)))+SUMPRODUCT((Inputs!$E$5:$E$230=$B11)*Inputs!$F$5:$F$230*(((Inputs!$G$5:$G$230="moeda")+(Inputs!$G$5:$G$230="acoes"))*Inputs!$B$1+((Inputs!$G$5:$G$230&lt;&gt;"moeda")*(Inputs!$G$5:$G$230&lt;&gt;"acoes")))*INDEX(Inputs!$K$5:$AJ$230,0,MATCH(AA$2,Inputs!$K$4:$AJ$4,0)))))</f>
        <v>10.213</v>
      </c>
      <c r="AB11" s="3">
        <f>SUM(X11:AA11)</f>
        <v>301.193</v>
      </c>
      <c r="AC11" s="6">
        <f>IF(ISNA(MATCH(AC$2,Inputs!$K$4:$AJ$4,0)),NA(),IF(SUMPRODUCT((Inputs!$A$5:$A$230=$B11)*ISNUMBER(INDEX(Inputs!$K$5:$AJ$230,0,MATCH(AC$2,Inputs!$K$4:$AJ$4,0))))+SUMPRODUCT((Inputs!$C$5:$C$230=$B11)*ISNUMBER(INDEX(Inputs!$K$5:$AJ$230,0,MATCH(AC$2,Inputs!$K$4:$AJ$4,0))))+SUMPRODUCT((Inputs!$E$5:$E$230=$B11)*ISNUMBER(INDEX(Inputs!$K$5:$AJ$230,0,MATCH(AC$2,Inputs!$K$4:$AJ$4,0))))=0,NA(),SUMPRODUCT((Inputs!$A$5:$A$230=$B11)*Inputs!$B$5:$B$230*(((Inputs!$G$5:$G$230="moeda")+(Inputs!$G$5:$G$230="acoes"))*Inputs!$B$1+((Inputs!$G$5:$G$230&lt;&gt;"moeda")*(Inputs!$G$5:$G$230&lt;&gt;"acoes")))*INDEX(Inputs!$K$5:$AJ$230,0,MATCH(AC$2,Inputs!$K$4:$AJ$4,0)))+SUMPRODUCT((Inputs!$C$5:$C$230=$B11)*Inputs!$D$5:$D$230*(((Inputs!$G$5:$G$230="moeda")+(Inputs!$G$5:$G$230="acoes"))*Inputs!$B$1+((Inputs!$G$5:$G$230&lt;&gt;"moeda")*(Inputs!$G$5:$G$230&lt;&gt;"acoes")))*INDEX(Inputs!$K$5:$AJ$230,0,MATCH(AC$2,Inputs!$K$4:$AJ$4,0)))+SUMPRODUCT((Inputs!$E$5:$E$230=$B11)*Inputs!$F$5:$F$230*(((Inputs!$G$5:$G$230="moeda")+(Inputs!$G$5:$G$230="acoes"))*Inputs!$B$1+((Inputs!$G$5:$G$230&lt;&gt;"moeda")*(Inputs!$G$5:$G$230&lt;&gt;"acoes")))*INDEX(Inputs!$K$5:$AJ$230,0,MATCH(AC$2,Inputs!$K$4:$AJ$4,0)))))</f>
        <v>24.985</v>
      </c>
      <c r="AD11" s="6">
        <f>IF(ISNA(MATCH(AD$2,Inputs!$K$4:$AJ$4,0)),NA(),IF(SUMPRODUCT((Inputs!$A$5:$A$230=$B11)*ISNUMBER(INDEX(Inputs!$K$5:$AJ$230,0,MATCH(AD$2,Inputs!$K$4:$AJ$4,0))))+SUMPRODUCT((Inputs!$C$5:$C$230=$B11)*ISNUMBER(INDEX(Inputs!$K$5:$AJ$230,0,MATCH(AD$2,Inputs!$K$4:$AJ$4,0))))+SUMPRODUCT((Inputs!$E$5:$E$230=$B11)*ISNUMBER(INDEX(Inputs!$K$5:$AJ$230,0,MATCH(AD$2,Inputs!$K$4:$AJ$4,0))))=0,NA(),SUMPRODUCT((Inputs!$A$5:$A$230=$B11)*Inputs!$B$5:$B$230*(((Inputs!$G$5:$G$230="moeda")+(Inputs!$G$5:$G$230="acoes"))*Inputs!$B$1+((Inputs!$G$5:$G$230&lt;&gt;"moeda")*(Inputs!$G$5:$G$230&lt;&gt;"acoes")))*INDEX(Inputs!$K$5:$AJ$230,0,MATCH(AD$2,Inputs!$K$4:$AJ$4,0)))+SUMPRODUCT((Inputs!$C$5:$C$230=$B11)*Inputs!$D$5:$D$230*(((Inputs!$G$5:$G$230="moeda")+(Inputs!$G$5:$G$230="acoes"))*Inputs!$B$1+((Inputs!$G$5:$G$230&lt;&gt;"moeda")*(Inputs!$G$5:$G$230&lt;&gt;"acoes")))*INDEX(Inputs!$K$5:$AJ$230,0,MATCH(AD$2,Inputs!$K$4:$AJ$4,0)))+SUMPRODUCT((Inputs!$E$5:$E$230=$B11)*Inputs!$F$5:$F$230*(((Inputs!$G$5:$G$230="moeda")+(Inputs!$G$5:$G$230="acoes"))*Inputs!$B$1+((Inputs!$G$5:$G$230&lt;&gt;"moeda")*(Inputs!$G$5:$G$230&lt;&gt;"acoes")))*INDEX(Inputs!$K$5:$AJ$230,0,MATCH(AD$2,Inputs!$K$4:$AJ$4,0)))))</f>
        <v>29.861</v>
      </c>
      <c r="AE11" s="6" t="e">
        <f>IF(ISNA(MATCH(AE$2,Inputs!$K$4:$AJ$4,0)),NA(),IF(SUMPRODUCT((Inputs!$A$5:$A$230=$B11)*ISNUMBER(INDEX(Inputs!$K$5:$AJ$230,0,MATCH(AE$2,Inputs!$K$4:$AJ$4,0))))+SUMPRODUCT((Inputs!$C$5:$C$230=$B11)*ISNUMBER(INDEX(Inputs!$K$5:$AJ$230,0,MATCH(AE$2,Inputs!$K$4:$AJ$4,0))))+SUMPRODUCT((Inputs!$E$5:$E$230=$B11)*ISNUMBER(INDEX(Inputs!$K$5:$AJ$230,0,MATCH(AE$2,Inputs!$K$4:$AJ$4,0))))=0,NA(),SUMPRODUCT((Inputs!$A$5:$A$230=$B11)*Inputs!$B$5:$B$230*(((Inputs!$G$5:$G$230="moeda")+(Inputs!$G$5:$G$230="acoes"))*Inputs!$B$1+((Inputs!$G$5:$G$230&lt;&gt;"moeda")*(Inputs!$G$5:$G$230&lt;&gt;"acoes")))*INDEX(Inputs!$K$5:$AJ$230,0,MATCH(AE$2,Inputs!$K$4:$AJ$4,0)))+SUMPRODUCT((Inputs!$C$5:$C$230=$B11)*Inputs!$D$5:$D$230*(((Inputs!$G$5:$G$230="moeda")+(Inputs!$G$5:$G$230="acoes"))*Inputs!$B$1+((Inputs!$G$5:$G$230&lt;&gt;"moeda")*(Inputs!$G$5:$G$230&lt;&gt;"acoes")))*INDEX(Inputs!$K$5:$AJ$230,0,MATCH(AE$2,Inputs!$K$4:$AJ$4,0)))+SUMPRODUCT((Inputs!$E$5:$E$230=$B11)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1" s="6" t="e">
        <f>IF(ISNA(MATCH(AF$2,Inputs!$K$4:$AJ$4,0)),NA(),IF(SUMPRODUCT((Inputs!$A$5:$A$230=$B11)*ISNUMBER(INDEX(Inputs!$K$5:$AJ$230,0,MATCH(AF$2,Inputs!$K$4:$AJ$4,0))))+SUMPRODUCT((Inputs!$C$5:$C$230=$B11)*ISNUMBER(INDEX(Inputs!$K$5:$AJ$230,0,MATCH(AF$2,Inputs!$K$4:$AJ$4,0))))+SUMPRODUCT((Inputs!$E$5:$E$230=$B11)*ISNUMBER(INDEX(Inputs!$K$5:$AJ$230,0,MATCH(AF$2,Inputs!$K$4:$AJ$4,0))))=0,NA(),SUMPRODUCT((Inputs!$A$5:$A$230=$B11)*Inputs!$B$5:$B$230*(((Inputs!$G$5:$G$230="moeda")+(Inputs!$G$5:$G$230="acoes"))*Inputs!$B$1+((Inputs!$G$5:$G$230&lt;&gt;"moeda")*(Inputs!$G$5:$G$230&lt;&gt;"acoes")))*INDEX(Inputs!$K$5:$AJ$230,0,MATCH(AF$2,Inputs!$K$4:$AJ$4,0)))+SUMPRODUCT((Inputs!$C$5:$C$230=$B11)*Inputs!$D$5:$D$230*(((Inputs!$G$5:$G$230="moeda")+(Inputs!$G$5:$G$230="acoes"))*Inputs!$B$1+((Inputs!$G$5:$G$230&lt;&gt;"moeda")*(Inputs!$G$5:$G$230&lt;&gt;"acoes")))*INDEX(Inputs!$K$5:$AJ$230,0,MATCH(AF$2,Inputs!$K$4:$AJ$4,0)))+SUMPRODUCT((Inputs!$E$5:$E$230=$B11)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1" s="3" t="e">
        <f>SUM(AC11:AF11)</f>
        <v>#N/A</v>
      </c>
      <c r="AH11" s="6">
        <f>IF(ISNA(MATCH(AH$2,Inputs!$K$4:$AJ$4,0)),NA(),IF(SUMPRODUCT((Inputs!$A$5:$A$230=$B11)*ISNUMBER(INDEX(Inputs!$K$5:$AJ$230,0,MATCH(AH$2,Inputs!$K$4:$AJ$4,0))))+SUMPRODUCT((Inputs!$C$5:$C$230=$B11)*ISNUMBER(INDEX(Inputs!$K$5:$AJ$230,0,MATCH(AH$2,Inputs!$K$4:$AJ$4,0))))+SUMPRODUCT((Inputs!$E$5:$E$230=$B11)*ISNUMBER(INDEX(Inputs!$K$5:$AJ$230,0,MATCH(AH$2,Inputs!$K$4:$AJ$4,0))))=0,NA(),SUMPRODUCT((Inputs!$A$5:$A$230=$B11)*Inputs!$B$5:$B$230*(((Inputs!$G$5:$G$230="moeda")+(Inputs!$G$5:$G$230="acoes"))*Inputs!$B$1+((Inputs!$G$5:$G$230&lt;&gt;"moeda")*(Inputs!$G$5:$G$230&lt;&gt;"acoes")))*INDEX(Inputs!$K$5:$AJ$230,0,MATCH(AH$2,Inputs!$K$4:$AJ$4,0)))+SUMPRODUCT((Inputs!$C$5:$C$230=$B11)*Inputs!$D$5:$D$230*(((Inputs!$G$5:$G$230="moeda")+(Inputs!$G$5:$G$230="acoes"))*Inputs!$B$1+((Inputs!$G$5:$G$230&lt;&gt;"moeda")*(Inputs!$G$5:$G$230&lt;&gt;"acoes")))*INDEX(Inputs!$K$5:$AJ$230,0,MATCH(AH$2,Inputs!$K$4:$AJ$4,0)))+SUMPRODUCT((Inputs!$E$5:$E$230=$B11)*Inputs!$F$5:$F$230*(((Inputs!$G$5:$G$230="moeda")+(Inputs!$G$5:$G$230="acoes"))*Inputs!$B$1+((Inputs!$G$5:$G$230&lt;&gt;"moeda")*(Inputs!$G$5:$G$230&lt;&gt;"acoes")))*INDEX(Inputs!$K$5:$AJ$230,0,MATCH(AH$2,Inputs!$K$4:$AJ$4,0)))))</f>
        <v>-1.451</v>
      </c>
      <c r="AI11" s="6">
        <f>IF(ISNA(MATCH(AI$2,Inputs!$K$4:$AJ$4,0)),NA(),IF(SUMPRODUCT((Inputs!$A$5:$A$230=$B11)*ISNUMBER(INDEX(Inputs!$K$5:$AJ$230,0,MATCH(AI$2,Inputs!$K$4:$AJ$4,0))))+SUMPRODUCT((Inputs!$C$5:$C$230=$B11)*ISNUMBER(INDEX(Inputs!$K$5:$AJ$230,0,MATCH(AI$2,Inputs!$K$4:$AJ$4,0))))+SUMPRODUCT((Inputs!$E$5:$E$230=$B11)*ISNUMBER(INDEX(Inputs!$K$5:$AJ$230,0,MATCH(AI$2,Inputs!$K$4:$AJ$4,0))))=0,NA(),SUMPRODUCT((Inputs!$A$5:$A$230=$B11)*Inputs!$B$5:$B$230*(((Inputs!$G$5:$G$230="moeda")+(Inputs!$G$5:$G$230="acoes"))*Inputs!$B$1+((Inputs!$G$5:$G$230&lt;&gt;"moeda")*(Inputs!$G$5:$G$230&lt;&gt;"acoes")))*INDEX(Inputs!$K$5:$AJ$230,0,MATCH(AI$2,Inputs!$K$4:$AJ$4,0)))+SUMPRODUCT((Inputs!$C$5:$C$230=$B11)*Inputs!$D$5:$D$230*(((Inputs!$G$5:$G$230="moeda")+(Inputs!$G$5:$G$230="acoes"))*Inputs!$B$1+((Inputs!$G$5:$G$230&lt;&gt;"moeda")*(Inputs!$G$5:$G$230&lt;&gt;"acoes")))*INDEX(Inputs!$K$5:$AJ$230,0,MATCH(AI$2,Inputs!$K$4:$AJ$4,0)))+SUMPRODUCT((Inputs!$E$5:$E$230=$B11)*Inputs!$F$5:$F$230*(((Inputs!$G$5:$G$230="moeda")+(Inputs!$G$5:$G$230="acoes"))*Inputs!$B$1+((Inputs!$G$5:$G$230&lt;&gt;"moeda")*(Inputs!$G$5:$G$230&lt;&gt;"acoes")))*INDEX(Inputs!$K$5:$AJ$230,0,MATCH(AI$2,Inputs!$K$4:$AJ$4,0)))))</f>
        <v>0.938000000000029</v>
      </c>
      <c r="AJ11" s="6">
        <f>IF(ISNA(MATCH(AJ$2,Inputs!$K$4:$AJ$4,0)),NA(),IF(SUMPRODUCT((Inputs!$A$5:$A$230=$B11)*ISNUMBER(INDEX(Inputs!$K$5:$AJ$230,0,MATCH(AJ$2,Inputs!$K$4:$AJ$4,0))))+SUMPRODUCT((Inputs!$C$5:$C$230=$B11)*ISNUMBER(INDEX(Inputs!$K$5:$AJ$230,0,MATCH(AJ$2,Inputs!$K$4:$AJ$4,0))))+SUMPRODUCT((Inputs!$E$5:$E$230=$B11)*ISNUMBER(INDEX(Inputs!$K$5:$AJ$230,0,MATCH(AJ$2,Inputs!$K$4:$AJ$4,0))))=0,NA(),SUMPRODUCT((Inputs!$A$5:$A$230=$B11)*Inputs!$B$5:$B$230*(((Inputs!$G$5:$G$230="moeda")+(Inputs!$G$5:$G$230="acoes"))*Inputs!$B$1+((Inputs!$G$5:$G$230&lt;&gt;"moeda")*(Inputs!$G$5:$G$230&lt;&gt;"acoes")))*INDEX(Inputs!$K$5:$AJ$230,0,MATCH(AJ$2,Inputs!$K$4:$AJ$4,0)))+SUMPRODUCT((Inputs!$C$5:$C$230=$B11)*Inputs!$D$5:$D$230*(((Inputs!$G$5:$G$230="moeda")+(Inputs!$G$5:$G$230="acoes"))*Inputs!$B$1+((Inputs!$G$5:$G$230&lt;&gt;"moeda")*(Inputs!$G$5:$G$230&lt;&gt;"acoes")))*INDEX(Inputs!$K$5:$AJ$230,0,MATCH(AJ$2,Inputs!$K$4:$AJ$4,0)))+SUMPRODUCT((Inputs!$E$5:$E$230=$B11)*Inputs!$F$5:$F$230*(((Inputs!$G$5:$G$230="moeda")+(Inputs!$G$5:$G$230="acoes"))*Inputs!$B$1+((Inputs!$G$5:$G$230&lt;&gt;"moeda")*(Inputs!$G$5:$G$230&lt;&gt;"acoes")))*INDEX(Inputs!$K$5:$AJ$230,0,MATCH(AJ$2,Inputs!$K$4:$AJ$4,0)))))</f>
        <v>0.426999999999971</v>
      </c>
      <c r="AK11" s="6">
        <f>IF(ISNA(MATCH(AK$2,Inputs!$K$4:$AJ$4,0)),NA(),IF(SUMPRODUCT((Inputs!$A$5:$A$230=$B11)*ISNUMBER(INDEX(Inputs!$K$5:$AJ$230,0,MATCH(AK$2,Inputs!$K$4:$AJ$4,0))))+SUMPRODUCT((Inputs!$C$5:$C$230=$B11)*ISNUMBER(INDEX(Inputs!$K$5:$AJ$230,0,MATCH(AK$2,Inputs!$K$4:$AJ$4,0))))+SUMPRODUCT((Inputs!$E$5:$E$230=$B11)*ISNUMBER(INDEX(Inputs!$K$5:$AJ$230,0,MATCH(AK$2,Inputs!$K$4:$AJ$4,0))))=0,NA(),SUMPRODUCT((Inputs!$A$5:$A$230=$B11)*Inputs!$B$5:$B$230*(((Inputs!$G$5:$G$230="moeda")+(Inputs!$G$5:$G$230="acoes"))*Inputs!$B$1+((Inputs!$G$5:$G$230&lt;&gt;"moeda")*(Inputs!$G$5:$G$230&lt;&gt;"acoes")))*INDEX(Inputs!$K$5:$AJ$230,0,MATCH(AK$2,Inputs!$K$4:$AJ$4,0)))+SUMPRODUCT((Inputs!$C$5:$C$230=$B11)*Inputs!$D$5:$D$230*(((Inputs!$G$5:$G$230="moeda")+(Inputs!$G$5:$G$230="acoes"))*Inputs!$B$1+((Inputs!$G$5:$G$230&lt;&gt;"moeda")*(Inputs!$G$5:$G$230&lt;&gt;"acoes")))*INDEX(Inputs!$K$5:$AJ$230,0,MATCH(AK$2,Inputs!$K$4:$AJ$4,0)))+SUMPRODUCT((Inputs!$E$5:$E$230=$B11)*Inputs!$F$5:$F$230*(((Inputs!$G$5:$G$230="moeda")+(Inputs!$G$5:$G$230="acoes"))*Inputs!$B$1+((Inputs!$G$5:$G$230&lt;&gt;"moeda")*(Inputs!$G$5:$G$230&lt;&gt;"acoes")))*INDEX(Inputs!$K$5:$AJ$230,0,MATCH(AK$2,Inputs!$K$4:$AJ$4,0)))))</f>
        <v>-9.138</v>
      </c>
      <c r="AL11" s="3">
        <f>SUM(AH11:AK11)</f>
        <v>-9.224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$230=$B12)*ISNUMBER(INDEX(Inputs!$K$5:$AJ$230,0,MATCH(D$2,Inputs!$K$4:$AJ$4,0))))+SUMPRODUCT((Inputs!$C$5:$C$230=$B12)*ISNUMBER(INDEX(Inputs!$K$5:$AJ$230,0,MATCH(D$2,Inputs!$K$4:$AJ$4,0))))+SUMPRODUCT((Inputs!$E$5:$E$230=$B12)*ISNUMBER(INDEX(Inputs!$K$5:$AJ$230,0,MATCH(D$2,Inputs!$K$4:$AJ$4,0))))=0,NA(),SUMPRODUCT((Inputs!$A$5:$A$230=$B12)*Inputs!$B$5:$B$230*(((Inputs!$G$5:$G$230="moeda")+(Inputs!$G$5:$G$230="acoes"))*Inputs!$B$1+((Inputs!$G$5:$G$230&lt;&gt;"moeda")*(Inputs!$G$5:$G$230&lt;&gt;"acoes")))*INDEX(Inputs!$K$5:$AJ$230,0,MATCH(D$2,Inputs!$K$4:$AJ$4,0)))+SUMPRODUCT((Inputs!$C$5:$C$230=$B12)*Inputs!$D$5:$D$230*(((Inputs!$G$5:$G$230="moeda")+(Inputs!$G$5:$G$230="acoes"))*Inputs!$B$1+((Inputs!$G$5:$G$230&lt;&gt;"moeda")*(Inputs!$G$5:$G$230&lt;&gt;"acoes")))*INDEX(Inputs!$K$5:$AJ$230,0,MATCH(D$2,Inputs!$K$4:$AJ$4,0)))+SUMPRODUCT((Inputs!$E$5:$E$230=$B12)*Inputs!$F$5:$F$230*(((Inputs!$G$5:$G$230="moeda")+(Inputs!$G$5:$G$230="acoes"))*Inputs!$B$1+((Inputs!$G$5:$G$230&lt;&gt;"moeda")*(Inputs!$G$5:$G$230&lt;&gt;"acoes")))*INDEX(Inputs!$K$5:$AJ$230,0,MATCH(D$2,Inputs!$K$4:$AJ$4,0)))))</f>
        <v>-337.471</v>
      </c>
      <c r="E12" s="6">
        <f>IF(ISNA(MATCH(E$2,Inputs!$K$4:$AJ$4,0)),NA(),IF(SUMPRODUCT((Inputs!$A$5:$A$230=$B12)*ISNUMBER(INDEX(Inputs!$K$5:$AJ$230,0,MATCH(E$2,Inputs!$K$4:$AJ$4,0))))+SUMPRODUCT((Inputs!$C$5:$C$230=$B12)*ISNUMBER(INDEX(Inputs!$K$5:$AJ$230,0,MATCH(E$2,Inputs!$K$4:$AJ$4,0))))+SUMPRODUCT((Inputs!$E$5:$E$230=$B12)*ISNUMBER(INDEX(Inputs!$K$5:$AJ$230,0,MATCH(E$2,Inputs!$K$4:$AJ$4,0))))=0,NA(),SUMPRODUCT((Inputs!$A$5:$A$230=$B12)*Inputs!$B$5:$B$230*(((Inputs!$G$5:$G$230="moeda")+(Inputs!$G$5:$G$230="acoes"))*Inputs!$B$1+((Inputs!$G$5:$G$230&lt;&gt;"moeda")*(Inputs!$G$5:$G$230&lt;&gt;"acoes")))*INDEX(Inputs!$K$5:$AJ$230,0,MATCH(E$2,Inputs!$K$4:$AJ$4,0)))+SUMPRODUCT((Inputs!$C$5:$C$230=$B12)*Inputs!$D$5:$D$230*(((Inputs!$G$5:$G$230="moeda")+(Inputs!$G$5:$G$230="acoes"))*Inputs!$B$1+((Inputs!$G$5:$G$230&lt;&gt;"moeda")*(Inputs!$G$5:$G$230&lt;&gt;"acoes")))*INDEX(Inputs!$K$5:$AJ$230,0,MATCH(E$2,Inputs!$K$4:$AJ$4,0)))+SUMPRODUCT((Inputs!$E$5:$E$230=$B12)*Inputs!$F$5:$F$230*(((Inputs!$G$5:$G$230="moeda")+(Inputs!$G$5:$G$230="acoes"))*Inputs!$B$1+((Inputs!$G$5:$G$230&lt;&gt;"moeda")*(Inputs!$G$5:$G$230&lt;&gt;"acoes")))*INDEX(Inputs!$K$5:$AJ$230,0,MATCH(E$2,Inputs!$K$4:$AJ$4,0)))))</f>
        <v>-344.143</v>
      </c>
      <c r="F12" s="6">
        <f>IF(ISNA(MATCH(F$2,Inputs!$K$4:$AJ$4,0)),NA(),IF(SUMPRODUCT((Inputs!$A$5:$A$230=$B12)*ISNUMBER(INDEX(Inputs!$K$5:$AJ$230,0,MATCH(F$2,Inputs!$K$4:$AJ$4,0))))+SUMPRODUCT((Inputs!$C$5:$C$230=$B12)*ISNUMBER(INDEX(Inputs!$K$5:$AJ$230,0,MATCH(F$2,Inputs!$K$4:$AJ$4,0))))+SUMPRODUCT((Inputs!$E$5:$E$230=$B12)*ISNUMBER(INDEX(Inputs!$K$5:$AJ$230,0,MATCH(F$2,Inputs!$K$4:$AJ$4,0))))=0,NA(),SUMPRODUCT((Inputs!$A$5:$A$230=$B12)*Inputs!$B$5:$B$230*(((Inputs!$G$5:$G$230="moeda")+(Inputs!$G$5:$G$230="acoes"))*Inputs!$B$1+((Inputs!$G$5:$G$230&lt;&gt;"moeda")*(Inputs!$G$5:$G$230&lt;&gt;"acoes")))*INDEX(Inputs!$K$5:$AJ$230,0,MATCH(F$2,Inputs!$K$4:$AJ$4,0)))+SUMPRODUCT((Inputs!$C$5:$C$230=$B12)*Inputs!$D$5:$D$230*(((Inputs!$G$5:$G$230="moeda")+(Inputs!$G$5:$G$230="acoes"))*Inputs!$B$1+((Inputs!$G$5:$G$230&lt;&gt;"moeda")*(Inputs!$G$5:$G$230&lt;&gt;"acoes")))*INDEX(Inputs!$K$5:$AJ$230,0,MATCH(F$2,Inputs!$K$4:$AJ$4,0)))+SUMPRODUCT((Inputs!$E$5:$E$230=$B12)*Inputs!$F$5:$F$230*(((Inputs!$G$5:$G$230="moeda")+(Inputs!$G$5:$G$230="acoes"))*Inputs!$B$1+((Inputs!$G$5:$G$230&lt;&gt;"moeda")*(Inputs!$G$5:$G$230&lt;&gt;"acoes")))*INDEX(Inputs!$K$5:$AJ$230,0,MATCH(F$2,Inputs!$K$4:$AJ$4,0)))))</f>
        <v>-188.716</v>
      </c>
      <c r="G12" s="6">
        <f>IF(ISNA(MATCH(G$2,Inputs!$K$4:$AJ$4,0)),NA(),IF(SUMPRODUCT((Inputs!$A$5:$A$230=$B12)*ISNUMBER(INDEX(Inputs!$K$5:$AJ$230,0,MATCH(G$2,Inputs!$K$4:$AJ$4,0))))+SUMPRODUCT((Inputs!$C$5:$C$230=$B12)*ISNUMBER(INDEX(Inputs!$K$5:$AJ$230,0,MATCH(G$2,Inputs!$K$4:$AJ$4,0))))+SUMPRODUCT((Inputs!$E$5:$E$230=$B12)*ISNUMBER(INDEX(Inputs!$K$5:$AJ$230,0,MATCH(G$2,Inputs!$K$4:$AJ$4,0))))=0,NA(),SUMPRODUCT((Inputs!$A$5:$A$230=$B12)*Inputs!$B$5:$B$230*(((Inputs!$G$5:$G$230="moeda")+(Inputs!$G$5:$G$230="acoes"))*Inputs!$B$1+((Inputs!$G$5:$G$230&lt;&gt;"moeda")*(Inputs!$G$5:$G$230&lt;&gt;"acoes")))*INDEX(Inputs!$K$5:$AJ$230,0,MATCH(G$2,Inputs!$K$4:$AJ$4,0)))+SUMPRODUCT((Inputs!$C$5:$C$230=$B12)*Inputs!$D$5:$D$230*(((Inputs!$G$5:$G$230="moeda")+(Inputs!$G$5:$G$230="acoes"))*Inputs!$B$1+((Inputs!$G$5:$G$230&lt;&gt;"moeda")*(Inputs!$G$5:$G$230&lt;&gt;"acoes")))*INDEX(Inputs!$K$5:$AJ$230,0,MATCH(G$2,Inputs!$K$4:$AJ$4,0)))+SUMPRODUCT((Inputs!$E$5:$E$230=$B12)*Inputs!$F$5:$F$230*(((Inputs!$G$5:$G$230="moeda")+(Inputs!$G$5:$G$230="acoes"))*Inputs!$B$1+((Inputs!$G$5:$G$230&lt;&gt;"moeda")*(Inputs!$G$5:$G$230&lt;&gt;"acoes")))*INDEX(Inputs!$K$5:$AJ$230,0,MATCH(G$2,Inputs!$K$4:$AJ$4,0)))))</f>
        <v>-137.085</v>
      </c>
      <c r="H12" s="3">
        <f>SUM(D12:G12)</f>
        <v>-1007.415</v>
      </c>
      <c r="I12" s="6">
        <f>IF(ISNA(MATCH(I$2,Inputs!$K$4:$AJ$4,0)),NA(),IF(SUMPRODUCT((Inputs!$A$5:$A$230=$B12)*ISNUMBER(INDEX(Inputs!$K$5:$AJ$230,0,MATCH(I$2,Inputs!$K$4:$AJ$4,0))))+SUMPRODUCT((Inputs!$C$5:$C$230=$B12)*ISNUMBER(INDEX(Inputs!$K$5:$AJ$230,0,MATCH(I$2,Inputs!$K$4:$AJ$4,0))))+SUMPRODUCT((Inputs!$E$5:$E$230=$B12)*ISNUMBER(INDEX(Inputs!$K$5:$AJ$230,0,MATCH(I$2,Inputs!$K$4:$AJ$4,0))))=0,NA(),SUMPRODUCT((Inputs!$A$5:$A$230=$B12)*Inputs!$B$5:$B$230*(((Inputs!$G$5:$G$230="moeda")+(Inputs!$G$5:$G$230="acoes"))*Inputs!$B$1+((Inputs!$G$5:$G$230&lt;&gt;"moeda")*(Inputs!$G$5:$G$230&lt;&gt;"acoes")))*INDEX(Inputs!$K$5:$AJ$230,0,MATCH(I$2,Inputs!$K$4:$AJ$4,0)))+SUMPRODUCT((Inputs!$C$5:$C$230=$B12)*Inputs!$D$5:$D$230*(((Inputs!$G$5:$G$230="moeda")+(Inputs!$G$5:$G$230="acoes"))*Inputs!$B$1+((Inputs!$G$5:$G$230&lt;&gt;"moeda")*(Inputs!$G$5:$G$230&lt;&gt;"acoes")))*INDEX(Inputs!$K$5:$AJ$230,0,MATCH(I$2,Inputs!$K$4:$AJ$4,0)))+SUMPRODUCT((Inputs!$E$5:$E$230=$B12)*Inputs!$F$5:$F$230*(((Inputs!$G$5:$G$230="moeda")+(Inputs!$G$5:$G$230="acoes"))*Inputs!$B$1+((Inputs!$G$5:$G$230&lt;&gt;"moeda")*(Inputs!$G$5:$G$230&lt;&gt;"acoes")))*INDEX(Inputs!$K$5:$AJ$230,0,MATCH(I$2,Inputs!$K$4:$AJ$4,0)))))</f>
        <v>-307.9</v>
      </c>
      <c r="J12" s="6">
        <f>IF(ISNA(MATCH(J$2,Inputs!$K$4:$AJ$4,0)),NA(),IF(SUMPRODUCT((Inputs!$A$5:$A$230=$B12)*ISNUMBER(INDEX(Inputs!$K$5:$AJ$230,0,MATCH(J$2,Inputs!$K$4:$AJ$4,0))))+SUMPRODUCT((Inputs!$C$5:$C$230=$B12)*ISNUMBER(INDEX(Inputs!$K$5:$AJ$230,0,MATCH(J$2,Inputs!$K$4:$AJ$4,0))))+SUMPRODUCT((Inputs!$E$5:$E$230=$B12)*ISNUMBER(INDEX(Inputs!$K$5:$AJ$230,0,MATCH(J$2,Inputs!$K$4:$AJ$4,0))))=0,NA(),SUMPRODUCT((Inputs!$A$5:$A$230=$B12)*Inputs!$B$5:$B$230*(((Inputs!$G$5:$G$230="moeda")+(Inputs!$G$5:$G$230="acoes"))*Inputs!$B$1+((Inputs!$G$5:$G$230&lt;&gt;"moeda")*(Inputs!$G$5:$G$230&lt;&gt;"acoes")))*INDEX(Inputs!$K$5:$AJ$230,0,MATCH(J$2,Inputs!$K$4:$AJ$4,0)))+SUMPRODUCT((Inputs!$C$5:$C$230=$B12)*Inputs!$D$5:$D$230*(((Inputs!$G$5:$G$230="moeda")+(Inputs!$G$5:$G$230="acoes"))*Inputs!$B$1+((Inputs!$G$5:$G$230&lt;&gt;"moeda")*(Inputs!$G$5:$G$230&lt;&gt;"acoes")))*INDEX(Inputs!$K$5:$AJ$230,0,MATCH(J$2,Inputs!$K$4:$AJ$4,0)))+SUMPRODUCT((Inputs!$E$5:$E$230=$B12)*Inputs!$F$5:$F$230*(((Inputs!$G$5:$G$230="moeda")+(Inputs!$G$5:$G$230="acoes"))*Inputs!$B$1+((Inputs!$G$5:$G$230&lt;&gt;"moeda")*(Inputs!$G$5:$G$230&lt;&gt;"acoes")))*INDEX(Inputs!$K$5:$AJ$230,0,MATCH(J$2,Inputs!$K$4:$AJ$4,0)))))</f>
        <v>-187.923</v>
      </c>
      <c r="K12" s="6">
        <f>IF(ISNA(MATCH(K$2,Inputs!$K$4:$AJ$4,0)),NA(),IF(SUMPRODUCT((Inputs!$A$5:$A$230=$B12)*ISNUMBER(INDEX(Inputs!$K$5:$AJ$230,0,MATCH(K$2,Inputs!$K$4:$AJ$4,0))))+SUMPRODUCT((Inputs!$C$5:$C$230=$B12)*ISNUMBER(INDEX(Inputs!$K$5:$AJ$230,0,MATCH(K$2,Inputs!$K$4:$AJ$4,0))))+SUMPRODUCT((Inputs!$E$5:$E$230=$B12)*ISNUMBER(INDEX(Inputs!$K$5:$AJ$230,0,MATCH(K$2,Inputs!$K$4:$AJ$4,0))))=0,NA(),SUMPRODUCT((Inputs!$A$5:$A$230=$B12)*Inputs!$B$5:$B$230*(((Inputs!$G$5:$G$230="moeda")+(Inputs!$G$5:$G$230="acoes"))*Inputs!$B$1+((Inputs!$G$5:$G$230&lt;&gt;"moeda")*(Inputs!$G$5:$G$230&lt;&gt;"acoes")))*INDEX(Inputs!$K$5:$AJ$230,0,MATCH(K$2,Inputs!$K$4:$AJ$4,0)))+SUMPRODUCT((Inputs!$C$5:$C$230=$B12)*Inputs!$D$5:$D$230*(((Inputs!$G$5:$G$230="moeda")+(Inputs!$G$5:$G$230="acoes"))*Inputs!$B$1+((Inputs!$G$5:$G$230&lt;&gt;"moeda")*(Inputs!$G$5:$G$230&lt;&gt;"acoes")))*INDEX(Inputs!$K$5:$AJ$230,0,MATCH(K$2,Inputs!$K$4:$AJ$4,0)))+SUMPRODUCT((Inputs!$E$5:$E$230=$B12)*Inputs!$F$5:$F$230*(((Inputs!$G$5:$G$230="moeda")+(Inputs!$G$5:$G$230="acoes"))*Inputs!$B$1+((Inputs!$G$5:$G$230&lt;&gt;"moeda")*(Inputs!$G$5:$G$230&lt;&gt;"acoes")))*INDEX(Inputs!$K$5:$AJ$230,0,MATCH(K$2,Inputs!$K$4:$AJ$4,0)))))</f>
        <v>-134.594</v>
      </c>
      <c r="L12" s="6">
        <f>IF(ISNA(MATCH(L$2,Inputs!$K$4:$AJ$4,0)),NA(),IF(SUMPRODUCT((Inputs!$A$5:$A$230=$B12)*ISNUMBER(INDEX(Inputs!$K$5:$AJ$230,0,MATCH(L$2,Inputs!$K$4:$AJ$4,0))))+SUMPRODUCT((Inputs!$C$5:$C$230=$B12)*ISNUMBER(INDEX(Inputs!$K$5:$AJ$230,0,MATCH(L$2,Inputs!$K$4:$AJ$4,0))))+SUMPRODUCT((Inputs!$E$5:$E$230=$B12)*ISNUMBER(INDEX(Inputs!$K$5:$AJ$230,0,MATCH(L$2,Inputs!$K$4:$AJ$4,0))))=0,NA(),SUMPRODUCT((Inputs!$A$5:$A$230=$B12)*Inputs!$B$5:$B$230*(((Inputs!$G$5:$G$230="moeda")+(Inputs!$G$5:$G$230="acoes"))*Inputs!$B$1+((Inputs!$G$5:$G$230&lt;&gt;"moeda")*(Inputs!$G$5:$G$230&lt;&gt;"acoes")))*INDEX(Inputs!$K$5:$AJ$230,0,MATCH(L$2,Inputs!$K$4:$AJ$4,0)))+SUMPRODUCT((Inputs!$C$5:$C$230=$B12)*Inputs!$D$5:$D$230*(((Inputs!$G$5:$G$230="moeda")+(Inputs!$G$5:$G$230="acoes"))*Inputs!$B$1+((Inputs!$G$5:$G$230&lt;&gt;"moeda")*(Inputs!$G$5:$G$230&lt;&gt;"acoes")))*INDEX(Inputs!$K$5:$AJ$230,0,MATCH(L$2,Inputs!$K$4:$AJ$4,0)))+SUMPRODUCT((Inputs!$E$5:$E$230=$B12)*Inputs!$F$5:$F$230*(((Inputs!$G$5:$G$230="moeda")+(Inputs!$G$5:$G$230="acoes"))*Inputs!$B$1+((Inputs!$G$5:$G$230&lt;&gt;"moeda")*(Inputs!$G$5:$G$230&lt;&gt;"acoes")))*INDEX(Inputs!$K$5:$AJ$230,0,MATCH(L$2,Inputs!$K$4:$AJ$4,0)))))</f>
        <v>-114.99</v>
      </c>
      <c r="M12" s="3">
        <f>SUM(I12:L12)</f>
        <v>-745.407</v>
      </c>
      <c r="N12" s="6">
        <f>IF(ISNA(MATCH(N$2,Inputs!$K$4:$AJ$4,0)),NA(),IF(SUMPRODUCT((Inputs!$A$5:$A$230=$B12)*ISNUMBER(INDEX(Inputs!$K$5:$AJ$230,0,MATCH(N$2,Inputs!$K$4:$AJ$4,0))))+SUMPRODUCT((Inputs!$C$5:$C$230=$B12)*ISNUMBER(INDEX(Inputs!$K$5:$AJ$230,0,MATCH(N$2,Inputs!$K$4:$AJ$4,0))))+SUMPRODUCT((Inputs!$E$5:$E$230=$B12)*ISNUMBER(INDEX(Inputs!$K$5:$AJ$230,0,MATCH(N$2,Inputs!$K$4:$AJ$4,0))))=0,NA(),SUMPRODUCT((Inputs!$A$5:$A$230=$B12)*Inputs!$B$5:$B$230*(((Inputs!$G$5:$G$230="moeda")+(Inputs!$G$5:$G$230="acoes"))*Inputs!$B$1+((Inputs!$G$5:$G$230&lt;&gt;"moeda")*(Inputs!$G$5:$G$230&lt;&gt;"acoes")))*INDEX(Inputs!$K$5:$AJ$230,0,MATCH(N$2,Inputs!$K$4:$AJ$4,0)))+SUMPRODUCT((Inputs!$C$5:$C$230=$B12)*Inputs!$D$5:$D$230*(((Inputs!$G$5:$G$230="moeda")+(Inputs!$G$5:$G$230="acoes"))*Inputs!$B$1+((Inputs!$G$5:$G$230&lt;&gt;"moeda")*(Inputs!$G$5:$G$230&lt;&gt;"acoes")))*INDEX(Inputs!$K$5:$AJ$230,0,MATCH(N$2,Inputs!$K$4:$AJ$4,0)))+SUMPRODUCT((Inputs!$E$5:$E$230=$B12)*Inputs!$F$5:$F$230*(((Inputs!$G$5:$G$230="moeda")+(Inputs!$G$5:$G$230="acoes"))*Inputs!$B$1+((Inputs!$G$5:$G$230&lt;&gt;"moeda")*(Inputs!$G$5:$G$230&lt;&gt;"acoes")))*INDEX(Inputs!$K$5:$AJ$230,0,MATCH(N$2,Inputs!$K$4:$AJ$4,0)))))</f>
        <v>-156.618</v>
      </c>
      <c r="O12" s="6">
        <f>IF(ISNA(MATCH(O$2,Inputs!$K$4:$AJ$4,0)),NA(),IF(SUMPRODUCT((Inputs!$A$5:$A$230=$B12)*ISNUMBER(INDEX(Inputs!$K$5:$AJ$230,0,MATCH(O$2,Inputs!$K$4:$AJ$4,0))))+SUMPRODUCT((Inputs!$C$5:$C$230=$B12)*ISNUMBER(INDEX(Inputs!$K$5:$AJ$230,0,MATCH(O$2,Inputs!$K$4:$AJ$4,0))))+SUMPRODUCT((Inputs!$E$5:$E$230=$B12)*ISNUMBER(INDEX(Inputs!$K$5:$AJ$230,0,MATCH(O$2,Inputs!$K$4:$AJ$4,0))))=0,NA(),SUMPRODUCT((Inputs!$A$5:$A$230=$B12)*Inputs!$B$5:$B$230*(((Inputs!$G$5:$G$230="moeda")+(Inputs!$G$5:$G$230="acoes"))*Inputs!$B$1+((Inputs!$G$5:$G$230&lt;&gt;"moeda")*(Inputs!$G$5:$G$230&lt;&gt;"acoes")))*INDEX(Inputs!$K$5:$AJ$230,0,MATCH(O$2,Inputs!$K$4:$AJ$4,0)))+SUMPRODUCT((Inputs!$C$5:$C$230=$B12)*Inputs!$D$5:$D$230*(((Inputs!$G$5:$G$230="moeda")+(Inputs!$G$5:$G$230="acoes"))*Inputs!$B$1+((Inputs!$G$5:$G$230&lt;&gt;"moeda")*(Inputs!$G$5:$G$230&lt;&gt;"acoes")))*INDEX(Inputs!$K$5:$AJ$230,0,MATCH(O$2,Inputs!$K$4:$AJ$4,0)))+SUMPRODUCT((Inputs!$E$5:$E$230=$B12)*Inputs!$F$5:$F$230*(((Inputs!$G$5:$G$230="moeda")+(Inputs!$G$5:$G$230="acoes"))*Inputs!$B$1+((Inputs!$G$5:$G$230&lt;&gt;"moeda")*(Inputs!$G$5:$G$230&lt;&gt;"acoes")))*INDEX(Inputs!$K$5:$AJ$230,0,MATCH(O$2,Inputs!$K$4:$AJ$4,0)))))</f>
        <v>-117.395</v>
      </c>
      <c r="P12" s="6">
        <f>IF(ISNA(MATCH(P$2,Inputs!$K$4:$AJ$4,0)),NA(),IF(SUMPRODUCT((Inputs!$A$5:$A$230=$B12)*ISNUMBER(INDEX(Inputs!$K$5:$AJ$230,0,MATCH(P$2,Inputs!$K$4:$AJ$4,0))))+SUMPRODUCT((Inputs!$C$5:$C$230=$B12)*ISNUMBER(INDEX(Inputs!$K$5:$AJ$230,0,MATCH(P$2,Inputs!$K$4:$AJ$4,0))))+SUMPRODUCT((Inputs!$E$5:$E$230=$B12)*ISNUMBER(INDEX(Inputs!$K$5:$AJ$230,0,MATCH(P$2,Inputs!$K$4:$AJ$4,0))))=0,NA(),SUMPRODUCT((Inputs!$A$5:$A$230=$B12)*Inputs!$B$5:$B$230*(((Inputs!$G$5:$G$230="moeda")+(Inputs!$G$5:$G$230="acoes"))*Inputs!$B$1+((Inputs!$G$5:$G$230&lt;&gt;"moeda")*(Inputs!$G$5:$G$230&lt;&gt;"acoes")))*INDEX(Inputs!$K$5:$AJ$230,0,MATCH(P$2,Inputs!$K$4:$AJ$4,0)))+SUMPRODUCT((Inputs!$C$5:$C$230=$B12)*Inputs!$D$5:$D$230*(((Inputs!$G$5:$G$230="moeda")+(Inputs!$G$5:$G$230="acoes"))*Inputs!$B$1+((Inputs!$G$5:$G$230&lt;&gt;"moeda")*(Inputs!$G$5:$G$230&lt;&gt;"acoes")))*INDEX(Inputs!$K$5:$AJ$230,0,MATCH(P$2,Inputs!$K$4:$AJ$4,0)))+SUMPRODUCT((Inputs!$E$5:$E$230=$B12)*Inputs!$F$5:$F$230*(((Inputs!$G$5:$G$230="moeda")+(Inputs!$G$5:$G$230="acoes"))*Inputs!$B$1+((Inputs!$G$5:$G$230&lt;&gt;"moeda")*(Inputs!$G$5:$G$230&lt;&gt;"acoes")))*INDEX(Inputs!$K$5:$AJ$230,0,MATCH(P$2,Inputs!$K$4:$AJ$4,0)))))</f>
        <v>-67.187</v>
      </c>
      <c r="Q12" s="6">
        <f>IF(ISNA(MATCH(Q$2,Inputs!$K$4:$AJ$4,0)),NA(),IF(SUMPRODUCT((Inputs!$A$5:$A$230=$B12)*ISNUMBER(INDEX(Inputs!$K$5:$AJ$230,0,MATCH(Q$2,Inputs!$K$4:$AJ$4,0))))+SUMPRODUCT((Inputs!$C$5:$C$230=$B12)*ISNUMBER(INDEX(Inputs!$K$5:$AJ$230,0,MATCH(Q$2,Inputs!$K$4:$AJ$4,0))))+SUMPRODUCT((Inputs!$E$5:$E$230=$B12)*ISNUMBER(INDEX(Inputs!$K$5:$AJ$230,0,MATCH(Q$2,Inputs!$K$4:$AJ$4,0))))=0,NA(),SUMPRODUCT((Inputs!$A$5:$A$230=$B12)*Inputs!$B$5:$B$230*(((Inputs!$G$5:$G$230="moeda")+(Inputs!$G$5:$G$230="acoes"))*Inputs!$B$1+((Inputs!$G$5:$G$230&lt;&gt;"moeda")*(Inputs!$G$5:$G$230&lt;&gt;"acoes")))*INDEX(Inputs!$K$5:$AJ$230,0,MATCH(Q$2,Inputs!$K$4:$AJ$4,0)))+SUMPRODUCT((Inputs!$C$5:$C$230=$B12)*Inputs!$D$5:$D$230*(((Inputs!$G$5:$G$230="moeda")+(Inputs!$G$5:$G$230="acoes"))*Inputs!$B$1+((Inputs!$G$5:$G$230&lt;&gt;"moeda")*(Inputs!$G$5:$G$230&lt;&gt;"acoes")))*INDEX(Inputs!$K$5:$AJ$230,0,MATCH(Q$2,Inputs!$K$4:$AJ$4,0)))+SUMPRODUCT((Inputs!$E$5:$E$230=$B12)*Inputs!$F$5:$F$230*(((Inputs!$G$5:$G$230="moeda")+(Inputs!$G$5:$G$230="acoes"))*Inputs!$B$1+((Inputs!$G$5:$G$230&lt;&gt;"moeda")*(Inputs!$G$5:$G$230&lt;&gt;"acoes")))*INDEX(Inputs!$K$5:$AJ$230,0,MATCH(Q$2,Inputs!$K$4:$AJ$4,0)))))</f>
        <v>-115.723</v>
      </c>
      <c r="R12" s="3">
        <f>SUM(N12:Q12)</f>
        <v>-456.923</v>
      </c>
      <c r="S12" s="6">
        <f>IF(ISNA(MATCH(S$2,Inputs!$K$4:$AJ$4,0)),NA(),IF(SUMPRODUCT((Inputs!$A$5:$A$230=$B12)*ISNUMBER(INDEX(Inputs!$K$5:$AJ$230,0,MATCH(S$2,Inputs!$K$4:$AJ$4,0))))+SUMPRODUCT((Inputs!$C$5:$C$230=$B12)*ISNUMBER(INDEX(Inputs!$K$5:$AJ$230,0,MATCH(S$2,Inputs!$K$4:$AJ$4,0))))+SUMPRODUCT((Inputs!$E$5:$E$230=$B12)*ISNUMBER(INDEX(Inputs!$K$5:$AJ$230,0,MATCH(S$2,Inputs!$K$4:$AJ$4,0))))=0,NA(),SUMPRODUCT((Inputs!$A$5:$A$230=$B12)*Inputs!$B$5:$B$230*(((Inputs!$G$5:$G$230="moeda")+(Inputs!$G$5:$G$230="acoes"))*Inputs!$B$1+((Inputs!$G$5:$G$230&lt;&gt;"moeda")*(Inputs!$G$5:$G$230&lt;&gt;"acoes")))*INDEX(Inputs!$K$5:$AJ$230,0,MATCH(S$2,Inputs!$K$4:$AJ$4,0)))+SUMPRODUCT((Inputs!$C$5:$C$230=$B12)*Inputs!$D$5:$D$230*(((Inputs!$G$5:$G$230="moeda")+(Inputs!$G$5:$G$230="acoes"))*Inputs!$B$1+((Inputs!$G$5:$G$230&lt;&gt;"moeda")*(Inputs!$G$5:$G$230&lt;&gt;"acoes")))*INDEX(Inputs!$K$5:$AJ$230,0,MATCH(S$2,Inputs!$K$4:$AJ$4,0)))+SUMPRODUCT((Inputs!$E$5:$E$230=$B12)*Inputs!$F$5:$F$230*(((Inputs!$G$5:$G$230="moeda")+(Inputs!$G$5:$G$230="acoes"))*Inputs!$B$1+((Inputs!$G$5:$G$230&lt;&gt;"moeda")*(Inputs!$G$5:$G$230&lt;&gt;"acoes")))*INDEX(Inputs!$K$5:$AJ$230,0,MATCH(S$2,Inputs!$K$4:$AJ$4,0)))))</f>
        <v>-147.894</v>
      </c>
      <c r="T12" s="6">
        <f>IF(ISNA(MATCH(T$2,Inputs!$K$4:$AJ$4,0)),NA(),IF(SUMPRODUCT((Inputs!$A$5:$A$230=$B12)*ISNUMBER(INDEX(Inputs!$K$5:$AJ$230,0,MATCH(T$2,Inputs!$K$4:$AJ$4,0))))+SUMPRODUCT((Inputs!$C$5:$C$230=$B12)*ISNUMBER(INDEX(Inputs!$K$5:$AJ$230,0,MATCH(T$2,Inputs!$K$4:$AJ$4,0))))+SUMPRODUCT((Inputs!$E$5:$E$230=$B12)*ISNUMBER(INDEX(Inputs!$K$5:$AJ$230,0,MATCH(T$2,Inputs!$K$4:$AJ$4,0))))=0,NA(),SUMPRODUCT((Inputs!$A$5:$A$230=$B12)*Inputs!$B$5:$B$230*(((Inputs!$G$5:$G$230="moeda")+(Inputs!$G$5:$G$230="acoes"))*Inputs!$B$1+((Inputs!$G$5:$G$230&lt;&gt;"moeda")*(Inputs!$G$5:$G$230&lt;&gt;"acoes")))*INDEX(Inputs!$K$5:$AJ$230,0,MATCH(T$2,Inputs!$K$4:$AJ$4,0)))+SUMPRODUCT((Inputs!$C$5:$C$230=$B12)*Inputs!$D$5:$D$230*(((Inputs!$G$5:$G$230="moeda")+(Inputs!$G$5:$G$230="acoes"))*Inputs!$B$1+((Inputs!$G$5:$G$230&lt;&gt;"moeda")*(Inputs!$G$5:$G$230&lt;&gt;"acoes")))*INDEX(Inputs!$K$5:$AJ$230,0,MATCH(T$2,Inputs!$K$4:$AJ$4,0)))+SUMPRODUCT((Inputs!$E$5:$E$230=$B12)*Inputs!$F$5:$F$230*(((Inputs!$G$5:$G$230="moeda")+(Inputs!$G$5:$G$230="acoes"))*Inputs!$B$1+((Inputs!$G$5:$G$230&lt;&gt;"moeda")*(Inputs!$G$5:$G$230&lt;&gt;"acoes")))*INDEX(Inputs!$K$5:$AJ$230,0,MATCH(T$2,Inputs!$K$4:$AJ$4,0)))))</f>
        <v>-156.347</v>
      </c>
      <c r="U12" s="6">
        <f>IF(ISNA(MATCH(U$2,Inputs!$K$4:$AJ$4,0)),NA(),IF(SUMPRODUCT((Inputs!$A$5:$A$230=$B12)*ISNUMBER(INDEX(Inputs!$K$5:$AJ$230,0,MATCH(U$2,Inputs!$K$4:$AJ$4,0))))+SUMPRODUCT((Inputs!$C$5:$C$230=$B12)*ISNUMBER(INDEX(Inputs!$K$5:$AJ$230,0,MATCH(U$2,Inputs!$K$4:$AJ$4,0))))+SUMPRODUCT((Inputs!$E$5:$E$230=$B12)*ISNUMBER(INDEX(Inputs!$K$5:$AJ$230,0,MATCH(U$2,Inputs!$K$4:$AJ$4,0))))=0,NA(),SUMPRODUCT((Inputs!$A$5:$A$230=$B12)*Inputs!$B$5:$B$230*(((Inputs!$G$5:$G$230="moeda")+(Inputs!$G$5:$G$230="acoes"))*Inputs!$B$1+((Inputs!$G$5:$G$230&lt;&gt;"moeda")*(Inputs!$G$5:$G$230&lt;&gt;"acoes")))*INDEX(Inputs!$K$5:$AJ$230,0,MATCH(U$2,Inputs!$K$4:$AJ$4,0)))+SUMPRODUCT((Inputs!$C$5:$C$230=$B12)*Inputs!$D$5:$D$230*(((Inputs!$G$5:$G$230="moeda")+(Inputs!$G$5:$G$230="acoes"))*Inputs!$B$1+((Inputs!$G$5:$G$230&lt;&gt;"moeda")*(Inputs!$G$5:$G$230&lt;&gt;"acoes")))*INDEX(Inputs!$K$5:$AJ$230,0,MATCH(U$2,Inputs!$K$4:$AJ$4,0)))+SUMPRODUCT((Inputs!$E$5:$E$230=$B12)*Inputs!$F$5:$F$230*(((Inputs!$G$5:$G$230="moeda")+(Inputs!$G$5:$G$230="acoes"))*Inputs!$B$1+((Inputs!$G$5:$G$230&lt;&gt;"moeda")*(Inputs!$G$5:$G$230&lt;&gt;"acoes")))*INDEX(Inputs!$K$5:$AJ$230,0,MATCH(U$2,Inputs!$K$4:$AJ$4,0)))))</f>
        <v>-281.625</v>
      </c>
      <c r="V12" s="6">
        <f>IF(ISNA(MATCH(V$2,Inputs!$K$4:$AJ$4,0)),NA(),IF(SUMPRODUCT((Inputs!$A$5:$A$230=$B12)*ISNUMBER(INDEX(Inputs!$K$5:$AJ$230,0,MATCH(V$2,Inputs!$K$4:$AJ$4,0))))+SUMPRODUCT((Inputs!$C$5:$C$230=$B12)*ISNUMBER(INDEX(Inputs!$K$5:$AJ$230,0,MATCH(V$2,Inputs!$K$4:$AJ$4,0))))+SUMPRODUCT((Inputs!$E$5:$E$230=$B12)*ISNUMBER(INDEX(Inputs!$K$5:$AJ$230,0,MATCH(V$2,Inputs!$K$4:$AJ$4,0))))=0,NA(),SUMPRODUCT((Inputs!$A$5:$A$230=$B12)*Inputs!$B$5:$B$230*(((Inputs!$G$5:$G$230="moeda")+(Inputs!$G$5:$G$230="acoes"))*Inputs!$B$1+((Inputs!$G$5:$G$230&lt;&gt;"moeda")*(Inputs!$G$5:$G$230&lt;&gt;"acoes")))*INDEX(Inputs!$K$5:$AJ$230,0,MATCH(V$2,Inputs!$K$4:$AJ$4,0)))+SUMPRODUCT((Inputs!$C$5:$C$230=$B12)*Inputs!$D$5:$D$230*(((Inputs!$G$5:$G$230="moeda")+(Inputs!$G$5:$G$230="acoes"))*Inputs!$B$1+((Inputs!$G$5:$G$230&lt;&gt;"moeda")*(Inputs!$G$5:$G$230&lt;&gt;"acoes")))*INDEX(Inputs!$K$5:$AJ$230,0,MATCH(V$2,Inputs!$K$4:$AJ$4,0)))+SUMPRODUCT((Inputs!$E$5:$E$230=$B12)*Inputs!$F$5:$F$230*(((Inputs!$G$5:$G$230="moeda")+(Inputs!$G$5:$G$230="acoes"))*Inputs!$B$1+((Inputs!$G$5:$G$230&lt;&gt;"moeda")*(Inputs!$G$5:$G$230&lt;&gt;"acoes")))*INDEX(Inputs!$K$5:$AJ$230,0,MATCH(V$2,Inputs!$K$4:$AJ$4,0)))))</f>
        <v>-187.95</v>
      </c>
      <c r="W12" s="3">
        <f>SUM(S12:V12)</f>
        <v>-773.816</v>
      </c>
      <c r="X12" s="6">
        <f>IF(ISNA(MATCH(X$2,Inputs!$K$4:$AJ$4,0)),NA(),IF(SUMPRODUCT((Inputs!$A$5:$A$230=$B12)*ISNUMBER(INDEX(Inputs!$K$5:$AJ$230,0,MATCH(X$2,Inputs!$K$4:$AJ$4,0))))+SUMPRODUCT((Inputs!$C$5:$C$230=$B12)*ISNUMBER(INDEX(Inputs!$K$5:$AJ$230,0,MATCH(X$2,Inputs!$K$4:$AJ$4,0))))+SUMPRODUCT((Inputs!$E$5:$E$230=$B12)*ISNUMBER(INDEX(Inputs!$K$5:$AJ$230,0,MATCH(X$2,Inputs!$K$4:$AJ$4,0))))=0,NA(),SUMPRODUCT((Inputs!$A$5:$A$230=$B12)*Inputs!$B$5:$B$230*(((Inputs!$G$5:$G$230="moeda")+(Inputs!$G$5:$G$230="acoes"))*Inputs!$B$1+((Inputs!$G$5:$G$230&lt;&gt;"moeda")*(Inputs!$G$5:$G$230&lt;&gt;"acoes")))*INDEX(Inputs!$K$5:$AJ$230,0,MATCH(X$2,Inputs!$K$4:$AJ$4,0)))+SUMPRODUCT((Inputs!$C$5:$C$230=$B12)*Inputs!$D$5:$D$230*(((Inputs!$G$5:$G$230="moeda")+(Inputs!$G$5:$G$230="acoes"))*Inputs!$B$1+((Inputs!$G$5:$G$230&lt;&gt;"moeda")*(Inputs!$G$5:$G$230&lt;&gt;"acoes")))*INDEX(Inputs!$K$5:$AJ$230,0,MATCH(X$2,Inputs!$K$4:$AJ$4,0)))+SUMPRODUCT((Inputs!$E$5:$E$230=$B12)*Inputs!$F$5:$F$230*(((Inputs!$G$5:$G$230="moeda")+(Inputs!$G$5:$G$230="acoes"))*Inputs!$B$1+((Inputs!$G$5:$G$230&lt;&gt;"moeda")*(Inputs!$G$5:$G$230&lt;&gt;"acoes")))*INDEX(Inputs!$K$5:$AJ$230,0,MATCH(X$2,Inputs!$K$4:$AJ$4,0)))))</f>
        <v>-186.523</v>
      </c>
      <c r="Y12" s="6">
        <f>IF(ISNA(MATCH(Y$2,Inputs!$K$4:$AJ$4,0)),NA(),IF(SUMPRODUCT((Inputs!$A$5:$A$230=$B12)*ISNUMBER(INDEX(Inputs!$K$5:$AJ$230,0,MATCH(Y$2,Inputs!$K$4:$AJ$4,0))))+SUMPRODUCT((Inputs!$C$5:$C$230=$B12)*ISNUMBER(INDEX(Inputs!$K$5:$AJ$230,0,MATCH(Y$2,Inputs!$K$4:$AJ$4,0))))+SUMPRODUCT((Inputs!$E$5:$E$230=$B12)*ISNUMBER(INDEX(Inputs!$K$5:$AJ$230,0,MATCH(Y$2,Inputs!$K$4:$AJ$4,0))))=0,NA(),SUMPRODUCT((Inputs!$A$5:$A$230=$B12)*Inputs!$B$5:$B$230*(((Inputs!$G$5:$G$230="moeda")+(Inputs!$G$5:$G$230="acoes"))*Inputs!$B$1+((Inputs!$G$5:$G$230&lt;&gt;"moeda")*(Inputs!$G$5:$G$230&lt;&gt;"acoes")))*INDEX(Inputs!$K$5:$AJ$230,0,MATCH(Y$2,Inputs!$K$4:$AJ$4,0)))+SUMPRODUCT((Inputs!$C$5:$C$230=$B12)*Inputs!$D$5:$D$230*(((Inputs!$G$5:$G$230="moeda")+(Inputs!$G$5:$G$230="acoes"))*Inputs!$B$1+((Inputs!$G$5:$G$230&lt;&gt;"moeda")*(Inputs!$G$5:$G$230&lt;&gt;"acoes")))*INDEX(Inputs!$K$5:$AJ$230,0,MATCH(Y$2,Inputs!$K$4:$AJ$4,0)))+SUMPRODUCT((Inputs!$E$5:$E$230=$B12)*Inputs!$F$5:$F$230*(((Inputs!$G$5:$G$230="moeda")+(Inputs!$G$5:$G$230="acoes"))*Inputs!$B$1+((Inputs!$G$5:$G$230&lt;&gt;"moeda")*(Inputs!$G$5:$G$230&lt;&gt;"acoes")))*INDEX(Inputs!$K$5:$AJ$230,0,MATCH(Y$2,Inputs!$K$4:$AJ$4,0)))))</f>
        <v>-138.966</v>
      </c>
      <c r="Z12" s="6">
        <f>IF(ISNA(MATCH(Z$2,Inputs!$K$4:$AJ$4,0)),NA(),IF(SUMPRODUCT((Inputs!$A$5:$A$230=$B12)*ISNUMBER(INDEX(Inputs!$K$5:$AJ$230,0,MATCH(Z$2,Inputs!$K$4:$AJ$4,0))))+SUMPRODUCT((Inputs!$C$5:$C$230=$B12)*ISNUMBER(INDEX(Inputs!$K$5:$AJ$230,0,MATCH(Z$2,Inputs!$K$4:$AJ$4,0))))+SUMPRODUCT((Inputs!$E$5:$E$230=$B12)*ISNUMBER(INDEX(Inputs!$K$5:$AJ$230,0,MATCH(Z$2,Inputs!$K$4:$AJ$4,0))))=0,NA(),SUMPRODUCT((Inputs!$A$5:$A$230=$B12)*Inputs!$B$5:$B$230*(((Inputs!$G$5:$G$230="moeda")+(Inputs!$G$5:$G$230="acoes"))*Inputs!$B$1+((Inputs!$G$5:$G$230&lt;&gt;"moeda")*(Inputs!$G$5:$G$230&lt;&gt;"acoes")))*INDEX(Inputs!$K$5:$AJ$230,0,MATCH(Z$2,Inputs!$K$4:$AJ$4,0)))+SUMPRODUCT((Inputs!$C$5:$C$230=$B12)*Inputs!$D$5:$D$230*(((Inputs!$G$5:$G$230="moeda")+(Inputs!$G$5:$G$230="acoes"))*Inputs!$B$1+((Inputs!$G$5:$G$230&lt;&gt;"moeda")*(Inputs!$G$5:$G$230&lt;&gt;"acoes")))*INDEX(Inputs!$K$5:$AJ$230,0,MATCH(Z$2,Inputs!$K$4:$AJ$4,0)))+SUMPRODUCT((Inputs!$E$5:$E$230=$B12)*Inputs!$F$5:$F$230*(((Inputs!$G$5:$G$230="moeda")+(Inputs!$G$5:$G$230="acoes"))*Inputs!$B$1+((Inputs!$G$5:$G$230&lt;&gt;"moeda")*(Inputs!$G$5:$G$230&lt;&gt;"acoes")))*INDEX(Inputs!$K$5:$AJ$230,0,MATCH(Z$2,Inputs!$K$4:$AJ$4,0)))))</f>
        <v>-43.206</v>
      </c>
      <c r="AA12" s="6">
        <f>IF(ISNA(MATCH(AA$2,Inputs!$K$4:$AJ$4,0)),NA(),IF(SUMPRODUCT((Inputs!$A$5:$A$230=$B12)*ISNUMBER(INDEX(Inputs!$K$5:$AJ$230,0,MATCH(AA$2,Inputs!$K$4:$AJ$4,0))))+SUMPRODUCT((Inputs!$C$5:$C$230=$B12)*ISNUMBER(INDEX(Inputs!$K$5:$AJ$230,0,MATCH(AA$2,Inputs!$K$4:$AJ$4,0))))+SUMPRODUCT((Inputs!$E$5:$E$230=$B12)*ISNUMBER(INDEX(Inputs!$K$5:$AJ$230,0,MATCH(AA$2,Inputs!$K$4:$AJ$4,0))))=0,NA(),SUMPRODUCT((Inputs!$A$5:$A$230=$B12)*Inputs!$B$5:$B$230*(((Inputs!$G$5:$G$230="moeda")+(Inputs!$G$5:$G$230="acoes"))*Inputs!$B$1+((Inputs!$G$5:$G$230&lt;&gt;"moeda")*(Inputs!$G$5:$G$230&lt;&gt;"acoes")))*INDEX(Inputs!$K$5:$AJ$230,0,MATCH(AA$2,Inputs!$K$4:$AJ$4,0)))+SUMPRODUCT((Inputs!$C$5:$C$230=$B12)*Inputs!$D$5:$D$230*(((Inputs!$G$5:$G$230="moeda")+(Inputs!$G$5:$G$230="acoes"))*Inputs!$B$1+((Inputs!$G$5:$G$230&lt;&gt;"moeda")*(Inputs!$G$5:$G$230&lt;&gt;"acoes")))*INDEX(Inputs!$K$5:$AJ$230,0,MATCH(AA$2,Inputs!$K$4:$AJ$4,0)))+SUMPRODUCT((Inputs!$E$5:$E$230=$B12)*Inputs!$F$5:$F$230*(((Inputs!$G$5:$G$230="moeda")+(Inputs!$G$5:$G$230="acoes"))*Inputs!$B$1+((Inputs!$G$5:$G$230&lt;&gt;"moeda")*(Inputs!$G$5:$G$230&lt;&gt;"acoes")))*INDEX(Inputs!$K$5:$AJ$230,0,MATCH(AA$2,Inputs!$K$4:$AJ$4,0)))))</f>
        <v>-148.939</v>
      </c>
      <c r="AB12" s="3">
        <f>SUM(X12:AA12)</f>
        <v>-517.634</v>
      </c>
      <c r="AC12" s="6">
        <f>IF(ISNA(MATCH(AC$2,Inputs!$K$4:$AJ$4,0)),NA(),IF(SUMPRODUCT((Inputs!$A$5:$A$230=$B12)*ISNUMBER(INDEX(Inputs!$K$5:$AJ$230,0,MATCH(AC$2,Inputs!$K$4:$AJ$4,0))))+SUMPRODUCT((Inputs!$C$5:$C$230=$B12)*ISNUMBER(INDEX(Inputs!$K$5:$AJ$230,0,MATCH(AC$2,Inputs!$K$4:$AJ$4,0))))+SUMPRODUCT((Inputs!$E$5:$E$230=$B12)*ISNUMBER(INDEX(Inputs!$K$5:$AJ$230,0,MATCH(AC$2,Inputs!$K$4:$AJ$4,0))))=0,NA(),SUMPRODUCT((Inputs!$A$5:$A$230=$B12)*Inputs!$B$5:$B$230*(((Inputs!$G$5:$G$230="moeda")+(Inputs!$G$5:$G$230="acoes"))*Inputs!$B$1+((Inputs!$G$5:$G$230&lt;&gt;"moeda")*(Inputs!$G$5:$G$230&lt;&gt;"acoes")))*INDEX(Inputs!$K$5:$AJ$230,0,MATCH(AC$2,Inputs!$K$4:$AJ$4,0)))+SUMPRODUCT((Inputs!$C$5:$C$230=$B12)*Inputs!$D$5:$D$230*(((Inputs!$G$5:$G$230="moeda")+(Inputs!$G$5:$G$230="acoes"))*Inputs!$B$1+((Inputs!$G$5:$G$230&lt;&gt;"moeda")*(Inputs!$G$5:$G$230&lt;&gt;"acoes")))*INDEX(Inputs!$K$5:$AJ$230,0,MATCH(AC$2,Inputs!$K$4:$AJ$4,0)))+SUMPRODUCT((Inputs!$E$5:$E$230=$B12)*Inputs!$F$5:$F$230*(((Inputs!$G$5:$G$230="moeda")+(Inputs!$G$5:$G$230="acoes"))*Inputs!$B$1+((Inputs!$G$5:$G$230&lt;&gt;"moeda")*(Inputs!$G$5:$G$230&lt;&gt;"acoes")))*INDEX(Inputs!$K$5:$AJ$230,0,MATCH(AC$2,Inputs!$K$4:$AJ$4,0)))))</f>
        <v>-139.779</v>
      </c>
      <c r="AD12" s="6">
        <f>IF(ISNA(MATCH(AD$2,Inputs!$K$4:$AJ$4,0)),NA(),IF(SUMPRODUCT((Inputs!$A$5:$A$230=$B12)*ISNUMBER(INDEX(Inputs!$K$5:$AJ$230,0,MATCH(AD$2,Inputs!$K$4:$AJ$4,0))))+SUMPRODUCT((Inputs!$C$5:$C$230=$B12)*ISNUMBER(INDEX(Inputs!$K$5:$AJ$230,0,MATCH(AD$2,Inputs!$K$4:$AJ$4,0))))+SUMPRODUCT((Inputs!$E$5:$E$230=$B12)*ISNUMBER(INDEX(Inputs!$K$5:$AJ$230,0,MATCH(AD$2,Inputs!$K$4:$AJ$4,0))))=0,NA(),SUMPRODUCT((Inputs!$A$5:$A$230=$B12)*Inputs!$B$5:$B$230*(((Inputs!$G$5:$G$230="moeda")+(Inputs!$G$5:$G$230="acoes"))*Inputs!$B$1+((Inputs!$G$5:$G$230&lt;&gt;"moeda")*(Inputs!$G$5:$G$230&lt;&gt;"acoes")))*INDEX(Inputs!$K$5:$AJ$230,0,MATCH(AD$2,Inputs!$K$4:$AJ$4,0)))+SUMPRODUCT((Inputs!$C$5:$C$230=$B12)*Inputs!$D$5:$D$230*(((Inputs!$G$5:$G$230="moeda")+(Inputs!$G$5:$G$230="acoes"))*Inputs!$B$1+((Inputs!$G$5:$G$230&lt;&gt;"moeda")*(Inputs!$G$5:$G$230&lt;&gt;"acoes")))*INDEX(Inputs!$K$5:$AJ$230,0,MATCH(AD$2,Inputs!$K$4:$AJ$4,0)))+SUMPRODUCT((Inputs!$E$5:$E$230=$B12)*Inputs!$F$5:$F$230*(((Inputs!$G$5:$G$230="moeda")+(Inputs!$G$5:$G$230="acoes"))*Inputs!$B$1+((Inputs!$G$5:$G$230&lt;&gt;"moeda")*(Inputs!$G$5:$G$230&lt;&gt;"acoes")))*INDEX(Inputs!$K$5:$AJ$230,0,MATCH(AD$2,Inputs!$K$4:$AJ$4,0)))))</f>
        <v>-295.846</v>
      </c>
      <c r="AE12" s="6" t="e">
        <f>IF(ISNA(MATCH(AE$2,Inputs!$K$4:$AJ$4,0)),NA(),IF(SUMPRODUCT((Inputs!$A$5:$A$230=$B12)*ISNUMBER(INDEX(Inputs!$K$5:$AJ$230,0,MATCH(AE$2,Inputs!$K$4:$AJ$4,0))))+SUMPRODUCT((Inputs!$C$5:$C$230=$B12)*ISNUMBER(INDEX(Inputs!$K$5:$AJ$230,0,MATCH(AE$2,Inputs!$K$4:$AJ$4,0))))+SUMPRODUCT((Inputs!$E$5:$E$230=$B12)*ISNUMBER(INDEX(Inputs!$K$5:$AJ$230,0,MATCH(AE$2,Inputs!$K$4:$AJ$4,0))))=0,NA(),SUMPRODUCT((Inputs!$A$5:$A$230=$B12)*Inputs!$B$5:$B$230*(((Inputs!$G$5:$G$230="moeda")+(Inputs!$G$5:$G$230="acoes"))*Inputs!$B$1+((Inputs!$G$5:$G$230&lt;&gt;"moeda")*(Inputs!$G$5:$G$230&lt;&gt;"acoes")))*INDEX(Inputs!$K$5:$AJ$230,0,MATCH(AE$2,Inputs!$K$4:$AJ$4,0)))+SUMPRODUCT((Inputs!$C$5:$C$230=$B12)*Inputs!$D$5:$D$230*(((Inputs!$G$5:$G$230="moeda")+(Inputs!$G$5:$G$230="acoes"))*Inputs!$B$1+((Inputs!$G$5:$G$230&lt;&gt;"moeda")*(Inputs!$G$5:$G$230&lt;&gt;"acoes")))*INDEX(Inputs!$K$5:$AJ$230,0,MATCH(AE$2,Inputs!$K$4:$AJ$4,0)))+SUMPRODUCT((Inputs!$E$5:$E$230=$B12)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2" s="6" t="e">
        <f>IF(ISNA(MATCH(AF$2,Inputs!$K$4:$AJ$4,0)),NA(),IF(SUMPRODUCT((Inputs!$A$5:$A$230=$B12)*ISNUMBER(INDEX(Inputs!$K$5:$AJ$230,0,MATCH(AF$2,Inputs!$K$4:$AJ$4,0))))+SUMPRODUCT((Inputs!$C$5:$C$230=$B12)*ISNUMBER(INDEX(Inputs!$K$5:$AJ$230,0,MATCH(AF$2,Inputs!$K$4:$AJ$4,0))))+SUMPRODUCT((Inputs!$E$5:$E$230=$B12)*ISNUMBER(INDEX(Inputs!$K$5:$AJ$230,0,MATCH(AF$2,Inputs!$K$4:$AJ$4,0))))=0,NA(),SUMPRODUCT((Inputs!$A$5:$A$230=$B12)*Inputs!$B$5:$B$230*(((Inputs!$G$5:$G$230="moeda")+(Inputs!$G$5:$G$230="acoes"))*Inputs!$B$1+((Inputs!$G$5:$G$230&lt;&gt;"moeda")*(Inputs!$G$5:$G$230&lt;&gt;"acoes")))*INDEX(Inputs!$K$5:$AJ$230,0,MATCH(AF$2,Inputs!$K$4:$AJ$4,0)))+SUMPRODUCT((Inputs!$C$5:$C$230=$B12)*Inputs!$D$5:$D$230*(((Inputs!$G$5:$G$230="moeda")+(Inputs!$G$5:$G$230="acoes"))*Inputs!$B$1+((Inputs!$G$5:$G$230&lt;&gt;"moeda")*(Inputs!$G$5:$G$230&lt;&gt;"acoes")))*INDEX(Inputs!$K$5:$AJ$230,0,MATCH(AF$2,Inputs!$K$4:$AJ$4,0)))+SUMPRODUCT((Inputs!$E$5:$E$230=$B12)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2" s="3" t="e">
        <f>SUM(AC12:AF12)</f>
        <v>#N/A</v>
      </c>
      <c r="AH12" s="6">
        <f>IF(ISNA(MATCH(AH$2,Inputs!$K$4:$AJ$4,0)),NA(),IF(SUMPRODUCT((Inputs!$A$5:$A$230=$B12)*ISNUMBER(INDEX(Inputs!$K$5:$AJ$230,0,MATCH(AH$2,Inputs!$K$4:$AJ$4,0))))+SUMPRODUCT((Inputs!$C$5:$C$230=$B12)*ISNUMBER(INDEX(Inputs!$K$5:$AJ$230,0,MATCH(AH$2,Inputs!$K$4:$AJ$4,0))))+SUMPRODUCT((Inputs!$E$5:$E$230=$B12)*ISNUMBER(INDEX(Inputs!$K$5:$AJ$230,0,MATCH(AH$2,Inputs!$K$4:$AJ$4,0))))=0,NA(),SUMPRODUCT((Inputs!$A$5:$A$230=$B12)*Inputs!$B$5:$B$230*(((Inputs!$G$5:$G$230="moeda")+(Inputs!$G$5:$G$230="acoes"))*Inputs!$B$1+((Inputs!$G$5:$G$230&lt;&gt;"moeda")*(Inputs!$G$5:$G$230&lt;&gt;"acoes")))*INDEX(Inputs!$K$5:$AJ$230,0,MATCH(AH$2,Inputs!$K$4:$AJ$4,0)))+SUMPRODUCT((Inputs!$C$5:$C$230=$B12)*Inputs!$D$5:$D$230*(((Inputs!$G$5:$G$230="moeda")+(Inputs!$G$5:$G$230="acoes"))*Inputs!$B$1+((Inputs!$G$5:$G$230&lt;&gt;"moeda")*(Inputs!$G$5:$G$230&lt;&gt;"acoes")))*INDEX(Inputs!$K$5:$AJ$230,0,MATCH(AH$2,Inputs!$K$4:$AJ$4,0)))+SUMPRODUCT((Inputs!$E$5:$E$230=$B12)*Inputs!$F$5:$F$230*(((Inputs!$G$5:$G$230="moeda")+(Inputs!$G$5:$G$230="acoes"))*Inputs!$B$1+((Inputs!$G$5:$G$230&lt;&gt;"moeda")*(Inputs!$G$5:$G$230&lt;&gt;"acoes")))*INDEX(Inputs!$K$5:$AJ$230,0,MATCH(AH$2,Inputs!$K$4:$AJ$4,0)))))</f>
        <v>-198.384</v>
      </c>
      <c r="AI12" s="6">
        <f>IF(ISNA(MATCH(AI$2,Inputs!$K$4:$AJ$4,0)),NA(),IF(SUMPRODUCT((Inputs!$A$5:$A$230=$B12)*ISNUMBER(INDEX(Inputs!$K$5:$AJ$230,0,MATCH(AI$2,Inputs!$K$4:$AJ$4,0))))+SUMPRODUCT((Inputs!$C$5:$C$230=$B12)*ISNUMBER(INDEX(Inputs!$K$5:$AJ$230,0,MATCH(AI$2,Inputs!$K$4:$AJ$4,0))))+SUMPRODUCT((Inputs!$E$5:$E$230=$B12)*ISNUMBER(INDEX(Inputs!$K$5:$AJ$230,0,MATCH(AI$2,Inputs!$K$4:$AJ$4,0))))=0,NA(),SUMPRODUCT((Inputs!$A$5:$A$230=$B12)*Inputs!$B$5:$B$230*(((Inputs!$G$5:$G$230="moeda")+(Inputs!$G$5:$G$230="acoes"))*Inputs!$B$1+((Inputs!$G$5:$G$230&lt;&gt;"moeda")*(Inputs!$G$5:$G$230&lt;&gt;"acoes")))*INDEX(Inputs!$K$5:$AJ$230,0,MATCH(AI$2,Inputs!$K$4:$AJ$4,0)))+SUMPRODUCT((Inputs!$C$5:$C$230=$B12)*Inputs!$D$5:$D$230*(((Inputs!$G$5:$G$230="moeda")+(Inputs!$G$5:$G$230="acoes"))*Inputs!$B$1+((Inputs!$G$5:$G$230&lt;&gt;"moeda")*(Inputs!$G$5:$G$230&lt;&gt;"acoes")))*INDEX(Inputs!$K$5:$AJ$230,0,MATCH(AI$2,Inputs!$K$4:$AJ$4,0)))+SUMPRODUCT((Inputs!$E$5:$E$230=$B12)*Inputs!$F$5:$F$230*(((Inputs!$G$5:$G$230="moeda")+(Inputs!$G$5:$G$230="acoes"))*Inputs!$B$1+((Inputs!$G$5:$G$230&lt;&gt;"moeda")*(Inputs!$G$5:$G$230&lt;&gt;"acoes")))*INDEX(Inputs!$K$5:$AJ$230,0,MATCH(AI$2,Inputs!$K$4:$AJ$4,0)))))</f>
        <v>-125.868</v>
      </c>
      <c r="AJ12" s="6">
        <f>IF(ISNA(MATCH(AJ$2,Inputs!$K$4:$AJ$4,0)),NA(),IF(SUMPRODUCT((Inputs!$A$5:$A$230=$B12)*ISNUMBER(INDEX(Inputs!$K$5:$AJ$230,0,MATCH(AJ$2,Inputs!$K$4:$AJ$4,0))))+SUMPRODUCT((Inputs!$C$5:$C$230=$B12)*ISNUMBER(INDEX(Inputs!$K$5:$AJ$230,0,MATCH(AJ$2,Inputs!$K$4:$AJ$4,0))))+SUMPRODUCT((Inputs!$E$5:$E$230=$B12)*ISNUMBER(INDEX(Inputs!$K$5:$AJ$230,0,MATCH(AJ$2,Inputs!$K$4:$AJ$4,0))))=0,NA(),SUMPRODUCT((Inputs!$A$5:$A$230=$B12)*Inputs!$B$5:$B$230*(((Inputs!$G$5:$G$230="moeda")+(Inputs!$G$5:$G$230="acoes"))*Inputs!$B$1+((Inputs!$G$5:$G$230&lt;&gt;"moeda")*(Inputs!$G$5:$G$230&lt;&gt;"acoes")))*INDEX(Inputs!$K$5:$AJ$230,0,MATCH(AJ$2,Inputs!$K$4:$AJ$4,0)))+SUMPRODUCT((Inputs!$C$5:$C$230=$B12)*Inputs!$D$5:$D$230*(((Inputs!$G$5:$G$230="moeda")+(Inputs!$G$5:$G$230="acoes"))*Inputs!$B$1+((Inputs!$G$5:$G$230&lt;&gt;"moeda")*(Inputs!$G$5:$G$230&lt;&gt;"acoes")))*INDEX(Inputs!$K$5:$AJ$230,0,MATCH(AJ$2,Inputs!$K$4:$AJ$4,0)))+SUMPRODUCT((Inputs!$E$5:$E$230=$B12)*Inputs!$F$5:$F$230*(((Inputs!$G$5:$G$230="moeda")+(Inputs!$G$5:$G$230="acoes"))*Inputs!$B$1+((Inputs!$G$5:$G$230&lt;&gt;"moeda")*(Inputs!$G$5:$G$230&lt;&gt;"acoes")))*INDEX(Inputs!$K$5:$AJ$230,0,MATCH(AJ$2,Inputs!$K$4:$AJ$4,0)))))</f>
        <v>-265.868</v>
      </c>
      <c r="AK12" s="6">
        <f>IF(ISNA(MATCH(AK$2,Inputs!$K$4:$AJ$4,0)),NA(),IF(SUMPRODUCT((Inputs!$A$5:$A$230=$B12)*ISNUMBER(INDEX(Inputs!$K$5:$AJ$230,0,MATCH(AK$2,Inputs!$K$4:$AJ$4,0))))+SUMPRODUCT((Inputs!$C$5:$C$230=$B12)*ISNUMBER(INDEX(Inputs!$K$5:$AJ$230,0,MATCH(AK$2,Inputs!$K$4:$AJ$4,0))))+SUMPRODUCT((Inputs!$E$5:$E$230=$B12)*ISNUMBER(INDEX(Inputs!$K$5:$AJ$230,0,MATCH(AK$2,Inputs!$K$4:$AJ$4,0))))=0,NA(),SUMPRODUCT((Inputs!$A$5:$A$230=$B12)*Inputs!$B$5:$B$230*(((Inputs!$G$5:$G$230="moeda")+(Inputs!$G$5:$G$230="acoes"))*Inputs!$B$1+((Inputs!$G$5:$G$230&lt;&gt;"moeda")*(Inputs!$G$5:$G$230&lt;&gt;"acoes")))*INDEX(Inputs!$K$5:$AJ$230,0,MATCH(AK$2,Inputs!$K$4:$AJ$4,0)))+SUMPRODUCT((Inputs!$C$5:$C$230=$B12)*Inputs!$D$5:$D$230*(((Inputs!$G$5:$G$230="moeda")+(Inputs!$G$5:$G$230="acoes"))*Inputs!$B$1+((Inputs!$G$5:$G$230&lt;&gt;"moeda")*(Inputs!$G$5:$G$230&lt;&gt;"acoes")))*INDEX(Inputs!$K$5:$AJ$230,0,MATCH(AK$2,Inputs!$K$4:$AJ$4,0)))+SUMPRODUCT((Inputs!$E$5:$E$230=$B12)*Inputs!$F$5:$F$230*(((Inputs!$G$5:$G$230="moeda")+(Inputs!$G$5:$G$230="acoes"))*Inputs!$B$1+((Inputs!$G$5:$G$230&lt;&gt;"moeda")*(Inputs!$G$5:$G$230&lt;&gt;"acoes")))*INDEX(Inputs!$K$5:$AJ$230,0,MATCH(AK$2,Inputs!$K$4:$AJ$4,0)))))</f>
        <v>-523.297</v>
      </c>
      <c r="AL12" s="3">
        <f>SUM(AH12:AK12)</f>
        <v>-1113.417</v>
      </c>
    </row>
    <row r="13">
      <c r="B13" s="46" t="n">
        <v>10</v>
      </c>
      <c r="C13" s="24" t="inlineStr">
        <is>
          <t>Common Dividends</t>
        </is>
      </c>
      <c r="D13" s="6" t="e">
        <f>IF(ISNA(MATCH(D$2,Inputs!$K$4:$AJ$4,0)),NA(),IF(SUMPRODUCT((Inputs!$A$5:$A$230=$B13)*ISNUMBER(INDEX(Inputs!$K$5:$AJ$230,0,MATCH(D$2,Inputs!$K$4:$AJ$4,0))))+SUMPRODUCT((Inputs!$C$5:$C$230=$B13)*ISNUMBER(INDEX(Inputs!$K$5:$AJ$230,0,MATCH(D$2,Inputs!$K$4:$AJ$4,0))))+SUMPRODUCT((Inputs!$E$5:$E$230=$B13)*ISNUMBER(INDEX(Inputs!$K$5:$AJ$230,0,MATCH(D$2,Inputs!$K$4:$AJ$4,0))))=0,NA(),SUMPRODUCT((Inputs!$A$5:$A$230=$B13)*Inputs!$B$5:$B$230*(((Inputs!$G$5:$G$230="moeda")+(Inputs!$G$5:$G$230="acoes"))*Inputs!$B$1+((Inputs!$G$5:$G$230&lt;&gt;"moeda")*(Inputs!$G$5:$G$230&lt;&gt;"acoes")))*INDEX(Inputs!$K$5:$AJ$230,0,MATCH(D$2,Inputs!$K$4:$AJ$4,0)))+SUMPRODUCT((Inputs!$C$5:$C$230=$B13)*Inputs!$D$5:$D$230*(((Inputs!$G$5:$G$230="moeda")+(Inputs!$G$5:$G$230="acoes"))*Inputs!$B$1+((Inputs!$G$5:$G$230&lt;&gt;"moeda")*(Inputs!$G$5:$G$230&lt;&gt;"acoes")))*INDEX(Inputs!$K$5:$AJ$230,0,MATCH(D$2,Inputs!$K$4:$AJ$4,0)))+SUMPRODUCT((Inputs!$E$5:$E$230=$B13)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13" s="6" t="e">
        <f>IF(ISNA(MATCH(E$2,Inputs!$K$4:$AJ$4,0)),NA(),IF(SUMPRODUCT((Inputs!$A$5:$A$230=$B13)*ISNUMBER(INDEX(Inputs!$K$5:$AJ$230,0,MATCH(E$2,Inputs!$K$4:$AJ$4,0))))+SUMPRODUCT((Inputs!$C$5:$C$230=$B13)*ISNUMBER(INDEX(Inputs!$K$5:$AJ$230,0,MATCH(E$2,Inputs!$K$4:$AJ$4,0))))+SUMPRODUCT((Inputs!$E$5:$E$230=$B13)*ISNUMBER(INDEX(Inputs!$K$5:$AJ$230,0,MATCH(E$2,Inputs!$K$4:$AJ$4,0))))=0,NA(),SUMPRODUCT((Inputs!$A$5:$A$230=$B13)*Inputs!$B$5:$B$230*(((Inputs!$G$5:$G$230="moeda")+(Inputs!$G$5:$G$230="acoes"))*Inputs!$B$1+((Inputs!$G$5:$G$230&lt;&gt;"moeda")*(Inputs!$G$5:$G$230&lt;&gt;"acoes")))*INDEX(Inputs!$K$5:$AJ$230,0,MATCH(E$2,Inputs!$K$4:$AJ$4,0)))+SUMPRODUCT((Inputs!$C$5:$C$230=$B13)*Inputs!$D$5:$D$230*(((Inputs!$G$5:$G$230="moeda")+(Inputs!$G$5:$G$230="acoes"))*Inputs!$B$1+((Inputs!$G$5:$G$230&lt;&gt;"moeda")*(Inputs!$G$5:$G$230&lt;&gt;"acoes")))*INDEX(Inputs!$K$5:$AJ$230,0,MATCH(E$2,Inputs!$K$4:$AJ$4,0)))+SUMPRODUCT((Inputs!$E$5:$E$230=$B13)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13" s="6" t="e">
        <f>IF(ISNA(MATCH(F$2,Inputs!$K$4:$AJ$4,0)),NA(),IF(SUMPRODUCT((Inputs!$A$5:$A$230=$B13)*ISNUMBER(INDEX(Inputs!$K$5:$AJ$230,0,MATCH(F$2,Inputs!$K$4:$AJ$4,0))))+SUMPRODUCT((Inputs!$C$5:$C$230=$B13)*ISNUMBER(INDEX(Inputs!$K$5:$AJ$230,0,MATCH(F$2,Inputs!$K$4:$AJ$4,0))))+SUMPRODUCT((Inputs!$E$5:$E$230=$B13)*ISNUMBER(INDEX(Inputs!$K$5:$AJ$230,0,MATCH(F$2,Inputs!$K$4:$AJ$4,0))))=0,NA(),SUMPRODUCT((Inputs!$A$5:$A$230=$B13)*Inputs!$B$5:$B$230*(((Inputs!$G$5:$G$230="moeda")+(Inputs!$G$5:$G$230="acoes"))*Inputs!$B$1+((Inputs!$G$5:$G$230&lt;&gt;"moeda")*(Inputs!$G$5:$G$230&lt;&gt;"acoes")))*INDEX(Inputs!$K$5:$AJ$230,0,MATCH(F$2,Inputs!$K$4:$AJ$4,0)))+SUMPRODUCT((Inputs!$C$5:$C$230=$B13)*Inputs!$D$5:$D$230*(((Inputs!$G$5:$G$230="moeda")+(Inputs!$G$5:$G$230="acoes"))*Inputs!$B$1+((Inputs!$G$5:$G$230&lt;&gt;"moeda")*(Inputs!$G$5:$G$230&lt;&gt;"acoes")))*INDEX(Inputs!$K$5:$AJ$230,0,MATCH(F$2,Inputs!$K$4:$AJ$4,0)))+SUMPRODUCT((Inputs!$E$5:$E$230=$B13)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13" s="6" t="e">
        <f>IF(ISNA(MATCH(G$2,Inputs!$K$4:$AJ$4,0)),NA(),IF(SUMPRODUCT((Inputs!$A$5:$A$230=$B13)*ISNUMBER(INDEX(Inputs!$K$5:$AJ$230,0,MATCH(G$2,Inputs!$K$4:$AJ$4,0))))+SUMPRODUCT((Inputs!$C$5:$C$230=$B13)*ISNUMBER(INDEX(Inputs!$K$5:$AJ$230,0,MATCH(G$2,Inputs!$K$4:$AJ$4,0))))+SUMPRODUCT((Inputs!$E$5:$E$230=$B13)*ISNUMBER(INDEX(Inputs!$K$5:$AJ$230,0,MATCH(G$2,Inputs!$K$4:$AJ$4,0))))=0,NA(),SUMPRODUCT((Inputs!$A$5:$A$230=$B13)*Inputs!$B$5:$B$230*(((Inputs!$G$5:$G$230="moeda")+(Inputs!$G$5:$G$230="acoes"))*Inputs!$B$1+((Inputs!$G$5:$G$230&lt;&gt;"moeda")*(Inputs!$G$5:$G$230&lt;&gt;"acoes")))*INDEX(Inputs!$K$5:$AJ$230,0,MATCH(G$2,Inputs!$K$4:$AJ$4,0)))+SUMPRODUCT((Inputs!$C$5:$C$230=$B13)*Inputs!$D$5:$D$230*(((Inputs!$G$5:$G$230="moeda")+(Inputs!$G$5:$G$230="acoes"))*Inputs!$B$1+((Inputs!$G$5:$G$230&lt;&gt;"moeda")*(Inputs!$G$5:$G$230&lt;&gt;"acoes")))*INDEX(Inputs!$K$5:$AJ$230,0,MATCH(G$2,Inputs!$K$4:$AJ$4,0)))+SUMPRODUCT((Inputs!$E$5:$E$230=$B13)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13" s="3" t="e">
        <f>SUM(D13:G13)</f>
        <v>#N/A</v>
      </c>
      <c r="I13" s="6" t="e">
        <f>IF(ISNA(MATCH(I$2,Inputs!$K$4:$AJ$4,0)),NA(),IF(SUMPRODUCT((Inputs!$A$5:$A$230=$B13)*ISNUMBER(INDEX(Inputs!$K$5:$AJ$230,0,MATCH(I$2,Inputs!$K$4:$AJ$4,0))))+SUMPRODUCT((Inputs!$C$5:$C$230=$B13)*ISNUMBER(INDEX(Inputs!$K$5:$AJ$230,0,MATCH(I$2,Inputs!$K$4:$AJ$4,0))))+SUMPRODUCT((Inputs!$E$5:$E$230=$B13)*ISNUMBER(INDEX(Inputs!$K$5:$AJ$230,0,MATCH(I$2,Inputs!$K$4:$AJ$4,0))))=0,NA(),SUMPRODUCT((Inputs!$A$5:$A$230=$B13)*Inputs!$B$5:$B$230*(((Inputs!$G$5:$G$230="moeda")+(Inputs!$G$5:$G$230="acoes"))*Inputs!$B$1+((Inputs!$G$5:$G$230&lt;&gt;"moeda")*(Inputs!$G$5:$G$230&lt;&gt;"acoes")))*INDEX(Inputs!$K$5:$AJ$230,0,MATCH(I$2,Inputs!$K$4:$AJ$4,0)))+SUMPRODUCT((Inputs!$C$5:$C$230=$B13)*Inputs!$D$5:$D$230*(((Inputs!$G$5:$G$230="moeda")+(Inputs!$G$5:$G$230="acoes"))*Inputs!$B$1+((Inputs!$G$5:$G$230&lt;&gt;"moeda")*(Inputs!$G$5:$G$230&lt;&gt;"acoes")))*INDEX(Inputs!$K$5:$AJ$230,0,MATCH(I$2,Inputs!$K$4:$AJ$4,0)))+SUMPRODUCT((Inputs!$E$5:$E$230=$B13)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13" s="6" t="e">
        <f>IF(ISNA(MATCH(J$2,Inputs!$K$4:$AJ$4,0)),NA(),IF(SUMPRODUCT((Inputs!$A$5:$A$230=$B13)*ISNUMBER(INDEX(Inputs!$K$5:$AJ$230,0,MATCH(J$2,Inputs!$K$4:$AJ$4,0))))+SUMPRODUCT((Inputs!$C$5:$C$230=$B13)*ISNUMBER(INDEX(Inputs!$K$5:$AJ$230,0,MATCH(J$2,Inputs!$K$4:$AJ$4,0))))+SUMPRODUCT((Inputs!$E$5:$E$230=$B13)*ISNUMBER(INDEX(Inputs!$K$5:$AJ$230,0,MATCH(J$2,Inputs!$K$4:$AJ$4,0))))=0,NA(),SUMPRODUCT((Inputs!$A$5:$A$230=$B13)*Inputs!$B$5:$B$230*(((Inputs!$G$5:$G$230="moeda")+(Inputs!$G$5:$G$230="acoes"))*Inputs!$B$1+((Inputs!$G$5:$G$230&lt;&gt;"moeda")*(Inputs!$G$5:$G$230&lt;&gt;"acoes")))*INDEX(Inputs!$K$5:$AJ$230,0,MATCH(J$2,Inputs!$K$4:$AJ$4,0)))+SUMPRODUCT((Inputs!$C$5:$C$230=$B13)*Inputs!$D$5:$D$230*(((Inputs!$G$5:$G$230="moeda")+(Inputs!$G$5:$G$230="acoes"))*Inputs!$B$1+((Inputs!$G$5:$G$230&lt;&gt;"moeda")*(Inputs!$G$5:$G$230&lt;&gt;"acoes")))*INDEX(Inputs!$K$5:$AJ$230,0,MATCH(J$2,Inputs!$K$4:$AJ$4,0)))+SUMPRODUCT((Inputs!$E$5:$E$230=$B13)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13" s="6" t="e">
        <f>IF(ISNA(MATCH(K$2,Inputs!$K$4:$AJ$4,0)),NA(),IF(SUMPRODUCT((Inputs!$A$5:$A$230=$B13)*ISNUMBER(INDEX(Inputs!$K$5:$AJ$230,0,MATCH(K$2,Inputs!$K$4:$AJ$4,0))))+SUMPRODUCT((Inputs!$C$5:$C$230=$B13)*ISNUMBER(INDEX(Inputs!$K$5:$AJ$230,0,MATCH(K$2,Inputs!$K$4:$AJ$4,0))))+SUMPRODUCT((Inputs!$E$5:$E$230=$B13)*ISNUMBER(INDEX(Inputs!$K$5:$AJ$230,0,MATCH(K$2,Inputs!$K$4:$AJ$4,0))))=0,NA(),SUMPRODUCT((Inputs!$A$5:$A$230=$B13)*Inputs!$B$5:$B$230*(((Inputs!$G$5:$G$230="moeda")+(Inputs!$G$5:$G$230="acoes"))*Inputs!$B$1+((Inputs!$G$5:$G$230&lt;&gt;"moeda")*(Inputs!$G$5:$G$230&lt;&gt;"acoes")))*INDEX(Inputs!$K$5:$AJ$230,0,MATCH(K$2,Inputs!$K$4:$AJ$4,0)))+SUMPRODUCT((Inputs!$C$5:$C$230=$B13)*Inputs!$D$5:$D$230*(((Inputs!$G$5:$G$230="moeda")+(Inputs!$G$5:$G$230="acoes"))*Inputs!$B$1+((Inputs!$G$5:$G$230&lt;&gt;"moeda")*(Inputs!$G$5:$G$230&lt;&gt;"acoes")))*INDEX(Inputs!$K$5:$AJ$230,0,MATCH(K$2,Inputs!$K$4:$AJ$4,0)))+SUMPRODUCT((Inputs!$E$5:$E$230=$B13)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13" s="6" t="e">
        <f>IF(ISNA(MATCH(L$2,Inputs!$K$4:$AJ$4,0)),NA(),IF(SUMPRODUCT((Inputs!$A$5:$A$230=$B13)*ISNUMBER(INDEX(Inputs!$K$5:$AJ$230,0,MATCH(L$2,Inputs!$K$4:$AJ$4,0))))+SUMPRODUCT((Inputs!$C$5:$C$230=$B13)*ISNUMBER(INDEX(Inputs!$K$5:$AJ$230,0,MATCH(L$2,Inputs!$K$4:$AJ$4,0))))+SUMPRODUCT((Inputs!$E$5:$E$230=$B13)*ISNUMBER(INDEX(Inputs!$K$5:$AJ$230,0,MATCH(L$2,Inputs!$K$4:$AJ$4,0))))=0,NA(),SUMPRODUCT((Inputs!$A$5:$A$230=$B13)*Inputs!$B$5:$B$230*(((Inputs!$G$5:$G$230="moeda")+(Inputs!$G$5:$G$230="acoes"))*Inputs!$B$1+((Inputs!$G$5:$G$230&lt;&gt;"moeda")*(Inputs!$G$5:$G$230&lt;&gt;"acoes")))*INDEX(Inputs!$K$5:$AJ$230,0,MATCH(L$2,Inputs!$K$4:$AJ$4,0)))+SUMPRODUCT((Inputs!$C$5:$C$230=$B13)*Inputs!$D$5:$D$230*(((Inputs!$G$5:$G$230="moeda")+(Inputs!$G$5:$G$230="acoes"))*Inputs!$B$1+((Inputs!$G$5:$G$230&lt;&gt;"moeda")*(Inputs!$G$5:$G$230&lt;&gt;"acoes")))*INDEX(Inputs!$K$5:$AJ$230,0,MATCH(L$2,Inputs!$K$4:$AJ$4,0)))+SUMPRODUCT((Inputs!$E$5:$E$230=$B13)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13" s="3" t="e">
        <f>SUM(I13:L13)</f>
        <v>#N/A</v>
      </c>
      <c r="N13" s="6" t="e">
        <f>IF(ISNA(MATCH(N$2,Inputs!$K$4:$AJ$4,0)),NA(),IF(SUMPRODUCT((Inputs!$A$5:$A$230=$B13)*ISNUMBER(INDEX(Inputs!$K$5:$AJ$230,0,MATCH(N$2,Inputs!$K$4:$AJ$4,0))))+SUMPRODUCT((Inputs!$C$5:$C$230=$B13)*ISNUMBER(INDEX(Inputs!$K$5:$AJ$230,0,MATCH(N$2,Inputs!$K$4:$AJ$4,0))))+SUMPRODUCT((Inputs!$E$5:$E$230=$B13)*ISNUMBER(INDEX(Inputs!$K$5:$AJ$230,0,MATCH(N$2,Inputs!$K$4:$AJ$4,0))))=0,NA(),SUMPRODUCT((Inputs!$A$5:$A$230=$B13)*Inputs!$B$5:$B$230*(((Inputs!$G$5:$G$230="moeda")+(Inputs!$G$5:$G$230="acoes"))*Inputs!$B$1+((Inputs!$G$5:$G$230&lt;&gt;"moeda")*(Inputs!$G$5:$G$230&lt;&gt;"acoes")))*INDEX(Inputs!$K$5:$AJ$230,0,MATCH(N$2,Inputs!$K$4:$AJ$4,0)))+SUMPRODUCT((Inputs!$C$5:$C$230=$B13)*Inputs!$D$5:$D$230*(((Inputs!$G$5:$G$230="moeda")+(Inputs!$G$5:$G$230="acoes"))*Inputs!$B$1+((Inputs!$G$5:$G$230&lt;&gt;"moeda")*(Inputs!$G$5:$G$230&lt;&gt;"acoes")))*INDEX(Inputs!$K$5:$AJ$230,0,MATCH(N$2,Inputs!$K$4:$AJ$4,0)))+SUMPRODUCT((Inputs!$E$5:$E$230=$B13)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13" s="6" t="e">
        <f>IF(ISNA(MATCH(O$2,Inputs!$K$4:$AJ$4,0)),NA(),IF(SUMPRODUCT((Inputs!$A$5:$A$230=$B13)*ISNUMBER(INDEX(Inputs!$K$5:$AJ$230,0,MATCH(O$2,Inputs!$K$4:$AJ$4,0))))+SUMPRODUCT((Inputs!$C$5:$C$230=$B13)*ISNUMBER(INDEX(Inputs!$K$5:$AJ$230,0,MATCH(O$2,Inputs!$K$4:$AJ$4,0))))+SUMPRODUCT((Inputs!$E$5:$E$230=$B13)*ISNUMBER(INDEX(Inputs!$K$5:$AJ$230,0,MATCH(O$2,Inputs!$K$4:$AJ$4,0))))=0,NA(),SUMPRODUCT((Inputs!$A$5:$A$230=$B13)*Inputs!$B$5:$B$230*(((Inputs!$G$5:$G$230="moeda")+(Inputs!$G$5:$G$230="acoes"))*Inputs!$B$1+((Inputs!$G$5:$G$230&lt;&gt;"moeda")*(Inputs!$G$5:$G$230&lt;&gt;"acoes")))*INDEX(Inputs!$K$5:$AJ$230,0,MATCH(O$2,Inputs!$K$4:$AJ$4,0)))+SUMPRODUCT((Inputs!$C$5:$C$230=$B13)*Inputs!$D$5:$D$230*(((Inputs!$G$5:$G$230="moeda")+(Inputs!$G$5:$G$230="acoes"))*Inputs!$B$1+((Inputs!$G$5:$G$230&lt;&gt;"moeda")*(Inputs!$G$5:$G$230&lt;&gt;"acoes")))*INDEX(Inputs!$K$5:$AJ$230,0,MATCH(O$2,Inputs!$K$4:$AJ$4,0)))+SUMPRODUCT((Inputs!$E$5:$E$230=$B13)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13" s="6" t="e">
        <f>IF(ISNA(MATCH(P$2,Inputs!$K$4:$AJ$4,0)),NA(),IF(SUMPRODUCT((Inputs!$A$5:$A$230=$B13)*ISNUMBER(INDEX(Inputs!$K$5:$AJ$230,0,MATCH(P$2,Inputs!$K$4:$AJ$4,0))))+SUMPRODUCT((Inputs!$C$5:$C$230=$B13)*ISNUMBER(INDEX(Inputs!$K$5:$AJ$230,0,MATCH(P$2,Inputs!$K$4:$AJ$4,0))))+SUMPRODUCT((Inputs!$E$5:$E$230=$B13)*ISNUMBER(INDEX(Inputs!$K$5:$AJ$230,0,MATCH(P$2,Inputs!$K$4:$AJ$4,0))))=0,NA(),SUMPRODUCT((Inputs!$A$5:$A$230=$B13)*Inputs!$B$5:$B$230*(((Inputs!$G$5:$G$230="moeda")+(Inputs!$G$5:$G$230="acoes"))*Inputs!$B$1+((Inputs!$G$5:$G$230&lt;&gt;"moeda")*(Inputs!$G$5:$G$230&lt;&gt;"acoes")))*INDEX(Inputs!$K$5:$AJ$230,0,MATCH(P$2,Inputs!$K$4:$AJ$4,0)))+SUMPRODUCT((Inputs!$C$5:$C$230=$B13)*Inputs!$D$5:$D$230*(((Inputs!$G$5:$G$230="moeda")+(Inputs!$G$5:$G$230="acoes"))*Inputs!$B$1+((Inputs!$G$5:$G$230&lt;&gt;"moeda")*(Inputs!$G$5:$G$230&lt;&gt;"acoes")))*INDEX(Inputs!$K$5:$AJ$230,0,MATCH(P$2,Inputs!$K$4:$AJ$4,0)))+SUMPRODUCT((Inputs!$E$5:$E$230=$B13)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13" s="6" t="e">
        <f>IF(ISNA(MATCH(Q$2,Inputs!$K$4:$AJ$4,0)),NA(),IF(SUMPRODUCT((Inputs!$A$5:$A$230=$B13)*ISNUMBER(INDEX(Inputs!$K$5:$AJ$230,0,MATCH(Q$2,Inputs!$K$4:$AJ$4,0))))+SUMPRODUCT((Inputs!$C$5:$C$230=$B13)*ISNUMBER(INDEX(Inputs!$K$5:$AJ$230,0,MATCH(Q$2,Inputs!$K$4:$AJ$4,0))))+SUMPRODUCT((Inputs!$E$5:$E$230=$B13)*ISNUMBER(INDEX(Inputs!$K$5:$AJ$230,0,MATCH(Q$2,Inputs!$K$4:$AJ$4,0))))=0,NA(),SUMPRODUCT((Inputs!$A$5:$A$230=$B13)*Inputs!$B$5:$B$230*(((Inputs!$G$5:$G$230="moeda")+(Inputs!$G$5:$G$230="acoes"))*Inputs!$B$1+((Inputs!$G$5:$G$230&lt;&gt;"moeda")*(Inputs!$G$5:$G$230&lt;&gt;"acoes")))*INDEX(Inputs!$K$5:$AJ$230,0,MATCH(Q$2,Inputs!$K$4:$AJ$4,0)))+SUMPRODUCT((Inputs!$C$5:$C$230=$B13)*Inputs!$D$5:$D$230*(((Inputs!$G$5:$G$230="moeda")+(Inputs!$G$5:$G$230="acoes"))*Inputs!$B$1+((Inputs!$G$5:$G$230&lt;&gt;"moeda")*(Inputs!$G$5:$G$230&lt;&gt;"acoes")))*INDEX(Inputs!$K$5:$AJ$230,0,MATCH(Q$2,Inputs!$K$4:$AJ$4,0)))+SUMPRODUCT((Inputs!$E$5:$E$230=$B13)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13" s="3" t="e">
        <f>SUM(N13:Q13)</f>
        <v>#N/A</v>
      </c>
      <c r="S13" s="6" t="e">
        <f>IF(ISNA(MATCH(S$2,Inputs!$K$4:$AJ$4,0)),NA(),IF(SUMPRODUCT((Inputs!$A$5:$A$230=$B13)*ISNUMBER(INDEX(Inputs!$K$5:$AJ$230,0,MATCH(S$2,Inputs!$K$4:$AJ$4,0))))+SUMPRODUCT((Inputs!$C$5:$C$230=$B13)*ISNUMBER(INDEX(Inputs!$K$5:$AJ$230,0,MATCH(S$2,Inputs!$K$4:$AJ$4,0))))+SUMPRODUCT((Inputs!$E$5:$E$230=$B13)*ISNUMBER(INDEX(Inputs!$K$5:$AJ$230,0,MATCH(S$2,Inputs!$K$4:$AJ$4,0))))=0,NA(),SUMPRODUCT((Inputs!$A$5:$A$230=$B13)*Inputs!$B$5:$B$230*(((Inputs!$G$5:$G$230="moeda")+(Inputs!$G$5:$G$230="acoes"))*Inputs!$B$1+((Inputs!$G$5:$G$230&lt;&gt;"moeda")*(Inputs!$G$5:$G$230&lt;&gt;"acoes")))*INDEX(Inputs!$K$5:$AJ$230,0,MATCH(S$2,Inputs!$K$4:$AJ$4,0)))+SUMPRODUCT((Inputs!$C$5:$C$230=$B13)*Inputs!$D$5:$D$230*(((Inputs!$G$5:$G$230="moeda")+(Inputs!$G$5:$G$230="acoes"))*Inputs!$B$1+((Inputs!$G$5:$G$230&lt;&gt;"moeda")*(Inputs!$G$5:$G$230&lt;&gt;"acoes")))*INDEX(Inputs!$K$5:$AJ$230,0,MATCH(S$2,Inputs!$K$4:$AJ$4,0)))+SUMPRODUCT((Inputs!$E$5:$E$230=$B13)*Inputs!$F$5:$F$230*(((Inputs!$G$5:$G$230="moeda")+(Inputs!$G$5:$G$230="acoes"))*Inputs!$B$1+((Inputs!$G$5:$G$230&lt;&gt;"moeda")*(Inputs!$G$5:$G$230&lt;&gt;"acoes")))*INDEX(Inputs!$K$5:$AJ$230,0,MATCH(S$2,Inputs!$K$4:$AJ$4,0)))))</f>
        <v>#N/A</v>
      </c>
      <c r="T13" s="6" t="e">
        <f>IF(ISNA(MATCH(T$2,Inputs!$K$4:$AJ$4,0)),NA(),IF(SUMPRODUCT((Inputs!$A$5:$A$230=$B13)*ISNUMBER(INDEX(Inputs!$K$5:$AJ$230,0,MATCH(T$2,Inputs!$K$4:$AJ$4,0))))+SUMPRODUCT((Inputs!$C$5:$C$230=$B13)*ISNUMBER(INDEX(Inputs!$K$5:$AJ$230,0,MATCH(T$2,Inputs!$K$4:$AJ$4,0))))+SUMPRODUCT((Inputs!$E$5:$E$230=$B13)*ISNUMBER(INDEX(Inputs!$K$5:$AJ$230,0,MATCH(T$2,Inputs!$K$4:$AJ$4,0))))=0,NA(),SUMPRODUCT((Inputs!$A$5:$A$230=$B13)*Inputs!$B$5:$B$230*(((Inputs!$G$5:$G$230="moeda")+(Inputs!$G$5:$G$230="acoes"))*Inputs!$B$1+((Inputs!$G$5:$G$230&lt;&gt;"moeda")*(Inputs!$G$5:$G$230&lt;&gt;"acoes")))*INDEX(Inputs!$K$5:$AJ$230,0,MATCH(T$2,Inputs!$K$4:$AJ$4,0)))+SUMPRODUCT((Inputs!$C$5:$C$230=$B13)*Inputs!$D$5:$D$230*(((Inputs!$G$5:$G$230="moeda")+(Inputs!$G$5:$G$230="acoes"))*Inputs!$B$1+((Inputs!$G$5:$G$230&lt;&gt;"moeda")*(Inputs!$G$5:$G$230&lt;&gt;"acoes")))*INDEX(Inputs!$K$5:$AJ$230,0,MATCH(T$2,Inputs!$K$4:$AJ$4,0)))+SUMPRODUCT((Inputs!$E$5:$E$230=$B13)*Inputs!$F$5:$F$230*(((Inputs!$G$5:$G$230="moeda")+(Inputs!$G$5:$G$230="acoes"))*Inputs!$B$1+((Inputs!$G$5:$G$230&lt;&gt;"moeda")*(Inputs!$G$5:$G$230&lt;&gt;"acoes")))*INDEX(Inputs!$K$5:$AJ$230,0,MATCH(T$2,Inputs!$K$4:$AJ$4,0)))))</f>
        <v>#N/A</v>
      </c>
      <c r="U13" s="6" t="e">
        <f>IF(ISNA(MATCH(U$2,Inputs!$K$4:$AJ$4,0)),NA(),IF(SUMPRODUCT((Inputs!$A$5:$A$230=$B13)*ISNUMBER(INDEX(Inputs!$K$5:$AJ$230,0,MATCH(U$2,Inputs!$K$4:$AJ$4,0))))+SUMPRODUCT((Inputs!$C$5:$C$230=$B13)*ISNUMBER(INDEX(Inputs!$K$5:$AJ$230,0,MATCH(U$2,Inputs!$K$4:$AJ$4,0))))+SUMPRODUCT((Inputs!$E$5:$E$230=$B13)*ISNUMBER(INDEX(Inputs!$K$5:$AJ$230,0,MATCH(U$2,Inputs!$K$4:$AJ$4,0))))=0,NA(),SUMPRODUCT((Inputs!$A$5:$A$230=$B13)*Inputs!$B$5:$B$230*(((Inputs!$G$5:$G$230="moeda")+(Inputs!$G$5:$G$230="acoes"))*Inputs!$B$1+((Inputs!$G$5:$G$230&lt;&gt;"moeda")*(Inputs!$G$5:$G$230&lt;&gt;"acoes")))*INDEX(Inputs!$K$5:$AJ$230,0,MATCH(U$2,Inputs!$K$4:$AJ$4,0)))+SUMPRODUCT((Inputs!$C$5:$C$230=$B13)*Inputs!$D$5:$D$230*(((Inputs!$G$5:$G$230="moeda")+(Inputs!$G$5:$G$230="acoes"))*Inputs!$B$1+((Inputs!$G$5:$G$230&lt;&gt;"moeda")*(Inputs!$G$5:$G$230&lt;&gt;"acoes")))*INDEX(Inputs!$K$5:$AJ$230,0,MATCH(U$2,Inputs!$K$4:$AJ$4,0)))+SUMPRODUCT((Inputs!$E$5:$E$230=$B13)*Inputs!$F$5:$F$230*(((Inputs!$G$5:$G$230="moeda")+(Inputs!$G$5:$G$230="acoes"))*Inputs!$B$1+((Inputs!$G$5:$G$230&lt;&gt;"moeda")*(Inputs!$G$5:$G$230&lt;&gt;"acoes")))*INDEX(Inputs!$K$5:$AJ$230,0,MATCH(U$2,Inputs!$K$4:$AJ$4,0)))))</f>
        <v>#N/A</v>
      </c>
      <c r="V13" s="6" t="e">
        <f>IF(ISNA(MATCH(V$2,Inputs!$K$4:$AJ$4,0)),NA(),IF(SUMPRODUCT((Inputs!$A$5:$A$230=$B13)*ISNUMBER(INDEX(Inputs!$K$5:$AJ$230,0,MATCH(V$2,Inputs!$K$4:$AJ$4,0))))+SUMPRODUCT((Inputs!$C$5:$C$230=$B13)*ISNUMBER(INDEX(Inputs!$K$5:$AJ$230,0,MATCH(V$2,Inputs!$K$4:$AJ$4,0))))+SUMPRODUCT((Inputs!$E$5:$E$230=$B13)*ISNUMBER(INDEX(Inputs!$K$5:$AJ$230,0,MATCH(V$2,Inputs!$K$4:$AJ$4,0))))=0,NA(),SUMPRODUCT((Inputs!$A$5:$A$230=$B13)*Inputs!$B$5:$B$230*(((Inputs!$G$5:$G$230="moeda")+(Inputs!$G$5:$G$230="acoes"))*Inputs!$B$1+((Inputs!$G$5:$G$230&lt;&gt;"moeda")*(Inputs!$G$5:$G$230&lt;&gt;"acoes")))*INDEX(Inputs!$K$5:$AJ$230,0,MATCH(V$2,Inputs!$K$4:$AJ$4,0)))+SUMPRODUCT((Inputs!$C$5:$C$230=$B13)*Inputs!$D$5:$D$230*(((Inputs!$G$5:$G$230="moeda")+(Inputs!$G$5:$G$230="acoes"))*Inputs!$B$1+((Inputs!$G$5:$G$230&lt;&gt;"moeda")*(Inputs!$G$5:$G$230&lt;&gt;"acoes")))*INDEX(Inputs!$K$5:$AJ$230,0,MATCH(V$2,Inputs!$K$4:$AJ$4,0)))+SUMPRODUCT((Inputs!$E$5:$E$230=$B13)*Inputs!$F$5:$F$230*(((Inputs!$G$5:$G$230="moeda")+(Inputs!$G$5:$G$230="acoes"))*Inputs!$B$1+((Inputs!$G$5:$G$230&lt;&gt;"moeda")*(Inputs!$G$5:$G$230&lt;&gt;"acoes")))*INDEX(Inputs!$K$5:$AJ$230,0,MATCH(V$2,Inputs!$K$4:$AJ$4,0)))))</f>
        <v>#N/A</v>
      </c>
      <c r="W13" s="3" t="e">
        <f>SUM(S13:V13)</f>
        <v>#N/A</v>
      </c>
      <c r="X13" s="6" t="e">
        <f>IF(ISNA(MATCH(X$2,Inputs!$K$4:$AJ$4,0)),NA(),IF(SUMPRODUCT((Inputs!$A$5:$A$230=$B13)*ISNUMBER(INDEX(Inputs!$K$5:$AJ$230,0,MATCH(X$2,Inputs!$K$4:$AJ$4,0))))+SUMPRODUCT((Inputs!$C$5:$C$230=$B13)*ISNUMBER(INDEX(Inputs!$K$5:$AJ$230,0,MATCH(X$2,Inputs!$K$4:$AJ$4,0))))+SUMPRODUCT((Inputs!$E$5:$E$230=$B13)*ISNUMBER(INDEX(Inputs!$K$5:$AJ$230,0,MATCH(X$2,Inputs!$K$4:$AJ$4,0))))=0,NA(),SUMPRODUCT((Inputs!$A$5:$A$230=$B13)*Inputs!$B$5:$B$230*(((Inputs!$G$5:$G$230="moeda")+(Inputs!$G$5:$G$230="acoes"))*Inputs!$B$1+((Inputs!$G$5:$G$230&lt;&gt;"moeda")*(Inputs!$G$5:$G$230&lt;&gt;"acoes")))*INDEX(Inputs!$K$5:$AJ$230,0,MATCH(X$2,Inputs!$K$4:$AJ$4,0)))+SUMPRODUCT((Inputs!$C$5:$C$230=$B13)*Inputs!$D$5:$D$230*(((Inputs!$G$5:$G$230="moeda")+(Inputs!$G$5:$G$230="acoes"))*Inputs!$B$1+((Inputs!$G$5:$G$230&lt;&gt;"moeda")*(Inputs!$G$5:$G$230&lt;&gt;"acoes")))*INDEX(Inputs!$K$5:$AJ$230,0,MATCH(X$2,Inputs!$K$4:$AJ$4,0)))+SUMPRODUCT((Inputs!$E$5:$E$230=$B13)*Inputs!$F$5:$F$230*(((Inputs!$G$5:$G$230="moeda")+(Inputs!$G$5:$G$230="acoes"))*Inputs!$B$1+((Inputs!$G$5:$G$230&lt;&gt;"moeda")*(Inputs!$G$5:$G$230&lt;&gt;"acoes")))*INDEX(Inputs!$K$5:$AJ$230,0,MATCH(X$2,Inputs!$K$4:$AJ$4,0)))))</f>
        <v>#N/A</v>
      </c>
      <c r="Y13" s="6" t="e">
        <f>IF(ISNA(MATCH(Y$2,Inputs!$K$4:$AJ$4,0)),NA(),IF(SUMPRODUCT((Inputs!$A$5:$A$230=$B13)*ISNUMBER(INDEX(Inputs!$K$5:$AJ$230,0,MATCH(Y$2,Inputs!$K$4:$AJ$4,0))))+SUMPRODUCT((Inputs!$C$5:$C$230=$B13)*ISNUMBER(INDEX(Inputs!$K$5:$AJ$230,0,MATCH(Y$2,Inputs!$K$4:$AJ$4,0))))+SUMPRODUCT((Inputs!$E$5:$E$230=$B13)*ISNUMBER(INDEX(Inputs!$K$5:$AJ$230,0,MATCH(Y$2,Inputs!$K$4:$AJ$4,0))))=0,NA(),SUMPRODUCT((Inputs!$A$5:$A$230=$B13)*Inputs!$B$5:$B$230*(((Inputs!$G$5:$G$230="moeda")+(Inputs!$G$5:$G$230="acoes"))*Inputs!$B$1+((Inputs!$G$5:$G$230&lt;&gt;"moeda")*(Inputs!$G$5:$G$230&lt;&gt;"acoes")))*INDEX(Inputs!$K$5:$AJ$230,0,MATCH(Y$2,Inputs!$K$4:$AJ$4,0)))+SUMPRODUCT((Inputs!$C$5:$C$230=$B13)*Inputs!$D$5:$D$230*(((Inputs!$G$5:$G$230="moeda")+(Inputs!$G$5:$G$230="acoes"))*Inputs!$B$1+((Inputs!$G$5:$G$230&lt;&gt;"moeda")*(Inputs!$G$5:$G$230&lt;&gt;"acoes")))*INDEX(Inputs!$K$5:$AJ$230,0,MATCH(Y$2,Inputs!$K$4:$AJ$4,0)))+SUMPRODUCT((Inputs!$E$5:$E$230=$B13)*Inputs!$F$5:$F$230*(((Inputs!$G$5:$G$230="moeda")+(Inputs!$G$5:$G$230="acoes"))*Inputs!$B$1+((Inputs!$G$5:$G$230&lt;&gt;"moeda")*(Inputs!$G$5:$G$230&lt;&gt;"acoes")))*INDEX(Inputs!$K$5:$AJ$230,0,MATCH(Y$2,Inputs!$K$4:$AJ$4,0)))))</f>
        <v>#N/A</v>
      </c>
      <c r="Z13" s="6" t="e">
        <f>IF(ISNA(MATCH(Z$2,Inputs!$K$4:$AJ$4,0)),NA(),IF(SUMPRODUCT((Inputs!$A$5:$A$230=$B13)*ISNUMBER(INDEX(Inputs!$K$5:$AJ$230,0,MATCH(Z$2,Inputs!$K$4:$AJ$4,0))))+SUMPRODUCT((Inputs!$C$5:$C$230=$B13)*ISNUMBER(INDEX(Inputs!$K$5:$AJ$230,0,MATCH(Z$2,Inputs!$K$4:$AJ$4,0))))+SUMPRODUCT((Inputs!$E$5:$E$230=$B13)*ISNUMBER(INDEX(Inputs!$K$5:$AJ$230,0,MATCH(Z$2,Inputs!$K$4:$AJ$4,0))))=0,NA(),SUMPRODUCT((Inputs!$A$5:$A$230=$B13)*Inputs!$B$5:$B$230*(((Inputs!$G$5:$G$230="moeda")+(Inputs!$G$5:$G$230="acoes"))*Inputs!$B$1+((Inputs!$G$5:$G$230&lt;&gt;"moeda")*(Inputs!$G$5:$G$230&lt;&gt;"acoes")))*INDEX(Inputs!$K$5:$AJ$230,0,MATCH(Z$2,Inputs!$K$4:$AJ$4,0)))+SUMPRODUCT((Inputs!$C$5:$C$230=$B13)*Inputs!$D$5:$D$230*(((Inputs!$G$5:$G$230="moeda")+(Inputs!$G$5:$G$230="acoes"))*Inputs!$B$1+((Inputs!$G$5:$G$230&lt;&gt;"moeda")*(Inputs!$G$5:$G$230&lt;&gt;"acoes")))*INDEX(Inputs!$K$5:$AJ$230,0,MATCH(Z$2,Inputs!$K$4:$AJ$4,0)))+SUMPRODUCT((Inputs!$E$5:$E$230=$B13)*Inputs!$F$5:$F$230*(((Inputs!$G$5:$G$230="moeda")+(Inputs!$G$5:$G$230="acoes"))*Inputs!$B$1+((Inputs!$G$5:$G$230&lt;&gt;"moeda")*(Inputs!$G$5:$G$230&lt;&gt;"acoes")))*INDEX(Inputs!$K$5:$AJ$230,0,MATCH(Z$2,Inputs!$K$4:$AJ$4,0)))))</f>
        <v>#N/A</v>
      </c>
      <c r="AA13" s="6" t="e">
        <f>IF(ISNA(MATCH(AA$2,Inputs!$K$4:$AJ$4,0)),NA(),IF(SUMPRODUCT((Inputs!$A$5:$A$230=$B13)*ISNUMBER(INDEX(Inputs!$K$5:$AJ$230,0,MATCH(AA$2,Inputs!$K$4:$AJ$4,0))))+SUMPRODUCT((Inputs!$C$5:$C$230=$B13)*ISNUMBER(INDEX(Inputs!$K$5:$AJ$230,0,MATCH(AA$2,Inputs!$K$4:$AJ$4,0))))+SUMPRODUCT((Inputs!$E$5:$E$230=$B13)*ISNUMBER(INDEX(Inputs!$K$5:$AJ$230,0,MATCH(AA$2,Inputs!$K$4:$AJ$4,0))))=0,NA(),SUMPRODUCT((Inputs!$A$5:$A$230=$B13)*Inputs!$B$5:$B$230*(((Inputs!$G$5:$G$230="moeda")+(Inputs!$G$5:$G$230="acoes"))*Inputs!$B$1+((Inputs!$G$5:$G$230&lt;&gt;"moeda")*(Inputs!$G$5:$G$230&lt;&gt;"acoes")))*INDEX(Inputs!$K$5:$AJ$230,0,MATCH(AA$2,Inputs!$K$4:$AJ$4,0)))+SUMPRODUCT((Inputs!$C$5:$C$230=$B13)*Inputs!$D$5:$D$230*(((Inputs!$G$5:$G$230="moeda")+(Inputs!$G$5:$G$230="acoes"))*Inputs!$B$1+((Inputs!$G$5:$G$230&lt;&gt;"moeda")*(Inputs!$G$5:$G$230&lt;&gt;"acoes")))*INDEX(Inputs!$K$5:$AJ$230,0,MATCH(AA$2,Inputs!$K$4:$AJ$4,0)))+SUMPRODUCT((Inputs!$E$5:$E$230=$B13)*Inputs!$F$5:$F$230*(((Inputs!$G$5:$G$230="moeda")+(Inputs!$G$5:$G$230="acoes"))*Inputs!$B$1+((Inputs!$G$5:$G$230&lt;&gt;"moeda")*(Inputs!$G$5:$G$230&lt;&gt;"acoes")))*INDEX(Inputs!$K$5:$AJ$230,0,MATCH(AA$2,Inputs!$K$4:$AJ$4,0)))))</f>
        <v>#N/A</v>
      </c>
      <c r="AB13" s="3" t="e">
        <f>SUM(X13:AA13)</f>
        <v>#N/A</v>
      </c>
      <c r="AC13" s="6" t="e">
        <f>IF(ISNA(MATCH(AC$2,Inputs!$K$4:$AJ$4,0)),NA(),IF(SUMPRODUCT((Inputs!$A$5:$A$230=$B13)*ISNUMBER(INDEX(Inputs!$K$5:$AJ$230,0,MATCH(AC$2,Inputs!$K$4:$AJ$4,0))))+SUMPRODUCT((Inputs!$C$5:$C$230=$B13)*ISNUMBER(INDEX(Inputs!$K$5:$AJ$230,0,MATCH(AC$2,Inputs!$K$4:$AJ$4,0))))+SUMPRODUCT((Inputs!$E$5:$E$230=$B13)*ISNUMBER(INDEX(Inputs!$K$5:$AJ$230,0,MATCH(AC$2,Inputs!$K$4:$AJ$4,0))))=0,NA(),SUMPRODUCT((Inputs!$A$5:$A$230=$B13)*Inputs!$B$5:$B$230*(((Inputs!$G$5:$G$230="moeda")+(Inputs!$G$5:$G$230="acoes"))*Inputs!$B$1+((Inputs!$G$5:$G$230&lt;&gt;"moeda")*(Inputs!$G$5:$G$230&lt;&gt;"acoes")))*INDEX(Inputs!$K$5:$AJ$230,0,MATCH(AC$2,Inputs!$K$4:$AJ$4,0)))+SUMPRODUCT((Inputs!$C$5:$C$230=$B13)*Inputs!$D$5:$D$230*(((Inputs!$G$5:$G$230="moeda")+(Inputs!$G$5:$G$230="acoes"))*Inputs!$B$1+((Inputs!$G$5:$G$230&lt;&gt;"moeda")*(Inputs!$G$5:$G$230&lt;&gt;"acoes")))*INDEX(Inputs!$K$5:$AJ$230,0,MATCH(AC$2,Inputs!$K$4:$AJ$4,0)))+SUMPRODUCT((Inputs!$E$5:$E$230=$B13)*Inputs!$F$5:$F$230*(((Inputs!$G$5:$G$230="moeda")+(Inputs!$G$5:$G$230="acoes"))*Inputs!$B$1+((Inputs!$G$5:$G$230&lt;&gt;"moeda")*(Inputs!$G$5:$G$230&lt;&gt;"acoes")))*INDEX(Inputs!$K$5:$AJ$230,0,MATCH(AC$2,Inputs!$K$4:$AJ$4,0)))))</f>
        <v>#N/A</v>
      </c>
      <c r="AD13" s="6" t="e">
        <f>IF(ISNA(MATCH(AD$2,Inputs!$K$4:$AJ$4,0)),NA(),IF(SUMPRODUCT((Inputs!$A$5:$A$230=$B13)*ISNUMBER(INDEX(Inputs!$K$5:$AJ$230,0,MATCH(AD$2,Inputs!$K$4:$AJ$4,0))))+SUMPRODUCT((Inputs!$C$5:$C$230=$B13)*ISNUMBER(INDEX(Inputs!$K$5:$AJ$230,0,MATCH(AD$2,Inputs!$K$4:$AJ$4,0))))+SUMPRODUCT((Inputs!$E$5:$E$230=$B13)*ISNUMBER(INDEX(Inputs!$K$5:$AJ$230,0,MATCH(AD$2,Inputs!$K$4:$AJ$4,0))))=0,NA(),SUMPRODUCT((Inputs!$A$5:$A$230=$B13)*Inputs!$B$5:$B$230*(((Inputs!$G$5:$G$230="moeda")+(Inputs!$G$5:$G$230="acoes"))*Inputs!$B$1+((Inputs!$G$5:$G$230&lt;&gt;"moeda")*(Inputs!$G$5:$G$230&lt;&gt;"acoes")))*INDEX(Inputs!$K$5:$AJ$230,0,MATCH(AD$2,Inputs!$K$4:$AJ$4,0)))+SUMPRODUCT((Inputs!$C$5:$C$230=$B13)*Inputs!$D$5:$D$230*(((Inputs!$G$5:$G$230="moeda")+(Inputs!$G$5:$G$230="acoes"))*Inputs!$B$1+((Inputs!$G$5:$G$230&lt;&gt;"moeda")*(Inputs!$G$5:$G$230&lt;&gt;"acoes")))*INDEX(Inputs!$K$5:$AJ$230,0,MATCH(AD$2,Inputs!$K$4:$AJ$4,0)))+SUMPRODUCT((Inputs!$E$5:$E$230=$B13)*Inputs!$F$5:$F$230*(((Inputs!$G$5:$G$230="moeda")+(Inputs!$G$5:$G$230="acoes"))*Inputs!$B$1+((Inputs!$G$5:$G$230&lt;&gt;"moeda")*(Inputs!$G$5:$G$230&lt;&gt;"acoes")))*INDEX(Inputs!$K$5:$AJ$230,0,MATCH(AD$2,Inputs!$K$4:$AJ$4,0)))))</f>
        <v>#N/A</v>
      </c>
      <c r="AE13" s="6" t="e">
        <f>IF(ISNA(MATCH(AE$2,Inputs!$K$4:$AJ$4,0)),NA(),IF(SUMPRODUCT((Inputs!$A$5:$A$230=$B13)*ISNUMBER(INDEX(Inputs!$K$5:$AJ$230,0,MATCH(AE$2,Inputs!$K$4:$AJ$4,0))))+SUMPRODUCT((Inputs!$C$5:$C$230=$B13)*ISNUMBER(INDEX(Inputs!$K$5:$AJ$230,0,MATCH(AE$2,Inputs!$K$4:$AJ$4,0))))+SUMPRODUCT((Inputs!$E$5:$E$230=$B13)*ISNUMBER(INDEX(Inputs!$K$5:$AJ$230,0,MATCH(AE$2,Inputs!$K$4:$AJ$4,0))))=0,NA(),SUMPRODUCT((Inputs!$A$5:$A$230=$B13)*Inputs!$B$5:$B$230*(((Inputs!$G$5:$G$230="moeda")+(Inputs!$G$5:$G$230="acoes"))*Inputs!$B$1+((Inputs!$G$5:$G$230&lt;&gt;"moeda")*(Inputs!$G$5:$G$230&lt;&gt;"acoes")))*INDEX(Inputs!$K$5:$AJ$230,0,MATCH(AE$2,Inputs!$K$4:$AJ$4,0)))+SUMPRODUCT((Inputs!$C$5:$C$230=$B13)*Inputs!$D$5:$D$230*(((Inputs!$G$5:$G$230="moeda")+(Inputs!$G$5:$G$230="acoes"))*Inputs!$B$1+((Inputs!$G$5:$G$230&lt;&gt;"moeda")*(Inputs!$G$5:$G$230&lt;&gt;"acoes")))*INDEX(Inputs!$K$5:$AJ$230,0,MATCH(AE$2,Inputs!$K$4:$AJ$4,0)))+SUMPRODUCT((Inputs!$E$5:$E$230=$B13)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3" s="6" t="e">
        <f>IF(ISNA(MATCH(AF$2,Inputs!$K$4:$AJ$4,0)),NA(),IF(SUMPRODUCT((Inputs!$A$5:$A$230=$B13)*ISNUMBER(INDEX(Inputs!$K$5:$AJ$230,0,MATCH(AF$2,Inputs!$K$4:$AJ$4,0))))+SUMPRODUCT((Inputs!$C$5:$C$230=$B13)*ISNUMBER(INDEX(Inputs!$K$5:$AJ$230,0,MATCH(AF$2,Inputs!$K$4:$AJ$4,0))))+SUMPRODUCT((Inputs!$E$5:$E$230=$B13)*ISNUMBER(INDEX(Inputs!$K$5:$AJ$230,0,MATCH(AF$2,Inputs!$K$4:$AJ$4,0))))=0,NA(),SUMPRODUCT((Inputs!$A$5:$A$230=$B13)*Inputs!$B$5:$B$230*(((Inputs!$G$5:$G$230="moeda")+(Inputs!$G$5:$G$230="acoes"))*Inputs!$B$1+((Inputs!$G$5:$G$230&lt;&gt;"moeda")*(Inputs!$G$5:$G$230&lt;&gt;"acoes")))*INDEX(Inputs!$K$5:$AJ$230,0,MATCH(AF$2,Inputs!$K$4:$AJ$4,0)))+SUMPRODUCT((Inputs!$C$5:$C$230=$B13)*Inputs!$D$5:$D$230*(((Inputs!$G$5:$G$230="moeda")+(Inputs!$G$5:$G$230="acoes"))*Inputs!$B$1+((Inputs!$G$5:$G$230&lt;&gt;"moeda")*(Inputs!$G$5:$G$230&lt;&gt;"acoes")))*INDEX(Inputs!$K$5:$AJ$230,0,MATCH(AF$2,Inputs!$K$4:$AJ$4,0)))+SUMPRODUCT((Inputs!$E$5:$E$230=$B13)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3" s="3" t="e">
        <f>SUM(AC13:AF13)</f>
        <v>#N/A</v>
      </c>
      <c r="AH13" s="6" t="e">
        <f>IF(ISNA(MATCH(AH$2,Inputs!$K$4:$AJ$4,0)),NA(),IF(SUMPRODUCT((Inputs!$A$5:$A$230=$B13)*ISNUMBER(INDEX(Inputs!$K$5:$AJ$230,0,MATCH(AH$2,Inputs!$K$4:$AJ$4,0))))+SUMPRODUCT((Inputs!$C$5:$C$230=$B13)*ISNUMBER(INDEX(Inputs!$K$5:$AJ$230,0,MATCH(AH$2,Inputs!$K$4:$AJ$4,0))))+SUMPRODUCT((Inputs!$E$5:$E$230=$B13)*ISNUMBER(INDEX(Inputs!$K$5:$AJ$230,0,MATCH(AH$2,Inputs!$K$4:$AJ$4,0))))=0,NA(),SUMPRODUCT((Inputs!$A$5:$A$230=$B13)*Inputs!$B$5:$B$230*(((Inputs!$G$5:$G$230="moeda")+(Inputs!$G$5:$G$230="acoes"))*Inputs!$B$1+((Inputs!$G$5:$G$230&lt;&gt;"moeda")*(Inputs!$G$5:$G$230&lt;&gt;"acoes")))*INDEX(Inputs!$K$5:$AJ$230,0,MATCH(AH$2,Inputs!$K$4:$AJ$4,0)))+SUMPRODUCT((Inputs!$C$5:$C$230=$B13)*Inputs!$D$5:$D$230*(((Inputs!$G$5:$G$230="moeda")+(Inputs!$G$5:$G$230="acoes"))*Inputs!$B$1+((Inputs!$G$5:$G$230&lt;&gt;"moeda")*(Inputs!$G$5:$G$230&lt;&gt;"acoes")))*INDEX(Inputs!$K$5:$AJ$230,0,MATCH(AH$2,Inputs!$K$4:$AJ$4,0)))+SUMPRODUCT((Inputs!$E$5:$E$230=$B13)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13" s="6" t="e">
        <f>IF(ISNA(MATCH(AI$2,Inputs!$K$4:$AJ$4,0)),NA(),IF(SUMPRODUCT((Inputs!$A$5:$A$230=$B13)*ISNUMBER(INDEX(Inputs!$K$5:$AJ$230,0,MATCH(AI$2,Inputs!$K$4:$AJ$4,0))))+SUMPRODUCT((Inputs!$C$5:$C$230=$B13)*ISNUMBER(INDEX(Inputs!$K$5:$AJ$230,0,MATCH(AI$2,Inputs!$K$4:$AJ$4,0))))+SUMPRODUCT((Inputs!$E$5:$E$230=$B13)*ISNUMBER(INDEX(Inputs!$K$5:$AJ$230,0,MATCH(AI$2,Inputs!$K$4:$AJ$4,0))))=0,NA(),SUMPRODUCT((Inputs!$A$5:$A$230=$B13)*Inputs!$B$5:$B$230*(((Inputs!$G$5:$G$230="moeda")+(Inputs!$G$5:$G$230="acoes"))*Inputs!$B$1+((Inputs!$G$5:$G$230&lt;&gt;"moeda")*(Inputs!$G$5:$G$230&lt;&gt;"acoes")))*INDEX(Inputs!$K$5:$AJ$230,0,MATCH(AI$2,Inputs!$K$4:$AJ$4,0)))+SUMPRODUCT((Inputs!$C$5:$C$230=$B13)*Inputs!$D$5:$D$230*(((Inputs!$G$5:$G$230="moeda")+(Inputs!$G$5:$G$230="acoes"))*Inputs!$B$1+((Inputs!$G$5:$G$230&lt;&gt;"moeda")*(Inputs!$G$5:$G$230&lt;&gt;"acoes")))*INDEX(Inputs!$K$5:$AJ$230,0,MATCH(AI$2,Inputs!$K$4:$AJ$4,0)))+SUMPRODUCT((Inputs!$E$5:$E$230=$B13)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13" s="6" t="e">
        <f>IF(ISNA(MATCH(AJ$2,Inputs!$K$4:$AJ$4,0)),NA(),IF(SUMPRODUCT((Inputs!$A$5:$A$230=$B13)*ISNUMBER(INDEX(Inputs!$K$5:$AJ$230,0,MATCH(AJ$2,Inputs!$K$4:$AJ$4,0))))+SUMPRODUCT((Inputs!$C$5:$C$230=$B13)*ISNUMBER(INDEX(Inputs!$K$5:$AJ$230,0,MATCH(AJ$2,Inputs!$K$4:$AJ$4,0))))+SUMPRODUCT((Inputs!$E$5:$E$230=$B13)*ISNUMBER(INDEX(Inputs!$K$5:$AJ$230,0,MATCH(AJ$2,Inputs!$K$4:$AJ$4,0))))=0,NA(),SUMPRODUCT((Inputs!$A$5:$A$230=$B13)*Inputs!$B$5:$B$230*(((Inputs!$G$5:$G$230="moeda")+(Inputs!$G$5:$G$230="acoes"))*Inputs!$B$1+((Inputs!$G$5:$G$230&lt;&gt;"moeda")*(Inputs!$G$5:$G$230&lt;&gt;"acoes")))*INDEX(Inputs!$K$5:$AJ$230,0,MATCH(AJ$2,Inputs!$K$4:$AJ$4,0)))+SUMPRODUCT((Inputs!$C$5:$C$230=$B13)*Inputs!$D$5:$D$230*(((Inputs!$G$5:$G$230="moeda")+(Inputs!$G$5:$G$230="acoes"))*Inputs!$B$1+((Inputs!$G$5:$G$230&lt;&gt;"moeda")*(Inputs!$G$5:$G$230&lt;&gt;"acoes")))*INDEX(Inputs!$K$5:$AJ$230,0,MATCH(AJ$2,Inputs!$K$4:$AJ$4,0)))+SUMPRODUCT((Inputs!$E$5:$E$230=$B13)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13" s="6" t="e">
        <f>IF(ISNA(MATCH(AK$2,Inputs!$K$4:$AJ$4,0)),NA(),IF(SUMPRODUCT((Inputs!$A$5:$A$230=$B13)*ISNUMBER(INDEX(Inputs!$K$5:$AJ$230,0,MATCH(AK$2,Inputs!$K$4:$AJ$4,0))))+SUMPRODUCT((Inputs!$C$5:$C$230=$B13)*ISNUMBER(INDEX(Inputs!$K$5:$AJ$230,0,MATCH(AK$2,Inputs!$K$4:$AJ$4,0))))+SUMPRODUCT((Inputs!$E$5:$E$230=$B13)*ISNUMBER(INDEX(Inputs!$K$5:$AJ$230,0,MATCH(AK$2,Inputs!$K$4:$AJ$4,0))))=0,NA(),SUMPRODUCT((Inputs!$A$5:$A$230=$B13)*Inputs!$B$5:$B$230*(((Inputs!$G$5:$G$230="moeda")+(Inputs!$G$5:$G$230="acoes"))*Inputs!$B$1+((Inputs!$G$5:$G$230&lt;&gt;"moeda")*(Inputs!$G$5:$G$230&lt;&gt;"acoes")))*INDEX(Inputs!$K$5:$AJ$230,0,MATCH(AK$2,Inputs!$K$4:$AJ$4,0)))+SUMPRODUCT((Inputs!$C$5:$C$230=$B13)*Inputs!$D$5:$D$230*(((Inputs!$G$5:$G$230="moeda")+(Inputs!$G$5:$G$230="acoes"))*Inputs!$B$1+((Inputs!$G$5:$G$230&lt;&gt;"moeda")*(Inputs!$G$5:$G$230&lt;&gt;"acoes")))*INDEX(Inputs!$K$5:$AJ$230,0,MATCH(AK$2,Inputs!$K$4:$AJ$4,0)))+SUMPRODUCT((Inputs!$E$5:$E$230=$B13)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13" s="3" t="e">
        <f>SUM(AH13:AK13)</f>
        <v>#N/A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$230=$B15)*ISNUMBER(INDEX(Inputs!$K$5:$AJ$230,0,MATCH(D$2,Inputs!$K$4:$AJ$4,0))))+SUMPRODUCT((Inputs!$C$5:$C$230=$B15)*ISNUMBER(INDEX(Inputs!$K$5:$AJ$230,0,MATCH(D$2,Inputs!$K$4:$AJ$4,0))))+SUMPRODUCT((Inputs!$E$5:$E$230=$B15)*ISNUMBER(INDEX(Inputs!$K$5:$AJ$230,0,MATCH(D$2,Inputs!$K$4:$AJ$4,0))))=0,NA(),SUMPRODUCT((Inputs!$A$5:$A$230=$B15)*Inputs!$B$5:$B$230*(((Inputs!$G$5:$G$230="moeda")+(Inputs!$G$5:$G$230="acoes"))*Inputs!$B$1+((Inputs!$G$5:$G$230&lt;&gt;"moeda")*(Inputs!$G$5:$G$230&lt;&gt;"acoes")))*INDEX(Inputs!$K$5:$AJ$230,0,MATCH(D$2,Inputs!$K$4:$AJ$4,0)))+SUMPRODUCT((Inputs!$C$5:$C$230=$B15)*Inputs!$D$5:$D$230*(((Inputs!$G$5:$G$230="moeda")+(Inputs!$G$5:$G$230="acoes"))*Inputs!$B$1+((Inputs!$G$5:$G$230&lt;&gt;"moeda")*(Inputs!$G$5:$G$230&lt;&gt;"acoes")))*INDEX(Inputs!$K$5:$AJ$230,0,MATCH(D$2,Inputs!$K$4:$AJ$4,0)))+SUMPRODUCT((Inputs!$E$5:$E$230=$B15)*Inputs!$F$5:$F$230*(((Inputs!$G$5:$G$230="moeda")+(Inputs!$G$5:$G$230="acoes"))*Inputs!$B$1+((Inputs!$G$5:$G$230&lt;&gt;"moeda")*(Inputs!$G$5:$G$230&lt;&gt;"acoes")))*INDEX(Inputs!$K$5:$AJ$230,0,MATCH(D$2,Inputs!$K$4:$AJ$4,0)))))</f>
        <v>1891.378</v>
      </c>
      <c r="E15" s="6">
        <f>IF(ISNA(MATCH(E$2,Inputs!$K$4:$AJ$4,0)),NA(),IF(SUMPRODUCT((Inputs!$A$5:$A$230=$B15)*ISNUMBER(INDEX(Inputs!$K$5:$AJ$230,0,MATCH(E$2,Inputs!$K$4:$AJ$4,0))))+SUMPRODUCT((Inputs!$C$5:$C$230=$B15)*ISNUMBER(INDEX(Inputs!$K$5:$AJ$230,0,MATCH(E$2,Inputs!$K$4:$AJ$4,0))))+SUMPRODUCT((Inputs!$E$5:$E$230=$B15)*ISNUMBER(INDEX(Inputs!$K$5:$AJ$230,0,MATCH(E$2,Inputs!$K$4:$AJ$4,0))))=0,NA(),SUMPRODUCT((Inputs!$A$5:$A$230=$B15)*Inputs!$B$5:$B$230*(((Inputs!$G$5:$G$230="moeda")+(Inputs!$G$5:$G$230="acoes"))*Inputs!$B$1+((Inputs!$G$5:$G$230&lt;&gt;"moeda")*(Inputs!$G$5:$G$230&lt;&gt;"acoes")))*INDEX(Inputs!$K$5:$AJ$230,0,MATCH(E$2,Inputs!$K$4:$AJ$4,0)))+SUMPRODUCT((Inputs!$C$5:$C$230=$B15)*Inputs!$D$5:$D$230*(((Inputs!$G$5:$G$230="moeda")+(Inputs!$G$5:$G$230="acoes"))*Inputs!$B$1+((Inputs!$G$5:$G$230&lt;&gt;"moeda")*(Inputs!$G$5:$G$230&lt;&gt;"acoes")))*INDEX(Inputs!$K$5:$AJ$230,0,MATCH(E$2,Inputs!$K$4:$AJ$4,0)))+SUMPRODUCT((Inputs!$E$5:$E$230=$B15)*Inputs!$F$5:$F$230*(((Inputs!$G$5:$G$230="moeda")+(Inputs!$G$5:$G$230="acoes"))*Inputs!$B$1+((Inputs!$G$5:$G$230&lt;&gt;"moeda")*(Inputs!$G$5:$G$230&lt;&gt;"acoes")))*INDEX(Inputs!$K$5:$AJ$230,0,MATCH(E$2,Inputs!$K$4:$AJ$4,0)))))</f>
        <v>1687.324</v>
      </c>
      <c r="F15" s="6">
        <f>IF(ISNA(MATCH(F$2,Inputs!$K$4:$AJ$4,0)),NA(),IF(SUMPRODUCT((Inputs!$A$5:$A$230=$B15)*ISNUMBER(INDEX(Inputs!$K$5:$AJ$230,0,MATCH(F$2,Inputs!$K$4:$AJ$4,0))))+SUMPRODUCT((Inputs!$C$5:$C$230=$B15)*ISNUMBER(INDEX(Inputs!$K$5:$AJ$230,0,MATCH(F$2,Inputs!$K$4:$AJ$4,0))))+SUMPRODUCT((Inputs!$E$5:$E$230=$B15)*ISNUMBER(INDEX(Inputs!$K$5:$AJ$230,0,MATCH(F$2,Inputs!$K$4:$AJ$4,0))))=0,NA(),SUMPRODUCT((Inputs!$A$5:$A$230=$B15)*Inputs!$B$5:$B$230*(((Inputs!$G$5:$G$230="moeda")+(Inputs!$G$5:$G$230="acoes"))*Inputs!$B$1+((Inputs!$G$5:$G$230&lt;&gt;"moeda")*(Inputs!$G$5:$G$230&lt;&gt;"acoes")))*INDEX(Inputs!$K$5:$AJ$230,0,MATCH(F$2,Inputs!$K$4:$AJ$4,0)))+SUMPRODUCT((Inputs!$C$5:$C$230=$B15)*Inputs!$D$5:$D$230*(((Inputs!$G$5:$G$230="moeda")+(Inputs!$G$5:$G$230="acoes"))*Inputs!$B$1+((Inputs!$G$5:$G$230&lt;&gt;"moeda")*(Inputs!$G$5:$G$230&lt;&gt;"acoes")))*INDEX(Inputs!$K$5:$AJ$230,0,MATCH(F$2,Inputs!$K$4:$AJ$4,0)))+SUMPRODUCT((Inputs!$E$5:$E$230=$B15)*Inputs!$F$5:$F$230*(((Inputs!$G$5:$G$230="moeda")+(Inputs!$G$5:$G$230="acoes"))*Inputs!$B$1+((Inputs!$G$5:$G$230&lt;&gt;"moeda")*(Inputs!$G$5:$G$230&lt;&gt;"acoes")))*INDEX(Inputs!$K$5:$AJ$230,0,MATCH(F$2,Inputs!$K$4:$AJ$4,0)))))</f>
        <v>1494.615</v>
      </c>
      <c r="G15" s="6">
        <f>IF(ISNA(MATCH(G$2,Inputs!$K$4:$AJ$4,0)),NA(),IF(SUMPRODUCT((Inputs!$A$5:$A$230=$B15)*ISNUMBER(INDEX(Inputs!$K$5:$AJ$230,0,MATCH(G$2,Inputs!$K$4:$AJ$4,0))))+SUMPRODUCT((Inputs!$C$5:$C$230=$B15)*ISNUMBER(INDEX(Inputs!$K$5:$AJ$230,0,MATCH(G$2,Inputs!$K$4:$AJ$4,0))))+SUMPRODUCT((Inputs!$E$5:$E$230=$B15)*ISNUMBER(INDEX(Inputs!$K$5:$AJ$230,0,MATCH(G$2,Inputs!$K$4:$AJ$4,0))))=0,NA(),SUMPRODUCT((Inputs!$A$5:$A$230=$B15)*Inputs!$B$5:$B$230*(((Inputs!$G$5:$G$230="moeda")+(Inputs!$G$5:$G$230="acoes"))*Inputs!$B$1+((Inputs!$G$5:$G$230&lt;&gt;"moeda")*(Inputs!$G$5:$G$230&lt;&gt;"acoes")))*INDEX(Inputs!$K$5:$AJ$230,0,MATCH(G$2,Inputs!$K$4:$AJ$4,0)))+SUMPRODUCT((Inputs!$C$5:$C$230=$B15)*Inputs!$D$5:$D$230*(((Inputs!$G$5:$G$230="moeda")+(Inputs!$G$5:$G$230="acoes"))*Inputs!$B$1+((Inputs!$G$5:$G$230&lt;&gt;"moeda")*(Inputs!$G$5:$G$230&lt;&gt;"acoes")))*INDEX(Inputs!$K$5:$AJ$230,0,MATCH(G$2,Inputs!$K$4:$AJ$4,0)))+SUMPRODUCT((Inputs!$E$5:$E$230=$B15)*Inputs!$F$5:$F$230*(((Inputs!$G$5:$G$230="moeda")+(Inputs!$G$5:$G$230="acoes"))*Inputs!$B$1+((Inputs!$G$5:$G$230&lt;&gt;"moeda")*(Inputs!$G$5:$G$230&lt;&gt;"acoes")))*INDEX(Inputs!$K$5:$AJ$230,0,MATCH(G$2,Inputs!$K$4:$AJ$4,0)))))</f>
        <v>1931.593</v>
      </c>
      <c r="H15" s="3">
        <f>G15</f>
        <v>1931.593</v>
      </c>
      <c r="I15" s="6">
        <f>IF(ISNA(MATCH(I$2,Inputs!$K$4:$AJ$4,0)),NA(),IF(SUMPRODUCT((Inputs!$A$5:$A$230=$B15)*ISNUMBER(INDEX(Inputs!$K$5:$AJ$230,0,MATCH(I$2,Inputs!$K$4:$AJ$4,0))))+SUMPRODUCT((Inputs!$C$5:$C$230=$B15)*ISNUMBER(INDEX(Inputs!$K$5:$AJ$230,0,MATCH(I$2,Inputs!$K$4:$AJ$4,0))))+SUMPRODUCT((Inputs!$E$5:$E$230=$B15)*ISNUMBER(INDEX(Inputs!$K$5:$AJ$230,0,MATCH(I$2,Inputs!$K$4:$AJ$4,0))))=0,NA(),SUMPRODUCT((Inputs!$A$5:$A$230=$B15)*Inputs!$B$5:$B$230*(((Inputs!$G$5:$G$230="moeda")+(Inputs!$G$5:$G$230="acoes"))*Inputs!$B$1+((Inputs!$G$5:$G$230&lt;&gt;"moeda")*(Inputs!$G$5:$G$230&lt;&gt;"acoes")))*INDEX(Inputs!$K$5:$AJ$230,0,MATCH(I$2,Inputs!$K$4:$AJ$4,0)))+SUMPRODUCT((Inputs!$C$5:$C$230=$B15)*Inputs!$D$5:$D$230*(((Inputs!$G$5:$G$230="moeda")+(Inputs!$G$5:$G$230="acoes"))*Inputs!$B$1+((Inputs!$G$5:$G$230&lt;&gt;"moeda")*(Inputs!$G$5:$G$230&lt;&gt;"acoes")))*INDEX(Inputs!$K$5:$AJ$230,0,MATCH(I$2,Inputs!$K$4:$AJ$4,0)))+SUMPRODUCT((Inputs!$E$5:$E$230=$B15)*Inputs!$F$5:$F$230*(((Inputs!$G$5:$G$230="moeda")+(Inputs!$G$5:$G$230="acoes"))*Inputs!$B$1+((Inputs!$G$5:$G$230&lt;&gt;"moeda")*(Inputs!$G$5:$G$230&lt;&gt;"acoes")))*INDEX(Inputs!$K$5:$AJ$230,0,MATCH(I$2,Inputs!$K$4:$AJ$4,0)))))</f>
        <v>2000.181</v>
      </c>
      <c r="J15" s="6">
        <f>IF(ISNA(MATCH(J$2,Inputs!$K$4:$AJ$4,0)),NA(),IF(SUMPRODUCT((Inputs!$A$5:$A$230=$B15)*ISNUMBER(INDEX(Inputs!$K$5:$AJ$230,0,MATCH(J$2,Inputs!$K$4:$AJ$4,0))))+SUMPRODUCT((Inputs!$C$5:$C$230=$B15)*ISNUMBER(INDEX(Inputs!$K$5:$AJ$230,0,MATCH(J$2,Inputs!$K$4:$AJ$4,0))))+SUMPRODUCT((Inputs!$E$5:$E$230=$B15)*ISNUMBER(INDEX(Inputs!$K$5:$AJ$230,0,MATCH(J$2,Inputs!$K$4:$AJ$4,0))))=0,NA(),SUMPRODUCT((Inputs!$A$5:$A$230=$B15)*Inputs!$B$5:$B$230*(((Inputs!$G$5:$G$230="moeda")+(Inputs!$G$5:$G$230="acoes"))*Inputs!$B$1+((Inputs!$G$5:$G$230&lt;&gt;"moeda")*(Inputs!$G$5:$G$230&lt;&gt;"acoes")))*INDEX(Inputs!$K$5:$AJ$230,0,MATCH(J$2,Inputs!$K$4:$AJ$4,0)))+SUMPRODUCT((Inputs!$C$5:$C$230=$B15)*Inputs!$D$5:$D$230*(((Inputs!$G$5:$G$230="moeda")+(Inputs!$G$5:$G$230="acoes"))*Inputs!$B$1+((Inputs!$G$5:$G$230&lt;&gt;"moeda")*(Inputs!$G$5:$G$230&lt;&gt;"acoes")))*INDEX(Inputs!$K$5:$AJ$230,0,MATCH(J$2,Inputs!$K$4:$AJ$4,0)))+SUMPRODUCT((Inputs!$E$5:$E$230=$B15)*Inputs!$F$5:$F$230*(((Inputs!$G$5:$G$230="moeda")+(Inputs!$G$5:$G$230="acoes"))*Inputs!$B$1+((Inputs!$G$5:$G$230&lt;&gt;"moeda")*(Inputs!$G$5:$G$230&lt;&gt;"acoes")))*INDEX(Inputs!$K$5:$AJ$230,0,MATCH(J$2,Inputs!$K$4:$AJ$4,0)))))</f>
        <v>2305.417</v>
      </c>
      <c r="K15" s="6">
        <f>IF(ISNA(MATCH(K$2,Inputs!$K$4:$AJ$4,0)),NA(),IF(SUMPRODUCT((Inputs!$A$5:$A$230=$B15)*ISNUMBER(INDEX(Inputs!$K$5:$AJ$230,0,MATCH(K$2,Inputs!$K$4:$AJ$4,0))))+SUMPRODUCT((Inputs!$C$5:$C$230=$B15)*ISNUMBER(INDEX(Inputs!$K$5:$AJ$230,0,MATCH(K$2,Inputs!$K$4:$AJ$4,0))))+SUMPRODUCT((Inputs!$E$5:$E$230=$B15)*ISNUMBER(INDEX(Inputs!$K$5:$AJ$230,0,MATCH(K$2,Inputs!$K$4:$AJ$4,0))))=0,NA(),SUMPRODUCT((Inputs!$A$5:$A$230=$B15)*Inputs!$B$5:$B$230*(((Inputs!$G$5:$G$230="moeda")+(Inputs!$G$5:$G$230="acoes"))*Inputs!$B$1+((Inputs!$G$5:$G$230&lt;&gt;"moeda")*(Inputs!$G$5:$G$230&lt;&gt;"acoes")))*INDEX(Inputs!$K$5:$AJ$230,0,MATCH(K$2,Inputs!$K$4:$AJ$4,0)))+SUMPRODUCT((Inputs!$C$5:$C$230=$B15)*Inputs!$D$5:$D$230*(((Inputs!$G$5:$G$230="moeda")+(Inputs!$G$5:$G$230="acoes"))*Inputs!$B$1+((Inputs!$G$5:$G$230&lt;&gt;"moeda")*(Inputs!$G$5:$G$230&lt;&gt;"acoes")))*INDEX(Inputs!$K$5:$AJ$230,0,MATCH(K$2,Inputs!$K$4:$AJ$4,0)))+SUMPRODUCT((Inputs!$E$5:$E$230=$B15)*Inputs!$F$5:$F$230*(((Inputs!$G$5:$G$230="moeda")+(Inputs!$G$5:$G$230="acoes"))*Inputs!$B$1+((Inputs!$G$5:$G$230&lt;&gt;"moeda")*(Inputs!$G$5:$G$230&lt;&gt;"acoes")))*INDEX(Inputs!$K$5:$AJ$230,0,MATCH(K$2,Inputs!$K$4:$AJ$4,0)))))</f>
        <v>2424.969</v>
      </c>
      <c r="L15" s="6">
        <f>IF(ISNA(MATCH(L$2,Inputs!$K$4:$AJ$4,0)),NA(),IF(SUMPRODUCT((Inputs!$A$5:$A$230=$B15)*ISNUMBER(INDEX(Inputs!$K$5:$AJ$230,0,MATCH(L$2,Inputs!$K$4:$AJ$4,0))))+SUMPRODUCT((Inputs!$C$5:$C$230=$B15)*ISNUMBER(INDEX(Inputs!$K$5:$AJ$230,0,MATCH(L$2,Inputs!$K$4:$AJ$4,0))))+SUMPRODUCT((Inputs!$E$5:$E$230=$B15)*ISNUMBER(INDEX(Inputs!$K$5:$AJ$230,0,MATCH(L$2,Inputs!$K$4:$AJ$4,0))))=0,NA(),SUMPRODUCT((Inputs!$A$5:$A$230=$B15)*Inputs!$B$5:$B$230*(((Inputs!$G$5:$G$230="moeda")+(Inputs!$G$5:$G$230="acoes"))*Inputs!$B$1+((Inputs!$G$5:$G$230&lt;&gt;"moeda")*(Inputs!$G$5:$G$230&lt;&gt;"acoes")))*INDEX(Inputs!$K$5:$AJ$230,0,MATCH(L$2,Inputs!$K$4:$AJ$4,0)))+SUMPRODUCT((Inputs!$C$5:$C$230=$B15)*Inputs!$D$5:$D$230*(((Inputs!$G$5:$G$230="moeda")+(Inputs!$G$5:$G$230="acoes"))*Inputs!$B$1+((Inputs!$G$5:$G$230&lt;&gt;"moeda")*(Inputs!$G$5:$G$230&lt;&gt;"acoes")))*INDEX(Inputs!$K$5:$AJ$230,0,MATCH(L$2,Inputs!$K$4:$AJ$4,0)))+SUMPRODUCT((Inputs!$E$5:$E$230=$B15)*Inputs!$F$5:$F$230*(((Inputs!$G$5:$G$230="moeda")+(Inputs!$G$5:$G$230="acoes"))*Inputs!$B$1+((Inputs!$G$5:$G$230&lt;&gt;"moeda")*(Inputs!$G$5:$G$230&lt;&gt;"acoes")))*INDEX(Inputs!$K$5:$AJ$230,0,MATCH(L$2,Inputs!$K$4:$AJ$4,0)))))</f>
        <v>2688.392</v>
      </c>
      <c r="M15" s="3">
        <f>L15</f>
        <v>2688.392</v>
      </c>
      <c r="N15" s="6">
        <f>IF(ISNA(MATCH(N$2,Inputs!$K$4:$AJ$4,0)),NA(),IF(SUMPRODUCT((Inputs!$A$5:$A$230=$B15)*ISNUMBER(INDEX(Inputs!$K$5:$AJ$230,0,MATCH(N$2,Inputs!$K$4:$AJ$4,0))))+SUMPRODUCT((Inputs!$C$5:$C$230=$B15)*ISNUMBER(INDEX(Inputs!$K$5:$AJ$230,0,MATCH(N$2,Inputs!$K$4:$AJ$4,0))))+SUMPRODUCT((Inputs!$E$5:$E$230=$B15)*ISNUMBER(INDEX(Inputs!$K$5:$AJ$230,0,MATCH(N$2,Inputs!$K$4:$AJ$4,0))))=0,NA(),SUMPRODUCT((Inputs!$A$5:$A$230=$B15)*Inputs!$B$5:$B$230*(((Inputs!$G$5:$G$230="moeda")+(Inputs!$G$5:$G$230="acoes"))*Inputs!$B$1+((Inputs!$G$5:$G$230&lt;&gt;"moeda")*(Inputs!$G$5:$G$230&lt;&gt;"acoes")))*INDEX(Inputs!$K$5:$AJ$230,0,MATCH(N$2,Inputs!$K$4:$AJ$4,0)))+SUMPRODUCT((Inputs!$C$5:$C$230=$B15)*Inputs!$D$5:$D$230*(((Inputs!$G$5:$G$230="moeda")+(Inputs!$G$5:$G$230="acoes"))*Inputs!$B$1+((Inputs!$G$5:$G$230&lt;&gt;"moeda")*(Inputs!$G$5:$G$230&lt;&gt;"acoes")))*INDEX(Inputs!$K$5:$AJ$230,0,MATCH(N$2,Inputs!$K$4:$AJ$4,0)))+SUMPRODUCT((Inputs!$E$5:$E$230=$B15)*Inputs!$F$5:$F$230*(((Inputs!$G$5:$G$230="moeda")+(Inputs!$G$5:$G$230="acoes"))*Inputs!$B$1+((Inputs!$G$5:$G$230&lt;&gt;"moeda")*(Inputs!$G$5:$G$230&lt;&gt;"acoes")))*INDEX(Inputs!$K$5:$AJ$230,0,MATCH(N$2,Inputs!$K$4:$AJ$4,0)))))</f>
        <v>2843.349</v>
      </c>
      <c r="O15" s="6">
        <f>IF(ISNA(MATCH(O$2,Inputs!$K$4:$AJ$4,0)),NA(),IF(SUMPRODUCT((Inputs!$A$5:$A$230=$B15)*ISNUMBER(INDEX(Inputs!$K$5:$AJ$230,0,MATCH(O$2,Inputs!$K$4:$AJ$4,0))))+SUMPRODUCT((Inputs!$C$5:$C$230=$B15)*ISNUMBER(INDEX(Inputs!$K$5:$AJ$230,0,MATCH(O$2,Inputs!$K$4:$AJ$4,0))))+SUMPRODUCT((Inputs!$E$5:$E$230=$B15)*ISNUMBER(INDEX(Inputs!$K$5:$AJ$230,0,MATCH(O$2,Inputs!$K$4:$AJ$4,0))))=0,NA(),SUMPRODUCT((Inputs!$A$5:$A$230=$B15)*Inputs!$B$5:$B$230*(((Inputs!$G$5:$G$230="moeda")+(Inputs!$G$5:$G$230="acoes"))*Inputs!$B$1+((Inputs!$G$5:$G$230&lt;&gt;"moeda")*(Inputs!$G$5:$G$230&lt;&gt;"acoes")))*INDEX(Inputs!$K$5:$AJ$230,0,MATCH(O$2,Inputs!$K$4:$AJ$4,0)))+SUMPRODUCT((Inputs!$C$5:$C$230=$B15)*Inputs!$D$5:$D$230*(((Inputs!$G$5:$G$230="moeda")+(Inputs!$G$5:$G$230="acoes"))*Inputs!$B$1+((Inputs!$G$5:$G$230&lt;&gt;"moeda")*(Inputs!$G$5:$G$230&lt;&gt;"acoes")))*INDEX(Inputs!$K$5:$AJ$230,0,MATCH(O$2,Inputs!$K$4:$AJ$4,0)))+SUMPRODUCT((Inputs!$E$5:$E$230=$B15)*Inputs!$F$5:$F$230*(((Inputs!$G$5:$G$230="moeda")+(Inputs!$G$5:$G$230="acoes"))*Inputs!$B$1+((Inputs!$G$5:$G$230&lt;&gt;"moeda")*(Inputs!$G$5:$G$230&lt;&gt;"acoes")))*INDEX(Inputs!$K$5:$AJ$230,0,MATCH(O$2,Inputs!$K$4:$AJ$4,0)))))</f>
        <v>2595.83</v>
      </c>
      <c r="P15" s="6">
        <f>IF(ISNA(MATCH(P$2,Inputs!$K$4:$AJ$4,0)),NA(),IF(SUMPRODUCT((Inputs!$A$5:$A$230=$B15)*ISNUMBER(INDEX(Inputs!$K$5:$AJ$230,0,MATCH(P$2,Inputs!$K$4:$AJ$4,0))))+SUMPRODUCT((Inputs!$C$5:$C$230=$B15)*ISNUMBER(INDEX(Inputs!$K$5:$AJ$230,0,MATCH(P$2,Inputs!$K$4:$AJ$4,0))))+SUMPRODUCT((Inputs!$E$5:$E$230=$B15)*ISNUMBER(INDEX(Inputs!$K$5:$AJ$230,0,MATCH(P$2,Inputs!$K$4:$AJ$4,0))))=0,NA(),SUMPRODUCT((Inputs!$A$5:$A$230=$B15)*Inputs!$B$5:$B$230*(((Inputs!$G$5:$G$230="moeda")+(Inputs!$G$5:$G$230="acoes"))*Inputs!$B$1+((Inputs!$G$5:$G$230&lt;&gt;"moeda")*(Inputs!$G$5:$G$230&lt;&gt;"acoes")))*INDEX(Inputs!$K$5:$AJ$230,0,MATCH(P$2,Inputs!$K$4:$AJ$4,0)))+SUMPRODUCT((Inputs!$C$5:$C$230=$B15)*Inputs!$D$5:$D$230*(((Inputs!$G$5:$G$230="moeda")+(Inputs!$G$5:$G$230="acoes"))*Inputs!$B$1+((Inputs!$G$5:$G$230&lt;&gt;"moeda")*(Inputs!$G$5:$G$230&lt;&gt;"acoes")))*INDEX(Inputs!$K$5:$AJ$230,0,MATCH(P$2,Inputs!$K$4:$AJ$4,0)))+SUMPRODUCT((Inputs!$E$5:$E$230=$B15)*Inputs!$F$5:$F$230*(((Inputs!$G$5:$G$230="moeda")+(Inputs!$G$5:$G$230="acoes"))*Inputs!$B$1+((Inputs!$G$5:$G$230&lt;&gt;"moeda")*(Inputs!$G$5:$G$230&lt;&gt;"acoes")))*INDEX(Inputs!$K$5:$AJ$230,0,MATCH(P$2,Inputs!$K$4:$AJ$4,0)))))</f>
        <v>2716.198</v>
      </c>
      <c r="Q15" s="6">
        <f>IF(ISNA(MATCH(Q$2,Inputs!$K$4:$AJ$4,0)),NA(),IF(SUMPRODUCT((Inputs!$A$5:$A$230=$B15)*ISNUMBER(INDEX(Inputs!$K$5:$AJ$230,0,MATCH(Q$2,Inputs!$K$4:$AJ$4,0))))+SUMPRODUCT((Inputs!$C$5:$C$230=$B15)*ISNUMBER(INDEX(Inputs!$K$5:$AJ$230,0,MATCH(Q$2,Inputs!$K$4:$AJ$4,0))))+SUMPRODUCT((Inputs!$E$5:$E$230=$B15)*ISNUMBER(INDEX(Inputs!$K$5:$AJ$230,0,MATCH(Q$2,Inputs!$K$4:$AJ$4,0))))=0,NA(),SUMPRODUCT((Inputs!$A$5:$A$230=$B15)*Inputs!$B$5:$B$230*(((Inputs!$G$5:$G$230="moeda")+(Inputs!$G$5:$G$230="acoes"))*Inputs!$B$1+((Inputs!$G$5:$G$230&lt;&gt;"moeda")*(Inputs!$G$5:$G$230&lt;&gt;"acoes")))*INDEX(Inputs!$K$5:$AJ$230,0,MATCH(Q$2,Inputs!$K$4:$AJ$4,0)))+SUMPRODUCT((Inputs!$C$5:$C$230=$B15)*Inputs!$D$5:$D$230*(((Inputs!$G$5:$G$230="moeda")+(Inputs!$G$5:$G$230="acoes"))*Inputs!$B$1+((Inputs!$G$5:$G$230&lt;&gt;"moeda")*(Inputs!$G$5:$G$230&lt;&gt;"acoes")))*INDEX(Inputs!$K$5:$AJ$230,0,MATCH(Q$2,Inputs!$K$4:$AJ$4,0)))+SUMPRODUCT((Inputs!$E$5:$E$230=$B15)*Inputs!$F$5:$F$230*(((Inputs!$G$5:$G$230="moeda")+(Inputs!$G$5:$G$230="acoes"))*Inputs!$B$1+((Inputs!$G$5:$G$230&lt;&gt;"moeda")*(Inputs!$G$5:$G$230&lt;&gt;"acoes")))*INDEX(Inputs!$K$5:$AJ$230,0,MATCH(Q$2,Inputs!$K$4:$AJ$4,0)))))</f>
        <v>2831.551</v>
      </c>
      <c r="R15" s="3">
        <f>Q15</f>
        <v>2831.551</v>
      </c>
      <c r="S15" s="6">
        <f>IF(ISNA(MATCH(S$2,Inputs!$K$4:$AJ$4,0)),NA(),IF(SUMPRODUCT((Inputs!$A$5:$A$230=$B15)*ISNUMBER(INDEX(Inputs!$K$5:$AJ$230,0,MATCH(S$2,Inputs!$K$4:$AJ$4,0))))+SUMPRODUCT((Inputs!$C$5:$C$230=$B15)*ISNUMBER(INDEX(Inputs!$K$5:$AJ$230,0,MATCH(S$2,Inputs!$K$4:$AJ$4,0))))+SUMPRODUCT((Inputs!$E$5:$E$230=$B15)*ISNUMBER(INDEX(Inputs!$K$5:$AJ$230,0,MATCH(S$2,Inputs!$K$4:$AJ$4,0))))=0,NA(),SUMPRODUCT((Inputs!$A$5:$A$230=$B15)*Inputs!$B$5:$B$230*(((Inputs!$G$5:$G$230="moeda")+(Inputs!$G$5:$G$230="acoes"))*Inputs!$B$1+((Inputs!$G$5:$G$230&lt;&gt;"moeda")*(Inputs!$G$5:$G$230&lt;&gt;"acoes")))*INDEX(Inputs!$K$5:$AJ$230,0,MATCH(S$2,Inputs!$K$4:$AJ$4,0)))+SUMPRODUCT((Inputs!$C$5:$C$230=$B15)*Inputs!$D$5:$D$230*(((Inputs!$G$5:$G$230="moeda")+(Inputs!$G$5:$G$230="acoes"))*Inputs!$B$1+((Inputs!$G$5:$G$230&lt;&gt;"moeda")*(Inputs!$G$5:$G$230&lt;&gt;"acoes")))*INDEX(Inputs!$K$5:$AJ$230,0,MATCH(S$2,Inputs!$K$4:$AJ$4,0)))+SUMPRODUCT((Inputs!$E$5:$E$230=$B15)*Inputs!$F$5:$F$230*(((Inputs!$G$5:$G$230="moeda")+(Inputs!$G$5:$G$230="acoes"))*Inputs!$B$1+((Inputs!$G$5:$G$230&lt;&gt;"moeda")*(Inputs!$G$5:$G$230&lt;&gt;"acoes")))*INDEX(Inputs!$K$5:$AJ$230,0,MATCH(S$2,Inputs!$K$4:$AJ$4,0)))))</f>
        <v>2990.387</v>
      </c>
      <c r="T15" s="6">
        <f>IF(ISNA(MATCH(T$2,Inputs!$K$4:$AJ$4,0)),NA(),IF(SUMPRODUCT((Inputs!$A$5:$A$230=$B15)*ISNUMBER(INDEX(Inputs!$K$5:$AJ$230,0,MATCH(T$2,Inputs!$K$4:$AJ$4,0))))+SUMPRODUCT((Inputs!$C$5:$C$230=$B15)*ISNUMBER(INDEX(Inputs!$K$5:$AJ$230,0,MATCH(T$2,Inputs!$K$4:$AJ$4,0))))+SUMPRODUCT((Inputs!$E$5:$E$230=$B15)*ISNUMBER(INDEX(Inputs!$K$5:$AJ$230,0,MATCH(T$2,Inputs!$K$4:$AJ$4,0))))=0,NA(),SUMPRODUCT((Inputs!$A$5:$A$230=$B15)*Inputs!$B$5:$B$230*(((Inputs!$G$5:$G$230="moeda")+(Inputs!$G$5:$G$230="acoes"))*Inputs!$B$1+((Inputs!$G$5:$G$230&lt;&gt;"moeda")*(Inputs!$G$5:$G$230&lt;&gt;"acoes")))*INDEX(Inputs!$K$5:$AJ$230,0,MATCH(T$2,Inputs!$K$4:$AJ$4,0)))+SUMPRODUCT((Inputs!$C$5:$C$230=$B15)*Inputs!$D$5:$D$230*(((Inputs!$G$5:$G$230="moeda")+(Inputs!$G$5:$G$230="acoes"))*Inputs!$B$1+((Inputs!$G$5:$G$230&lt;&gt;"moeda")*(Inputs!$G$5:$G$230&lt;&gt;"acoes")))*INDEX(Inputs!$K$5:$AJ$230,0,MATCH(T$2,Inputs!$K$4:$AJ$4,0)))+SUMPRODUCT((Inputs!$E$5:$E$230=$B15)*Inputs!$F$5:$F$230*(((Inputs!$G$5:$G$230="moeda")+(Inputs!$G$5:$G$230="acoes"))*Inputs!$B$1+((Inputs!$G$5:$G$230&lt;&gt;"moeda")*(Inputs!$G$5:$G$230&lt;&gt;"acoes")))*INDEX(Inputs!$K$5:$AJ$230,0,MATCH(T$2,Inputs!$K$4:$AJ$4,0)))))</f>
        <v>3757.01</v>
      </c>
      <c r="U15" s="6">
        <f>IF(ISNA(MATCH(U$2,Inputs!$K$4:$AJ$4,0)),NA(),IF(SUMPRODUCT((Inputs!$A$5:$A$230=$B15)*ISNUMBER(INDEX(Inputs!$K$5:$AJ$230,0,MATCH(U$2,Inputs!$K$4:$AJ$4,0))))+SUMPRODUCT((Inputs!$C$5:$C$230=$B15)*ISNUMBER(INDEX(Inputs!$K$5:$AJ$230,0,MATCH(U$2,Inputs!$K$4:$AJ$4,0))))+SUMPRODUCT((Inputs!$E$5:$E$230=$B15)*ISNUMBER(INDEX(Inputs!$K$5:$AJ$230,0,MATCH(U$2,Inputs!$K$4:$AJ$4,0))))=0,NA(),SUMPRODUCT((Inputs!$A$5:$A$230=$B15)*Inputs!$B$5:$B$230*(((Inputs!$G$5:$G$230="moeda")+(Inputs!$G$5:$G$230="acoes"))*Inputs!$B$1+((Inputs!$G$5:$G$230&lt;&gt;"moeda")*(Inputs!$G$5:$G$230&lt;&gt;"acoes")))*INDEX(Inputs!$K$5:$AJ$230,0,MATCH(U$2,Inputs!$K$4:$AJ$4,0)))+SUMPRODUCT((Inputs!$C$5:$C$230=$B15)*Inputs!$D$5:$D$230*(((Inputs!$G$5:$G$230="moeda")+(Inputs!$G$5:$G$230="acoes"))*Inputs!$B$1+((Inputs!$G$5:$G$230&lt;&gt;"moeda")*(Inputs!$G$5:$G$230&lt;&gt;"acoes")))*INDEX(Inputs!$K$5:$AJ$230,0,MATCH(U$2,Inputs!$K$4:$AJ$4,0)))+SUMPRODUCT((Inputs!$E$5:$E$230=$B15)*Inputs!$F$5:$F$230*(((Inputs!$G$5:$G$230="moeda")+(Inputs!$G$5:$G$230="acoes"))*Inputs!$B$1+((Inputs!$G$5:$G$230&lt;&gt;"moeda")*(Inputs!$G$5:$G$230&lt;&gt;"acoes")))*INDEX(Inputs!$K$5:$AJ$230,0,MATCH(U$2,Inputs!$K$4:$AJ$4,0)))))</f>
        <v>3509.1</v>
      </c>
      <c r="V15" s="6">
        <f>IF(ISNA(MATCH(V$2,Inputs!$K$4:$AJ$4,0)),NA(),IF(SUMPRODUCT((Inputs!$A$5:$A$230=$B15)*ISNUMBER(INDEX(Inputs!$K$5:$AJ$230,0,MATCH(V$2,Inputs!$K$4:$AJ$4,0))))+SUMPRODUCT((Inputs!$C$5:$C$230=$B15)*ISNUMBER(INDEX(Inputs!$K$5:$AJ$230,0,MATCH(V$2,Inputs!$K$4:$AJ$4,0))))+SUMPRODUCT((Inputs!$E$5:$E$230=$B15)*ISNUMBER(INDEX(Inputs!$K$5:$AJ$230,0,MATCH(V$2,Inputs!$K$4:$AJ$4,0))))=0,NA(),SUMPRODUCT((Inputs!$A$5:$A$230=$B15)*Inputs!$B$5:$B$230*(((Inputs!$G$5:$G$230="moeda")+(Inputs!$G$5:$G$230="acoes"))*Inputs!$B$1+((Inputs!$G$5:$G$230&lt;&gt;"moeda")*(Inputs!$G$5:$G$230&lt;&gt;"acoes")))*INDEX(Inputs!$K$5:$AJ$230,0,MATCH(V$2,Inputs!$K$4:$AJ$4,0)))+SUMPRODUCT((Inputs!$C$5:$C$230=$B15)*Inputs!$D$5:$D$230*(((Inputs!$G$5:$G$230="moeda")+(Inputs!$G$5:$G$230="acoes"))*Inputs!$B$1+((Inputs!$G$5:$G$230&lt;&gt;"moeda")*(Inputs!$G$5:$G$230&lt;&gt;"acoes")))*INDEX(Inputs!$K$5:$AJ$230,0,MATCH(V$2,Inputs!$K$4:$AJ$4,0)))+SUMPRODUCT((Inputs!$E$5:$E$230=$B15)*Inputs!$F$5:$F$230*(((Inputs!$G$5:$G$230="moeda")+(Inputs!$G$5:$G$230="acoes"))*Inputs!$B$1+((Inputs!$G$5:$G$230&lt;&gt;"moeda")*(Inputs!$G$5:$G$230&lt;&gt;"acoes")))*INDEX(Inputs!$K$5:$AJ$230,0,MATCH(V$2,Inputs!$K$4:$AJ$4,0)))))</f>
        <v>3544.259</v>
      </c>
      <c r="W15" s="3">
        <f>V15</f>
        <v>3544.259</v>
      </c>
      <c r="X15" s="6">
        <f>IF(ISNA(MATCH(X$2,Inputs!$K$4:$AJ$4,0)),NA(),IF(SUMPRODUCT((Inputs!$A$5:$A$230=$B15)*ISNUMBER(INDEX(Inputs!$K$5:$AJ$230,0,MATCH(X$2,Inputs!$K$4:$AJ$4,0))))+SUMPRODUCT((Inputs!$C$5:$C$230=$B15)*ISNUMBER(INDEX(Inputs!$K$5:$AJ$230,0,MATCH(X$2,Inputs!$K$4:$AJ$4,0))))+SUMPRODUCT((Inputs!$E$5:$E$230=$B15)*ISNUMBER(INDEX(Inputs!$K$5:$AJ$230,0,MATCH(X$2,Inputs!$K$4:$AJ$4,0))))=0,NA(),SUMPRODUCT((Inputs!$A$5:$A$230=$B15)*Inputs!$B$5:$B$230*(((Inputs!$G$5:$G$230="moeda")+(Inputs!$G$5:$G$230="acoes"))*Inputs!$B$1+((Inputs!$G$5:$G$230&lt;&gt;"moeda")*(Inputs!$G$5:$G$230&lt;&gt;"acoes")))*INDEX(Inputs!$K$5:$AJ$230,0,MATCH(X$2,Inputs!$K$4:$AJ$4,0)))+SUMPRODUCT((Inputs!$C$5:$C$230=$B15)*Inputs!$D$5:$D$230*(((Inputs!$G$5:$G$230="moeda")+(Inputs!$G$5:$G$230="acoes"))*Inputs!$B$1+((Inputs!$G$5:$G$230&lt;&gt;"moeda")*(Inputs!$G$5:$G$230&lt;&gt;"acoes")))*INDEX(Inputs!$K$5:$AJ$230,0,MATCH(X$2,Inputs!$K$4:$AJ$4,0)))+SUMPRODUCT((Inputs!$E$5:$E$230=$B15)*Inputs!$F$5:$F$230*(((Inputs!$G$5:$G$230="moeda")+(Inputs!$G$5:$G$230="acoes"))*Inputs!$B$1+((Inputs!$G$5:$G$230&lt;&gt;"moeda")*(Inputs!$G$5:$G$230&lt;&gt;"acoes")))*INDEX(Inputs!$K$5:$AJ$230,0,MATCH(X$2,Inputs!$K$4:$AJ$4,0)))))</f>
        <v>3678.198</v>
      </c>
      <c r="Y15" s="6">
        <f>IF(ISNA(MATCH(Y$2,Inputs!$K$4:$AJ$4,0)),NA(),IF(SUMPRODUCT((Inputs!$A$5:$A$230=$B15)*ISNUMBER(INDEX(Inputs!$K$5:$AJ$230,0,MATCH(Y$2,Inputs!$K$4:$AJ$4,0))))+SUMPRODUCT((Inputs!$C$5:$C$230=$B15)*ISNUMBER(INDEX(Inputs!$K$5:$AJ$230,0,MATCH(Y$2,Inputs!$K$4:$AJ$4,0))))+SUMPRODUCT((Inputs!$E$5:$E$230=$B15)*ISNUMBER(INDEX(Inputs!$K$5:$AJ$230,0,MATCH(Y$2,Inputs!$K$4:$AJ$4,0))))=0,NA(),SUMPRODUCT((Inputs!$A$5:$A$230=$B15)*Inputs!$B$5:$B$230*(((Inputs!$G$5:$G$230="moeda")+(Inputs!$G$5:$G$230="acoes"))*Inputs!$B$1+((Inputs!$G$5:$G$230&lt;&gt;"moeda")*(Inputs!$G$5:$G$230&lt;&gt;"acoes")))*INDEX(Inputs!$K$5:$AJ$230,0,MATCH(Y$2,Inputs!$K$4:$AJ$4,0)))+SUMPRODUCT((Inputs!$C$5:$C$230=$B15)*Inputs!$D$5:$D$230*(((Inputs!$G$5:$G$230="moeda")+(Inputs!$G$5:$G$230="acoes"))*Inputs!$B$1+((Inputs!$G$5:$G$230&lt;&gt;"moeda")*(Inputs!$G$5:$G$230&lt;&gt;"acoes")))*INDEX(Inputs!$K$5:$AJ$230,0,MATCH(Y$2,Inputs!$K$4:$AJ$4,0)))+SUMPRODUCT((Inputs!$E$5:$E$230=$B15)*Inputs!$F$5:$F$230*(((Inputs!$G$5:$G$230="moeda")+(Inputs!$G$5:$G$230="acoes"))*Inputs!$B$1+((Inputs!$G$5:$G$230&lt;&gt;"moeda")*(Inputs!$G$5:$G$230&lt;&gt;"acoes")))*INDEX(Inputs!$K$5:$AJ$230,0,MATCH(Y$2,Inputs!$K$4:$AJ$4,0)))))</f>
        <v>3696.42</v>
      </c>
      <c r="Z15" s="6">
        <f>IF(ISNA(MATCH(Z$2,Inputs!$K$4:$AJ$4,0)),NA(),IF(SUMPRODUCT((Inputs!$A$5:$A$230=$B15)*ISNUMBER(INDEX(Inputs!$K$5:$AJ$230,0,MATCH(Z$2,Inputs!$K$4:$AJ$4,0))))+SUMPRODUCT((Inputs!$C$5:$C$230=$B15)*ISNUMBER(INDEX(Inputs!$K$5:$AJ$230,0,MATCH(Z$2,Inputs!$K$4:$AJ$4,0))))+SUMPRODUCT((Inputs!$E$5:$E$230=$B15)*ISNUMBER(INDEX(Inputs!$K$5:$AJ$230,0,MATCH(Z$2,Inputs!$K$4:$AJ$4,0))))=0,NA(),SUMPRODUCT((Inputs!$A$5:$A$230=$B15)*Inputs!$B$5:$B$230*(((Inputs!$G$5:$G$230="moeda")+(Inputs!$G$5:$G$230="acoes"))*Inputs!$B$1+((Inputs!$G$5:$G$230&lt;&gt;"moeda")*(Inputs!$G$5:$G$230&lt;&gt;"acoes")))*INDEX(Inputs!$K$5:$AJ$230,0,MATCH(Z$2,Inputs!$K$4:$AJ$4,0)))+SUMPRODUCT((Inputs!$C$5:$C$230=$B15)*Inputs!$D$5:$D$230*(((Inputs!$G$5:$G$230="moeda")+(Inputs!$G$5:$G$230="acoes"))*Inputs!$B$1+((Inputs!$G$5:$G$230&lt;&gt;"moeda")*(Inputs!$G$5:$G$230&lt;&gt;"acoes")))*INDEX(Inputs!$K$5:$AJ$230,0,MATCH(Z$2,Inputs!$K$4:$AJ$4,0)))+SUMPRODUCT((Inputs!$E$5:$E$230=$B15)*Inputs!$F$5:$F$230*(((Inputs!$G$5:$G$230="moeda")+(Inputs!$G$5:$G$230="acoes"))*Inputs!$B$1+((Inputs!$G$5:$G$230&lt;&gt;"moeda")*(Inputs!$G$5:$G$230&lt;&gt;"acoes")))*INDEX(Inputs!$K$5:$AJ$230,0,MATCH(Z$2,Inputs!$K$4:$AJ$4,0)))))</f>
        <v>3224.187</v>
      </c>
      <c r="AA15" s="6">
        <f>IF(ISNA(MATCH(AA$2,Inputs!$K$4:$AJ$4,0)),NA(),IF(SUMPRODUCT((Inputs!$A$5:$A$230=$B15)*ISNUMBER(INDEX(Inputs!$K$5:$AJ$230,0,MATCH(AA$2,Inputs!$K$4:$AJ$4,0))))+SUMPRODUCT((Inputs!$C$5:$C$230=$B15)*ISNUMBER(INDEX(Inputs!$K$5:$AJ$230,0,MATCH(AA$2,Inputs!$K$4:$AJ$4,0))))+SUMPRODUCT((Inputs!$E$5:$E$230=$B15)*ISNUMBER(INDEX(Inputs!$K$5:$AJ$230,0,MATCH(AA$2,Inputs!$K$4:$AJ$4,0))))=0,NA(),SUMPRODUCT((Inputs!$A$5:$A$230=$B15)*Inputs!$B$5:$B$230*(((Inputs!$G$5:$G$230="moeda")+(Inputs!$G$5:$G$230="acoes"))*Inputs!$B$1+((Inputs!$G$5:$G$230&lt;&gt;"moeda")*(Inputs!$G$5:$G$230&lt;&gt;"acoes")))*INDEX(Inputs!$K$5:$AJ$230,0,MATCH(AA$2,Inputs!$K$4:$AJ$4,0)))+SUMPRODUCT((Inputs!$C$5:$C$230=$B15)*Inputs!$D$5:$D$230*(((Inputs!$G$5:$G$230="moeda")+(Inputs!$G$5:$G$230="acoes"))*Inputs!$B$1+((Inputs!$G$5:$G$230&lt;&gt;"moeda")*(Inputs!$G$5:$G$230&lt;&gt;"acoes")))*INDEX(Inputs!$K$5:$AJ$230,0,MATCH(AA$2,Inputs!$K$4:$AJ$4,0)))+SUMPRODUCT((Inputs!$E$5:$E$230=$B15)*Inputs!$F$5:$F$230*(((Inputs!$G$5:$G$230="moeda")+(Inputs!$G$5:$G$230="acoes"))*Inputs!$B$1+((Inputs!$G$5:$G$230&lt;&gt;"moeda")*(Inputs!$G$5:$G$230&lt;&gt;"acoes")))*INDEX(Inputs!$K$5:$AJ$230,0,MATCH(AA$2,Inputs!$K$4:$AJ$4,0)))))</f>
        <v>3228.621</v>
      </c>
      <c r="AB15" s="3">
        <f>AA15</f>
        <v>3228.621</v>
      </c>
      <c r="AC15" s="6">
        <f>IF(ISNA(MATCH(AC$2,Inputs!$K$4:$AJ$4,0)),NA(),IF(SUMPRODUCT((Inputs!$A$5:$A$230=$B15)*ISNUMBER(INDEX(Inputs!$K$5:$AJ$230,0,MATCH(AC$2,Inputs!$K$4:$AJ$4,0))))+SUMPRODUCT((Inputs!$C$5:$C$230=$B15)*ISNUMBER(INDEX(Inputs!$K$5:$AJ$230,0,MATCH(AC$2,Inputs!$K$4:$AJ$4,0))))+SUMPRODUCT((Inputs!$E$5:$E$230=$B15)*ISNUMBER(INDEX(Inputs!$K$5:$AJ$230,0,MATCH(AC$2,Inputs!$K$4:$AJ$4,0))))=0,NA(),SUMPRODUCT((Inputs!$A$5:$A$230=$B15)*Inputs!$B$5:$B$230*(((Inputs!$G$5:$G$230="moeda")+(Inputs!$G$5:$G$230="acoes"))*Inputs!$B$1+((Inputs!$G$5:$G$230&lt;&gt;"moeda")*(Inputs!$G$5:$G$230&lt;&gt;"acoes")))*INDEX(Inputs!$K$5:$AJ$230,0,MATCH(AC$2,Inputs!$K$4:$AJ$4,0)))+SUMPRODUCT((Inputs!$C$5:$C$230=$B15)*Inputs!$D$5:$D$230*(((Inputs!$G$5:$G$230="moeda")+(Inputs!$G$5:$G$230="acoes"))*Inputs!$B$1+((Inputs!$G$5:$G$230&lt;&gt;"moeda")*(Inputs!$G$5:$G$230&lt;&gt;"acoes")))*INDEX(Inputs!$K$5:$AJ$230,0,MATCH(AC$2,Inputs!$K$4:$AJ$4,0)))+SUMPRODUCT((Inputs!$E$5:$E$230=$B15)*Inputs!$F$5:$F$230*(((Inputs!$G$5:$G$230="moeda")+(Inputs!$G$5:$G$230="acoes"))*Inputs!$B$1+((Inputs!$G$5:$G$230&lt;&gt;"moeda")*(Inputs!$G$5:$G$230&lt;&gt;"acoes")))*INDEX(Inputs!$K$5:$AJ$230,0,MATCH(AC$2,Inputs!$K$4:$AJ$4,0)))))</f>
        <v>5246.157</v>
      </c>
      <c r="AD15" s="6">
        <f>IF(ISNA(MATCH(AD$2,Inputs!$K$4:$AJ$4,0)),NA(),IF(SUMPRODUCT((Inputs!$A$5:$A$230=$B15)*ISNUMBER(INDEX(Inputs!$K$5:$AJ$230,0,MATCH(AD$2,Inputs!$K$4:$AJ$4,0))))+SUMPRODUCT((Inputs!$C$5:$C$230=$B15)*ISNUMBER(INDEX(Inputs!$K$5:$AJ$230,0,MATCH(AD$2,Inputs!$K$4:$AJ$4,0))))+SUMPRODUCT((Inputs!$E$5:$E$230=$B15)*ISNUMBER(INDEX(Inputs!$K$5:$AJ$230,0,MATCH(AD$2,Inputs!$K$4:$AJ$4,0))))=0,NA(),SUMPRODUCT((Inputs!$A$5:$A$230=$B15)*Inputs!$B$5:$B$230*(((Inputs!$G$5:$G$230="moeda")+(Inputs!$G$5:$G$230="acoes"))*Inputs!$B$1+((Inputs!$G$5:$G$230&lt;&gt;"moeda")*(Inputs!$G$5:$G$230&lt;&gt;"acoes")))*INDEX(Inputs!$K$5:$AJ$230,0,MATCH(AD$2,Inputs!$K$4:$AJ$4,0)))+SUMPRODUCT((Inputs!$C$5:$C$230=$B15)*Inputs!$D$5:$D$230*(((Inputs!$G$5:$G$230="moeda")+(Inputs!$G$5:$G$230="acoes"))*Inputs!$B$1+((Inputs!$G$5:$G$230&lt;&gt;"moeda")*(Inputs!$G$5:$G$230&lt;&gt;"acoes")))*INDEX(Inputs!$K$5:$AJ$230,0,MATCH(AD$2,Inputs!$K$4:$AJ$4,0)))+SUMPRODUCT((Inputs!$E$5:$E$230=$B15)*Inputs!$F$5:$F$230*(((Inputs!$G$5:$G$230="moeda")+(Inputs!$G$5:$G$230="acoes"))*Inputs!$B$1+((Inputs!$G$5:$G$230&lt;&gt;"moeda")*(Inputs!$G$5:$G$230&lt;&gt;"acoes")))*INDEX(Inputs!$K$5:$AJ$230,0,MATCH(AD$2,Inputs!$K$4:$AJ$4,0)))))</f>
        <v>5371.921</v>
      </c>
      <c r="AE15" s="6" t="e">
        <f>IF(ISNA(MATCH(AE$2,Inputs!$K$4:$AJ$4,0)),NA(),IF(SUMPRODUCT((Inputs!$A$5:$A$230=$B15)*ISNUMBER(INDEX(Inputs!$K$5:$AJ$230,0,MATCH(AE$2,Inputs!$K$4:$AJ$4,0))))+SUMPRODUCT((Inputs!$C$5:$C$230=$B15)*ISNUMBER(INDEX(Inputs!$K$5:$AJ$230,0,MATCH(AE$2,Inputs!$K$4:$AJ$4,0))))+SUMPRODUCT((Inputs!$E$5:$E$230=$B15)*ISNUMBER(INDEX(Inputs!$K$5:$AJ$230,0,MATCH(AE$2,Inputs!$K$4:$AJ$4,0))))=0,NA(),SUMPRODUCT((Inputs!$A$5:$A$230=$B15)*Inputs!$B$5:$B$230*(((Inputs!$G$5:$G$230="moeda")+(Inputs!$G$5:$G$230="acoes"))*Inputs!$B$1+((Inputs!$G$5:$G$230&lt;&gt;"moeda")*(Inputs!$G$5:$G$230&lt;&gt;"acoes")))*INDEX(Inputs!$K$5:$AJ$230,0,MATCH(AE$2,Inputs!$K$4:$AJ$4,0)))+SUMPRODUCT((Inputs!$C$5:$C$230=$B15)*Inputs!$D$5:$D$230*(((Inputs!$G$5:$G$230="moeda")+(Inputs!$G$5:$G$230="acoes"))*Inputs!$B$1+((Inputs!$G$5:$G$230&lt;&gt;"moeda")*(Inputs!$G$5:$G$230&lt;&gt;"acoes")))*INDEX(Inputs!$K$5:$AJ$230,0,MATCH(AE$2,Inputs!$K$4:$AJ$4,0)))+SUMPRODUCT((Inputs!$E$5:$E$230=$B15)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5" s="6" t="e">
        <f>IF(ISNA(MATCH(AF$2,Inputs!$K$4:$AJ$4,0)),NA(),IF(SUMPRODUCT((Inputs!$A$5:$A$230=$B15)*ISNUMBER(INDEX(Inputs!$K$5:$AJ$230,0,MATCH(AF$2,Inputs!$K$4:$AJ$4,0))))+SUMPRODUCT((Inputs!$C$5:$C$230=$B15)*ISNUMBER(INDEX(Inputs!$K$5:$AJ$230,0,MATCH(AF$2,Inputs!$K$4:$AJ$4,0))))+SUMPRODUCT((Inputs!$E$5:$E$230=$B15)*ISNUMBER(INDEX(Inputs!$K$5:$AJ$230,0,MATCH(AF$2,Inputs!$K$4:$AJ$4,0))))=0,NA(),SUMPRODUCT((Inputs!$A$5:$A$230=$B15)*Inputs!$B$5:$B$230*(((Inputs!$G$5:$G$230="moeda")+(Inputs!$G$5:$G$230="acoes"))*Inputs!$B$1+((Inputs!$G$5:$G$230&lt;&gt;"moeda")*(Inputs!$G$5:$G$230&lt;&gt;"acoes")))*INDEX(Inputs!$K$5:$AJ$230,0,MATCH(AF$2,Inputs!$K$4:$AJ$4,0)))+SUMPRODUCT((Inputs!$C$5:$C$230=$B15)*Inputs!$D$5:$D$230*(((Inputs!$G$5:$G$230="moeda")+(Inputs!$G$5:$G$230="acoes"))*Inputs!$B$1+((Inputs!$G$5:$G$230&lt;&gt;"moeda")*(Inputs!$G$5:$G$230&lt;&gt;"acoes")))*INDEX(Inputs!$K$5:$AJ$230,0,MATCH(AF$2,Inputs!$K$4:$AJ$4,0)))+SUMPRODUCT((Inputs!$E$5:$E$230=$B15)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5" s="3" t="e">
        <f>AF15</f>
        <v>#N/A</v>
      </c>
      <c r="AH15" s="6">
        <f>IF(ISNA(MATCH(AH$2,Inputs!$K$4:$AJ$4,0)),NA(),IF(SUMPRODUCT((Inputs!$A$5:$A$230=$B15)*ISNUMBER(INDEX(Inputs!$K$5:$AJ$230,0,MATCH(AH$2,Inputs!$K$4:$AJ$4,0))))+SUMPRODUCT((Inputs!$C$5:$C$230=$B15)*ISNUMBER(INDEX(Inputs!$K$5:$AJ$230,0,MATCH(AH$2,Inputs!$K$4:$AJ$4,0))))+SUMPRODUCT((Inputs!$E$5:$E$230=$B15)*ISNUMBER(INDEX(Inputs!$K$5:$AJ$230,0,MATCH(AH$2,Inputs!$K$4:$AJ$4,0))))=0,NA(),SUMPRODUCT((Inputs!$A$5:$A$230=$B15)*Inputs!$B$5:$B$230*(((Inputs!$G$5:$G$230="moeda")+(Inputs!$G$5:$G$230="acoes"))*Inputs!$B$1+((Inputs!$G$5:$G$230&lt;&gt;"moeda")*(Inputs!$G$5:$G$230&lt;&gt;"acoes")))*INDEX(Inputs!$K$5:$AJ$230,0,MATCH(AH$2,Inputs!$K$4:$AJ$4,0)))+SUMPRODUCT((Inputs!$C$5:$C$230=$B15)*Inputs!$D$5:$D$230*(((Inputs!$G$5:$G$230="moeda")+(Inputs!$G$5:$G$230="acoes"))*Inputs!$B$1+((Inputs!$G$5:$G$230&lt;&gt;"moeda")*(Inputs!$G$5:$G$230&lt;&gt;"acoes")))*INDEX(Inputs!$K$5:$AJ$230,0,MATCH(AH$2,Inputs!$K$4:$AJ$4,0)))+SUMPRODUCT((Inputs!$E$5:$E$230=$B15)*Inputs!$F$5:$F$230*(((Inputs!$G$5:$G$230="moeda")+(Inputs!$G$5:$G$230="acoes"))*Inputs!$B$1+((Inputs!$G$5:$G$230&lt;&gt;"moeda")*(Inputs!$G$5:$G$230&lt;&gt;"acoes")))*INDEX(Inputs!$K$5:$AJ$230,0,MATCH(AH$2,Inputs!$K$4:$AJ$4,0)))))</f>
        <v>3421.848</v>
      </c>
      <c r="AI15" s="6">
        <f>IF(ISNA(MATCH(AI$2,Inputs!$K$4:$AJ$4,0)),NA(),IF(SUMPRODUCT((Inputs!$A$5:$A$230=$B15)*ISNUMBER(INDEX(Inputs!$K$5:$AJ$230,0,MATCH(AI$2,Inputs!$K$4:$AJ$4,0))))+SUMPRODUCT((Inputs!$C$5:$C$230=$B15)*ISNUMBER(INDEX(Inputs!$K$5:$AJ$230,0,MATCH(AI$2,Inputs!$K$4:$AJ$4,0))))+SUMPRODUCT((Inputs!$E$5:$E$230=$B15)*ISNUMBER(INDEX(Inputs!$K$5:$AJ$230,0,MATCH(AI$2,Inputs!$K$4:$AJ$4,0))))=0,NA(),SUMPRODUCT((Inputs!$A$5:$A$230=$B15)*Inputs!$B$5:$B$230*(((Inputs!$G$5:$G$230="moeda")+(Inputs!$G$5:$G$230="acoes"))*Inputs!$B$1+((Inputs!$G$5:$G$230&lt;&gt;"moeda")*(Inputs!$G$5:$G$230&lt;&gt;"acoes")))*INDEX(Inputs!$K$5:$AJ$230,0,MATCH(AI$2,Inputs!$K$4:$AJ$4,0)))+SUMPRODUCT((Inputs!$C$5:$C$230=$B15)*Inputs!$D$5:$D$230*(((Inputs!$G$5:$G$230="moeda")+(Inputs!$G$5:$G$230="acoes"))*Inputs!$B$1+((Inputs!$G$5:$G$230&lt;&gt;"moeda")*(Inputs!$G$5:$G$230&lt;&gt;"acoes")))*INDEX(Inputs!$K$5:$AJ$230,0,MATCH(AI$2,Inputs!$K$4:$AJ$4,0)))+SUMPRODUCT((Inputs!$E$5:$E$230=$B15)*Inputs!$F$5:$F$230*(((Inputs!$G$5:$G$230="moeda")+(Inputs!$G$5:$G$230="acoes"))*Inputs!$B$1+((Inputs!$G$5:$G$230&lt;&gt;"moeda")*(Inputs!$G$5:$G$230&lt;&gt;"acoes")))*INDEX(Inputs!$K$5:$AJ$230,0,MATCH(AI$2,Inputs!$K$4:$AJ$4,0)))))</f>
        <v>2762.007</v>
      </c>
      <c r="AJ15" s="6">
        <f>IF(ISNA(MATCH(AJ$2,Inputs!$K$4:$AJ$4,0)),NA(),IF(SUMPRODUCT((Inputs!$A$5:$A$230=$B15)*ISNUMBER(INDEX(Inputs!$K$5:$AJ$230,0,MATCH(AJ$2,Inputs!$K$4:$AJ$4,0))))+SUMPRODUCT((Inputs!$C$5:$C$230=$B15)*ISNUMBER(INDEX(Inputs!$K$5:$AJ$230,0,MATCH(AJ$2,Inputs!$K$4:$AJ$4,0))))+SUMPRODUCT((Inputs!$E$5:$E$230=$B15)*ISNUMBER(INDEX(Inputs!$K$5:$AJ$230,0,MATCH(AJ$2,Inputs!$K$4:$AJ$4,0))))=0,NA(),SUMPRODUCT((Inputs!$A$5:$A$230=$B15)*Inputs!$B$5:$B$230*(((Inputs!$G$5:$G$230="moeda")+(Inputs!$G$5:$G$230="acoes"))*Inputs!$B$1+((Inputs!$G$5:$G$230&lt;&gt;"moeda")*(Inputs!$G$5:$G$230&lt;&gt;"acoes")))*INDEX(Inputs!$K$5:$AJ$230,0,MATCH(AJ$2,Inputs!$K$4:$AJ$4,0)))+SUMPRODUCT((Inputs!$C$5:$C$230=$B15)*Inputs!$D$5:$D$230*(((Inputs!$G$5:$G$230="moeda")+(Inputs!$G$5:$G$230="acoes"))*Inputs!$B$1+((Inputs!$G$5:$G$230&lt;&gt;"moeda")*(Inputs!$G$5:$G$230&lt;&gt;"acoes")))*INDEX(Inputs!$K$5:$AJ$230,0,MATCH(AJ$2,Inputs!$K$4:$AJ$4,0)))+SUMPRODUCT((Inputs!$E$5:$E$230=$B15)*Inputs!$F$5:$F$230*(((Inputs!$G$5:$G$230="moeda")+(Inputs!$G$5:$G$230="acoes"))*Inputs!$B$1+((Inputs!$G$5:$G$230&lt;&gt;"moeda")*(Inputs!$G$5:$G$230&lt;&gt;"acoes")))*INDEX(Inputs!$K$5:$AJ$230,0,MATCH(AJ$2,Inputs!$K$4:$AJ$4,0)))))</f>
        <v>2362.287</v>
      </c>
      <c r="AK15" s="6">
        <f>IF(ISNA(MATCH(AK$2,Inputs!$K$4:$AJ$4,0)),NA(),IF(SUMPRODUCT((Inputs!$A$5:$A$230=$B15)*ISNUMBER(INDEX(Inputs!$K$5:$AJ$230,0,MATCH(AK$2,Inputs!$K$4:$AJ$4,0))))+SUMPRODUCT((Inputs!$C$5:$C$230=$B15)*ISNUMBER(INDEX(Inputs!$K$5:$AJ$230,0,MATCH(AK$2,Inputs!$K$4:$AJ$4,0))))+SUMPRODUCT((Inputs!$E$5:$E$230=$B15)*ISNUMBER(INDEX(Inputs!$K$5:$AJ$230,0,MATCH(AK$2,Inputs!$K$4:$AJ$4,0))))=0,NA(),SUMPRODUCT((Inputs!$A$5:$A$230=$B15)*Inputs!$B$5:$B$230*(((Inputs!$G$5:$G$230="moeda")+(Inputs!$G$5:$G$230="acoes"))*Inputs!$B$1+((Inputs!$G$5:$G$230&lt;&gt;"moeda")*(Inputs!$G$5:$G$230&lt;&gt;"acoes")))*INDEX(Inputs!$K$5:$AJ$230,0,MATCH(AK$2,Inputs!$K$4:$AJ$4,0)))+SUMPRODUCT((Inputs!$C$5:$C$230=$B15)*Inputs!$D$5:$D$230*(((Inputs!$G$5:$G$230="moeda")+(Inputs!$G$5:$G$230="acoes"))*Inputs!$B$1+((Inputs!$G$5:$G$230&lt;&gt;"moeda")*(Inputs!$G$5:$G$230&lt;&gt;"acoes")))*INDEX(Inputs!$K$5:$AJ$230,0,MATCH(AK$2,Inputs!$K$4:$AJ$4,0)))+SUMPRODUCT((Inputs!$E$5:$E$230=$B15)*Inputs!$F$5:$F$230*(((Inputs!$G$5:$G$230="moeda")+(Inputs!$G$5:$G$230="acoes"))*Inputs!$B$1+((Inputs!$G$5:$G$230&lt;&gt;"moeda")*(Inputs!$G$5:$G$230&lt;&gt;"acoes")))*INDEX(Inputs!$K$5:$AJ$230,0,MATCH(AK$2,Inputs!$K$4:$AJ$4,0)))))</f>
        <v>2080.882</v>
      </c>
      <c r="AL15" s="3">
        <f>AK15</f>
        <v>2080.882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$230=$B16)*ISNUMBER(INDEX(Inputs!$K$5:$AJ$230,0,MATCH(D$2,Inputs!$K$4:$AJ$4,0))))+SUMPRODUCT((Inputs!$C$5:$C$230=$B16)*ISNUMBER(INDEX(Inputs!$K$5:$AJ$230,0,MATCH(D$2,Inputs!$K$4:$AJ$4,0))))+SUMPRODUCT((Inputs!$E$5:$E$230=$B16)*ISNUMBER(INDEX(Inputs!$K$5:$AJ$230,0,MATCH(D$2,Inputs!$K$4:$AJ$4,0))))=0,NA(),SUMPRODUCT((Inputs!$A$5:$A$230=$B16)*Inputs!$B$5:$B$230*(((Inputs!$G$5:$G$230="moeda")+(Inputs!$G$5:$G$230="acoes"))*Inputs!$B$1+((Inputs!$G$5:$G$230&lt;&gt;"moeda")*(Inputs!$G$5:$G$230&lt;&gt;"acoes")))*INDEX(Inputs!$K$5:$AJ$230,0,MATCH(D$2,Inputs!$K$4:$AJ$4,0)))+SUMPRODUCT((Inputs!$C$5:$C$230=$B16)*Inputs!$D$5:$D$230*(((Inputs!$G$5:$G$230="moeda")+(Inputs!$G$5:$G$230="acoes"))*Inputs!$B$1+((Inputs!$G$5:$G$230&lt;&gt;"moeda")*(Inputs!$G$5:$G$230&lt;&gt;"acoes")))*INDEX(Inputs!$K$5:$AJ$230,0,MATCH(D$2,Inputs!$K$4:$AJ$4,0)))+SUMPRODUCT((Inputs!$E$5:$E$230=$B16)*Inputs!$F$5:$F$230*(((Inputs!$G$5:$G$230="moeda")+(Inputs!$G$5:$G$230="acoes"))*Inputs!$B$1+((Inputs!$G$5:$G$230&lt;&gt;"moeda")*(Inputs!$G$5:$G$230&lt;&gt;"acoes")))*INDEX(Inputs!$K$5:$AJ$230,0,MATCH(D$2,Inputs!$K$4:$AJ$4,0)))))</f>
        <v>338.682</v>
      </c>
      <c r="E16" s="6">
        <f>IF(ISNA(MATCH(E$2,Inputs!$K$4:$AJ$4,0)),NA(),IF(SUMPRODUCT((Inputs!$A$5:$A$230=$B16)*ISNUMBER(INDEX(Inputs!$K$5:$AJ$230,0,MATCH(E$2,Inputs!$K$4:$AJ$4,0))))+SUMPRODUCT((Inputs!$C$5:$C$230=$B16)*ISNUMBER(INDEX(Inputs!$K$5:$AJ$230,0,MATCH(E$2,Inputs!$K$4:$AJ$4,0))))+SUMPRODUCT((Inputs!$E$5:$E$230=$B16)*ISNUMBER(INDEX(Inputs!$K$5:$AJ$230,0,MATCH(E$2,Inputs!$K$4:$AJ$4,0))))=0,NA(),SUMPRODUCT((Inputs!$A$5:$A$230=$B16)*Inputs!$B$5:$B$230*(((Inputs!$G$5:$G$230="moeda")+(Inputs!$G$5:$G$230="acoes"))*Inputs!$B$1+((Inputs!$G$5:$G$230&lt;&gt;"moeda")*(Inputs!$G$5:$G$230&lt;&gt;"acoes")))*INDEX(Inputs!$K$5:$AJ$230,0,MATCH(E$2,Inputs!$K$4:$AJ$4,0)))+SUMPRODUCT((Inputs!$C$5:$C$230=$B16)*Inputs!$D$5:$D$230*(((Inputs!$G$5:$G$230="moeda")+(Inputs!$G$5:$G$230="acoes"))*Inputs!$B$1+((Inputs!$G$5:$G$230&lt;&gt;"moeda")*(Inputs!$G$5:$G$230&lt;&gt;"acoes")))*INDEX(Inputs!$K$5:$AJ$230,0,MATCH(E$2,Inputs!$K$4:$AJ$4,0)))+SUMPRODUCT((Inputs!$E$5:$E$230=$B16)*Inputs!$F$5:$F$230*(((Inputs!$G$5:$G$230="moeda")+(Inputs!$G$5:$G$230="acoes"))*Inputs!$B$1+((Inputs!$G$5:$G$230&lt;&gt;"moeda")*(Inputs!$G$5:$G$230&lt;&gt;"acoes")))*INDEX(Inputs!$K$5:$AJ$230,0,MATCH(E$2,Inputs!$K$4:$AJ$4,0)))))</f>
        <v>345.885</v>
      </c>
      <c r="F16" s="6">
        <f>IF(ISNA(MATCH(F$2,Inputs!$K$4:$AJ$4,0)),NA(),IF(SUMPRODUCT((Inputs!$A$5:$A$230=$B16)*ISNUMBER(INDEX(Inputs!$K$5:$AJ$230,0,MATCH(F$2,Inputs!$K$4:$AJ$4,0))))+SUMPRODUCT((Inputs!$C$5:$C$230=$B16)*ISNUMBER(INDEX(Inputs!$K$5:$AJ$230,0,MATCH(F$2,Inputs!$K$4:$AJ$4,0))))+SUMPRODUCT((Inputs!$E$5:$E$230=$B16)*ISNUMBER(INDEX(Inputs!$K$5:$AJ$230,0,MATCH(F$2,Inputs!$K$4:$AJ$4,0))))=0,NA(),SUMPRODUCT((Inputs!$A$5:$A$230=$B16)*Inputs!$B$5:$B$230*(((Inputs!$G$5:$G$230="moeda")+(Inputs!$G$5:$G$230="acoes"))*Inputs!$B$1+((Inputs!$G$5:$G$230&lt;&gt;"moeda")*(Inputs!$G$5:$G$230&lt;&gt;"acoes")))*INDEX(Inputs!$K$5:$AJ$230,0,MATCH(F$2,Inputs!$K$4:$AJ$4,0)))+SUMPRODUCT((Inputs!$C$5:$C$230=$B16)*Inputs!$D$5:$D$230*(((Inputs!$G$5:$G$230="moeda")+(Inputs!$G$5:$G$230="acoes"))*Inputs!$B$1+((Inputs!$G$5:$G$230&lt;&gt;"moeda")*(Inputs!$G$5:$G$230&lt;&gt;"acoes")))*INDEX(Inputs!$K$5:$AJ$230,0,MATCH(F$2,Inputs!$K$4:$AJ$4,0)))+SUMPRODUCT((Inputs!$E$5:$E$230=$B16)*Inputs!$F$5:$F$230*(((Inputs!$G$5:$G$230="moeda")+(Inputs!$G$5:$G$230="acoes"))*Inputs!$B$1+((Inputs!$G$5:$G$230&lt;&gt;"moeda")*(Inputs!$G$5:$G$230&lt;&gt;"acoes")))*INDEX(Inputs!$K$5:$AJ$230,0,MATCH(F$2,Inputs!$K$4:$AJ$4,0)))))</f>
        <v>378.626</v>
      </c>
      <c r="G16" s="6">
        <f>IF(ISNA(MATCH(G$2,Inputs!$K$4:$AJ$4,0)),NA(),IF(SUMPRODUCT((Inputs!$A$5:$A$230=$B16)*ISNUMBER(INDEX(Inputs!$K$5:$AJ$230,0,MATCH(G$2,Inputs!$K$4:$AJ$4,0))))+SUMPRODUCT((Inputs!$C$5:$C$230=$B16)*ISNUMBER(INDEX(Inputs!$K$5:$AJ$230,0,MATCH(G$2,Inputs!$K$4:$AJ$4,0))))+SUMPRODUCT((Inputs!$E$5:$E$230=$B16)*ISNUMBER(INDEX(Inputs!$K$5:$AJ$230,0,MATCH(G$2,Inputs!$K$4:$AJ$4,0))))=0,NA(),SUMPRODUCT((Inputs!$A$5:$A$230=$B16)*Inputs!$B$5:$B$230*(((Inputs!$G$5:$G$230="moeda")+(Inputs!$G$5:$G$230="acoes"))*Inputs!$B$1+((Inputs!$G$5:$G$230&lt;&gt;"moeda")*(Inputs!$G$5:$G$230&lt;&gt;"acoes")))*INDEX(Inputs!$K$5:$AJ$230,0,MATCH(G$2,Inputs!$K$4:$AJ$4,0)))+SUMPRODUCT((Inputs!$C$5:$C$230=$B16)*Inputs!$D$5:$D$230*(((Inputs!$G$5:$G$230="moeda")+(Inputs!$G$5:$G$230="acoes"))*Inputs!$B$1+((Inputs!$G$5:$G$230&lt;&gt;"moeda")*(Inputs!$G$5:$G$230&lt;&gt;"acoes")))*INDEX(Inputs!$K$5:$AJ$230,0,MATCH(G$2,Inputs!$K$4:$AJ$4,0)))+SUMPRODUCT((Inputs!$E$5:$E$230=$B16)*Inputs!$F$5:$F$230*(((Inputs!$G$5:$G$230="moeda")+(Inputs!$G$5:$G$230="acoes"))*Inputs!$B$1+((Inputs!$G$5:$G$230&lt;&gt;"moeda")*(Inputs!$G$5:$G$230&lt;&gt;"acoes")))*INDEX(Inputs!$K$5:$AJ$230,0,MATCH(G$2,Inputs!$K$4:$AJ$4,0)))))</f>
        <v>391.698</v>
      </c>
      <c r="H16" s="3">
        <f>G16</f>
        <v>391.698</v>
      </c>
      <c r="I16" s="6">
        <f>IF(ISNA(MATCH(I$2,Inputs!$K$4:$AJ$4,0)),NA(),IF(SUMPRODUCT((Inputs!$A$5:$A$230=$B16)*ISNUMBER(INDEX(Inputs!$K$5:$AJ$230,0,MATCH(I$2,Inputs!$K$4:$AJ$4,0))))+SUMPRODUCT((Inputs!$C$5:$C$230=$B16)*ISNUMBER(INDEX(Inputs!$K$5:$AJ$230,0,MATCH(I$2,Inputs!$K$4:$AJ$4,0))))+SUMPRODUCT((Inputs!$E$5:$E$230=$B16)*ISNUMBER(INDEX(Inputs!$K$5:$AJ$230,0,MATCH(I$2,Inputs!$K$4:$AJ$4,0))))=0,NA(),SUMPRODUCT((Inputs!$A$5:$A$230=$B16)*Inputs!$B$5:$B$230*(((Inputs!$G$5:$G$230="moeda")+(Inputs!$G$5:$G$230="acoes"))*Inputs!$B$1+((Inputs!$G$5:$G$230&lt;&gt;"moeda")*(Inputs!$G$5:$G$230&lt;&gt;"acoes")))*INDEX(Inputs!$K$5:$AJ$230,0,MATCH(I$2,Inputs!$K$4:$AJ$4,0)))+SUMPRODUCT((Inputs!$C$5:$C$230=$B16)*Inputs!$D$5:$D$230*(((Inputs!$G$5:$G$230="moeda")+(Inputs!$G$5:$G$230="acoes"))*Inputs!$B$1+((Inputs!$G$5:$G$230&lt;&gt;"moeda")*(Inputs!$G$5:$G$230&lt;&gt;"acoes")))*INDEX(Inputs!$K$5:$AJ$230,0,MATCH(I$2,Inputs!$K$4:$AJ$4,0)))+SUMPRODUCT((Inputs!$E$5:$E$230=$B16)*Inputs!$F$5:$F$230*(((Inputs!$G$5:$G$230="moeda")+(Inputs!$G$5:$G$230="acoes"))*Inputs!$B$1+((Inputs!$G$5:$G$230&lt;&gt;"moeda")*(Inputs!$G$5:$G$230&lt;&gt;"acoes")))*INDEX(Inputs!$K$5:$AJ$230,0,MATCH(I$2,Inputs!$K$4:$AJ$4,0)))))</f>
        <v>363.277</v>
      </c>
      <c r="J16" s="6">
        <f>IF(ISNA(MATCH(J$2,Inputs!$K$4:$AJ$4,0)),NA(),IF(SUMPRODUCT((Inputs!$A$5:$A$230=$B16)*ISNUMBER(INDEX(Inputs!$K$5:$AJ$230,0,MATCH(J$2,Inputs!$K$4:$AJ$4,0))))+SUMPRODUCT((Inputs!$C$5:$C$230=$B16)*ISNUMBER(INDEX(Inputs!$K$5:$AJ$230,0,MATCH(J$2,Inputs!$K$4:$AJ$4,0))))+SUMPRODUCT((Inputs!$E$5:$E$230=$B16)*ISNUMBER(INDEX(Inputs!$K$5:$AJ$230,0,MATCH(J$2,Inputs!$K$4:$AJ$4,0))))=0,NA(),SUMPRODUCT((Inputs!$A$5:$A$230=$B16)*Inputs!$B$5:$B$230*(((Inputs!$G$5:$G$230="moeda")+(Inputs!$G$5:$G$230="acoes"))*Inputs!$B$1+((Inputs!$G$5:$G$230&lt;&gt;"moeda")*(Inputs!$G$5:$G$230&lt;&gt;"acoes")))*INDEX(Inputs!$K$5:$AJ$230,0,MATCH(J$2,Inputs!$K$4:$AJ$4,0)))+SUMPRODUCT((Inputs!$C$5:$C$230=$B16)*Inputs!$D$5:$D$230*(((Inputs!$G$5:$G$230="moeda")+(Inputs!$G$5:$G$230="acoes"))*Inputs!$B$1+((Inputs!$G$5:$G$230&lt;&gt;"moeda")*(Inputs!$G$5:$G$230&lt;&gt;"acoes")))*INDEX(Inputs!$K$5:$AJ$230,0,MATCH(J$2,Inputs!$K$4:$AJ$4,0)))+SUMPRODUCT((Inputs!$E$5:$E$230=$B16)*Inputs!$F$5:$F$230*(((Inputs!$G$5:$G$230="moeda")+(Inputs!$G$5:$G$230="acoes"))*Inputs!$B$1+((Inputs!$G$5:$G$230&lt;&gt;"moeda")*(Inputs!$G$5:$G$230&lt;&gt;"acoes")))*INDEX(Inputs!$K$5:$AJ$230,0,MATCH(J$2,Inputs!$K$4:$AJ$4,0)))))</f>
        <v>377.686</v>
      </c>
      <c r="K16" s="6">
        <f>IF(ISNA(MATCH(K$2,Inputs!$K$4:$AJ$4,0)),NA(),IF(SUMPRODUCT((Inputs!$A$5:$A$230=$B16)*ISNUMBER(INDEX(Inputs!$K$5:$AJ$230,0,MATCH(K$2,Inputs!$K$4:$AJ$4,0))))+SUMPRODUCT((Inputs!$C$5:$C$230=$B16)*ISNUMBER(INDEX(Inputs!$K$5:$AJ$230,0,MATCH(K$2,Inputs!$K$4:$AJ$4,0))))+SUMPRODUCT((Inputs!$E$5:$E$230=$B16)*ISNUMBER(INDEX(Inputs!$K$5:$AJ$230,0,MATCH(K$2,Inputs!$K$4:$AJ$4,0))))=0,NA(),SUMPRODUCT((Inputs!$A$5:$A$230=$B16)*Inputs!$B$5:$B$230*(((Inputs!$G$5:$G$230="moeda")+(Inputs!$G$5:$G$230="acoes"))*Inputs!$B$1+((Inputs!$G$5:$G$230&lt;&gt;"moeda")*(Inputs!$G$5:$G$230&lt;&gt;"acoes")))*INDEX(Inputs!$K$5:$AJ$230,0,MATCH(K$2,Inputs!$K$4:$AJ$4,0)))+SUMPRODUCT((Inputs!$C$5:$C$230=$B16)*Inputs!$D$5:$D$230*(((Inputs!$G$5:$G$230="moeda")+(Inputs!$G$5:$G$230="acoes"))*Inputs!$B$1+((Inputs!$G$5:$G$230&lt;&gt;"moeda")*(Inputs!$G$5:$G$230&lt;&gt;"acoes")))*INDEX(Inputs!$K$5:$AJ$230,0,MATCH(K$2,Inputs!$K$4:$AJ$4,0)))+SUMPRODUCT((Inputs!$E$5:$E$230=$B16)*Inputs!$F$5:$F$230*(((Inputs!$G$5:$G$230="moeda")+(Inputs!$G$5:$G$230="acoes"))*Inputs!$B$1+((Inputs!$G$5:$G$230&lt;&gt;"moeda")*(Inputs!$G$5:$G$230&lt;&gt;"acoes")))*INDEX(Inputs!$K$5:$AJ$230,0,MATCH(K$2,Inputs!$K$4:$AJ$4,0)))))</f>
        <v>412.736</v>
      </c>
      <c r="L16" s="6">
        <f>IF(ISNA(MATCH(L$2,Inputs!$K$4:$AJ$4,0)),NA(),IF(SUMPRODUCT((Inputs!$A$5:$A$230=$B16)*ISNUMBER(INDEX(Inputs!$K$5:$AJ$230,0,MATCH(L$2,Inputs!$K$4:$AJ$4,0))))+SUMPRODUCT((Inputs!$C$5:$C$230=$B16)*ISNUMBER(INDEX(Inputs!$K$5:$AJ$230,0,MATCH(L$2,Inputs!$K$4:$AJ$4,0))))+SUMPRODUCT((Inputs!$E$5:$E$230=$B16)*ISNUMBER(INDEX(Inputs!$K$5:$AJ$230,0,MATCH(L$2,Inputs!$K$4:$AJ$4,0))))=0,NA(),SUMPRODUCT((Inputs!$A$5:$A$230=$B16)*Inputs!$B$5:$B$230*(((Inputs!$G$5:$G$230="moeda")+(Inputs!$G$5:$G$230="acoes"))*Inputs!$B$1+((Inputs!$G$5:$G$230&lt;&gt;"moeda")*(Inputs!$G$5:$G$230&lt;&gt;"acoes")))*INDEX(Inputs!$K$5:$AJ$230,0,MATCH(L$2,Inputs!$K$4:$AJ$4,0)))+SUMPRODUCT((Inputs!$C$5:$C$230=$B16)*Inputs!$D$5:$D$230*(((Inputs!$G$5:$G$230="moeda")+(Inputs!$G$5:$G$230="acoes"))*Inputs!$B$1+((Inputs!$G$5:$G$230&lt;&gt;"moeda")*(Inputs!$G$5:$G$230&lt;&gt;"acoes")))*INDEX(Inputs!$K$5:$AJ$230,0,MATCH(L$2,Inputs!$K$4:$AJ$4,0)))+SUMPRODUCT((Inputs!$E$5:$E$230=$B16)*Inputs!$F$5:$F$230*(((Inputs!$G$5:$G$230="moeda")+(Inputs!$G$5:$G$230="acoes"))*Inputs!$B$1+((Inputs!$G$5:$G$230&lt;&gt;"moeda")*(Inputs!$G$5:$G$230&lt;&gt;"acoes")))*INDEX(Inputs!$K$5:$AJ$230,0,MATCH(L$2,Inputs!$K$4:$AJ$4,0)))))</f>
        <v>448.279</v>
      </c>
      <c r="M16" s="3">
        <f>L16</f>
        <v>448.279</v>
      </c>
      <c r="N16" s="6">
        <f>IF(ISNA(MATCH(N$2,Inputs!$K$4:$AJ$4,0)),NA(),IF(SUMPRODUCT((Inputs!$A$5:$A$230=$B16)*ISNUMBER(INDEX(Inputs!$K$5:$AJ$230,0,MATCH(N$2,Inputs!$K$4:$AJ$4,0))))+SUMPRODUCT((Inputs!$C$5:$C$230=$B16)*ISNUMBER(INDEX(Inputs!$K$5:$AJ$230,0,MATCH(N$2,Inputs!$K$4:$AJ$4,0))))+SUMPRODUCT((Inputs!$E$5:$E$230=$B16)*ISNUMBER(INDEX(Inputs!$K$5:$AJ$230,0,MATCH(N$2,Inputs!$K$4:$AJ$4,0))))=0,NA(),SUMPRODUCT((Inputs!$A$5:$A$230=$B16)*Inputs!$B$5:$B$230*(((Inputs!$G$5:$G$230="moeda")+(Inputs!$G$5:$G$230="acoes"))*Inputs!$B$1+((Inputs!$G$5:$G$230&lt;&gt;"moeda")*(Inputs!$G$5:$G$230&lt;&gt;"acoes")))*INDEX(Inputs!$K$5:$AJ$230,0,MATCH(N$2,Inputs!$K$4:$AJ$4,0)))+SUMPRODUCT((Inputs!$C$5:$C$230=$B16)*Inputs!$D$5:$D$230*(((Inputs!$G$5:$G$230="moeda")+(Inputs!$G$5:$G$230="acoes"))*Inputs!$B$1+((Inputs!$G$5:$G$230&lt;&gt;"moeda")*(Inputs!$G$5:$G$230&lt;&gt;"acoes")))*INDEX(Inputs!$K$5:$AJ$230,0,MATCH(N$2,Inputs!$K$4:$AJ$4,0)))+SUMPRODUCT((Inputs!$E$5:$E$230=$B16)*Inputs!$F$5:$F$230*(((Inputs!$G$5:$G$230="moeda")+(Inputs!$G$5:$G$230="acoes"))*Inputs!$B$1+((Inputs!$G$5:$G$230&lt;&gt;"moeda")*(Inputs!$G$5:$G$230&lt;&gt;"acoes")))*INDEX(Inputs!$K$5:$AJ$230,0,MATCH(N$2,Inputs!$K$4:$AJ$4,0)))))</f>
        <v>476.539</v>
      </c>
      <c r="O16" s="6">
        <f>IF(ISNA(MATCH(O$2,Inputs!$K$4:$AJ$4,0)),NA(),IF(SUMPRODUCT((Inputs!$A$5:$A$230=$B16)*ISNUMBER(INDEX(Inputs!$K$5:$AJ$230,0,MATCH(O$2,Inputs!$K$4:$AJ$4,0))))+SUMPRODUCT((Inputs!$C$5:$C$230=$B16)*ISNUMBER(INDEX(Inputs!$K$5:$AJ$230,0,MATCH(O$2,Inputs!$K$4:$AJ$4,0))))+SUMPRODUCT((Inputs!$E$5:$E$230=$B16)*ISNUMBER(INDEX(Inputs!$K$5:$AJ$230,0,MATCH(O$2,Inputs!$K$4:$AJ$4,0))))=0,NA(),SUMPRODUCT((Inputs!$A$5:$A$230=$B16)*Inputs!$B$5:$B$230*(((Inputs!$G$5:$G$230="moeda")+(Inputs!$G$5:$G$230="acoes"))*Inputs!$B$1+((Inputs!$G$5:$G$230&lt;&gt;"moeda")*(Inputs!$G$5:$G$230&lt;&gt;"acoes")))*INDEX(Inputs!$K$5:$AJ$230,0,MATCH(O$2,Inputs!$K$4:$AJ$4,0)))+SUMPRODUCT((Inputs!$C$5:$C$230=$B16)*Inputs!$D$5:$D$230*(((Inputs!$G$5:$G$230="moeda")+(Inputs!$G$5:$G$230="acoes"))*Inputs!$B$1+((Inputs!$G$5:$G$230&lt;&gt;"moeda")*(Inputs!$G$5:$G$230&lt;&gt;"acoes")))*INDEX(Inputs!$K$5:$AJ$230,0,MATCH(O$2,Inputs!$K$4:$AJ$4,0)))+SUMPRODUCT((Inputs!$E$5:$E$230=$B16)*Inputs!$F$5:$F$230*(((Inputs!$G$5:$G$230="moeda")+(Inputs!$G$5:$G$230="acoes"))*Inputs!$B$1+((Inputs!$G$5:$G$230&lt;&gt;"moeda")*(Inputs!$G$5:$G$230&lt;&gt;"acoes")))*INDEX(Inputs!$K$5:$AJ$230,0,MATCH(O$2,Inputs!$K$4:$AJ$4,0)))))</f>
        <v>292.699</v>
      </c>
      <c r="P16" s="6">
        <f>IF(ISNA(MATCH(P$2,Inputs!$K$4:$AJ$4,0)),NA(),IF(SUMPRODUCT((Inputs!$A$5:$A$230=$B16)*ISNUMBER(INDEX(Inputs!$K$5:$AJ$230,0,MATCH(P$2,Inputs!$K$4:$AJ$4,0))))+SUMPRODUCT((Inputs!$C$5:$C$230=$B16)*ISNUMBER(INDEX(Inputs!$K$5:$AJ$230,0,MATCH(P$2,Inputs!$K$4:$AJ$4,0))))+SUMPRODUCT((Inputs!$E$5:$E$230=$B16)*ISNUMBER(INDEX(Inputs!$K$5:$AJ$230,0,MATCH(P$2,Inputs!$K$4:$AJ$4,0))))=0,NA(),SUMPRODUCT((Inputs!$A$5:$A$230=$B16)*Inputs!$B$5:$B$230*(((Inputs!$G$5:$G$230="moeda")+(Inputs!$G$5:$G$230="acoes"))*Inputs!$B$1+((Inputs!$G$5:$G$230&lt;&gt;"moeda")*(Inputs!$G$5:$G$230&lt;&gt;"acoes")))*INDEX(Inputs!$K$5:$AJ$230,0,MATCH(P$2,Inputs!$K$4:$AJ$4,0)))+SUMPRODUCT((Inputs!$C$5:$C$230=$B16)*Inputs!$D$5:$D$230*(((Inputs!$G$5:$G$230="moeda")+(Inputs!$G$5:$G$230="acoes"))*Inputs!$B$1+((Inputs!$G$5:$G$230&lt;&gt;"moeda")*(Inputs!$G$5:$G$230&lt;&gt;"acoes")))*INDEX(Inputs!$K$5:$AJ$230,0,MATCH(P$2,Inputs!$K$4:$AJ$4,0)))+SUMPRODUCT((Inputs!$E$5:$E$230=$B16)*Inputs!$F$5:$F$230*(((Inputs!$G$5:$G$230="moeda")+(Inputs!$G$5:$G$230="acoes"))*Inputs!$B$1+((Inputs!$G$5:$G$230&lt;&gt;"moeda")*(Inputs!$G$5:$G$230&lt;&gt;"acoes")))*INDEX(Inputs!$K$5:$AJ$230,0,MATCH(P$2,Inputs!$K$4:$AJ$4,0)))))</f>
        <v>338.637</v>
      </c>
      <c r="Q16" s="6">
        <f>IF(ISNA(MATCH(Q$2,Inputs!$K$4:$AJ$4,0)),NA(),IF(SUMPRODUCT((Inputs!$A$5:$A$230=$B16)*ISNUMBER(INDEX(Inputs!$K$5:$AJ$230,0,MATCH(Q$2,Inputs!$K$4:$AJ$4,0))))+SUMPRODUCT((Inputs!$C$5:$C$230=$B16)*ISNUMBER(INDEX(Inputs!$K$5:$AJ$230,0,MATCH(Q$2,Inputs!$K$4:$AJ$4,0))))+SUMPRODUCT((Inputs!$E$5:$E$230=$B16)*ISNUMBER(INDEX(Inputs!$K$5:$AJ$230,0,MATCH(Q$2,Inputs!$K$4:$AJ$4,0))))=0,NA(),SUMPRODUCT((Inputs!$A$5:$A$230=$B16)*Inputs!$B$5:$B$230*(((Inputs!$G$5:$G$230="moeda")+(Inputs!$G$5:$G$230="acoes"))*Inputs!$B$1+((Inputs!$G$5:$G$230&lt;&gt;"moeda")*(Inputs!$G$5:$G$230&lt;&gt;"acoes")))*INDEX(Inputs!$K$5:$AJ$230,0,MATCH(Q$2,Inputs!$K$4:$AJ$4,0)))+SUMPRODUCT((Inputs!$C$5:$C$230=$B16)*Inputs!$D$5:$D$230*(((Inputs!$G$5:$G$230="moeda")+(Inputs!$G$5:$G$230="acoes"))*Inputs!$B$1+((Inputs!$G$5:$G$230&lt;&gt;"moeda")*(Inputs!$G$5:$G$230&lt;&gt;"acoes")))*INDEX(Inputs!$K$5:$AJ$230,0,MATCH(Q$2,Inputs!$K$4:$AJ$4,0)))+SUMPRODUCT((Inputs!$E$5:$E$230=$B16)*Inputs!$F$5:$F$230*(((Inputs!$G$5:$G$230="moeda")+(Inputs!$G$5:$G$230="acoes"))*Inputs!$B$1+((Inputs!$G$5:$G$230&lt;&gt;"moeda")*(Inputs!$G$5:$G$230&lt;&gt;"acoes")))*INDEX(Inputs!$K$5:$AJ$230,0,MATCH(Q$2,Inputs!$K$4:$AJ$4,0)))))</f>
        <v>288.702</v>
      </c>
      <c r="R16" s="3">
        <f>Q16</f>
        <v>288.702</v>
      </c>
      <c r="S16" s="6">
        <f>IF(ISNA(MATCH(S$2,Inputs!$K$4:$AJ$4,0)),NA(),IF(SUMPRODUCT((Inputs!$A$5:$A$230=$B16)*ISNUMBER(INDEX(Inputs!$K$5:$AJ$230,0,MATCH(S$2,Inputs!$K$4:$AJ$4,0))))+SUMPRODUCT((Inputs!$C$5:$C$230=$B16)*ISNUMBER(INDEX(Inputs!$K$5:$AJ$230,0,MATCH(S$2,Inputs!$K$4:$AJ$4,0))))+SUMPRODUCT((Inputs!$E$5:$E$230=$B16)*ISNUMBER(INDEX(Inputs!$K$5:$AJ$230,0,MATCH(S$2,Inputs!$K$4:$AJ$4,0))))=0,NA(),SUMPRODUCT((Inputs!$A$5:$A$230=$B16)*Inputs!$B$5:$B$230*(((Inputs!$G$5:$G$230="moeda")+(Inputs!$G$5:$G$230="acoes"))*Inputs!$B$1+((Inputs!$G$5:$G$230&lt;&gt;"moeda")*(Inputs!$G$5:$G$230&lt;&gt;"acoes")))*INDEX(Inputs!$K$5:$AJ$230,0,MATCH(S$2,Inputs!$K$4:$AJ$4,0)))+SUMPRODUCT((Inputs!$C$5:$C$230=$B16)*Inputs!$D$5:$D$230*(((Inputs!$G$5:$G$230="moeda")+(Inputs!$G$5:$G$230="acoes"))*Inputs!$B$1+((Inputs!$G$5:$G$230&lt;&gt;"moeda")*(Inputs!$G$5:$G$230&lt;&gt;"acoes")))*INDEX(Inputs!$K$5:$AJ$230,0,MATCH(S$2,Inputs!$K$4:$AJ$4,0)))+SUMPRODUCT((Inputs!$E$5:$E$230=$B16)*Inputs!$F$5:$F$230*(((Inputs!$G$5:$G$230="moeda")+(Inputs!$G$5:$G$230="acoes"))*Inputs!$B$1+((Inputs!$G$5:$G$230&lt;&gt;"moeda")*(Inputs!$G$5:$G$230&lt;&gt;"acoes")))*INDEX(Inputs!$K$5:$AJ$230,0,MATCH(S$2,Inputs!$K$4:$AJ$4,0)))))</f>
        <v>262.889</v>
      </c>
      <c r="T16" s="6">
        <f>IF(ISNA(MATCH(T$2,Inputs!$K$4:$AJ$4,0)),NA(),IF(SUMPRODUCT((Inputs!$A$5:$A$230=$B16)*ISNUMBER(INDEX(Inputs!$K$5:$AJ$230,0,MATCH(T$2,Inputs!$K$4:$AJ$4,0))))+SUMPRODUCT((Inputs!$C$5:$C$230=$B16)*ISNUMBER(INDEX(Inputs!$K$5:$AJ$230,0,MATCH(T$2,Inputs!$K$4:$AJ$4,0))))+SUMPRODUCT((Inputs!$E$5:$E$230=$B16)*ISNUMBER(INDEX(Inputs!$K$5:$AJ$230,0,MATCH(T$2,Inputs!$K$4:$AJ$4,0))))=0,NA(),SUMPRODUCT((Inputs!$A$5:$A$230=$B16)*Inputs!$B$5:$B$230*(((Inputs!$G$5:$G$230="moeda")+(Inputs!$G$5:$G$230="acoes"))*Inputs!$B$1+((Inputs!$G$5:$G$230&lt;&gt;"moeda")*(Inputs!$G$5:$G$230&lt;&gt;"acoes")))*INDEX(Inputs!$K$5:$AJ$230,0,MATCH(T$2,Inputs!$K$4:$AJ$4,0)))+SUMPRODUCT((Inputs!$C$5:$C$230=$B16)*Inputs!$D$5:$D$230*(((Inputs!$G$5:$G$230="moeda")+(Inputs!$G$5:$G$230="acoes"))*Inputs!$B$1+((Inputs!$G$5:$G$230&lt;&gt;"moeda")*(Inputs!$G$5:$G$230&lt;&gt;"acoes")))*INDEX(Inputs!$K$5:$AJ$230,0,MATCH(T$2,Inputs!$K$4:$AJ$4,0)))+SUMPRODUCT((Inputs!$E$5:$E$230=$B16)*Inputs!$F$5:$F$230*(((Inputs!$G$5:$G$230="moeda")+(Inputs!$G$5:$G$230="acoes"))*Inputs!$B$1+((Inputs!$G$5:$G$230&lt;&gt;"moeda")*(Inputs!$G$5:$G$230&lt;&gt;"acoes")))*INDEX(Inputs!$K$5:$AJ$230,0,MATCH(T$2,Inputs!$K$4:$AJ$4,0)))))</f>
        <v>270.403</v>
      </c>
      <c r="U16" s="6">
        <f>IF(ISNA(MATCH(U$2,Inputs!$K$4:$AJ$4,0)),NA(),IF(SUMPRODUCT((Inputs!$A$5:$A$230=$B16)*ISNUMBER(INDEX(Inputs!$K$5:$AJ$230,0,MATCH(U$2,Inputs!$K$4:$AJ$4,0))))+SUMPRODUCT((Inputs!$C$5:$C$230=$B16)*ISNUMBER(INDEX(Inputs!$K$5:$AJ$230,0,MATCH(U$2,Inputs!$K$4:$AJ$4,0))))+SUMPRODUCT((Inputs!$E$5:$E$230=$B16)*ISNUMBER(INDEX(Inputs!$K$5:$AJ$230,0,MATCH(U$2,Inputs!$K$4:$AJ$4,0))))=0,NA(),SUMPRODUCT((Inputs!$A$5:$A$230=$B16)*Inputs!$B$5:$B$230*(((Inputs!$G$5:$G$230="moeda")+(Inputs!$G$5:$G$230="acoes"))*Inputs!$B$1+((Inputs!$G$5:$G$230&lt;&gt;"moeda")*(Inputs!$G$5:$G$230&lt;&gt;"acoes")))*INDEX(Inputs!$K$5:$AJ$230,0,MATCH(U$2,Inputs!$K$4:$AJ$4,0)))+SUMPRODUCT((Inputs!$C$5:$C$230=$B16)*Inputs!$D$5:$D$230*(((Inputs!$G$5:$G$230="moeda")+(Inputs!$G$5:$G$230="acoes"))*Inputs!$B$1+((Inputs!$G$5:$G$230&lt;&gt;"moeda")*(Inputs!$G$5:$G$230&lt;&gt;"acoes")))*INDEX(Inputs!$K$5:$AJ$230,0,MATCH(U$2,Inputs!$K$4:$AJ$4,0)))+SUMPRODUCT((Inputs!$E$5:$E$230=$B16)*Inputs!$F$5:$F$230*(((Inputs!$G$5:$G$230="moeda")+(Inputs!$G$5:$G$230="acoes"))*Inputs!$B$1+((Inputs!$G$5:$G$230&lt;&gt;"moeda")*(Inputs!$G$5:$G$230&lt;&gt;"acoes")))*INDEX(Inputs!$K$5:$AJ$230,0,MATCH(U$2,Inputs!$K$4:$AJ$4,0)))))</f>
        <v>274.293</v>
      </c>
      <c r="V16" s="6">
        <f>IF(ISNA(MATCH(V$2,Inputs!$K$4:$AJ$4,0)),NA(),IF(SUMPRODUCT((Inputs!$A$5:$A$230=$B16)*ISNUMBER(INDEX(Inputs!$K$5:$AJ$230,0,MATCH(V$2,Inputs!$K$4:$AJ$4,0))))+SUMPRODUCT((Inputs!$C$5:$C$230=$B16)*ISNUMBER(INDEX(Inputs!$K$5:$AJ$230,0,MATCH(V$2,Inputs!$K$4:$AJ$4,0))))+SUMPRODUCT((Inputs!$E$5:$E$230=$B16)*ISNUMBER(INDEX(Inputs!$K$5:$AJ$230,0,MATCH(V$2,Inputs!$K$4:$AJ$4,0))))=0,NA(),SUMPRODUCT((Inputs!$A$5:$A$230=$B16)*Inputs!$B$5:$B$230*(((Inputs!$G$5:$G$230="moeda")+(Inputs!$G$5:$G$230="acoes"))*Inputs!$B$1+((Inputs!$G$5:$G$230&lt;&gt;"moeda")*(Inputs!$G$5:$G$230&lt;&gt;"acoes")))*INDEX(Inputs!$K$5:$AJ$230,0,MATCH(V$2,Inputs!$K$4:$AJ$4,0)))+SUMPRODUCT((Inputs!$C$5:$C$230=$B16)*Inputs!$D$5:$D$230*(((Inputs!$G$5:$G$230="moeda")+(Inputs!$G$5:$G$230="acoes"))*Inputs!$B$1+((Inputs!$G$5:$G$230&lt;&gt;"moeda")*(Inputs!$G$5:$G$230&lt;&gt;"acoes")))*INDEX(Inputs!$K$5:$AJ$230,0,MATCH(V$2,Inputs!$K$4:$AJ$4,0)))+SUMPRODUCT((Inputs!$E$5:$E$230=$B16)*Inputs!$F$5:$F$230*(((Inputs!$G$5:$G$230="moeda")+(Inputs!$G$5:$G$230="acoes"))*Inputs!$B$1+((Inputs!$G$5:$G$230&lt;&gt;"moeda")*(Inputs!$G$5:$G$230&lt;&gt;"acoes")))*INDEX(Inputs!$K$5:$AJ$230,0,MATCH(V$2,Inputs!$K$4:$AJ$4,0)))))</f>
        <v>283.923</v>
      </c>
      <c r="W16" s="3">
        <f>V16</f>
        <v>283.923</v>
      </c>
      <c r="X16" s="6">
        <f>IF(ISNA(MATCH(X$2,Inputs!$K$4:$AJ$4,0)),NA(),IF(SUMPRODUCT((Inputs!$A$5:$A$230=$B16)*ISNUMBER(INDEX(Inputs!$K$5:$AJ$230,0,MATCH(X$2,Inputs!$K$4:$AJ$4,0))))+SUMPRODUCT((Inputs!$C$5:$C$230=$B16)*ISNUMBER(INDEX(Inputs!$K$5:$AJ$230,0,MATCH(X$2,Inputs!$K$4:$AJ$4,0))))+SUMPRODUCT((Inputs!$E$5:$E$230=$B16)*ISNUMBER(INDEX(Inputs!$K$5:$AJ$230,0,MATCH(X$2,Inputs!$K$4:$AJ$4,0))))=0,NA(),SUMPRODUCT((Inputs!$A$5:$A$230=$B16)*Inputs!$B$5:$B$230*(((Inputs!$G$5:$G$230="moeda")+(Inputs!$G$5:$G$230="acoes"))*Inputs!$B$1+((Inputs!$G$5:$G$230&lt;&gt;"moeda")*(Inputs!$G$5:$G$230&lt;&gt;"acoes")))*INDEX(Inputs!$K$5:$AJ$230,0,MATCH(X$2,Inputs!$K$4:$AJ$4,0)))+SUMPRODUCT((Inputs!$C$5:$C$230=$B16)*Inputs!$D$5:$D$230*(((Inputs!$G$5:$G$230="moeda")+(Inputs!$G$5:$G$230="acoes"))*Inputs!$B$1+((Inputs!$G$5:$G$230&lt;&gt;"moeda")*(Inputs!$G$5:$G$230&lt;&gt;"acoes")))*INDEX(Inputs!$K$5:$AJ$230,0,MATCH(X$2,Inputs!$K$4:$AJ$4,0)))+SUMPRODUCT((Inputs!$E$5:$E$230=$B16)*Inputs!$F$5:$F$230*(((Inputs!$G$5:$G$230="moeda")+(Inputs!$G$5:$G$230="acoes"))*Inputs!$B$1+((Inputs!$G$5:$G$230&lt;&gt;"moeda")*(Inputs!$G$5:$G$230&lt;&gt;"acoes")))*INDEX(Inputs!$K$5:$AJ$230,0,MATCH(X$2,Inputs!$K$4:$AJ$4,0)))))</f>
        <v>259.685</v>
      </c>
      <c r="Y16" s="6">
        <f>IF(ISNA(MATCH(Y$2,Inputs!$K$4:$AJ$4,0)),NA(),IF(SUMPRODUCT((Inputs!$A$5:$A$230=$B16)*ISNUMBER(INDEX(Inputs!$K$5:$AJ$230,0,MATCH(Y$2,Inputs!$K$4:$AJ$4,0))))+SUMPRODUCT((Inputs!$C$5:$C$230=$B16)*ISNUMBER(INDEX(Inputs!$K$5:$AJ$230,0,MATCH(Y$2,Inputs!$K$4:$AJ$4,0))))+SUMPRODUCT((Inputs!$E$5:$E$230=$B16)*ISNUMBER(INDEX(Inputs!$K$5:$AJ$230,0,MATCH(Y$2,Inputs!$K$4:$AJ$4,0))))=0,NA(),SUMPRODUCT((Inputs!$A$5:$A$230=$B16)*Inputs!$B$5:$B$230*(((Inputs!$G$5:$G$230="moeda")+(Inputs!$G$5:$G$230="acoes"))*Inputs!$B$1+((Inputs!$G$5:$G$230&lt;&gt;"moeda")*(Inputs!$G$5:$G$230&lt;&gt;"acoes")))*INDEX(Inputs!$K$5:$AJ$230,0,MATCH(Y$2,Inputs!$K$4:$AJ$4,0)))+SUMPRODUCT((Inputs!$C$5:$C$230=$B16)*Inputs!$D$5:$D$230*(((Inputs!$G$5:$G$230="moeda")+(Inputs!$G$5:$G$230="acoes"))*Inputs!$B$1+((Inputs!$G$5:$G$230&lt;&gt;"moeda")*(Inputs!$G$5:$G$230&lt;&gt;"acoes")))*INDEX(Inputs!$K$5:$AJ$230,0,MATCH(Y$2,Inputs!$K$4:$AJ$4,0)))+SUMPRODUCT((Inputs!$E$5:$E$230=$B16)*Inputs!$F$5:$F$230*(((Inputs!$G$5:$G$230="moeda")+(Inputs!$G$5:$G$230="acoes"))*Inputs!$B$1+((Inputs!$G$5:$G$230&lt;&gt;"moeda")*(Inputs!$G$5:$G$230&lt;&gt;"acoes")))*INDEX(Inputs!$K$5:$AJ$230,0,MATCH(Y$2,Inputs!$K$4:$AJ$4,0)))))</f>
        <v>247.846</v>
      </c>
      <c r="Z16" s="6">
        <f>IF(ISNA(MATCH(Z$2,Inputs!$K$4:$AJ$4,0)),NA(),IF(SUMPRODUCT((Inputs!$A$5:$A$230=$B16)*ISNUMBER(INDEX(Inputs!$K$5:$AJ$230,0,MATCH(Z$2,Inputs!$K$4:$AJ$4,0))))+SUMPRODUCT((Inputs!$C$5:$C$230=$B16)*ISNUMBER(INDEX(Inputs!$K$5:$AJ$230,0,MATCH(Z$2,Inputs!$K$4:$AJ$4,0))))+SUMPRODUCT((Inputs!$E$5:$E$230=$B16)*ISNUMBER(INDEX(Inputs!$K$5:$AJ$230,0,MATCH(Z$2,Inputs!$K$4:$AJ$4,0))))=0,NA(),SUMPRODUCT((Inputs!$A$5:$A$230=$B16)*Inputs!$B$5:$B$230*(((Inputs!$G$5:$G$230="moeda")+(Inputs!$G$5:$G$230="acoes"))*Inputs!$B$1+((Inputs!$G$5:$G$230&lt;&gt;"moeda")*(Inputs!$G$5:$G$230&lt;&gt;"acoes")))*INDEX(Inputs!$K$5:$AJ$230,0,MATCH(Z$2,Inputs!$K$4:$AJ$4,0)))+SUMPRODUCT((Inputs!$C$5:$C$230=$B16)*Inputs!$D$5:$D$230*(((Inputs!$G$5:$G$230="moeda")+(Inputs!$G$5:$G$230="acoes"))*Inputs!$B$1+((Inputs!$G$5:$G$230&lt;&gt;"moeda")*(Inputs!$G$5:$G$230&lt;&gt;"acoes")))*INDEX(Inputs!$K$5:$AJ$230,0,MATCH(Z$2,Inputs!$K$4:$AJ$4,0)))+SUMPRODUCT((Inputs!$E$5:$E$230=$B16)*Inputs!$F$5:$F$230*(((Inputs!$G$5:$G$230="moeda")+(Inputs!$G$5:$G$230="acoes"))*Inputs!$B$1+((Inputs!$G$5:$G$230&lt;&gt;"moeda")*(Inputs!$G$5:$G$230&lt;&gt;"acoes")))*INDEX(Inputs!$K$5:$AJ$230,0,MATCH(Z$2,Inputs!$K$4:$AJ$4,0)))))</f>
        <v>212.361</v>
      </c>
      <c r="AA16" s="6">
        <f>IF(ISNA(MATCH(AA$2,Inputs!$K$4:$AJ$4,0)),NA(),IF(SUMPRODUCT((Inputs!$A$5:$A$230=$B16)*ISNUMBER(INDEX(Inputs!$K$5:$AJ$230,0,MATCH(AA$2,Inputs!$K$4:$AJ$4,0))))+SUMPRODUCT((Inputs!$C$5:$C$230=$B16)*ISNUMBER(INDEX(Inputs!$K$5:$AJ$230,0,MATCH(AA$2,Inputs!$K$4:$AJ$4,0))))+SUMPRODUCT((Inputs!$E$5:$E$230=$B16)*ISNUMBER(INDEX(Inputs!$K$5:$AJ$230,0,MATCH(AA$2,Inputs!$K$4:$AJ$4,0))))=0,NA(),SUMPRODUCT((Inputs!$A$5:$A$230=$B16)*Inputs!$B$5:$B$230*(((Inputs!$G$5:$G$230="moeda")+(Inputs!$G$5:$G$230="acoes"))*Inputs!$B$1+((Inputs!$G$5:$G$230&lt;&gt;"moeda")*(Inputs!$G$5:$G$230&lt;&gt;"acoes")))*INDEX(Inputs!$K$5:$AJ$230,0,MATCH(AA$2,Inputs!$K$4:$AJ$4,0)))+SUMPRODUCT((Inputs!$C$5:$C$230=$B16)*Inputs!$D$5:$D$230*(((Inputs!$G$5:$G$230="moeda")+(Inputs!$G$5:$G$230="acoes"))*Inputs!$B$1+((Inputs!$G$5:$G$230&lt;&gt;"moeda")*(Inputs!$G$5:$G$230&lt;&gt;"acoes")))*INDEX(Inputs!$K$5:$AJ$230,0,MATCH(AA$2,Inputs!$K$4:$AJ$4,0)))+SUMPRODUCT((Inputs!$E$5:$E$230=$B16)*Inputs!$F$5:$F$230*(((Inputs!$G$5:$G$230="moeda")+(Inputs!$G$5:$G$230="acoes"))*Inputs!$B$1+((Inputs!$G$5:$G$230&lt;&gt;"moeda")*(Inputs!$G$5:$G$230&lt;&gt;"acoes")))*INDEX(Inputs!$K$5:$AJ$230,0,MATCH(AA$2,Inputs!$K$4:$AJ$4,0)))))</f>
        <v>186.798</v>
      </c>
      <c r="AB16" s="3">
        <f>AA16</f>
        <v>186.798</v>
      </c>
      <c r="AC16" s="6">
        <f>IF(ISNA(MATCH(AC$2,Inputs!$K$4:$AJ$4,0)),NA(),IF(SUMPRODUCT((Inputs!$A$5:$A$230=$B16)*ISNUMBER(INDEX(Inputs!$K$5:$AJ$230,0,MATCH(AC$2,Inputs!$K$4:$AJ$4,0))))+SUMPRODUCT((Inputs!$C$5:$C$230=$B16)*ISNUMBER(INDEX(Inputs!$K$5:$AJ$230,0,MATCH(AC$2,Inputs!$K$4:$AJ$4,0))))+SUMPRODUCT((Inputs!$E$5:$E$230=$B16)*ISNUMBER(INDEX(Inputs!$K$5:$AJ$230,0,MATCH(AC$2,Inputs!$K$4:$AJ$4,0))))=0,NA(),SUMPRODUCT((Inputs!$A$5:$A$230=$B16)*Inputs!$B$5:$B$230*(((Inputs!$G$5:$G$230="moeda")+(Inputs!$G$5:$G$230="acoes"))*Inputs!$B$1+((Inputs!$G$5:$G$230&lt;&gt;"moeda")*(Inputs!$G$5:$G$230&lt;&gt;"acoes")))*INDEX(Inputs!$K$5:$AJ$230,0,MATCH(AC$2,Inputs!$K$4:$AJ$4,0)))+SUMPRODUCT((Inputs!$C$5:$C$230=$B16)*Inputs!$D$5:$D$230*(((Inputs!$G$5:$G$230="moeda")+(Inputs!$G$5:$G$230="acoes"))*Inputs!$B$1+((Inputs!$G$5:$G$230&lt;&gt;"moeda")*(Inputs!$G$5:$G$230&lt;&gt;"acoes")))*INDEX(Inputs!$K$5:$AJ$230,0,MATCH(AC$2,Inputs!$K$4:$AJ$4,0)))+SUMPRODUCT((Inputs!$E$5:$E$230=$B16)*Inputs!$F$5:$F$230*(((Inputs!$G$5:$G$230="moeda")+(Inputs!$G$5:$G$230="acoes"))*Inputs!$B$1+((Inputs!$G$5:$G$230&lt;&gt;"moeda")*(Inputs!$G$5:$G$230&lt;&gt;"acoes")))*INDEX(Inputs!$K$5:$AJ$230,0,MATCH(AC$2,Inputs!$K$4:$AJ$4,0)))))</f>
        <v>191.285</v>
      </c>
      <c r="AD16" s="6">
        <f>IF(ISNA(MATCH(AD$2,Inputs!$K$4:$AJ$4,0)),NA(),IF(SUMPRODUCT((Inputs!$A$5:$A$230=$B16)*ISNUMBER(INDEX(Inputs!$K$5:$AJ$230,0,MATCH(AD$2,Inputs!$K$4:$AJ$4,0))))+SUMPRODUCT((Inputs!$C$5:$C$230=$B16)*ISNUMBER(INDEX(Inputs!$K$5:$AJ$230,0,MATCH(AD$2,Inputs!$K$4:$AJ$4,0))))+SUMPRODUCT((Inputs!$E$5:$E$230=$B16)*ISNUMBER(INDEX(Inputs!$K$5:$AJ$230,0,MATCH(AD$2,Inputs!$K$4:$AJ$4,0))))=0,NA(),SUMPRODUCT((Inputs!$A$5:$A$230=$B16)*Inputs!$B$5:$B$230*(((Inputs!$G$5:$G$230="moeda")+(Inputs!$G$5:$G$230="acoes"))*Inputs!$B$1+((Inputs!$G$5:$G$230&lt;&gt;"moeda")*(Inputs!$G$5:$G$230&lt;&gt;"acoes")))*INDEX(Inputs!$K$5:$AJ$230,0,MATCH(AD$2,Inputs!$K$4:$AJ$4,0)))+SUMPRODUCT((Inputs!$C$5:$C$230=$B16)*Inputs!$D$5:$D$230*(((Inputs!$G$5:$G$230="moeda")+(Inputs!$G$5:$G$230="acoes"))*Inputs!$B$1+((Inputs!$G$5:$G$230&lt;&gt;"moeda")*(Inputs!$G$5:$G$230&lt;&gt;"acoes")))*INDEX(Inputs!$K$5:$AJ$230,0,MATCH(AD$2,Inputs!$K$4:$AJ$4,0)))+SUMPRODUCT((Inputs!$E$5:$E$230=$B16)*Inputs!$F$5:$F$230*(((Inputs!$G$5:$G$230="moeda")+(Inputs!$G$5:$G$230="acoes"))*Inputs!$B$1+((Inputs!$G$5:$G$230&lt;&gt;"moeda")*(Inputs!$G$5:$G$230&lt;&gt;"acoes")))*INDEX(Inputs!$K$5:$AJ$230,0,MATCH(AD$2,Inputs!$K$4:$AJ$4,0)))))</f>
        <v>349.127</v>
      </c>
      <c r="AE16" s="6" t="e">
        <f>IF(ISNA(MATCH(AE$2,Inputs!$K$4:$AJ$4,0)),NA(),IF(SUMPRODUCT((Inputs!$A$5:$A$230=$B16)*ISNUMBER(INDEX(Inputs!$K$5:$AJ$230,0,MATCH(AE$2,Inputs!$K$4:$AJ$4,0))))+SUMPRODUCT((Inputs!$C$5:$C$230=$B16)*ISNUMBER(INDEX(Inputs!$K$5:$AJ$230,0,MATCH(AE$2,Inputs!$K$4:$AJ$4,0))))+SUMPRODUCT((Inputs!$E$5:$E$230=$B16)*ISNUMBER(INDEX(Inputs!$K$5:$AJ$230,0,MATCH(AE$2,Inputs!$K$4:$AJ$4,0))))=0,NA(),SUMPRODUCT((Inputs!$A$5:$A$230=$B16)*Inputs!$B$5:$B$230*(((Inputs!$G$5:$G$230="moeda")+(Inputs!$G$5:$G$230="acoes"))*Inputs!$B$1+((Inputs!$G$5:$G$230&lt;&gt;"moeda")*(Inputs!$G$5:$G$230&lt;&gt;"acoes")))*INDEX(Inputs!$K$5:$AJ$230,0,MATCH(AE$2,Inputs!$K$4:$AJ$4,0)))+SUMPRODUCT((Inputs!$C$5:$C$230=$B16)*Inputs!$D$5:$D$230*(((Inputs!$G$5:$G$230="moeda")+(Inputs!$G$5:$G$230="acoes"))*Inputs!$B$1+((Inputs!$G$5:$G$230&lt;&gt;"moeda")*(Inputs!$G$5:$G$230&lt;&gt;"acoes")))*INDEX(Inputs!$K$5:$AJ$230,0,MATCH(AE$2,Inputs!$K$4:$AJ$4,0)))+SUMPRODUCT((Inputs!$E$5:$E$230=$B16)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6" s="6" t="e">
        <f>IF(ISNA(MATCH(AF$2,Inputs!$K$4:$AJ$4,0)),NA(),IF(SUMPRODUCT((Inputs!$A$5:$A$230=$B16)*ISNUMBER(INDEX(Inputs!$K$5:$AJ$230,0,MATCH(AF$2,Inputs!$K$4:$AJ$4,0))))+SUMPRODUCT((Inputs!$C$5:$C$230=$B16)*ISNUMBER(INDEX(Inputs!$K$5:$AJ$230,0,MATCH(AF$2,Inputs!$K$4:$AJ$4,0))))+SUMPRODUCT((Inputs!$E$5:$E$230=$B16)*ISNUMBER(INDEX(Inputs!$K$5:$AJ$230,0,MATCH(AF$2,Inputs!$K$4:$AJ$4,0))))=0,NA(),SUMPRODUCT((Inputs!$A$5:$A$230=$B16)*Inputs!$B$5:$B$230*(((Inputs!$G$5:$G$230="moeda")+(Inputs!$G$5:$G$230="acoes"))*Inputs!$B$1+((Inputs!$G$5:$G$230&lt;&gt;"moeda")*(Inputs!$G$5:$G$230&lt;&gt;"acoes")))*INDEX(Inputs!$K$5:$AJ$230,0,MATCH(AF$2,Inputs!$K$4:$AJ$4,0)))+SUMPRODUCT((Inputs!$C$5:$C$230=$B16)*Inputs!$D$5:$D$230*(((Inputs!$G$5:$G$230="moeda")+(Inputs!$G$5:$G$230="acoes"))*Inputs!$B$1+((Inputs!$G$5:$G$230&lt;&gt;"moeda")*(Inputs!$G$5:$G$230&lt;&gt;"acoes")))*INDEX(Inputs!$K$5:$AJ$230,0,MATCH(AF$2,Inputs!$K$4:$AJ$4,0)))+SUMPRODUCT((Inputs!$E$5:$E$230=$B16)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6" s="3" t="e">
        <f>AF16</f>
        <v>#N/A</v>
      </c>
      <c r="AH16" s="6">
        <f>IF(ISNA(MATCH(AH$2,Inputs!$K$4:$AJ$4,0)),NA(),IF(SUMPRODUCT((Inputs!$A$5:$A$230=$B16)*ISNUMBER(INDEX(Inputs!$K$5:$AJ$230,0,MATCH(AH$2,Inputs!$K$4:$AJ$4,0))))+SUMPRODUCT((Inputs!$C$5:$C$230=$B16)*ISNUMBER(INDEX(Inputs!$K$5:$AJ$230,0,MATCH(AH$2,Inputs!$K$4:$AJ$4,0))))+SUMPRODUCT((Inputs!$E$5:$E$230=$B16)*ISNUMBER(INDEX(Inputs!$K$5:$AJ$230,0,MATCH(AH$2,Inputs!$K$4:$AJ$4,0))))=0,NA(),SUMPRODUCT((Inputs!$A$5:$A$230=$B16)*Inputs!$B$5:$B$230*(((Inputs!$G$5:$G$230="moeda")+(Inputs!$G$5:$G$230="acoes"))*Inputs!$B$1+((Inputs!$G$5:$G$230&lt;&gt;"moeda")*(Inputs!$G$5:$G$230&lt;&gt;"acoes")))*INDEX(Inputs!$K$5:$AJ$230,0,MATCH(AH$2,Inputs!$K$4:$AJ$4,0)))+SUMPRODUCT((Inputs!$C$5:$C$230=$B16)*Inputs!$D$5:$D$230*(((Inputs!$G$5:$G$230="moeda")+(Inputs!$G$5:$G$230="acoes"))*Inputs!$B$1+((Inputs!$G$5:$G$230&lt;&gt;"moeda")*(Inputs!$G$5:$G$230&lt;&gt;"acoes")))*INDEX(Inputs!$K$5:$AJ$230,0,MATCH(AH$2,Inputs!$K$4:$AJ$4,0)))+SUMPRODUCT((Inputs!$E$5:$E$230=$B16)*Inputs!$F$5:$F$230*(((Inputs!$G$5:$G$230="moeda")+(Inputs!$G$5:$G$230="acoes"))*Inputs!$B$1+((Inputs!$G$5:$G$230&lt;&gt;"moeda")*(Inputs!$G$5:$G$230&lt;&gt;"acoes")))*INDEX(Inputs!$K$5:$AJ$230,0,MATCH(AH$2,Inputs!$K$4:$AJ$4,0)))))</f>
        <v>330.399</v>
      </c>
      <c r="AI16" s="6">
        <f>IF(ISNA(MATCH(AI$2,Inputs!$K$4:$AJ$4,0)),NA(),IF(SUMPRODUCT((Inputs!$A$5:$A$230=$B16)*ISNUMBER(INDEX(Inputs!$K$5:$AJ$230,0,MATCH(AI$2,Inputs!$K$4:$AJ$4,0))))+SUMPRODUCT((Inputs!$C$5:$C$230=$B16)*ISNUMBER(INDEX(Inputs!$K$5:$AJ$230,0,MATCH(AI$2,Inputs!$K$4:$AJ$4,0))))+SUMPRODUCT((Inputs!$E$5:$E$230=$B16)*ISNUMBER(INDEX(Inputs!$K$5:$AJ$230,0,MATCH(AI$2,Inputs!$K$4:$AJ$4,0))))=0,NA(),SUMPRODUCT((Inputs!$A$5:$A$230=$B16)*Inputs!$B$5:$B$230*(((Inputs!$G$5:$G$230="moeda")+(Inputs!$G$5:$G$230="acoes"))*Inputs!$B$1+((Inputs!$G$5:$G$230&lt;&gt;"moeda")*(Inputs!$G$5:$G$230&lt;&gt;"acoes")))*INDEX(Inputs!$K$5:$AJ$230,0,MATCH(AI$2,Inputs!$K$4:$AJ$4,0)))+SUMPRODUCT((Inputs!$C$5:$C$230=$B16)*Inputs!$D$5:$D$230*(((Inputs!$G$5:$G$230="moeda")+(Inputs!$G$5:$G$230="acoes"))*Inputs!$B$1+((Inputs!$G$5:$G$230&lt;&gt;"moeda")*(Inputs!$G$5:$G$230&lt;&gt;"acoes")))*INDEX(Inputs!$K$5:$AJ$230,0,MATCH(AI$2,Inputs!$K$4:$AJ$4,0)))+SUMPRODUCT((Inputs!$E$5:$E$230=$B16)*Inputs!$F$5:$F$230*(((Inputs!$G$5:$G$230="moeda")+(Inputs!$G$5:$G$230="acoes"))*Inputs!$B$1+((Inputs!$G$5:$G$230&lt;&gt;"moeda")*(Inputs!$G$5:$G$230&lt;&gt;"acoes")))*INDEX(Inputs!$K$5:$AJ$230,0,MATCH(AI$2,Inputs!$K$4:$AJ$4,0)))))</f>
        <v>328.061</v>
      </c>
      <c r="AJ16" s="6">
        <f>IF(ISNA(MATCH(AJ$2,Inputs!$K$4:$AJ$4,0)),NA(),IF(SUMPRODUCT((Inputs!$A$5:$A$230=$B16)*ISNUMBER(INDEX(Inputs!$K$5:$AJ$230,0,MATCH(AJ$2,Inputs!$K$4:$AJ$4,0))))+SUMPRODUCT((Inputs!$C$5:$C$230=$B16)*ISNUMBER(INDEX(Inputs!$K$5:$AJ$230,0,MATCH(AJ$2,Inputs!$K$4:$AJ$4,0))))+SUMPRODUCT((Inputs!$E$5:$E$230=$B16)*ISNUMBER(INDEX(Inputs!$K$5:$AJ$230,0,MATCH(AJ$2,Inputs!$K$4:$AJ$4,0))))=0,NA(),SUMPRODUCT((Inputs!$A$5:$A$230=$B16)*Inputs!$B$5:$B$230*(((Inputs!$G$5:$G$230="moeda")+(Inputs!$G$5:$G$230="acoes"))*Inputs!$B$1+((Inputs!$G$5:$G$230&lt;&gt;"moeda")*(Inputs!$G$5:$G$230&lt;&gt;"acoes")))*INDEX(Inputs!$K$5:$AJ$230,0,MATCH(AJ$2,Inputs!$K$4:$AJ$4,0)))+SUMPRODUCT((Inputs!$C$5:$C$230=$B16)*Inputs!$D$5:$D$230*(((Inputs!$G$5:$G$230="moeda")+(Inputs!$G$5:$G$230="acoes"))*Inputs!$B$1+((Inputs!$G$5:$G$230&lt;&gt;"moeda")*(Inputs!$G$5:$G$230&lt;&gt;"acoes")))*INDEX(Inputs!$K$5:$AJ$230,0,MATCH(AJ$2,Inputs!$K$4:$AJ$4,0)))+SUMPRODUCT((Inputs!$E$5:$E$230=$B16)*Inputs!$F$5:$F$230*(((Inputs!$G$5:$G$230="moeda")+(Inputs!$G$5:$G$230="acoes"))*Inputs!$B$1+((Inputs!$G$5:$G$230&lt;&gt;"moeda")*(Inputs!$G$5:$G$230&lt;&gt;"acoes")))*INDEX(Inputs!$K$5:$AJ$230,0,MATCH(AJ$2,Inputs!$K$4:$AJ$4,0)))))</f>
        <v>365.38</v>
      </c>
      <c r="AK16" s="6">
        <f>IF(ISNA(MATCH(AK$2,Inputs!$K$4:$AJ$4,0)),NA(),IF(SUMPRODUCT((Inputs!$A$5:$A$230=$B16)*ISNUMBER(INDEX(Inputs!$K$5:$AJ$230,0,MATCH(AK$2,Inputs!$K$4:$AJ$4,0))))+SUMPRODUCT((Inputs!$C$5:$C$230=$B16)*ISNUMBER(INDEX(Inputs!$K$5:$AJ$230,0,MATCH(AK$2,Inputs!$K$4:$AJ$4,0))))+SUMPRODUCT((Inputs!$E$5:$E$230=$B16)*ISNUMBER(INDEX(Inputs!$K$5:$AJ$230,0,MATCH(AK$2,Inputs!$K$4:$AJ$4,0))))=0,NA(),SUMPRODUCT((Inputs!$A$5:$A$230=$B16)*Inputs!$B$5:$B$230*(((Inputs!$G$5:$G$230="moeda")+(Inputs!$G$5:$G$230="acoes"))*Inputs!$B$1+((Inputs!$G$5:$G$230&lt;&gt;"moeda")*(Inputs!$G$5:$G$230&lt;&gt;"acoes")))*INDEX(Inputs!$K$5:$AJ$230,0,MATCH(AK$2,Inputs!$K$4:$AJ$4,0)))+SUMPRODUCT((Inputs!$C$5:$C$230=$B16)*Inputs!$D$5:$D$230*(((Inputs!$G$5:$G$230="moeda")+(Inputs!$G$5:$G$230="acoes"))*Inputs!$B$1+((Inputs!$G$5:$G$230&lt;&gt;"moeda")*(Inputs!$G$5:$G$230&lt;&gt;"acoes")))*INDEX(Inputs!$K$5:$AJ$230,0,MATCH(AK$2,Inputs!$K$4:$AJ$4,0)))+SUMPRODUCT((Inputs!$E$5:$E$230=$B16)*Inputs!$F$5:$F$230*(((Inputs!$G$5:$G$230="moeda")+(Inputs!$G$5:$G$230="acoes"))*Inputs!$B$1+((Inputs!$G$5:$G$230&lt;&gt;"moeda")*(Inputs!$G$5:$G$230&lt;&gt;"acoes")))*INDEX(Inputs!$K$5:$AJ$230,0,MATCH(AK$2,Inputs!$K$4:$AJ$4,0)))))</f>
        <v>415.353</v>
      </c>
      <c r="AL16" s="3">
        <f>AK16</f>
        <v>415.353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$230=$B17)*ISNUMBER(INDEX(Inputs!$K$5:$AJ$230,0,MATCH(D$2,Inputs!$K$4:$AJ$4,0))))+SUMPRODUCT((Inputs!$C$5:$C$230=$B17)*ISNUMBER(INDEX(Inputs!$K$5:$AJ$230,0,MATCH(D$2,Inputs!$K$4:$AJ$4,0))))+SUMPRODUCT((Inputs!$E$5:$E$230=$B17)*ISNUMBER(INDEX(Inputs!$K$5:$AJ$230,0,MATCH(D$2,Inputs!$K$4:$AJ$4,0))))=0,NA(),SUMPRODUCT((Inputs!$A$5:$A$230=$B17)*Inputs!$B$5:$B$230*(((Inputs!$G$5:$G$230="moeda")+(Inputs!$G$5:$G$230="acoes"))*Inputs!$B$1+((Inputs!$G$5:$G$230&lt;&gt;"moeda")*(Inputs!$G$5:$G$230&lt;&gt;"acoes")))*INDEX(Inputs!$K$5:$AJ$230,0,MATCH(D$2,Inputs!$K$4:$AJ$4,0)))+SUMPRODUCT((Inputs!$C$5:$C$230=$B17)*Inputs!$D$5:$D$230*(((Inputs!$G$5:$G$230="moeda")+(Inputs!$G$5:$G$230="acoes"))*Inputs!$B$1+((Inputs!$G$5:$G$230&lt;&gt;"moeda")*(Inputs!$G$5:$G$230&lt;&gt;"acoes")))*INDEX(Inputs!$K$5:$AJ$230,0,MATCH(D$2,Inputs!$K$4:$AJ$4,0)))+SUMPRODUCT((Inputs!$E$5:$E$230=$B17)*Inputs!$F$5:$F$230*(((Inputs!$G$5:$G$230="moeda")+(Inputs!$G$5:$G$230="acoes"))*Inputs!$B$1+((Inputs!$G$5:$G$230&lt;&gt;"moeda")*(Inputs!$G$5:$G$230&lt;&gt;"acoes")))*INDEX(Inputs!$K$5:$AJ$230,0,MATCH(D$2,Inputs!$K$4:$AJ$4,0)))))</f>
        <v>7.969</v>
      </c>
      <c r="E17" s="6">
        <f>IF(ISNA(MATCH(E$2,Inputs!$K$4:$AJ$4,0)),NA(),IF(SUMPRODUCT((Inputs!$A$5:$A$230=$B17)*ISNUMBER(INDEX(Inputs!$K$5:$AJ$230,0,MATCH(E$2,Inputs!$K$4:$AJ$4,0))))+SUMPRODUCT((Inputs!$C$5:$C$230=$B17)*ISNUMBER(INDEX(Inputs!$K$5:$AJ$230,0,MATCH(E$2,Inputs!$K$4:$AJ$4,0))))+SUMPRODUCT((Inputs!$E$5:$E$230=$B17)*ISNUMBER(INDEX(Inputs!$K$5:$AJ$230,0,MATCH(E$2,Inputs!$K$4:$AJ$4,0))))=0,NA(),SUMPRODUCT((Inputs!$A$5:$A$230=$B17)*Inputs!$B$5:$B$230*(((Inputs!$G$5:$G$230="moeda")+(Inputs!$G$5:$G$230="acoes"))*Inputs!$B$1+((Inputs!$G$5:$G$230&lt;&gt;"moeda")*(Inputs!$G$5:$G$230&lt;&gt;"acoes")))*INDEX(Inputs!$K$5:$AJ$230,0,MATCH(E$2,Inputs!$K$4:$AJ$4,0)))+SUMPRODUCT((Inputs!$C$5:$C$230=$B17)*Inputs!$D$5:$D$230*(((Inputs!$G$5:$G$230="moeda")+(Inputs!$G$5:$G$230="acoes"))*Inputs!$B$1+((Inputs!$G$5:$G$230&lt;&gt;"moeda")*(Inputs!$G$5:$G$230&lt;&gt;"acoes")))*INDEX(Inputs!$K$5:$AJ$230,0,MATCH(E$2,Inputs!$K$4:$AJ$4,0)))+SUMPRODUCT((Inputs!$E$5:$E$230=$B17)*Inputs!$F$5:$F$230*(((Inputs!$G$5:$G$230="moeda")+(Inputs!$G$5:$G$230="acoes"))*Inputs!$B$1+((Inputs!$G$5:$G$230&lt;&gt;"moeda")*(Inputs!$G$5:$G$230&lt;&gt;"acoes")))*INDEX(Inputs!$K$5:$AJ$230,0,MATCH(E$2,Inputs!$K$4:$AJ$4,0)))))</f>
        <v>8.386</v>
      </c>
      <c r="F17" s="6">
        <f>IF(ISNA(MATCH(F$2,Inputs!$K$4:$AJ$4,0)),NA(),IF(SUMPRODUCT((Inputs!$A$5:$A$230=$B17)*ISNUMBER(INDEX(Inputs!$K$5:$AJ$230,0,MATCH(F$2,Inputs!$K$4:$AJ$4,0))))+SUMPRODUCT((Inputs!$C$5:$C$230=$B17)*ISNUMBER(INDEX(Inputs!$K$5:$AJ$230,0,MATCH(F$2,Inputs!$K$4:$AJ$4,0))))+SUMPRODUCT((Inputs!$E$5:$E$230=$B17)*ISNUMBER(INDEX(Inputs!$K$5:$AJ$230,0,MATCH(F$2,Inputs!$K$4:$AJ$4,0))))=0,NA(),SUMPRODUCT((Inputs!$A$5:$A$230=$B17)*Inputs!$B$5:$B$230*(((Inputs!$G$5:$G$230="moeda")+(Inputs!$G$5:$G$230="acoes"))*Inputs!$B$1+((Inputs!$G$5:$G$230&lt;&gt;"moeda")*(Inputs!$G$5:$G$230&lt;&gt;"acoes")))*INDEX(Inputs!$K$5:$AJ$230,0,MATCH(F$2,Inputs!$K$4:$AJ$4,0)))+SUMPRODUCT((Inputs!$C$5:$C$230=$B17)*Inputs!$D$5:$D$230*(((Inputs!$G$5:$G$230="moeda")+(Inputs!$G$5:$G$230="acoes"))*Inputs!$B$1+((Inputs!$G$5:$G$230&lt;&gt;"moeda")*(Inputs!$G$5:$G$230&lt;&gt;"acoes")))*INDEX(Inputs!$K$5:$AJ$230,0,MATCH(F$2,Inputs!$K$4:$AJ$4,0)))+SUMPRODUCT((Inputs!$E$5:$E$230=$B17)*Inputs!$F$5:$F$230*(((Inputs!$G$5:$G$230="moeda")+(Inputs!$G$5:$G$230="acoes"))*Inputs!$B$1+((Inputs!$G$5:$G$230&lt;&gt;"moeda")*(Inputs!$G$5:$G$230&lt;&gt;"acoes")))*INDEX(Inputs!$K$5:$AJ$230,0,MATCH(F$2,Inputs!$K$4:$AJ$4,0)))))</f>
        <v>8.389</v>
      </c>
      <c r="G17" s="6">
        <f>IF(ISNA(MATCH(G$2,Inputs!$K$4:$AJ$4,0)),NA(),IF(SUMPRODUCT((Inputs!$A$5:$A$230=$B17)*ISNUMBER(INDEX(Inputs!$K$5:$AJ$230,0,MATCH(G$2,Inputs!$K$4:$AJ$4,0))))+SUMPRODUCT((Inputs!$C$5:$C$230=$B17)*ISNUMBER(INDEX(Inputs!$K$5:$AJ$230,0,MATCH(G$2,Inputs!$K$4:$AJ$4,0))))+SUMPRODUCT((Inputs!$E$5:$E$230=$B17)*ISNUMBER(INDEX(Inputs!$K$5:$AJ$230,0,MATCH(G$2,Inputs!$K$4:$AJ$4,0))))=0,NA(),SUMPRODUCT((Inputs!$A$5:$A$230=$B17)*Inputs!$B$5:$B$230*(((Inputs!$G$5:$G$230="moeda")+(Inputs!$G$5:$G$230="acoes"))*Inputs!$B$1+((Inputs!$G$5:$G$230&lt;&gt;"moeda")*(Inputs!$G$5:$G$230&lt;&gt;"acoes")))*INDEX(Inputs!$K$5:$AJ$230,0,MATCH(G$2,Inputs!$K$4:$AJ$4,0)))+SUMPRODUCT((Inputs!$C$5:$C$230=$B17)*Inputs!$D$5:$D$230*(((Inputs!$G$5:$G$230="moeda")+(Inputs!$G$5:$G$230="acoes"))*Inputs!$B$1+((Inputs!$G$5:$G$230&lt;&gt;"moeda")*(Inputs!$G$5:$G$230&lt;&gt;"acoes")))*INDEX(Inputs!$K$5:$AJ$230,0,MATCH(G$2,Inputs!$K$4:$AJ$4,0)))+SUMPRODUCT((Inputs!$E$5:$E$230=$B17)*Inputs!$F$5:$F$230*(((Inputs!$G$5:$G$230="moeda")+(Inputs!$G$5:$G$230="acoes"))*Inputs!$B$1+((Inputs!$G$5:$G$230&lt;&gt;"moeda")*(Inputs!$G$5:$G$230&lt;&gt;"acoes")))*INDEX(Inputs!$K$5:$AJ$230,0,MATCH(G$2,Inputs!$K$4:$AJ$4,0)))))</f>
        <v>8.245</v>
      </c>
      <c r="H17" s="3">
        <f>G17</f>
        <v>8.245</v>
      </c>
      <c r="I17" s="6">
        <f>IF(ISNA(MATCH(I$2,Inputs!$K$4:$AJ$4,0)),NA(),IF(SUMPRODUCT((Inputs!$A$5:$A$230=$B17)*ISNUMBER(INDEX(Inputs!$K$5:$AJ$230,0,MATCH(I$2,Inputs!$K$4:$AJ$4,0))))+SUMPRODUCT((Inputs!$C$5:$C$230=$B17)*ISNUMBER(INDEX(Inputs!$K$5:$AJ$230,0,MATCH(I$2,Inputs!$K$4:$AJ$4,0))))+SUMPRODUCT((Inputs!$E$5:$E$230=$B17)*ISNUMBER(INDEX(Inputs!$K$5:$AJ$230,0,MATCH(I$2,Inputs!$K$4:$AJ$4,0))))=0,NA(),SUMPRODUCT((Inputs!$A$5:$A$230=$B17)*Inputs!$B$5:$B$230*(((Inputs!$G$5:$G$230="moeda")+(Inputs!$G$5:$G$230="acoes"))*Inputs!$B$1+((Inputs!$G$5:$G$230&lt;&gt;"moeda")*(Inputs!$G$5:$G$230&lt;&gt;"acoes")))*INDEX(Inputs!$K$5:$AJ$230,0,MATCH(I$2,Inputs!$K$4:$AJ$4,0)))+SUMPRODUCT((Inputs!$C$5:$C$230=$B17)*Inputs!$D$5:$D$230*(((Inputs!$G$5:$G$230="moeda")+(Inputs!$G$5:$G$230="acoes"))*Inputs!$B$1+((Inputs!$G$5:$G$230&lt;&gt;"moeda")*(Inputs!$G$5:$G$230&lt;&gt;"acoes")))*INDEX(Inputs!$K$5:$AJ$230,0,MATCH(I$2,Inputs!$K$4:$AJ$4,0)))+SUMPRODUCT((Inputs!$E$5:$E$230=$B17)*Inputs!$F$5:$F$230*(((Inputs!$G$5:$G$230="moeda")+(Inputs!$G$5:$G$230="acoes"))*Inputs!$B$1+((Inputs!$G$5:$G$230&lt;&gt;"moeda")*(Inputs!$G$5:$G$230&lt;&gt;"acoes")))*INDEX(Inputs!$K$5:$AJ$230,0,MATCH(I$2,Inputs!$K$4:$AJ$4,0)))))</f>
        <v>8.368</v>
      </c>
      <c r="J17" s="6">
        <f>IF(ISNA(MATCH(J$2,Inputs!$K$4:$AJ$4,0)),NA(),IF(SUMPRODUCT((Inputs!$A$5:$A$230=$B17)*ISNUMBER(INDEX(Inputs!$K$5:$AJ$230,0,MATCH(J$2,Inputs!$K$4:$AJ$4,0))))+SUMPRODUCT((Inputs!$C$5:$C$230=$B17)*ISNUMBER(INDEX(Inputs!$K$5:$AJ$230,0,MATCH(J$2,Inputs!$K$4:$AJ$4,0))))+SUMPRODUCT((Inputs!$E$5:$E$230=$B17)*ISNUMBER(INDEX(Inputs!$K$5:$AJ$230,0,MATCH(J$2,Inputs!$K$4:$AJ$4,0))))=0,NA(),SUMPRODUCT((Inputs!$A$5:$A$230=$B17)*Inputs!$B$5:$B$230*(((Inputs!$G$5:$G$230="moeda")+(Inputs!$G$5:$G$230="acoes"))*Inputs!$B$1+((Inputs!$G$5:$G$230&lt;&gt;"moeda")*(Inputs!$G$5:$G$230&lt;&gt;"acoes")))*INDEX(Inputs!$K$5:$AJ$230,0,MATCH(J$2,Inputs!$K$4:$AJ$4,0)))+SUMPRODUCT((Inputs!$C$5:$C$230=$B17)*Inputs!$D$5:$D$230*(((Inputs!$G$5:$G$230="moeda")+(Inputs!$G$5:$G$230="acoes"))*Inputs!$B$1+((Inputs!$G$5:$G$230&lt;&gt;"moeda")*(Inputs!$G$5:$G$230&lt;&gt;"acoes")))*INDEX(Inputs!$K$5:$AJ$230,0,MATCH(J$2,Inputs!$K$4:$AJ$4,0)))+SUMPRODUCT((Inputs!$E$5:$E$230=$B17)*Inputs!$F$5:$F$230*(((Inputs!$G$5:$G$230="moeda")+(Inputs!$G$5:$G$230="acoes"))*Inputs!$B$1+((Inputs!$G$5:$G$230&lt;&gt;"moeda")*(Inputs!$G$5:$G$230&lt;&gt;"acoes")))*INDEX(Inputs!$K$5:$AJ$230,0,MATCH(J$2,Inputs!$K$4:$AJ$4,0)))))</f>
        <v>8.455</v>
      </c>
      <c r="K17" s="6">
        <f>IF(ISNA(MATCH(K$2,Inputs!$K$4:$AJ$4,0)),NA(),IF(SUMPRODUCT((Inputs!$A$5:$A$230=$B17)*ISNUMBER(INDEX(Inputs!$K$5:$AJ$230,0,MATCH(K$2,Inputs!$K$4:$AJ$4,0))))+SUMPRODUCT((Inputs!$C$5:$C$230=$B17)*ISNUMBER(INDEX(Inputs!$K$5:$AJ$230,0,MATCH(K$2,Inputs!$K$4:$AJ$4,0))))+SUMPRODUCT((Inputs!$E$5:$E$230=$B17)*ISNUMBER(INDEX(Inputs!$K$5:$AJ$230,0,MATCH(K$2,Inputs!$K$4:$AJ$4,0))))=0,NA(),SUMPRODUCT((Inputs!$A$5:$A$230=$B17)*Inputs!$B$5:$B$230*(((Inputs!$G$5:$G$230="moeda")+(Inputs!$G$5:$G$230="acoes"))*Inputs!$B$1+((Inputs!$G$5:$G$230&lt;&gt;"moeda")*(Inputs!$G$5:$G$230&lt;&gt;"acoes")))*INDEX(Inputs!$K$5:$AJ$230,0,MATCH(K$2,Inputs!$K$4:$AJ$4,0)))+SUMPRODUCT((Inputs!$C$5:$C$230=$B17)*Inputs!$D$5:$D$230*(((Inputs!$G$5:$G$230="moeda")+(Inputs!$G$5:$G$230="acoes"))*Inputs!$B$1+((Inputs!$G$5:$G$230&lt;&gt;"moeda")*(Inputs!$G$5:$G$230&lt;&gt;"acoes")))*INDEX(Inputs!$K$5:$AJ$230,0,MATCH(K$2,Inputs!$K$4:$AJ$4,0)))+SUMPRODUCT((Inputs!$E$5:$E$230=$B17)*Inputs!$F$5:$F$230*(((Inputs!$G$5:$G$230="moeda")+(Inputs!$G$5:$G$230="acoes"))*Inputs!$B$1+((Inputs!$G$5:$G$230&lt;&gt;"moeda")*(Inputs!$G$5:$G$230&lt;&gt;"acoes")))*INDEX(Inputs!$K$5:$AJ$230,0,MATCH(K$2,Inputs!$K$4:$AJ$4,0)))))</f>
        <v>8.952</v>
      </c>
      <c r="L17" s="6">
        <f>IF(ISNA(MATCH(L$2,Inputs!$K$4:$AJ$4,0)),NA(),IF(SUMPRODUCT((Inputs!$A$5:$A$230=$B17)*ISNUMBER(INDEX(Inputs!$K$5:$AJ$230,0,MATCH(L$2,Inputs!$K$4:$AJ$4,0))))+SUMPRODUCT((Inputs!$C$5:$C$230=$B17)*ISNUMBER(INDEX(Inputs!$K$5:$AJ$230,0,MATCH(L$2,Inputs!$K$4:$AJ$4,0))))+SUMPRODUCT((Inputs!$E$5:$E$230=$B17)*ISNUMBER(INDEX(Inputs!$K$5:$AJ$230,0,MATCH(L$2,Inputs!$K$4:$AJ$4,0))))=0,NA(),SUMPRODUCT((Inputs!$A$5:$A$230=$B17)*Inputs!$B$5:$B$230*(((Inputs!$G$5:$G$230="moeda")+(Inputs!$G$5:$G$230="acoes"))*Inputs!$B$1+((Inputs!$G$5:$G$230&lt;&gt;"moeda")*(Inputs!$G$5:$G$230&lt;&gt;"acoes")))*INDEX(Inputs!$K$5:$AJ$230,0,MATCH(L$2,Inputs!$K$4:$AJ$4,0)))+SUMPRODUCT((Inputs!$C$5:$C$230=$B17)*Inputs!$D$5:$D$230*(((Inputs!$G$5:$G$230="moeda")+(Inputs!$G$5:$G$230="acoes"))*Inputs!$B$1+((Inputs!$G$5:$G$230&lt;&gt;"moeda")*(Inputs!$G$5:$G$230&lt;&gt;"acoes")))*INDEX(Inputs!$K$5:$AJ$230,0,MATCH(L$2,Inputs!$K$4:$AJ$4,0)))+SUMPRODUCT((Inputs!$E$5:$E$230=$B17)*Inputs!$F$5:$F$230*(((Inputs!$G$5:$G$230="moeda")+(Inputs!$G$5:$G$230="acoes"))*Inputs!$B$1+((Inputs!$G$5:$G$230&lt;&gt;"moeda")*(Inputs!$G$5:$G$230&lt;&gt;"acoes")))*INDEX(Inputs!$K$5:$AJ$230,0,MATCH(L$2,Inputs!$K$4:$AJ$4,0)))))</f>
        <v>9.201</v>
      </c>
      <c r="M17" s="3">
        <f>L17</f>
        <v>9.201</v>
      </c>
      <c r="N17" s="6">
        <f>IF(ISNA(MATCH(N$2,Inputs!$K$4:$AJ$4,0)),NA(),IF(SUMPRODUCT((Inputs!$A$5:$A$230=$B17)*ISNUMBER(INDEX(Inputs!$K$5:$AJ$230,0,MATCH(N$2,Inputs!$K$4:$AJ$4,0))))+SUMPRODUCT((Inputs!$C$5:$C$230=$B17)*ISNUMBER(INDEX(Inputs!$K$5:$AJ$230,0,MATCH(N$2,Inputs!$K$4:$AJ$4,0))))+SUMPRODUCT((Inputs!$E$5:$E$230=$B17)*ISNUMBER(INDEX(Inputs!$K$5:$AJ$230,0,MATCH(N$2,Inputs!$K$4:$AJ$4,0))))=0,NA(),SUMPRODUCT((Inputs!$A$5:$A$230=$B17)*Inputs!$B$5:$B$230*(((Inputs!$G$5:$G$230="moeda")+(Inputs!$G$5:$G$230="acoes"))*Inputs!$B$1+((Inputs!$G$5:$G$230&lt;&gt;"moeda")*(Inputs!$G$5:$G$230&lt;&gt;"acoes")))*INDEX(Inputs!$K$5:$AJ$230,0,MATCH(N$2,Inputs!$K$4:$AJ$4,0)))+SUMPRODUCT((Inputs!$C$5:$C$230=$B17)*Inputs!$D$5:$D$230*(((Inputs!$G$5:$G$230="moeda")+(Inputs!$G$5:$G$230="acoes"))*Inputs!$B$1+((Inputs!$G$5:$G$230&lt;&gt;"moeda")*(Inputs!$G$5:$G$230&lt;&gt;"acoes")))*INDEX(Inputs!$K$5:$AJ$230,0,MATCH(N$2,Inputs!$K$4:$AJ$4,0)))+SUMPRODUCT((Inputs!$E$5:$E$230=$B17)*Inputs!$F$5:$F$230*(((Inputs!$G$5:$G$230="moeda")+(Inputs!$G$5:$G$230="acoes"))*Inputs!$B$1+((Inputs!$G$5:$G$230&lt;&gt;"moeda")*(Inputs!$G$5:$G$230&lt;&gt;"acoes")))*INDEX(Inputs!$K$5:$AJ$230,0,MATCH(N$2,Inputs!$K$4:$AJ$4,0)))))</f>
        <v>9.061</v>
      </c>
      <c r="O17" s="6">
        <f>IF(ISNA(MATCH(O$2,Inputs!$K$4:$AJ$4,0)),NA(),IF(SUMPRODUCT((Inputs!$A$5:$A$230=$B17)*ISNUMBER(INDEX(Inputs!$K$5:$AJ$230,0,MATCH(O$2,Inputs!$K$4:$AJ$4,0))))+SUMPRODUCT((Inputs!$C$5:$C$230=$B17)*ISNUMBER(INDEX(Inputs!$K$5:$AJ$230,0,MATCH(O$2,Inputs!$K$4:$AJ$4,0))))+SUMPRODUCT((Inputs!$E$5:$E$230=$B17)*ISNUMBER(INDEX(Inputs!$K$5:$AJ$230,0,MATCH(O$2,Inputs!$K$4:$AJ$4,0))))=0,NA(),SUMPRODUCT((Inputs!$A$5:$A$230=$B17)*Inputs!$B$5:$B$230*(((Inputs!$G$5:$G$230="moeda")+(Inputs!$G$5:$G$230="acoes"))*Inputs!$B$1+((Inputs!$G$5:$G$230&lt;&gt;"moeda")*(Inputs!$G$5:$G$230&lt;&gt;"acoes")))*INDEX(Inputs!$K$5:$AJ$230,0,MATCH(O$2,Inputs!$K$4:$AJ$4,0)))+SUMPRODUCT((Inputs!$C$5:$C$230=$B17)*Inputs!$D$5:$D$230*(((Inputs!$G$5:$G$230="moeda")+(Inputs!$G$5:$G$230="acoes"))*Inputs!$B$1+((Inputs!$G$5:$G$230&lt;&gt;"moeda")*(Inputs!$G$5:$G$230&lt;&gt;"acoes")))*INDEX(Inputs!$K$5:$AJ$230,0,MATCH(O$2,Inputs!$K$4:$AJ$4,0)))+SUMPRODUCT((Inputs!$E$5:$E$230=$B17)*Inputs!$F$5:$F$230*(((Inputs!$G$5:$G$230="moeda")+(Inputs!$G$5:$G$230="acoes"))*Inputs!$B$1+((Inputs!$G$5:$G$230&lt;&gt;"moeda")*(Inputs!$G$5:$G$230&lt;&gt;"acoes")))*INDEX(Inputs!$K$5:$AJ$230,0,MATCH(O$2,Inputs!$K$4:$AJ$4,0)))))</f>
        <v>9.397</v>
      </c>
      <c r="P17" s="6">
        <f>IF(ISNA(MATCH(P$2,Inputs!$K$4:$AJ$4,0)),NA(),IF(SUMPRODUCT((Inputs!$A$5:$A$230=$B17)*ISNUMBER(INDEX(Inputs!$K$5:$AJ$230,0,MATCH(P$2,Inputs!$K$4:$AJ$4,0))))+SUMPRODUCT((Inputs!$C$5:$C$230=$B17)*ISNUMBER(INDEX(Inputs!$K$5:$AJ$230,0,MATCH(P$2,Inputs!$K$4:$AJ$4,0))))+SUMPRODUCT((Inputs!$E$5:$E$230=$B17)*ISNUMBER(INDEX(Inputs!$K$5:$AJ$230,0,MATCH(P$2,Inputs!$K$4:$AJ$4,0))))=0,NA(),SUMPRODUCT((Inputs!$A$5:$A$230=$B17)*Inputs!$B$5:$B$230*(((Inputs!$G$5:$G$230="moeda")+(Inputs!$G$5:$G$230="acoes"))*Inputs!$B$1+((Inputs!$G$5:$G$230&lt;&gt;"moeda")*(Inputs!$G$5:$G$230&lt;&gt;"acoes")))*INDEX(Inputs!$K$5:$AJ$230,0,MATCH(P$2,Inputs!$K$4:$AJ$4,0)))+SUMPRODUCT((Inputs!$C$5:$C$230=$B17)*Inputs!$D$5:$D$230*(((Inputs!$G$5:$G$230="moeda")+(Inputs!$G$5:$G$230="acoes"))*Inputs!$B$1+((Inputs!$G$5:$G$230&lt;&gt;"moeda")*(Inputs!$G$5:$G$230&lt;&gt;"acoes")))*INDEX(Inputs!$K$5:$AJ$230,0,MATCH(P$2,Inputs!$K$4:$AJ$4,0)))+SUMPRODUCT((Inputs!$E$5:$E$230=$B17)*Inputs!$F$5:$F$230*(((Inputs!$G$5:$G$230="moeda")+(Inputs!$G$5:$G$230="acoes"))*Inputs!$B$1+((Inputs!$G$5:$G$230&lt;&gt;"moeda")*(Inputs!$G$5:$G$230&lt;&gt;"acoes")))*INDEX(Inputs!$K$5:$AJ$230,0,MATCH(P$2,Inputs!$K$4:$AJ$4,0)))))</f>
        <v>17.446</v>
      </c>
      <c r="Q17" s="6">
        <f>IF(ISNA(MATCH(Q$2,Inputs!$K$4:$AJ$4,0)),NA(),IF(SUMPRODUCT((Inputs!$A$5:$A$230=$B17)*ISNUMBER(INDEX(Inputs!$K$5:$AJ$230,0,MATCH(Q$2,Inputs!$K$4:$AJ$4,0))))+SUMPRODUCT((Inputs!$C$5:$C$230=$B17)*ISNUMBER(INDEX(Inputs!$K$5:$AJ$230,0,MATCH(Q$2,Inputs!$K$4:$AJ$4,0))))+SUMPRODUCT((Inputs!$E$5:$E$230=$B17)*ISNUMBER(INDEX(Inputs!$K$5:$AJ$230,0,MATCH(Q$2,Inputs!$K$4:$AJ$4,0))))=0,NA(),SUMPRODUCT((Inputs!$A$5:$A$230=$B17)*Inputs!$B$5:$B$230*(((Inputs!$G$5:$G$230="moeda")+(Inputs!$G$5:$G$230="acoes"))*Inputs!$B$1+((Inputs!$G$5:$G$230&lt;&gt;"moeda")*(Inputs!$G$5:$G$230&lt;&gt;"acoes")))*INDEX(Inputs!$K$5:$AJ$230,0,MATCH(Q$2,Inputs!$K$4:$AJ$4,0)))+SUMPRODUCT((Inputs!$C$5:$C$230=$B17)*Inputs!$D$5:$D$230*(((Inputs!$G$5:$G$230="moeda")+(Inputs!$G$5:$G$230="acoes"))*Inputs!$B$1+((Inputs!$G$5:$G$230&lt;&gt;"moeda")*(Inputs!$G$5:$G$230&lt;&gt;"acoes")))*INDEX(Inputs!$K$5:$AJ$230,0,MATCH(Q$2,Inputs!$K$4:$AJ$4,0)))+SUMPRODUCT((Inputs!$E$5:$E$230=$B17)*Inputs!$F$5:$F$230*(((Inputs!$G$5:$G$230="moeda")+(Inputs!$G$5:$G$230="acoes"))*Inputs!$B$1+((Inputs!$G$5:$G$230&lt;&gt;"moeda")*(Inputs!$G$5:$G$230&lt;&gt;"acoes")))*INDEX(Inputs!$K$5:$AJ$230,0,MATCH(Q$2,Inputs!$K$4:$AJ$4,0)))))</f>
        <v>10.278</v>
      </c>
      <c r="R17" s="3">
        <f>Q17</f>
        <v>10.278</v>
      </c>
      <c r="S17" s="6">
        <f>IF(ISNA(MATCH(S$2,Inputs!$K$4:$AJ$4,0)),NA(),IF(SUMPRODUCT((Inputs!$A$5:$A$230=$B17)*ISNUMBER(INDEX(Inputs!$K$5:$AJ$230,0,MATCH(S$2,Inputs!$K$4:$AJ$4,0))))+SUMPRODUCT((Inputs!$C$5:$C$230=$B17)*ISNUMBER(INDEX(Inputs!$K$5:$AJ$230,0,MATCH(S$2,Inputs!$K$4:$AJ$4,0))))+SUMPRODUCT((Inputs!$E$5:$E$230=$B17)*ISNUMBER(INDEX(Inputs!$K$5:$AJ$230,0,MATCH(S$2,Inputs!$K$4:$AJ$4,0))))=0,NA(),SUMPRODUCT((Inputs!$A$5:$A$230=$B17)*Inputs!$B$5:$B$230*(((Inputs!$G$5:$G$230="moeda")+(Inputs!$G$5:$G$230="acoes"))*Inputs!$B$1+((Inputs!$G$5:$G$230&lt;&gt;"moeda")*(Inputs!$G$5:$G$230&lt;&gt;"acoes")))*INDEX(Inputs!$K$5:$AJ$230,0,MATCH(S$2,Inputs!$K$4:$AJ$4,0)))+SUMPRODUCT((Inputs!$C$5:$C$230=$B17)*Inputs!$D$5:$D$230*(((Inputs!$G$5:$G$230="moeda")+(Inputs!$G$5:$G$230="acoes"))*Inputs!$B$1+((Inputs!$G$5:$G$230&lt;&gt;"moeda")*(Inputs!$G$5:$G$230&lt;&gt;"acoes")))*INDEX(Inputs!$K$5:$AJ$230,0,MATCH(S$2,Inputs!$K$4:$AJ$4,0)))+SUMPRODUCT((Inputs!$E$5:$E$230=$B17)*Inputs!$F$5:$F$230*(((Inputs!$G$5:$G$230="moeda")+(Inputs!$G$5:$G$230="acoes"))*Inputs!$B$1+((Inputs!$G$5:$G$230&lt;&gt;"moeda")*(Inputs!$G$5:$G$230&lt;&gt;"acoes")))*INDEX(Inputs!$K$5:$AJ$230,0,MATCH(S$2,Inputs!$K$4:$AJ$4,0)))))</f>
        <v>9.874</v>
      </c>
      <c r="T17" s="6">
        <f>IF(ISNA(MATCH(T$2,Inputs!$K$4:$AJ$4,0)),NA(),IF(SUMPRODUCT((Inputs!$A$5:$A$230=$B17)*ISNUMBER(INDEX(Inputs!$K$5:$AJ$230,0,MATCH(T$2,Inputs!$K$4:$AJ$4,0))))+SUMPRODUCT((Inputs!$C$5:$C$230=$B17)*ISNUMBER(INDEX(Inputs!$K$5:$AJ$230,0,MATCH(T$2,Inputs!$K$4:$AJ$4,0))))+SUMPRODUCT((Inputs!$E$5:$E$230=$B17)*ISNUMBER(INDEX(Inputs!$K$5:$AJ$230,0,MATCH(T$2,Inputs!$K$4:$AJ$4,0))))=0,NA(),SUMPRODUCT((Inputs!$A$5:$A$230=$B17)*Inputs!$B$5:$B$230*(((Inputs!$G$5:$G$230="moeda")+(Inputs!$G$5:$G$230="acoes"))*Inputs!$B$1+((Inputs!$G$5:$G$230&lt;&gt;"moeda")*(Inputs!$G$5:$G$230&lt;&gt;"acoes")))*INDEX(Inputs!$K$5:$AJ$230,0,MATCH(T$2,Inputs!$K$4:$AJ$4,0)))+SUMPRODUCT((Inputs!$C$5:$C$230=$B17)*Inputs!$D$5:$D$230*(((Inputs!$G$5:$G$230="moeda")+(Inputs!$G$5:$G$230="acoes"))*Inputs!$B$1+((Inputs!$G$5:$G$230&lt;&gt;"moeda")*(Inputs!$G$5:$G$230&lt;&gt;"acoes")))*INDEX(Inputs!$K$5:$AJ$230,0,MATCH(T$2,Inputs!$K$4:$AJ$4,0)))+SUMPRODUCT((Inputs!$E$5:$E$230=$B17)*Inputs!$F$5:$F$230*(((Inputs!$G$5:$G$230="moeda")+(Inputs!$G$5:$G$230="acoes"))*Inputs!$B$1+((Inputs!$G$5:$G$230&lt;&gt;"moeda")*(Inputs!$G$5:$G$230&lt;&gt;"acoes")))*INDEX(Inputs!$K$5:$AJ$230,0,MATCH(T$2,Inputs!$K$4:$AJ$4,0)))))</f>
        <v>9.229</v>
      </c>
      <c r="U17" s="6">
        <f>IF(ISNA(MATCH(U$2,Inputs!$K$4:$AJ$4,0)),NA(),IF(SUMPRODUCT((Inputs!$A$5:$A$230=$B17)*ISNUMBER(INDEX(Inputs!$K$5:$AJ$230,0,MATCH(U$2,Inputs!$K$4:$AJ$4,0))))+SUMPRODUCT((Inputs!$C$5:$C$230=$B17)*ISNUMBER(INDEX(Inputs!$K$5:$AJ$230,0,MATCH(U$2,Inputs!$K$4:$AJ$4,0))))+SUMPRODUCT((Inputs!$E$5:$E$230=$B17)*ISNUMBER(INDEX(Inputs!$K$5:$AJ$230,0,MATCH(U$2,Inputs!$K$4:$AJ$4,0))))=0,NA(),SUMPRODUCT((Inputs!$A$5:$A$230=$B17)*Inputs!$B$5:$B$230*(((Inputs!$G$5:$G$230="moeda")+(Inputs!$G$5:$G$230="acoes"))*Inputs!$B$1+((Inputs!$G$5:$G$230&lt;&gt;"moeda")*(Inputs!$G$5:$G$230&lt;&gt;"acoes")))*INDEX(Inputs!$K$5:$AJ$230,0,MATCH(U$2,Inputs!$K$4:$AJ$4,0)))+SUMPRODUCT((Inputs!$C$5:$C$230=$B17)*Inputs!$D$5:$D$230*(((Inputs!$G$5:$G$230="moeda")+(Inputs!$G$5:$G$230="acoes"))*Inputs!$B$1+((Inputs!$G$5:$G$230&lt;&gt;"moeda")*(Inputs!$G$5:$G$230&lt;&gt;"acoes")))*INDEX(Inputs!$K$5:$AJ$230,0,MATCH(U$2,Inputs!$K$4:$AJ$4,0)))+SUMPRODUCT((Inputs!$E$5:$E$230=$B17)*Inputs!$F$5:$F$230*(((Inputs!$G$5:$G$230="moeda")+(Inputs!$G$5:$G$230="acoes"))*Inputs!$B$1+((Inputs!$G$5:$G$230&lt;&gt;"moeda")*(Inputs!$G$5:$G$230&lt;&gt;"acoes")))*INDEX(Inputs!$K$5:$AJ$230,0,MATCH(U$2,Inputs!$K$4:$AJ$4,0)))))</f>
        <v>9.486</v>
      </c>
      <c r="V17" s="6">
        <f>IF(ISNA(MATCH(V$2,Inputs!$K$4:$AJ$4,0)),NA(),IF(SUMPRODUCT((Inputs!$A$5:$A$230=$B17)*ISNUMBER(INDEX(Inputs!$K$5:$AJ$230,0,MATCH(V$2,Inputs!$K$4:$AJ$4,0))))+SUMPRODUCT((Inputs!$C$5:$C$230=$B17)*ISNUMBER(INDEX(Inputs!$K$5:$AJ$230,0,MATCH(V$2,Inputs!$K$4:$AJ$4,0))))+SUMPRODUCT((Inputs!$E$5:$E$230=$B17)*ISNUMBER(INDEX(Inputs!$K$5:$AJ$230,0,MATCH(V$2,Inputs!$K$4:$AJ$4,0))))=0,NA(),SUMPRODUCT((Inputs!$A$5:$A$230=$B17)*Inputs!$B$5:$B$230*(((Inputs!$G$5:$G$230="moeda")+(Inputs!$G$5:$G$230="acoes"))*Inputs!$B$1+((Inputs!$G$5:$G$230&lt;&gt;"moeda")*(Inputs!$G$5:$G$230&lt;&gt;"acoes")))*INDEX(Inputs!$K$5:$AJ$230,0,MATCH(V$2,Inputs!$K$4:$AJ$4,0)))+SUMPRODUCT((Inputs!$C$5:$C$230=$B17)*Inputs!$D$5:$D$230*(((Inputs!$G$5:$G$230="moeda")+(Inputs!$G$5:$G$230="acoes"))*Inputs!$B$1+((Inputs!$G$5:$G$230&lt;&gt;"moeda")*(Inputs!$G$5:$G$230&lt;&gt;"acoes")))*INDEX(Inputs!$K$5:$AJ$230,0,MATCH(V$2,Inputs!$K$4:$AJ$4,0)))+SUMPRODUCT((Inputs!$E$5:$E$230=$B17)*Inputs!$F$5:$F$230*(((Inputs!$G$5:$G$230="moeda")+(Inputs!$G$5:$G$230="acoes"))*Inputs!$B$1+((Inputs!$G$5:$G$230&lt;&gt;"moeda")*(Inputs!$G$5:$G$230&lt;&gt;"acoes")))*INDEX(Inputs!$K$5:$AJ$230,0,MATCH(V$2,Inputs!$K$4:$AJ$4,0)))))</f>
        <v>9.766</v>
      </c>
      <c r="W17" s="3">
        <f>V17</f>
        <v>9.766</v>
      </c>
      <c r="X17" s="6">
        <f>IF(ISNA(MATCH(X$2,Inputs!$K$4:$AJ$4,0)),NA(),IF(SUMPRODUCT((Inputs!$A$5:$A$230=$B17)*ISNUMBER(INDEX(Inputs!$K$5:$AJ$230,0,MATCH(X$2,Inputs!$K$4:$AJ$4,0))))+SUMPRODUCT((Inputs!$C$5:$C$230=$B17)*ISNUMBER(INDEX(Inputs!$K$5:$AJ$230,0,MATCH(X$2,Inputs!$K$4:$AJ$4,0))))+SUMPRODUCT((Inputs!$E$5:$E$230=$B17)*ISNUMBER(INDEX(Inputs!$K$5:$AJ$230,0,MATCH(X$2,Inputs!$K$4:$AJ$4,0))))=0,NA(),SUMPRODUCT((Inputs!$A$5:$A$230=$B17)*Inputs!$B$5:$B$230*(((Inputs!$G$5:$G$230="moeda")+(Inputs!$G$5:$G$230="acoes"))*Inputs!$B$1+((Inputs!$G$5:$G$230&lt;&gt;"moeda")*(Inputs!$G$5:$G$230&lt;&gt;"acoes")))*INDEX(Inputs!$K$5:$AJ$230,0,MATCH(X$2,Inputs!$K$4:$AJ$4,0)))+SUMPRODUCT((Inputs!$C$5:$C$230=$B17)*Inputs!$D$5:$D$230*(((Inputs!$G$5:$G$230="moeda")+(Inputs!$G$5:$G$230="acoes"))*Inputs!$B$1+((Inputs!$G$5:$G$230&lt;&gt;"moeda")*(Inputs!$G$5:$G$230&lt;&gt;"acoes")))*INDEX(Inputs!$K$5:$AJ$230,0,MATCH(X$2,Inputs!$K$4:$AJ$4,0)))+SUMPRODUCT((Inputs!$E$5:$E$230=$B17)*Inputs!$F$5:$F$230*(((Inputs!$G$5:$G$230="moeda")+(Inputs!$G$5:$G$230="acoes"))*Inputs!$B$1+((Inputs!$G$5:$G$230&lt;&gt;"moeda")*(Inputs!$G$5:$G$230&lt;&gt;"acoes")))*INDEX(Inputs!$K$5:$AJ$230,0,MATCH(X$2,Inputs!$K$4:$AJ$4,0)))))</f>
        <v>10.107</v>
      </c>
      <c r="Y17" s="6">
        <f>IF(ISNA(MATCH(Y$2,Inputs!$K$4:$AJ$4,0)),NA(),IF(SUMPRODUCT((Inputs!$A$5:$A$230=$B17)*ISNUMBER(INDEX(Inputs!$K$5:$AJ$230,0,MATCH(Y$2,Inputs!$K$4:$AJ$4,0))))+SUMPRODUCT((Inputs!$C$5:$C$230=$B17)*ISNUMBER(INDEX(Inputs!$K$5:$AJ$230,0,MATCH(Y$2,Inputs!$K$4:$AJ$4,0))))+SUMPRODUCT((Inputs!$E$5:$E$230=$B17)*ISNUMBER(INDEX(Inputs!$K$5:$AJ$230,0,MATCH(Y$2,Inputs!$K$4:$AJ$4,0))))=0,NA(),SUMPRODUCT((Inputs!$A$5:$A$230=$B17)*Inputs!$B$5:$B$230*(((Inputs!$G$5:$G$230="moeda")+(Inputs!$G$5:$G$230="acoes"))*Inputs!$B$1+((Inputs!$G$5:$G$230&lt;&gt;"moeda")*(Inputs!$G$5:$G$230&lt;&gt;"acoes")))*INDEX(Inputs!$K$5:$AJ$230,0,MATCH(Y$2,Inputs!$K$4:$AJ$4,0)))+SUMPRODUCT((Inputs!$C$5:$C$230=$B17)*Inputs!$D$5:$D$230*(((Inputs!$G$5:$G$230="moeda")+(Inputs!$G$5:$G$230="acoes"))*Inputs!$B$1+((Inputs!$G$5:$G$230&lt;&gt;"moeda")*(Inputs!$G$5:$G$230&lt;&gt;"acoes")))*INDEX(Inputs!$K$5:$AJ$230,0,MATCH(Y$2,Inputs!$K$4:$AJ$4,0)))+SUMPRODUCT((Inputs!$E$5:$E$230=$B17)*Inputs!$F$5:$F$230*(((Inputs!$G$5:$G$230="moeda")+(Inputs!$G$5:$G$230="acoes"))*Inputs!$B$1+((Inputs!$G$5:$G$230&lt;&gt;"moeda")*(Inputs!$G$5:$G$230&lt;&gt;"acoes")))*INDEX(Inputs!$K$5:$AJ$230,0,MATCH(Y$2,Inputs!$K$4:$AJ$4,0)))))</f>
        <v>9.833</v>
      </c>
      <c r="Z17" s="6">
        <f>IF(ISNA(MATCH(Z$2,Inputs!$K$4:$AJ$4,0)),NA(),IF(SUMPRODUCT((Inputs!$A$5:$A$230=$B17)*ISNUMBER(INDEX(Inputs!$K$5:$AJ$230,0,MATCH(Z$2,Inputs!$K$4:$AJ$4,0))))+SUMPRODUCT((Inputs!$C$5:$C$230=$B17)*ISNUMBER(INDEX(Inputs!$K$5:$AJ$230,0,MATCH(Z$2,Inputs!$K$4:$AJ$4,0))))+SUMPRODUCT((Inputs!$E$5:$E$230=$B17)*ISNUMBER(INDEX(Inputs!$K$5:$AJ$230,0,MATCH(Z$2,Inputs!$K$4:$AJ$4,0))))=0,NA(),SUMPRODUCT((Inputs!$A$5:$A$230=$B17)*Inputs!$B$5:$B$230*(((Inputs!$G$5:$G$230="moeda")+(Inputs!$G$5:$G$230="acoes"))*Inputs!$B$1+((Inputs!$G$5:$G$230&lt;&gt;"moeda")*(Inputs!$G$5:$G$230&lt;&gt;"acoes")))*INDEX(Inputs!$K$5:$AJ$230,0,MATCH(Z$2,Inputs!$K$4:$AJ$4,0)))+SUMPRODUCT((Inputs!$C$5:$C$230=$B17)*Inputs!$D$5:$D$230*(((Inputs!$G$5:$G$230="moeda")+(Inputs!$G$5:$G$230="acoes"))*Inputs!$B$1+((Inputs!$G$5:$G$230&lt;&gt;"moeda")*(Inputs!$G$5:$G$230&lt;&gt;"acoes")))*INDEX(Inputs!$K$5:$AJ$230,0,MATCH(Z$2,Inputs!$K$4:$AJ$4,0)))+SUMPRODUCT((Inputs!$E$5:$E$230=$B17)*Inputs!$F$5:$F$230*(((Inputs!$G$5:$G$230="moeda")+(Inputs!$G$5:$G$230="acoes"))*Inputs!$B$1+((Inputs!$G$5:$G$230&lt;&gt;"moeda")*(Inputs!$G$5:$G$230&lt;&gt;"acoes")))*INDEX(Inputs!$K$5:$AJ$230,0,MATCH(Z$2,Inputs!$K$4:$AJ$4,0)))))</f>
        <v>9.692</v>
      </c>
      <c r="AA17" s="6">
        <f>IF(ISNA(MATCH(AA$2,Inputs!$K$4:$AJ$4,0)),NA(),IF(SUMPRODUCT((Inputs!$A$5:$A$230=$B17)*ISNUMBER(INDEX(Inputs!$K$5:$AJ$230,0,MATCH(AA$2,Inputs!$K$4:$AJ$4,0))))+SUMPRODUCT((Inputs!$C$5:$C$230=$B17)*ISNUMBER(INDEX(Inputs!$K$5:$AJ$230,0,MATCH(AA$2,Inputs!$K$4:$AJ$4,0))))+SUMPRODUCT((Inputs!$E$5:$E$230=$B17)*ISNUMBER(INDEX(Inputs!$K$5:$AJ$230,0,MATCH(AA$2,Inputs!$K$4:$AJ$4,0))))=0,NA(),SUMPRODUCT((Inputs!$A$5:$A$230=$B17)*Inputs!$B$5:$B$230*(((Inputs!$G$5:$G$230="moeda")+(Inputs!$G$5:$G$230="acoes"))*Inputs!$B$1+((Inputs!$G$5:$G$230&lt;&gt;"moeda")*(Inputs!$G$5:$G$230&lt;&gt;"acoes")))*INDEX(Inputs!$K$5:$AJ$230,0,MATCH(AA$2,Inputs!$K$4:$AJ$4,0)))+SUMPRODUCT((Inputs!$C$5:$C$230=$B17)*Inputs!$D$5:$D$230*(((Inputs!$G$5:$G$230="moeda")+(Inputs!$G$5:$G$230="acoes"))*Inputs!$B$1+((Inputs!$G$5:$G$230&lt;&gt;"moeda")*(Inputs!$G$5:$G$230&lt;&gt;"acoes")))*INDEX(Inputs!$K$5:$AJ$230,0,MATCH(AA$2,Inputs!$K$4:$AJ$4,0)))+SUMPRODUCT((Inputs!$E$5:$E$230=$B17)*Inputs!$F$5:$F$230*(((Inputs!$G$5:$G$230="moeda")+(Inputs!$G$5:$G$230="acoes"))*Inputs!$B$1+((Inputs!$G$5:$G$230&lt;&gt;"moeda")*(Inputs!$G$5:$G$230&lt;&gt;"acoes")))*INDEX(Inputs!$K$5:$AJ$230,0,MATCH(AA$2,Inputs!$K$4:$AJ$4,0)))))</f>
        <v>10.472</v>
      </c>
      <c r="AB17" s="3">
        <f>AA17</f>
        <v>10.472</v>
      </c>
      <c r="AC17" s="6">
        <f>IF(ISNA(MATCH(AC$2,Inputs!$K$4:$AJ$4,0)),NA(),IF(SUMPRODUCT((Inputs!$A$5:$A$230=$B17)*ISNUMBER(INDEX(Inputs!$K$5:$AJ$230,0,MATCH(AC$2,Inputs!$K$4:$AJ$4,0))))+SUMPRODUCT((Inputs!$C$5:$C$230=$B17)*ISNUMBER(INDEX(Inputs!$K$5:$AJ$230,0,MATCH(AC$2,Inputs!$K$4:$AJ$4,0))))+SUMPRODUCT((Inputs!$E$5:$E$230=$B17)*ISNUMBER(INDEX(Inputs!$K$5:$AJ$230,0,MATCH(AC$2,Inputs!$K$4:$AJ$4,0))))=0,NA(),SUMPRODUCT((Inputs!$A$5:$A$230=$B17)*Inputs!$B$5:$B$230*(((Inputs!$G$5:$G$230="moeda")+(Inputs!$G$5:$G$230="acoes"))*Inputs!$B$1+((Inputs!$G$5:$G$230&lt;&gt;"moeda")*(Inputs!$G$5:$G$230&lt;&gt;"acoes")))*INDEX(Inputs!$K$5:$AJ$230,0,MATCH(AC$2,Inputs!$K$4:$AJ$4,0)))+SUMPRODUCT((Inputs!$C$5:$C$230=$B17)*Inputs!$D$5:$D$230*(((Inputs!$G$5:$G$230="moeda")+(Inputs!$G$5:$G$230="acoes"))*Inputs!$B$1+((Inputs!$G$5:$G$230&lt;&gt;"moeda")*(Inputs!$G$5:$G$230&lt;&gt;"acoes")))*INDEX(Inputs!$K$5:$AJ$230,0,MATCH(AC$2,Inputs!$K$4:$AJ$4,0)))+SUMPRODUCT((Inputs!$E$5:$E$230=$B17)*Inputs!$F$5:$F$230*(((Inputs!$G$5:$G$230="moeda")+(Inputs!$G$5:$G$230="acoes"))*Inputs!$B$1+((Inputs!$G$5:$G$230&lt;&gt;"moeda")*(Inputs!$G$5:$G$230&lt;&gt;"acoes")))*INDEX(Inputs!$K$5:$AJ$230,0,MATCH(AC$2,Inputs!$K$4:$AJ$4,0)))))</f>
        <v>10.78</v>
      </c>
      <c r="AD17" s="6">
        <f>IF(ISNA(MATCH(AD$2,Inputs!$K$4:$AJ$4,0)),NA(),IF(SUMPRODUCT((Inputs!$A$5:$A$230=$B17)*ISNUMBER(INDEX(Inputs!$K$5:$AJ$230,0,MATCH(AD$2,Inputs!$K$4:$AJ$4,0))))+SUMPRODUCT((Inputs!$C$5:$C$230=$B17)*ISNUMBER(INDEX(Inputs!$K$5:$AJ$230,0,MATCH(AD$2,Inputs!$K$4:$AJ$4,0))))+SUMPRODUCT((Inputs!$E$5:$E$230=$B17)*ISNUMBER(INDEX(Inputs!$K$5:$AJ$230,0,MATCH(AD$2,Inputs!$K$4:$AJ$4,0))))=0,NA(),SUMPRODUCT((Inputs!$A$5:$A$230=$B17)*Inputs!$B$5:$B$230*(((Inputs!$G$5:$G$230="moeda")+(Inputs!$G$5:$G$230="acoes"))*Inputs!$B$1+((Inputs!$G$5:$G$230&lt;&gt;"moeda")*(Inputs!$G$5:$G$230&lt;&gt;"acoes")))*INDEX(Inputs!$K$5:$AJ$230,0,MATCH(AD$2,Inputs!$K$4:$AJ$4,0)))+SUMPRODUCT((Inputs!$C$5:$C$230=$B17)*Inputs!$D$5:$D$230*(((Inputs!$G$5:$G$230="moeda")+(Inputs!$G$5:$G$230="acoes"))*Inputs!$B$1+((Inputs!$G$5:$G$230&lt;&gt;"moeda")*(Inputs!$G$5:$G$230&lt;&gt;"acoes")))*INDEX(Inputs!$K$5:$AJ$230,0,MATCH(AD$2,Inputs!$K$4:$AJ$4,0)))+SUMPRODUCT((Inputs!$E$5:$E$230=$B17)*Inputs!$F$5:$F$230*(((Inputs!$G$5:$G$230="moeda")+(Inputs!$G$5:$G$230="acoes"))*Inputs!$B$1+((Inputs!$G$5:$G$230&lt;&gt;"moeda")*(Inputs!$G$5:$G$230&lt;&gt;"acoes")))*INDEX(Inputs!$K$5:$AJ$230,0,MATCH(AD$2,Inputs!$K$4:$AJ$4,0)))))</f>
        <v>11.141</v>
      </c>
      <c r="AE17" s="6" t="e">
        <f>IF(ISNA(MATCH(AE$2,Inputs!$K$4:$AJ$4,0)),NA(),IF(SUMPRODUCT((Inputs!$A$5:$A$230=$B17)*ISNUMBER(INDEX(Inputs!$K$5:$AJ$230,0,MATCH(AE$2,Inputs!$K$4:$AJ$4,0))))+SUMPRODUCT((Inputs!$C$5:$C$230=$B17)*ISNUMBER(INDEX(Inputs!$K$5:$AJ$230,0,MATCH(AE$2,Inputs!$K$4:$AJ$4,0))))+SUMPRODUCT((Inputs!$E$5:$E$230=$B17)*ISNUMBER(INDEX(Inputs!$K$5:$AJ$230,0,MATCH(AE$2,Inputs!$K$4:$AJ$4,0))))=0,NA(),SUMPRODUCT((Inputs!$A$5:$A$230=$B17)*Inputs!$B$5:$B$230*(((Inputs!$G$5:$G$230="moeda")+(Inputs!$G$5:$G$230="acoes"))*Inputs!$B$1+((Inputs!$G$5:$G$230&lt;&gt;"moeda")*(Inputs!$G$5:$G$230&lt;&gt;"acoes")))*INDEX(Inputs!$K$5:$AJ$230,0,MATCH(AE$2,Inputs!$K$4:$AJ$4,0)))+SUMPRODUCT((Inputs!$C$5:$C$230=$B17)*Inputs!$D$5:$D$230*(((Inputs!$G$5:$G$230="moeda")+(Inputs!$G$5:$G$230="acoes"))*Inputs!$B$1+((Inputs!$G$5:$G$230&lt;&gt;"moeda")*(Inputs!$G$5:$G$230&lt;&gt;"acoes")))*INDEX(Inputs!$K$5:$AJ$230,0,MATCH(AE$2,Inputs!$K$4:$AJ$4,0)))+SUMPRODUCT((Inputs!$E$5:$E$230=$B17)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7" s="6" t="e">
        <f>IF(ISNA(MATCH(AF$2,Inputs!$K$4:$AJ$4,0)),NA(),IF(SUMPRODUCT((Inputs!$A$5:$A$230=$B17)*ISNUMBER(INDEX(Inputs!$K$5:$AJ$230,0,MATCH(AF$2,Inputs!$K$4:$AJ$4,0))))+SUMPRODUCT((Inputs!$C$5:$C$230=$B17)*ISNUMBER(INDEX(Inputs!$K$5:$AJ$230,0,MATCH(AF$2,Inputs!$K$4:$AJ$4,0))))+SUMPRODUCT((Inputs!$E$5:$E$230=$B17)*ISNUMBER(INDEX(Inputs!$K$5:$AJ$230,0,MATCH(AF$2,Inputs!$K$4:$AJ$4,0))))=0,NA(),SUMPRODUCT((Inputs!$A$5:$A$230=$B17)*Inputs!$B$5:$B$230*(((Inputs!$G$5:$G$230="moeda")+(Inputs!$G$5:$G$230="acoes"))*Inputs!$B$1+((Inputs!$G$5:$G$230&lt;&gt;"moeda")*(Inputs!$G$5:$G$230&lt;&gt;"acoes")))*INDEX(Inputs!$K$5:$AJ$230,0,MATCH(AF$2,Inputs!$K$4:$AJ$4,0)))+SUMPRODUCT((Inputs!$C$5:$C$230=$B17)*Inputs!$D$5:$D$230*(((Inputs!$G$5:$G$230="moeda")+(Inputs!$G$5:$G$230="acoes"))*Inputs!$B$1+((Inputs!$G$5:$G$230&lt;&gt;"moeda")*(Inputs!$G$5:$G$230&lt;&gt;"acoes")))*INDEX(Inputs!$K$5:$AJ$230,0,MATCH(AF$2,Inputs!$K$4:$AJ$4,0)))+SUMPRODUCT((Inputs!$E$5:$E$230=$B17)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7" s="3" t="e">
        <f>AF17</f>
        <v>#N/A</v>
      </c>
      <c r="AH17" s="6">
        <f>IF(ISNA(MATCH(AH$2,Inputs!$K$4:$AJ$4,0)),NA(),IF(SUMPRODUCT((Inputs!$A$5:$A$230=$B17)*ISNUMBER(INDEX(Inputs!$K$5:$AJ$230,0,MATCH(AH$2,Inputs!$K$4:$AJ$4,0))))+SUMPRODUCT((Inputs!$C$5:$C$230=$B17)*ISNUMBER(INDEX(Inputs!$K$5:$AJ$230,0,MATCH(AH$2,Inputs!$K$4:$AJ$4,0))))+SUMPRODUCT((Inputs!$E$5:$E$230=$B17)*ISNUMBER(INDEX(Inputs!$K$5:$AJ$230,0,MATCH(AH$2,Inputs!$K$4:$AJ$4,0))))=0,NA(),SUMPRODUCT((Inputs!$A$5:$A$230=$B17)*Inputs!$B$5:$B$230*(((Inputs!$G$5:$G$230="moeda")+(Inputs!$G$5:$G$230="acoes"))*Inputs!$B$1+((Inputs!$G$5:$G$230&lt;&gt;"moeda")*(Inputs!$G$5:$G$230&lt;&gt;"acoes")))*INDEX(Inputs!$K$5:$AJ$230,0,MATCH(AH$2,Inputs!$K$4:$AJ$4,0)))+SUMPRODUCT((Inputs!$C$5:$C$230=$B17)*Inputs!$D$5:$D$230*(((Inputs!$G$5:$G$230="moeda")+(Inputs!$G$5:$G$230="acoes"))*Inputs!$B$1+((Inputs!$G$5:$G$230&lt;&gt;"moeda")*(Inputs!$G$5:$G$230&lt;&gt;"acoes")))*INDEX(Inputs!$K$5:$AJ$230,0,MATCH(AH$2,Inputs!$K$4:$AJ$4,0)))+SUMPRODUCT((Inputs!$E$5:$E$230=$B17)*Inputs!$F$5:$F$230*(((Inputs!$G$5:$G$230="moeda")+(Inputs!$G$5:$G$230="acoes"))*Inputs!$B$1+((Inputs!$G$5:$G$230&lt;&gt;"moeda")*(Inputs!$G$5:$G$230&lt;&gt;"acoes")))*INDEX(Inputs!$K$5:$AJ$230,0,MATCH(AH$2,Inputs!$K$4:$AJ$4,0)))))</f>
        <v>9.723</v>
      </c>
      <c r="AI17" s="6">
        <f>IF(ISNA(MATCH(AI$2,Inputs!$K$4:$AJ$4,0)),NA(),IF(SUMPRODUCT((Inputs!$A$5:$A$230=$B17)*ISNUMBER(INDEX(Inputs!$K$5:$AJ$230,0,MATCH(AI$2,Inputs!$K$4:$AJ$4,0))))+SUMPRODUCT((Inputs!$C$5:$C$230=$B17)*ISNUMBER(INDEX(Inputs!$K$5:$AJ$230,0,MATCH(AI$2,Inputs!$K$4:$AJ$4,0))))+SUMPRODUCT((Inputs!$E$5:$E$230=$B17)*ISNUMBER(INDEX(Inputs!$K$5:$AJ$230,0,MATCH(AI$2,Inputs!$K$4:$AJ$4,0))))=0,NA(),SUMPRODUCT((Inputs!$A$5:$A$230=$B17)*Inputs!$B$5:$B$230*(((Inputs!$G$5:$G$230="moeda")+(Inputs!$G$5:$G$230="acoes"))*Inputs!$B$1+((Inputs!$G$5:$G$230&lt;&gt;"moeda")*(Inputs!$G$5:$G$230&lt;&gt;"acoes")))*INDEX(Inputs!$K$5:$AJ$230,0,MATCH(AI$2,Inputs!$K$4:$AJ$4,0)))+SUMPRODUCT((Inputs!$C$5:$C$230=$B17)*Inputs!$D$5:$D$230*(((Inputs!$G$5:$G$230="moeda")+(Inputs!$G$5:$G$230="acoes"))*Inputs!$B$1+((Inputs!$G$5:$G$230&lt;&gt;"moeda")*(Inputs!$G$5:$G$230&lt;&gt;"acoes")))*INDEX(Inputs!$K$5:$AJ$230,0,MATCH(AI$2,Inputs!$K$4:$AJ$4,0)))+SUMPRODUCT((Inputs!$E$5:$E$230=$B17)*Inputs!$F$5:$F$230*(((Inputs!$G$5:$G$230="moeda")+(Inputs!$G$5:$G$230="acoes"))*Inputs!$B$1+((Inputs!$G$5:$G$230&lt;&gt;"moeda")*(Inputs!$G$5:$G$230&lt;&gt;"acoes")))*INDEX(Inputs!$K$5:$AJ$230,0,MATCH(AI$2,Inputs!$K$4:$AJ$4,0)))))</f>
        <v>8.082</v>
      </c>
      <c r="AJ17" s="6">
        <f>IF(ISNA(MATCH(AJ$2,Inputs!$K$4:$AJ$4,0)),NA(),IF(SUMPRODUCT((Inputs!$A$5:$A$230=$B17)*ISNUMBER(INDEX(Inputs!$K$5:$AJ$230,0,MATCH(AJ$2,Inputs!$K$4:$AJ$4,0))))+SUMPRODUCT((Inputs!$C$5:$C$230=$B17)*ISNUMBER(INDEX(Inputs!$K$5:$AJ$230,0,MATCH(AJ$2,Inputs!$K$4:$AJ$4,0))))+SUMPRODUCT((Inputs!$E$5:$E$230=$B17)*ISNUMBER(INDEX(Inputs!$K$5:$AJ$230,0,MATCH(AJ$2,Inputs!$K$4:$AJ$4,0))))=0,NA(),SUMPRODUCT((Inputs!$A$5:$A$230=$B17)*Inputs!$B$5:$B$230*(((Inputs!$G$5:$G$230="moeda")+(Inputs!$G$5:$G$230="acoes"))*Inputs!$B$1+((Inputs!$G$5:$G$230&lt;&gt;"moeda")*(Inputs!$G$5:$G$230&lt;&gt;"acoes")))*INDEX(Inputs!$K$5:$AJ$230,0,MATCH(AJ$2,Inputs!$K$4:$AJ$4,0)))+SUMPRODUCT((Inputs!$C$5:$C$230=$B17)*Inputs!$D$5:$D$230*(((Inputs!$G$5:$G$230="moeda")+(Inputs!$G$5:$G$230="acoes"))*Inputs!$B$1+((Inputs!$G$5:$G$230&lt;&gt;"moeda")*(Inputs!$G$5:$G$230&lt;&gt;"acoes")))*INDEX(Inputs!$K$5:$AJ$230,0,MATCH(AJ$2,Inputs!$K$4:$AJ$4,0)))+SUMPRODUCT((Inputs!$E$5:$E$230=$B17)*Inputs!$F$5:$F$230*(((Inputs!$G$5:$G$230="moeda")+(Inputs!$G$5:$G$230="acoes"))*Inputs!$B$1+((Inputs!$G$5:$G$230&lt;&gt;"moeda")*(Inputs!$G$5:$G$230&lt;&gt;"acoes")))*INDEX(Inputs!$K$5:$AJ$230,0,MATCH(AJ$2,Inputs!$K$4:$AJ$4,0)))))</f>
        <v>8.244</v>
      </c>
      <c r="AK17" s="6">
        <f>IF(ISNA(MATCH(AK$2,Inputs!$K$4:$AJ$4,0)),NA(),IF(SUMPRODUCT((Inputs!$A$5:$A$230=$B17)*ISNUMBER(INDEX(Inputs!$K$5:$AJ$230,0,MATCH(AK$2,Inputs!$K$4:$AJ$4,0))))+SUMPRODUCT((Inputs!$C$5:$C$230=$B17)*ISNUMBER(INDEX(Inputs!$K$5:$AJ$230,0,MATCH(AK$2,Inputs!$K$4:$AJ$4,0))))+SUMPRODUCT((Inputs!$E$5:$E$230=$B17)*ISNUMBER(INDEX(Inputs!$K$5:$AJ$230,0,MATCH(AK$2,Inputs!$K$4:$AJ$4,0))))=0,NA(),SUMPRODUCT((Inputs!$A$5:$A$230=$B17)*Inputs!$B$5:$B$230*(((Inputs!$G$5:$G$230="moeda")+(Inputs!$G$5:$G$230="acoes"))*Inputs!$B$1+((Inputs!$G$5:$G$230&lt;&gt;"moeda")*(Inputs!$G$5:$G$230&lt;&gt;"acoes")))*INDEX(Inputs!$K$5:$AJ$230,0,MATCH(AK$2,Inputs!$K$4:$AJ$4,0)))+SUMPRODUCT((Inputs!$C$5:$C$230=$B17)*Inputs!$D$5:$D$230*(((Inputs!$G$5:$G$230="moeda")+(Inputs!$G$5:$G$230="acoes"))*Inputs!$B$1+((Inputs!$G$5:$G$230&lt;&gt;"moeda")*(Inputs!$G$5:$G$230&lt;&gt;"acoes")))*INDEX(Inputs!$K$5:$AJ$230,0,MATCH(AK$2,Inputs!$K$4:$AJ$4,0)))+SUMPRODUCT((Inputs!$E$5:$E$230=$B17)*Inputs!$F$5:$F$230*(((Inputs!$G$5:$G$230="moeda")+(Inputs!$G$5:$G$230="acoes"))*Inputs!$B$1+((Inputs!$G$5:$G$230&lt;&gt;"moeda")*(Inputs!$G$5:$G$230&lt;&gt;"acoes")))*INDEX(Inputs!$K$5:$AJ$230,0,MATCH(AK$2,Inputs!$K$4:$AJ$4,0)))))</f>
        <v>7.856</v>
      </c>
      <c r="AL17" s="3">
        <f>AK17</f>
        <v>7.856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$230=$B18)*ISNUMBER(INDEX(Inputs!$K$5:$AJ$230,0,MATCH(D$2,Inputs!$K$4:$AJ$4,0))))+SUMPRODUCT((Inputs!$C$5:$C$230=$B18)*ISNUMBER(INDEX(Inputs!$K$5:$AJ$230,0,MATCH(D$2,Inputs!$K$4:$AJ$4,0))))+SUMPRODUCT((Inputs!$E$5:$E$230=$B18)*ISNUMBER(INDEX(Inputs!$K$5:$AJ$230,0,MATCH(D$2,Inputs!$K$4:$AJ$4,0))))=0,NA(),SUMPRODUCT((Inputs!$A$5:$A$230=$B18)*Inputs!$B$5:$B$230*(((Inputs!$G$5:$G$230="moeda")+(Inputs!$G$5:$G$230="acoes"))*Inputs!$B$1+((Inputs!$G$5:$G$230&lt;&gt;"moeda")*(Inputs!$G$5:$G$230&lt;&gt;"acoes")))*INDEX(Inputs!$K$5:$AJ$230,0,MATCH(D$2,Inputs!$K$4:$AJ$4,0)))+SUMPRODUCT((Inputs!$C$5:$C$230=$B18)*Inputs!$D$5:$D$230*(((Inputs!$G$5:$G$230="moeda")+(Inputs!$G$5:$G$230="acoes"))*Inputs!$B$1+((Inputs!$G$5:$G$230&lt;&gt;"moeda")*(Inputs!$G$5:$G$230&lt;&gt;"acoes")))*INDEX(Inputs!$K$5:$AJ$230,0,MATCH(D$2,Inputs!$K$4:$AJ$4,0)))+SUMPRODUCT((Inputs!$E$5:$E$230=$B18)*Inputs!$F$5:$F$230*(((Inputs!$G$5:$G$230="moeda")+(Inputs!$G$5:$G$230="acoes"))*Inputs!$B$1+((Inputs!$G$5:$G$230&lt;&gt;"moeda")*(Inputs!$G$5:$G$230&lt;&gt;"acoes")))*INDEX(Inputs!$K$5:$AJ$230,0,MATCH(D$2,Inputs!$K$4:$AJ$4,0)))))</f>
        <v>10.135</v>
      </c>
      <c r="E18" s="6">
        <f>IF(ISNA(MATCH(E$2,Inputs!$K$4:$AJ$4,0)),NA(),IF(SUMPRODUCT((Inputs!$A$5:$A$230=$B18)*ISNUMBER(INDEX(Inputs!$K$5:$AJ$230,0,MATCH(E$2,Inputs!$K$4:$AJ$4,0))))+SUMPRODUCT((Inputs!$C$5:$C$230=$B18)*ISNUMBER(INDEX(Inputs!$K$5:$AJ$230,0,MATCH(E$2,Inputs!$K$4:$AJ$4,0))))+SUMPRODUCT((Inputs!$E$5:$E$230=$B18)*ISNUMBER(INDEX(Inputs!$K$5:$AJ$230,0,MATCH(E$2,Inputs!$K$4:$AJ$4,0))))=0,NA(),SUMPRODUCT((Inputs!$A$5:$A$230=$B18)*Inputs!$B$5:$B$230*(((Inputs!$G$5:$G$230="moeda")+(Inputs!$G$5:$G$230="acoes"))*Inputs!$B$1+((Inputs!$G$5:$G$230&lt;&gt;"moeda")*(Inputs!$G$5:$G$230&lt;&gt;"acoes")))*INDEX(Inputs!$K$5:$AJ$230,0,MATCH(E$2,Inputs!$K$4:$AJ$4,0)))+SUMPRODUCT((Inputs!$C$5:$C$230=$B18)*Inputs!$D$5:$D$230*(((Inputs!$G$5:$G$230="moeda")+(Inputs!$G$5:$G$230="acoes"))*Inputs!$B$1+((Inputs!$G$5:$G$230&lt;&gt;"moeda")*(Inputs!$G$5:$G$230&lt;&gt;"acoes")))*INDEX(Inputs!$K$5:$AJ$230,0,MATCH(E$2,Inputs!$K$4:$AJ$4,0)))+SUMPRODUCT((Inputs!$E$5:$E$230=$B18)*Inputs!$F$5:$F$230*(((Inputs!$G$5:$G$230="moeda")+(Inputs!$G$5:$G$230="acoes"))*Inputs!$B$1+((Inputs!$G$5:$G$230&lt;&gt;"moeda")*(Inputs!$G$5:$G$230&lt;&gt;"acoes")))*INDEX(Inputs!$K$5:$AJ$230,0,MATCH(E$2,Inputs!$K$4:$AJ$4,0)))))</f>
        <v>12.177</v>
      </c>
      <c r="F18" s="6">
        <f>IF(ISNA(MATCH(F$2,Inputs!$K$4:$AJ$4,0)),NA(),IF(SUMPRODUCT((Inputs!$A$5:$A$230=$B18)*ISNUMBER(INDEX(Inputs!$K$5:$AJ$230,0,MATCH(F$2,Inputs!$K$4:$AJ$4,0))))+SUMPRODUCT((Inputs!$C$5:$C$230=$B18)*ISNUMBER(INDEX(Inputs!$K$5:$AJ$230,0,MATCH(F$2,Inputs!$K$4:$AJ$4,0))))+SUMPRODUCT((Inputs!$E$5:$E$230=$B18)*ISNUMBER(INDEX(Inputs!$K$5:$AJ$230,0,MATCH(F$2,Inputs!$K$4:$AJ$4,0))))=0,NA(),SUMPRODUCT((Inputs!$A$5:$A$230=$B18)*Inputs!$B$5:$B$230*(((Inputs!$G$5:$G$230="moeda")+(Inputs!$G$5:$G$230="acoes"))*Inputs!$B$1+((Inputs!$G$5:$G$230&lt;&gt;"moeda")*(Inputs!$G$5:$G$230&lt;&gt;"acoes")))*INDEX(Inputs!$K$5:$AJ$230,0,MATCH(F$2,Inputs!$K$4:$AJ$4,0)))+SUMPRODUCT((Inputs!$C$5:$C$230=$B18)*Inputs!$D$5:$D$230*(((Inputs!$G$5:$G$230="moeda")+(Inputs!$G$5:$G$230="acoes"))*Inputs!$B$1+((Inputs!$G$5:$G$230&lt;&gt;"moeda")*(Inputs!$G$5:$G$230&lt;&gt;"acoes")))*INDEX(Inputs!$K$5:$AJ$230,0,MATCH(F$2,Inputs!$K$4:$AJ$4,0)))+SUMPRODUCT((Inputs!$E$5:$E$230=$B18)*Inputs!$F$5:$F$230*(((Inputs!$G$5:$G$230="moeda")+(Inputs!$G$5:$G$230="acoes"))*Inputs!$B$1+((Inputs!$G$5:$G$230&lt;&gt;"moeda")*(Inputs!$G$5:$G$230&lt;&gt;"acoes")))*INDEX(Inputs!$K$5:$AJ$230,0,MATCH(F$2,Inputs!$K$4:$AJ$4,0)))))</f>
        <v>15.428</v>
      </c>
      <c r="G18" s="6">
        <f>IF(ISNA(MATCH(G$2,Inputs!$K$4:$AJ$4,0)),NA(),IF(SUMPRODUCT((Inputs!$A$5:$A$230=$B18)*ISNUMBER(INDEX(Inputs!$K$5:$AJ$230,0,MATCH(G$2,Inputs!$K$4:$AJ$4,0))))+SUMPRODUCT((Inputs!$C$5:$C$230=$B18)*ISNUMBER(INDEX(Inputs!$K$5:$AJ$230,0,MATCH(G$2,Inputs!$K$4:$AJ$4,0))))+SUMPRODUCT((Inputs!$E$5:$E$230=$B18)*ISNUMBER(INDEX(Inputs!$K$5:$AJ$230,0,MATCH(G$2,Inputs!$K$4:$AJ$4,0))))=0,NA(),SUMPRODUCT((Inputs!$A$5:$A$230=$B18)*Inputs!$B$5:$B$230*(((Inputs!$G$5:$G$230="moeda")+(Inputs!$G$5:$G$230="acoes"))*Inputs!$B$1+((Inputs!$G$5:$G$230&lt;&gt;"moeda")*(Inputs!$G$5:$G$230&lt;&gt;"acoes")))*INDEX(Inputs!$K$5:$AJ$230,0,MATCH(G$2,Inputs!$K$4:$AJ$4,0)))+SUMPRODUCT((Inputs!$C$5:$C$230=$B18)*Inputs!$D$5:$D$230*(((Inputs!$G$5:$G$230="moeda")+(Inputs!$G$5:$G$230="acoes"))*Inputs!$B$1+((Inputs!$G$5:$G$230&lt;&gt;"moeda")*(Inputs!$G$5:$G$230&lt;&gt;"acoes")))*INDEX(Inputs!$K$5:$AJ$230,0,MATCH(G$2,Inputs!$K$4:$AJ$4,0)))+SUMPRODUCT((Inputs!$E$5:$E$230=$B18)*Inputs!$F$5:$F$230*(((Inputs!$G$5:$G$230="moeda")+(Inputs!$G$5:$G$230="acoes"))*Inputs!$B$1+((Inputs!$G$5:$G$230&lt;&gt;"moeda")*(Inputs!$G$5:$G$230&lt;&gt;"acoes")))*INDEX(Inputs!$K$5:$AJ$230,0,MATCH(G$2,Inputs!$K$4:$AJ$4,0)))))</f>
        <v>20.207</v>
      </c>
      <c r="H18" s="3">
        <f>G18</f>
        <v>20.207</v>
      </c>
      <c r="I18" s="6">
        <f>IF(ISNA(MATCH(I$2,Inputs!$K$4:$AJ$4,0)),NA(),IF(SUMPRODUCT((Inputs!$A$5:$A$230=$B18)*ISNUMBER(INDEX(Inputs!$K$5:$AJ$230,0,MATCH(I$2,Inputs!$K$4:$AJ$4,0))))+SUMPRODUCT((Inputs!$C$5:$C$230=$B18)*ISNUMBER(INDEX(Inputs!$K$5:$AJ$230,0,MATCH(I$2,Inputs!$K$4:$AJ$4,0))))+SUMPRODUCT((Inputs!$E$5:$E$230=$B18)*ISNUMBER(INDEX(Inputs!$K$5:$AJ$230,0,MATCH(I$2,Inputs!$K$4:$AJ$4,0))))=0,NA(),SUMPRODUCT((Inputs!$A$5:$A$230=$B18)*Inputs!$B$5:$B$230*(((Inputs!$G$5:$G$230="moeda")+(Inputs!$G$5:$G$230="acoes"))*Inputs!$B$1+((Inputs!$G$5:$G$230&lt;&gt;"moeda")*(Inputs!$G$5:$G$230&lt;&gt;"acoes")))*INDEX(Inputs!$K$5:$AJ$230,0,MATCH(I$2,Inputs!$K$4:$AJ$4,0)))+SUMPRODUCT((Inputs!$C$5:$C$230=$B18)*Inputs!$D$5:$D$230*(((Inputs!$G$5:$G$230="moeda")+(Inputs!$G$5:$G$230="acoes"))*Inputs!$B$1+((Inputs!$G$5:$G$230&lt;&gt;"moeda")*(Inputs!$G$5:$G$230&lt;&gt;"acoes")))*INDEX(Inputs!$K$5:$AJ$230,0,MATCH(I$2,Inputs!$K$4:$AJ$4,0)))+SUMPRODUCT((Inputs!$E$5:$E$230=$B18)*Inputs!$F$5:$F$230*(((Inputs!$G$5:$G$230="moeda")+(Inputs!$G$5:$G$230="acoes"))*Inputs!$B$1+((Inputs!$G$5:$G$230&lt;&gt;"moeda")*(Inputs!$G$5:$G$230&lt;&gt;"acoes")))*INDEX(Inputs!$K$5:$AJ$230,0,MATCH(I$2,Inputs!$K$4:$AJ$4,0)))))</f>
        <v>19.288</v>
      </c>
      <c r="J18" s="6">
        <f>IF(ISNA(MATCH(J$2,Inputs!$K$4:$AJ$4,0)),NA(),IF(SUMPRODUCT((Inputs!$A$5:$A$230=$B18)*ISNUMBER(INDEX(Inputs!$K$5:$AJ$230,0,MATCH(J$2,Inputs!$K$4:$AJ$4,0))))+SUMPRODUCT((Inputs!$C$5:$C$230=$B18)*ISNUMBER(INDEX(Inputs!$K$5:$AJ$230,0,MATCH(J$2,Inputs!$K$4:$AJ$4,0))))+SUMPRODUCT((Inputs!$E$5:$E$230=$B18)*ISNUMBER(INDEX(Inputs!$K$5:$AJ$230,0,MATCH(J$2,Inputs!$K$4:$AJ$4,0))))=0,NA(),SUMPRODUCT((Inputs!$A$5:$A$230=$B18)*Inputs!$B$5:$B$230*(((Inputs!$G$5:$G$230="moeda")+(Inputs!$G$5:$G$230="acoes"))*Inputs!$B$1+((Inputs!$G$5:$G$230&lt;&gt;"moeda")*(Inputs!$G$5:$G$230&lt;&gt;"acoes")))*INDEX(Inputs!$K$5:$AJ$230,0,MATCH(J$2,Inputs!$K$4:$AJ$4,0)))+SUMPRODUCT((Inputs!$C$5:$C$230=$B18)*Inputs!$D$5:$D$230*(((Inputs!$G$5:$G$230="moeda")+(Inputs!$G$5:$G$230="acoes"))*Inputs!$B$1+((Inputs!$G$5:$G$230&lt;&gt;"moeda")*(Inputs!$G$5:$G$230&lt;&gt;"acoes")))*INDEX(Inputs!$K$5:$AJ$230,0,MATCH(J$2,Inputs!$K$4:$AJ$4,0)))+SUMPRODUCT((Inputs!$E$5:$E$230=$B18)*Inputs!$F$5:$F$230*(((Inputs!$G$5:$G$230="moeda")+(Inputs!$G$5:$G$230="acoes"))*Inputs!$B$1+((Inputs!$G$5:$G$230&lt;&gt;"moeda")*(Inputs!$G$5:$G$230&lt;&gt;"acoes")))*INDEX(Inputs!$K$5:$AJ$230,0,MATCH(J$2,Inputs!$K$4:$AJ$4,0)))))</f>
        <v>27.136</v>
      </c>
      <c r="K18" s="6">
        <f>IF(ISNA(MATCH(K$2,Inputs!$K$4:$AJ$4,0)),NA(),IF(SUMPRODUCT((Inputs!$A$5:$A$230=$B18)*ISNUMBER(INDEX(Inputs!$K$5:$AJ$230,0,MATCH(K$2,Inputs!$K$4:$AJ$4,0))))+SUMPRODUCT((Inputs!$C$5:$C$230=$B18)*ISNUMBER(INDEX(Inputs!$K$5:$AJ$230,0,MATCH(K$2,Inputs!$K$4:$AJ$4,0))))+SUMPRODUCT((Inputs!$E$5:$E$230=$B18)*ISNUMBER(INDEX(Inputs!$K$5:$AJ$230,0,MATCH(K$2,Inputs!$K$4:$AJ$4,0))))=0,NA(),SUMPRODUCT((Inputs!$A$5:$A$230=$B18)*Inputs!$B$5:$B$230*(((Inputs!$G$5:$G$230="moeda")+(Inputs!$G$5:$G$230="acoes"))*Inputs!$B$1+((Inputs!$G$5:$G$230&lt;&gt;"moeda")*(Inputs!$G$5:$G$230&lt;&gt;"acoes")))*INDEX(Inputs!$K$5:$AJ$230,0,MATCH(K$2,Inputs!$K$4:$AJ$4,0)))+SUMPRODUCT((Inputs!$C$5:$C$230=$B18)*Inputs!$D$5:$D$230*(((Inputs!$G$5:$G$230="moeda")+(Inputs!$G$5:$G$230="acoes"))*Inputs!$B$1+((Inputs!$G$5:$G$230&lt;&gt;"moeda")*(Inputs!$G$5:$G$230&lt;&gt;"acoes")))*INDEX(Inputs!$K$5:$AJ$230,0,MATCH(K$2,Inputs!$K$4:$AJ$4,0)))+SUMPRODUCT((Inputs!$E$5:$E$230=$B18)*Inputs!$F$5:$F$230*(((Inputs!$G$5:$G$230="moeda")+(Inputs!$G$5:$G$230="acoes"))*Inputs!$B$1+((Inputs!$G$5:$G$230&lt;&gt;"moeda")*(Inputs!$G$5:$G$230&lt;&gt;"acoes")))*INDEX(Inputs!$K$5:$AJ$230,0,MATCH(K$2,Inputs!$K$4:$AJ$4,0)))))</f>
        <v>34.574</v>
      </c>
      <c r="L18" s="6">
        <f>IF(ISNA(MATCH(L$2,Inputs!$K$4:$AJ$4,0)),NA(),IF(SUMPRODUCT((Inputs!$A$5:$A$230=$B18)*ISNUMBER(INDEX(Inputs!$K$5:$AJ$230,0,MATCH(L$2,Inputs!$K$4:$AJ$4,0))))+SUMPRODUCT((Inputs!$C$5:$C$230=$B18)*ISNUMBER(INDEX(Inputs!$K$5:$AJ$230,0,MATCH(L$2,Inputs!$K$4:$AJ$4,0))))+SUMPRODUCT((Inputs!$E$5:$E$230=$B18)*ISNUMBER(INDEX(Inputs!$K$5:$AJ$230,0,MATCH(L$2,Inputs!$K$4:$AJ$4,0))))=0,NA(),SUMPRODUCT((Inputs!$A$5:$A$230=$B18)*Inputs!$B$5:$B$230*(((Inputs!$G$5:$G$230="moeda")+(Inputs!$G$5:$G$230="acoes"))*Inputs!$B$1+((Inputs!$G$5:$G$230&lt;&gt;"moeda")*(Inputs!$G$5:$G$230&lt;&gt;"acoes")))*INDEX(Inputs!$K$5:$AJ$230,0,MATCH(L$2,Inputs!$K$4:$AJ$4,0)))+SUMPRODUCT((Inputs!$C$5:$C$230=$B18)*Inputs!$D$5:$D$230*(((Inputs!$G$5:$G$230="moeda")+(Inputs!$G$5:$G$230="acoes"))*Inputs!$B$1+((Inputs!$G$5:$G$230&lt;&gt;"moeda")*(Inputs!$G$5:$G$230&lt;&gt;"acoes")))*INDEX(Inputs!$K$5:$AJ$230,0,MATCH(L$2,Inputs!$K$4:$AJ$4,0)))+SUMPRODUCT((Inputs!$E$5:$E$230=$B18)*Inputs!$F$5:$F$230*(((Inputs!$G$5:$G$230="moeda")+(Inputs!$G$5:$G$230="acoes"))*Inputs!$B$1+((Inputs!$G$5:$G$230&lt;&gt;"moeda")*(Inputs!$G$5:$G$230&lt;&gt;"acoes")))*INDEX(Inputs!$K$5:$AJ$230,0,MATCH(L$2,Inputs!$K$4:$AJ$4,0)))))</f>
        <v>53.272</v>
      </c>
      <c r="M18" s="3">
        <f>L18</f>
        <v>53.272</v>
      </c>
      <c r="N18" s="6">
        <f>IF(ISNA(MATCH(N$2,Inputs!$K$4:$AJ$4,0)),NA(),IF(SUMPRODUCT((Inputs!$A$5:$A$230=$B18)*ISNUMBER(INDEX(Inputs!$K$5:$AJ$230,0,MATCH(N$2,Inputs!$K$4:$AJ$4,0))))+SUMPRODUCT((Inputs!$C$5:$C$230=$B18)*ISNUMBER(INDEX(Inputs!$K$5:$AJ$230,0,MATCH(N$2,Inputs!$K$4:$AJ$4,0))))+SUMPRODUCT((Inputs!$E$5:$E$230=$B18)*ISNUMBER(INDEX(Inputs!$K$5:$AJ$230,0,MATCH(N$2,Inputs!$K$4:$AJ$4,0))))=0,NA(),SUMPRODUCT((Inputs!$A$5:$A$230=$B18)*Inputs!$B$5:$B$230*(((Inputs!$G$5:$G$230="moeda")+(Inputs!$G$5:$G$230="acoes"))*Inputs!$B$1+((Inputs!$G$5:$G$230&lt;&gt;"moeda")*(Inputs!$G$5:$G$230&lt;&gt;"acoes")))*INDEX(Inputs!$K$5:$AJ$230,0,MATCH(N$2,Inputs!$K$4:$AJ$4,0)))+SUMPRODUCT((Inputs!$C$5:$C$230=$B18)*Inputs!$D$5:$D$230*(((Inputs!$G$5:$G$230="moeda")+(Inputs!$G$5:$G$230="acoes"))*Inputs!$B$1+((Inputs!$G$5:$G$230&lt;&gt;"moeda")*(Inputs!$G$5:$G$230&lt;&gt;"acoes")))*INDEX(Inputs!$K$5:$AJ$230,0,MATCH(N$2,Inputs!$K$4:$AJ$4,0)))+SUMPRODUCT((Inputs!$E$5:$E$230=$B18)*Inputs!$F$5:$F$230*(((Inputs!$G$5:$G$230="moeda")+(Inputs!$G$5:$G$230="acoes"))*Inputs!$B$1+((Inputs!$G$5:$G$230&lt;&gt;"moeda")*(Inputs!$G$5:$G$230&lt;&gt;"acoes")))*INDEX(Inputs!$K$5:$AJ$230,0,MATCH(N$2,Inputs!$K$4:$AJ$4,0)))))</f>
        <v>61.005</v>
      </c>
      <c r="O18" s="6">
        <f>IF(ISNA(MATCH(O$2,Inputs!$K$4:$AJ$4,0)),NA(),IF(SUMPRODUCT((Inputs!$A$5:$A$230=$B18)*ISNUMBER(INDEX(Inputs!$K$5:$AJ$230,0,MATCH(O$2,Inputs!$K$4:$AJ$4,0))))+SUMPRODUCT((Inputs!$C$5:$C$230=$B18)*ISNUMBER(INDEX(Inputs!$K$5:$AJ$230,0,MATCH(O$2,Inputs!$K$4:$AJ$4,0))))+SUMPRODUCT((Inputs!$E$5:$E$230=$B18)*ISNUMBER(INDEX(Inputs!$K$5:$AJ$230,0,MATCH(O$2,Inputs!$K$4:$AJ$4,0))))=0,NA(),SUMPRODUCT((Inputs!$A$5:$A$230=$B18)*Inputs!$B$5:$B$230*(((Inputs!$G$5:$G$230="moeda")+(Inputs!$G$5:$G$230="acoes"))*Inputs!$B$1+((Inputs!$G$5:$G$230&lt;&gt;"moeda")*(Inputs!$G$5:$G$230&lt;&gt;"acoes")))*INDEX(Inputs!$K$5:$AJ$230,0,MATCH(O$2,Inputs!$K$4:$AJ$4,0)))+SUMPRODUCT((Inputs!$C$5:$C$230=$B18)*Inputs!$D$5:$D$230*(((Inputs!$G$5:$G$230="moeda")+(Inputs!$G$5:$G$230="acoes"))*Inputs!$B$1+((Inputs!$G$5:$G$230&lt;&gt;"moeda")*(Inputs!$G$5:$G$230&lt;&gt;"acoes")))*INDEX(Inputs!$K$5:$AJ$230,0,MATCH(O$2,Inputs!$K$4:$AJ$4,0)))+SUMPRODUCT((Inputs!$E$5:$E$230=$B18)*Inputs!$F$5:$F$230*(((Inputs!$G$5:$G$230="moeda")+(Inputs!$G$5:$G$230="acoes"))*Inputs!$B$1+((Inputs!$G$5:$G$230&lt;&gt;"moeda")*(Inputs!$G$5:$G$230&lt;&gt;"acoes")))*INDEX(Inputs!$K$5:$AJ$230,0,MATCH(O$2,Inputs!$K$4:$AJ$4,0)))))</f>
        <v>58.623</v>
      </c>
      <c r="P18" s="6">
        <f>IF(ISNA(MATCH(P$2,Inputs!$K$4:$AJ$4,0)),NA(),IF(SUMPRODUCT((Inputs!$A$5:$A$230=$B18)*ISNUMBER(INDEX(Inputs!$K$5:$AJ$230,0,MATCH(P$2,Inputs!$K$4:$AJ$4,0))))+SUMPRODUCT((Inputs!$C$5:$C$230=$B18)*ISNUMBER(INDEX(Inputs!$K$5:$AJ$230,0,MATCH(P$2,Inputs!$K$4:$AJ$4,0))))+SUMPRODUCT((Inputs!$E$5:$E$230=$B18)*ISNUMBER(INDEX(Inputs!$K$5:$AJ$230,0,MATCH(P$2,Inputs!$K$4:$AJ$4,0))))=0,NA(),SUMPRODUCT((Inputs!$A$5:$A$230=$B18)*Inputs!$B$5:$B$230*(((Inputs!$G$5:$G$230="moeda")+(Inputs!$G$5:$G$230="acoes"))*Inputs!$B$1+((Inputs!$G$5:$G$230&lt;&gt;"moeda")*(Inputs!$G$5:$G$230&lt;&gt;"acoes")))*INDEX(Inputs!$K$5:$AJ$230,0,MATCH(P$2,Inputs!$K$4:$AJ$4,0)))+SUMPRODUCT((Inputs!$C$5:$C$230=$B18)*Inputs!$D$5:$D$230*(((Inputs!$G$5:$G$230="moeda")+(Inputs!$G$5:$G$230="acoes"))*Inputs!$B$1+((Inputs!$G$5:$G$230&lt;&gt;"moeda")*(Inputs!$G$5:$G$230&lt;&gt;"acoes")))*INDEX(Inputs!$K$5:$AJ$230,0,MATCH(P$2,Inputs!$K$4:$AJ$4,0)))+SUMPRODUCT((Inputs!$E$5:$E$230=$B18)*Inputs!$F$5:$F$230*(((Inputs!$G$5:$G$230="moeda")+(Inputs!$G$5:$G$230="acoes"))*Inputs!$B$1+((Inputs!$G$5:$G$230&lt;&gt;"moeda")*(Inputs!$G$5:$G$230&lt;&gt;"acoes")))*INDEX(Inputs!$K$5:$AJ$230,0,MATCH(P$2,Inputs!$K$4:$AJ$4,0)))))</f>
        <v>56.088</v>
      </c>
      <c r="Q18" s="6">
        <f>IF(ISNA(MATCH(Q$2,Inputs!$K$4:$AJ$4,0)),NA(),IF(SUMPRODUCT((Inputs!$A$5:$A$230=$B18)*ISNUMBER(INDEX(Inputs!$K$5:$AJ$230,0,MATCH(Q$2,Inputs!$K$4:$AJ$4,0))))+SUMPRODUCT((Inputs!$C$5:$C$230=$B18)*ISNUMBER(INDEX(Inputs!$K$5:$AJ$230,0,MATCH(Q$2,Inputs!$K$4:$AJ$4,0))))+SUMPRODUCT((Inputs!$E$5:$E$230=$B18)*ISNUMBER(INDEX(Inputs!$K$5:$AJ$230,0,MATCH(Q$2,Inputs!$K$4:$AJ$4,0))))=0,NA(),SUMPRODUCT((Inputs!$A$5:$A$230=$B18)*Inputs!$B$5:$B$230*(((Inputs!$G$5:$G$230="moeda")+(Inputs!$G$5:$G$230="acoes"))*Inputs!$B$1+((Inputs!$G$5:$G$230&lt;&gt;"moeda")*(Inputs!$G$5:$G$230&lt;&gt;"acoes")))*INDEX(Inputs!$K$5:$AJ$230,0,MATCH(Q$2,Inputs!$K$4:$AJ$4,0)))+SUMPRODUCT((Inputs!$C$5:$C$230=$B18)*Inputs!$D$5:$D$230*(((Inputs!$G$5:$G$230="moeda")+(Inputs!$G$5:$G$230="acoes"))*Inputs!$B$1+((Inputs!$G$5:$G$230&lt;&gt;"moeda")*(Inputs!$G$5:$G$230&lt;&gt;"acoes")))*INDEX(Inputs!$K$5:$AJ$230,0,MATCH(Q$2,Inputs!$K$4:$AJ$4,0)))+SUMPRODUCT((Inputs!$E$5:$E$230=$B18)*Inputs!$F$5:$F$230*(((Inputs!$G$5:$G$230="moeda")+(Inputs!$G$5:$G$230="acoes"))*Inputs!$B$1+((Inputs!$G$5:$G$230&lt;&gt;"moeda")*(Inputs!$G$5:$G$230&lt;&gt;"acoes")))*INDEX(Inputs!$K$5:$AJ$230,0,MATCH(Q$2,Inputs!$K$4:$AJ$4,0)))))</f>
        <v>58.8</v>
      </c>
      <c r="R18" s="3">
        <f>Q18</f>
        <v>58.8</v>
      </c>
      <c r="S18" s="6">
        <f>IF(ISNA(MATCH(S$2,Inputs!$K$4:$AJ$4,0)),NA(),IF(SUMPRODUCT((Inputs!$A$5:$A$230=$B18)*ISNUMBER(INDEX(Inputs!$K$5:$AJ$230,0,MATCH(S$2,Inputs!$K$4:$AJ$4,0))))+SUMPRODUCT((Inputs!$C$5:$C$230=$B18)*ISNUMBER(INDEX(Inputs!$K$5:$AJ$230,0,MATCH(S$2,Inputs!$K$4:$AJ$4,0))))+SUMPRODUCT((Inputs!$E$5:$E$230=$B18)*ISNUMBER(INDEX(Inputs!$K$5:$AJ$230,0,MATCH(S$2,Inputs!$K$4:$AJ$4,0))))=0,NA(),SUMPRODUCT((Inputs!$A$5:$A$230=$B18)*Inputs!$B$5:$B$230*(((Inputs!$G$5:$G$230="moeda")+(Inputs!$G$5:$G$230="acoes"))*Inputs!$B$1+((Inputs!$G$5:$G$230&lt;&gt;"moeda")*(Inputs!$G$5:$G$230&lt;&gt;"acoes")))*INDEX(Inputs!$K$5:$AJ$230,0,MATCH(S$2,Inputs!$K$4:$AJ$4,0)))+SUMPRODUCT((Inputs!$C$5:$C$230=$B18)*Inputs!$D$5:$D$230*(((Inputs!$G$5:$G$230="moeda")+(Inputs!$G$5:$G$230="acoes"))*Inputs!$B$1+((Inputs!$G$5:$G$230&lt;&gt;"moeda")*(Inputs!$G$5:$G$230&lt;&gt;"acoes")))*INDEX(Inputs!$K$5:$AJ$230,0,MATCH(S$2,Inputs!$K$4:$AJ$4,0)))+SUMPRODUCT((Inputs!$E$5:$E$230=$B18)*Inputs!$F$5:$F$230*(((Inputs!$G$5:$G$230="moeda")+(Inputs!$G$5:$G$230="acoes"))*Inputs!$B$1+((Inputs!$G$5:$G$230&lt;&gt;"moeda")*(Inputs!$G$5:$G$230&lt;&gt;"acoes")))*INDEX(Inputs!$K$5:$AJ$230,0,MATCH(S$2,Inputs!$K$4:$AJ$4,0)))))</f>
        <v>68.294</v>
      </c>
      <c r="T18" s="6">
        <f>IF(ISNA(MATCH(T$2,Inputs!$K$4:$AJ$4,0)),NA(),IF(SUMPRODUCT((Inputs!$A$5:$A$230=$B18)*ISNUMBER(INDEX(Inputs!$K$5:$AJ$230,0,MATCH(T$2,Inputs!$K$4:$AJ$4,0))))+SUMPRODUCT((Inputs!$C$5:$C$230=$B18)*ISNUMBER(INDEX(Inputs!$K$5:$AJ$230,0,MATCH(T$2,Inputs!$K$4:$AJ$4,0))))+SUMPRODUCT((Inputs!$E$5:$E$230=$B18)*ISNUMBER(INDEX(Inputs!$K$5:$AJ$230,0,MATCH(T$2,Inputs!$K$4:$AJ$4,0))))=0,NA(),SUMPRODUCT((Inputs!$A$5:$A$230=$B18)*Inputs!$B$5:$B$230*(((Inputs!$G$5:$G$230="moeda")+(Inputs!$G$5:$G$230="acoes"))*Inputs!$B$1+((Inputs!$G$5:$G$230&lt;&gt;"moeda")*(Inputs!$G$5:$G$230&lt;&gt;"acoes")))*INDEX(Inputs!$K$5:$AJ$230,0,MATCH(T$2,Inputs!$K$4:$AJ$4,0)))+SUMPRODUCT((Inputs!$C$5:$C$230=$B18)*Inputs!$D$5:$D$230*(((Inputs!$G$5:$G$230="moeda")+(Inputs!$G$5:$G$230="acoes"))*Inputs!$B$1+((Inputs!$G$5:$G$230&lt;&gt;"moeda")*(Inputs!$G$5:$G$230&lt;&gt;"acoes")))*INDEX(Inputs!$K$5:$AJ$230,0,MATCH(T$2,Inputs!$K$4:$AJ$4,0)))+SUMPRODUCT((Inputs!$E$5:$E$230=$B18)*Inputs!$F$5:$F$230*(((Inputs!$G$5:$G$230="moeda")+(Inputs!$G$5:$G$230="acoes"))*Inputs!$B$1+((Inputs!$G$5:$G$230&lt;&gt;"moeda")*(Inputs!$G$5:$G$230&lt;&gt;"acoes")))*INDEX(Inputs!$K$5:$AJ$230,0,MATCH(T$2,Inputs!$K$4:$AJ$4,0)))))</f>
        <v>78.767</v>
      </c>
      <c r="U18" s="6">
        <f>IF(ISNA(MATCH(U$2,Inputs!$K$4:$AJ$4,0)),NA(),IF(SUMPRODUCT((Inputs!$A$5:$A$230=$B18)*ISNUMBER(INDEX(Inputs!$K$5:$AJ$230,0,MATCH(U$2,Inputs!$K$4:$AJ$4,0))))+SUMPRODUCT((Inputs!$C$5:$C$230=$B18)*ISNUMBER(INDEX(Inputs!$K$5:$AJ$230,0,MATCH(U$2,Inputs!$K$4:$AJ$4,0))))+SUMPRODUCT((Inputs!$E$5:$E$230=$B18)*ISNUMBER(INDEX(Inputs!$K$5:$AJ$230,0,MATCH(U$2,Inputs!$K$4:$AJ$4,0))))=0,NA(),SUMPRODUCT((Inputs!$A$5:$A$230=$B18)*Inputs!$B$5:$B$230*(((Inputs!$G$5:$G$230="moeda")+(Inputs!$G$5:$G$230="acoes"))*Inputs!$B$1+((Inputs!$G$5:$G$230&lt;&gt;"moeda")*(Inputs!$G$5:$G$230&lt;&gt;"acoes")))*INDEX(Inputs!$K$5:$AJ$230,0,MATCH(U$2,Inputs!$K$4:$AJ$4,0)))+SUMPRODUCT((Inputs!$C$5:$C$230=$B18)*Inputs!$D$5:$D$230*(((Inputs!$G$5:$G$230="moeda")+(Inputs!$G$5:$G$230="acoes"))*Inputs!$B$1+((Inputs!$G$5:$G$230&lt;&gt;"moeda")*(Inputs!$G$5:$G$230&lt;&gt;"acoes")))*INDEX(Inputs!$K$5:$AJ$230,0,MATCH(U$2,Inputs!$K$4:$AJ$4,0)))+SUMPRODUCT((Inputs!$E$5:$E$230=$B18)*Inputs!$F$5:$F$230*(((Inputs!$G$5:$G$230="moeda")+(Inputs!$G$5:$G$230="acoes"))*Inputs!$B$1+((Inputs!$G$5:$G$230&lt;&gt;"moeda")*(Inputs!$G$5:$G$230&lt;&gt;"acoes")))*INDEX(Inputs!$K$5:$AJ$230,0,MATCH(U$2,Inputs!$K$4:$AJ$4,0)))))</f>
        <v>86.458</v>
      </c>
      <c r="V18" s="6">
        <f>IF(ISNA(MATCH(V$2,Inputs!$K$4:$AJ$4,0)),NA(),IF(SUMPRODUCT((Inputs!$A$5:$A$230=$B18)*ISNUMBER(INDEX(Inputs!$K$5:$AJ$230,0,MATCH(V$2,Inputs!$K$4:$AJ$4,0))))+SUMPRODUCT((Inputs!$C$5:$C$230=$B18)*ISNUMBER(INDEX(Inputs!$K$5:$AJ$230,0,MATCH(V$2,Inputs!$K$4:$AJ$4,0))))+SUMPRODUCT((Inputs!$E$5:$E$230=$B18)*ISNUMBER(INDEX(Inputs!$K$5:$AJ$230,0,MATCH(V$2,Inputs!$K$4:$AJ$4,0))))=0,NA(),SUMPRODUCT((Inputs!$A$5:$A$230=$B18)*Inputs!$B$5:$B$230*(((Inputs!$G$5:$G$230="moeda")+(Inputs!$G$5:$G$230="acoes"))*Inputs!$B$1+((Inputs!$G$5:$G$230&lt;&gt;"moeda")*(Inputs!$G$5:$G$230&lt;&gt;"acoes")))*INDEX(Inputs!$K$5:$AJ$230,0,MATCH(V$2,Inputs!$K$4:$AJ$4,0)))+SUMPRODUCT((Inputs!$C$5:$C$230=$B18)*Inputs!$D$5:$D$230*(((Inputs!$G$5:$G$230="moeda")+(Inputs!$G$5:$G$230="acoes"))*Inputs!$B$1+((Inputs!$G$5:$G$230&lt;&gt;"moeda")*(Inputs!$G$5:$G$230&lt;&gt;"acoes")))*INDEX(Inputs!$K$5:$AJ$230,0,MATCH(V$2,Inputs!$K$4:$AJ$4,0)))+SUMPRODUCT((Inputs!$E$5:$E$230=$B18)*Inputs!$F$5:$F$230*(((Inputs!$G$5:$G$230="moeda")+(Inputs!$G$5:$G$230="acoes"))*Inputs!$B$1+((Inputs!$G$5:$G$230&lt;&gt;"moeda")*(Inputs!$G$5:$G$230&lt;&gt;"acoes")))*INDEX(Inputs!$K$5:$AJ$230,0,MATCH(V$2,Inputs!$K$4:$AJ$4,0)))))</f>
        <v>110.608</v>
      </c>
      <c r="W18" s="3">
        <f>V18</f>
        <v>110.608</v>
      </c>
      <c r="X18" s="6">
        <f>IF(ISNA(MATCH(X$2,Inputs!$K$4:$AJ$4,0)),NA(),IF(SUMPRODUCT((Inputs!$A$5:$A$230=$B18)*ISNUMBER(INDEX(Inputs!$K$5:$AJ$230,0,MATCH(X$2,Inputs!$K$4:$AJ$4,0))))+SUMPRODUCT((Inputs!$C$5:$C$230=$B18)*ISNUMBER(INDEX(Inputs!$K$5:$AJ$230,0,MATCH(X$2,Inputs!$K$4:$AJ$4,0))))+SUMPRODUCT((Inputs!$E$5:$E$230=$B18)*ISNUMBER(INDEX(Inputs!$K$5:$AJ$230,0,MATCH(X$2,Inputs!$K$4:$AJ$4,0))))=0,NA(),SUMPRODUCT((Inputs!$A$5:$A$230=$B18)*Inputs!$B$5:$B$230*(((Inputs!$G$5:$G$230="moeda")+(Inputs!$G$5:$G$230="acoes"))*Inputs!$B$1+((Inputs!$G$5:$G$230&lt;&gt;"moeda")*(Inputs!$G$5:$G$230&lt;&gt;"acoes")))*INDEX(Inputs!$K$5:$AJ$230,0,MATCH(X$2,Inputs!$K$4:$AJ$4,0)))+SUMPRODUCT((Inputs!$C$5:$C$230=$B18)*Inputs!$D$5:$D$230*(((Inputs!$G$5:$G$230="moeda")+(Inputs!$G$5:$G$230="acoes"))*Inputs!$B$1+((Inputs!$G$5:$G$230&lt;&gt;"moeda")*(Inputs!$G$5:$G$230&lt;&gt;"acoes")))*INDEX(Inputs!$K$5:$AJ$230,0,MATCH(X$2,Inputs!$K$4:$AJ$4,0)))+SUMPRODUCT((Inputs!$E$5:$E$230=$B18)*Inputs!$F$5:$F$230*(((Inputs!$G$5:$G$230="moeda")+(Inputs!$G$5:$G$230="acoes"))*Inputs!$B$1+((Inputs!$G$5:$G$230&lt;&gt;"moeda")*(Inputs!$G$5:$G$230&lt;&gt;"acoes")))*INDEX(Inputs!$K$5:$AJ$230,0,MATCH(X$2,Inputs!$K$4:$AJ$4,0)))))</f>
        <v>180.122</v>
      </c>
      <c r="Y18" s="6">
        <f>IF(ISNA(MATCH(Y$2,Inputs!$K$4:$AJ$4,0)),NA(),IF(SUMPRODUCT((Inputs!$A$5:$A$230=$B18)*ISNUMBER(INDEX(Inputs!$K$5:$AJ$230,0,MATCH(Y$2,Inputs!$K$4:$AJ$4,0))))+SUMPRODUCT((Inputs!$C$5:$C$230=$B18)*ISNUMBER(INDEX(Inputs!$K$5:$AJ$230,0,MATCH(Y$2,Inputs!$K$4:$AJ$4,0))))+SUMPRODUCT((Inputs!$E$5:$E$230=$B18)*ISNUMBER(INDEX(Inputs!$K$5:$AJ$230,0,MATCH(Y$2,Inputs!$K$4:$AJ$4,0))))=0,NA(),SUMPRODUCT((Inputs!$A$5:$A$230=$B18)*Inputs!$B$5:$B$230*(((Inputs!$G$5:$G$230="moeda")+(Inputs!$G$5:$G$230="acoes"))*Inputs!$B$1+((Inputs!$G$5:$G$230&lt;&gt;"moeda")*(Inputs!$G$5:$G$230&lt;&gt;"acoes")))*INDEX(Inputs!$K$5:$AJ$230,0,MATCH(Y$2,Inputs!$K$4:$AJ$4,0)))+SUMPRODUCT((Inputs!$C$5:$C$230=$B18)*Inputs!$D$5:$D$230*(((Inputs!$G$5:$G$230="moeda")+(Inputs!$G$5:$G$230="acoes"))*Inputs!$B$1+((Inputs!$G$5:$G$230&lt;&gt;"moeda")*(Inputs!$G$5:$G$230&lt;&gt;"acoes")))*INDEX(Inputs!$K$5:$AJ$230,0,MATCH(Y$2,Inputs!$K$4:$AJ$4,0)))+SUMPRODUCT((Inputs!$E$5:$E$230=$B18)*Inputs!$F$5:$F$230*(((Inputs!$G$5:$G$230="moeda")+(Inputs!$G$5:$G$230="acoes"))*Inputs!$B$1+((Inputs!$G$5:$G$230&lt;&gt;"moeda")*(Inputs!$G$5:$G$230&lt;&gt;"acoes")))*INDEX(Inputs!$K$5:$AJ$230,0,MATCH(Y$2,Inputs!$K$4:$AJ$4,0)))))</f>
        <v>174.995</v>
      </c>
      <c r="Z18" s="6">
        <f>IF(ISNA(MATCH(Z$2,Inputs!$K$4:$AJ$4,0)),NA(),IF(SUMPRODUCT((Inputs!$A$5:$A$230=$B18)*ISNUMBER(INDEX(Inputs!$K$5:$AJ$230,0,MATCH(Z$2,Inputs!$K$4:$AJ$4,0))))+SUMPRODUCT((Inputs!$C$5:$C$230=$B18)*ISNUMBER(INDEX(Inputs!$K$5:$AJ$230,0,MATCH(Z$2,Inputs!$K$4:$AJ$4,0))))+SUMPRODUCT((Inputs!$E$5:$E$230=$B18)*ISNUMBER(INDEX(Inputs!$K$5:$AJ$230,0,MATCH(Z$2,Inputs!$K$4:$AJ$4,0))))=0,NA(),SUMPRODUCT((Inputs!$A$5:$A$230=$B18)*Inputs!$B$5:$B$230*(((Inputs!$G$5:$G$230="moeda")+(Inputs!$G$5:$G$230="acoes"))*Inputs!$B$1+((Inputs!$G$5:$G$230&lt;&gt;"moeda")*(Inputs!$G$5:$G$230&lt;&gt;"acoes")))*INDEX(Inputs!$K$5:$AJ$230,0,MATCH(Z$2,Inputs!$K$4:$AJ$4,0)))+SUMPRODUCT((Inputs!$C$5:$C$230=$B18)*Inputs!$D$5:$D$230*(((Inputs!$G$5:$G$230="moeda")+(Inputs!$G$5:$G$230="acoes"))*Inputs!$B$1+((Inputs!$G$5:$G$230&lt;&gt;"moeda")*(Inputs!$G$5:$G$230&lt;&gt;"acoes")))*INDEX(Inputs!$K$5:$AJ$230,0,MATCH(Z$2,Inputs!$K$4:$AJ$4,0)))+SUMPRODUCT((Inputs!$E$5:$E$230=$B18)*Inputs!$F$5:$F$230*(((Inputs!$G$5:$G$230="moeda")+(Inputs!$G$5:$G$230="acoes"))*Inputs!$B$1+((Inputs!$G$5:$G$230&lt;&gt;"moeda")*(Inputs!$G$5:$G$230&lt;&gt;"acoes")))*INDEX(Inputs!$K$5:$AJ$230,0,MATCH(Z$2,Inputs!$K$4:$AJ$4,0)))))</f>
        <v>177.276</v>
      </c>
      <c r="AA18" s="6">
        <f>IF(ISNA(MATCH(AA$2,Inputs!$K$4:$AJ$4,0)),NA(),IF(SUMPRODUCT((Inputs!$A$5:$A$230=$B18)*ISNUMBER(INDEX(Inputs!$K$5:$AJ$230,0,MATCH(AA$2,Inputs!$K$4:$AJ$4,0))))+SUMPRODUCT((Inputs!$C$5:$C$230=$B18)*ISNUMBER(INDEX(Inputs!$K$5:$AJ$230,0,MATCH(AA$2,Inputs!$K$4:$AJ$4,0))))+SUMPRODUCT((Inputs!$E$5:$E$230=$B18)*ISNUMBER(INDEX(Inputs!$K$5:$AJ$230,0,MATCH(AA$2,Inputs!$K$4:$AJ$4,0))))=0,NA(),SUMPRODUCT((Inputs!$A$5:$A$230=$B18)*Inputs!$B$5:$B$230*(((Inputs!$G$5:$G$230="moeda")+(Inputs!$G$5:$G$230="acoes"))*Inputs!$B$1+((Inputs!$G$5:$G$230&lt;&gt;"moeda")*(Inputs!$G$5:$G$230&lt;&gt;"acoes")))*INDEX(Inputs!$K$5:$AJ$230,0,MATCH(AA$2,Inputs!$K$4:$AJ$4,0)))+SUMPRODUCT((Inputs!$C$5:$C$230=$B18)*Inputs!$D$5:$D$230*(((Inputs!$G$5:$G$230="moeda")+(Inputs!$G$5:$G$230="acoes"))*Inputs!$B$1+((Inputs!$G$5:$G$230&lt;&gt;"moeda")*(Inputs!$G$5:$G$230&lt;&gt;"acoes")))*INDEX(Inputs!$K$5:$AJ$230,0,MATCH(AA$2,Inputs!$K$4:$AJ$4,0)))+SUMPRODUCT((Inputs!$E$5:$E$230=$B18)*Inputs!$F$5:$F$230*(((Inputs!$G$5:$G$230="moeda")+(Inputs!$G$5:$G$230="acoes"))*Inputs!$B$1+((Inputs!$G$5:$G$230&lt;&gt;"moeda")*(Inputs!$G$5:$G$230&lt;&gt;"acoes")))*INDEX(Inputs!$K$5:$AJ$230,0,MATCH(AA$2,Inputs!$K$4:$AJ$4,0)))))</f>
        <v>173.786</v>
      </c>
      <c r="AB18" s="3">
        <f>AA18</f>
        <v>173.786</v>
      </c>
      <c r="AC18" s="6">
        <f>IF(ISNA(MATCH(AC$2,Inputs!$K$4:$AJ$4,0)),NA(),IF(SUMPRODUCT((Inputs!$A$5:$A$230=$B18)*ISNUMBER(INDEX(Inputs!$K$5:$AJ$230,0,MATCH(AC$2,Inputs!$K$4:$AJ$4,0))))+SUMPRODUCT((Inputs!$C$5:$C$230=$B18)*ISNUMBER(INDEX(Inputs!$K$5:$AJ$230,0,MATCH(AC$2,Inputs!$K$4:$AJ$4,0))))+SUMPRODUCT((Inputs!$E$5:$E$230=$B18)*ISNUMBER(INDEX(Inputs!$K$5:$AJ$230,0,MATCH(AC$2,Inputs!$K$4:$AJ$4,0))))=0,NA(),SUMPRODUCT((Inputs!$A$5:$A$230=$B18)*Inputs!$B$5:$B$230*(((Inputs!$G$5:$G$230="moeda")+(Inputs!$G$5:$G$230="acoes"))*Inputs!$B$1+((Inputs!$G$5:$G$230&lt;&gt;"moeda")*(Inputs!$G$5:$G$230&lt;&gt;"acoes")))*INDEX(Inputs!$K$5:$AJ$230,0,MATCH(AC$2,Inputs!$K$4:$AJ$4,0)))+SUMPRODUCT((Inputs!$C$5:$C$230=$B18)*Inputs!$D$5:$D$230*(((Inputs!$G$5:$G$230="moeda")+(Inputs!$G$5:$G$230="acoes"))*Inputs!$B$1+((Inputs!$G$5:$G$230&lt;&gt;"moeda")*(Inputs!$G$5:$G$230&lt;&gt;"acoes")))*INDEX(Inputs!$K$5:$AJ$230,0,MATCH(AC$2,Inputs!$K$4:$AJ$4,0)))+SUMPRODUCT((Inputs!$E$5:$E$230=$B18)*Inputs!$F$5:$F$230*(((Inputs!$G$5:$G$230="moeda")+(Inputs!$G$5:$G$230="acoes"))*Inputs!$B$1+((Inputs!$G$5:$G$230&lt;&gt;"moeda")*(Inputs!$G$5:$G$230&lt;&gt;"acoes")))*INDEX(Inputs!$K$5:$AJ$230,0,MATCH(AC$2,Inputs!$K$4:$AJ$4,0)))))</f>
        <v>175.309</v>
      </c>
      <c r="AD18" s="6">
        <f>IF(ISNA(MATCH(AD$2,Inputs!$K$4:$AJ$4,0)),NA(),IF(SUMPRODUCT((Inputs!$A$5:$A$230=$B18)*ISNUMBER(INDEX(Inputs!$K$5:$AJ$230,0,MATCH(AD$2,Inputs!$K$4:$AJ$4,0))))+SUMPRODUCT((Inputs!$C$5:$C$230=$B18)*ISNUMBER(INDEX(Inputs!$K$5:$AJ$230,0,MATCH(AD$2,Inputs!$K$4:$AJ$4,0))))+SUMPRODUCT((Inputs!$E$5:$E$230=$B18)*ISNUMBER(INDEX(Inputs!$K$5:$AJ$230,0,MATCH(AD$2,Inputs!$K$4:$AJ$4,0))))=0,NA(),SUMPRODUCT((Inputs!$A$5:$A$230=$B18)*Inputs!$B$5:$B$230*(((Inputs!$G$5:$G$230="moeda")+(Inputs!$G$5:$G$230="acoes"))*Inputs!$B$1+((Inputs!$G$5:$G$230&lt;&gt;"moeda")*(Inputs!$G$5:$G$230&lt;&gt;"acoes")))*INDEX(Inputs!$K$5:$AJ$230,0,MATCH(AD$2,Inputs!$K$4:$AJ$4,0)))+SUMPRODUCT((Inputs!$C$5:$C$230=$B18)*Inputs!$D$5:$D$230*(((Inputs!$G$5:$G$230="moeda")+(Inputs!$G$5:$G$230="acoes"))*Inputs!$B$1+((Inputs!$G$5:$G$230&lt;&gt;"moeda")*(Inputs!$G$5:$G$230&lt;&gt;"acoes")))*INDEX(Inputs!$K$5:$AJ$230,0,MATCH(AD$2,Inputs!$K$4:$AJ$4,0)))+SUMPRODUCT((Inputs!$E$5:$E$230=$B18)*Inputs!$F$5:$F$230*(((Inputs!$G$5:$G$230="moeda")+(Inputs!$G$5:$G$230="acoes"))*Inputs!$B$1+((Inputs!$G$5:$G$230&lt;&gt;"moeda")*(Inputs!$G$5:$G$230&lt;&gt;"acoes")))*INDEX(Inputs!$K$5:$AJ$230,0,MATCH(AD$2,Inputs!$K$4:$AJ$4,0)))))</f>
        <v>173.589</v>
      </c>
      <c r="AE18" s="6" t="e">
        <f>IF(ISNA(MATCH(AE$2,Inputs!$K$4:$AJ$4,0)),NA(),IF(SUMPRODUCT((Inputs!$A$5:$A$230=$B18)*ISNUMBER(INDEX(Inputs!$K$5:$AJ$230,0,MATCH(AE$2,Inputs!$K$4:$AJ$4,0))))+SUMPRODUCT((Inputs!$C$5:$C$230=$B18)*ISNUMBER(INDEX(Inputs!$K$5:$AJ$230,0,MATCH(AE$2,Inputs!$K$4:$AJ$4,0))))+SUMPRODUCT((Inputs!$E$5:$E$230=$B18)*ISNUMBER(INDEX(Inputs!$K$5:$AJ$230,0,MATCH(AE$2,Inputs!$K$4:$AJ$4,0))))=0,NA(),SUMPRODUCT((Inputs!$A$5:$A$230=$B18)*Inputs!$B$5:$B$230*(((Inputs!$G$5:$G$230="moeda")+(Inputs!$G$5:$G$230="acoes"))*Inputs!$B$1+((Inputs!$G$5:$G$230&lt;&gt;"moeda")*(Inputs!$G$5:$G$230&lt;&gt;"acoes")))*INDEX(Inputs!$K$5:$AJ$230,0,MATCH(AE$2,Inputs!$K$4:$AJ$4,0)))+SUMPRODUCT((Inputs!$C$5:$C$230=$B18)*Inputs!$D$5:$D$230*(((Inputs!$G$5:$G$230="moeda")+(Inputs!$G$5:$G$230="acoes"))*Inputs!$B$1+((Inputs!$G$5:$G$230&lt;&gt;"moeda")*(Inputs!$G$5:$G$230&lt;&gt;"acoes")))*INDEX(Inputs!$K$5:$AJ$230,0,MATCH(AE$2,Inputs!$K$4:$AJ$4,0)))+SUMPRODUCT((Inputs!$E$5:$E$230=$B18)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8" s="6" t="e">
        <f>IF(ISNA(MATCH(AF$2,Inputs!$K$4:$AJ$4,0)),NA(),IF(SUMPRODUCT((Inputs!$A$5:$A$230=$B18)*ISNUMBER(INDEX(Inputs!$K$5:$AJ$230,0,MATCH(AF$2,Inputs!$K$4:$AJ$4,0))))+SUMPRODUCT((Inputs!$C$5:$C$230=$B18)*ISNUMBER(INDEX(Inputs!$K$5:$AJ$230,0,MATCH(AF$2,Inputs!$K$4:$AJ$4,0))))+SUMPRODUCT((Inputs!$E$5:$E$230=$B18)*ISNUMBER(INDEX(Inputs!$K$5:$AJ$230,0,MATCH(AF$2,Inputs!$K$4:$AJ$4,0))))=0,NA(),SUMPRODUCT((Inputs!$A$5:$A$230=$B18)*Inputs!$B$5:$B$230*(((Inputs!$G$5:$G$230="moeda")+(Inputs!$G$5:$G$230="acoes"))*Inputs!$B$1+((Inputs!$G$5:$G$230&lt;&gt;"moeda")*(Inputs!$G$5:$G$230&lt;&gt;"acoes")))*INDEX(Inputs!$K$5:$AJ$230,0,MATCH(AF$2,Inputs!$K$4:$AJ$4,0)))+SUMPRODUCT((Inputs!$C$5:$C$230=$B18)*Inputs!$D$5:$D$230*(((Inputs!$G$5:$G$230="moeda")+(Inputs!$G$5:$G$230="acoes"))*Inputs!$B$1+((Inputs!$G$5:$G$230&lt;&gt;"moeda")*(Inputs!$G$5:$G$230&lt;&gt;"acoes")))*INDEX(Inputs!$K$5:$AJ$230,0,MATCH(AF$2,Inputs!$K$4:$AJ$4,0)))+SUMPRODUCT((Inputs!$E$5:$E$230=$B18)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8" s="3" t="e">
        <f>AF18</f>
        <v>#N/A</v>
      </c>
      <c r="AH18" s="6">
        <f>IF(ISNA(MATCH(AH$2,Inputs!$K$4:$AJ$4,0)),NA(),IF(SUMPRODUCT((Inputs!$A$5:$A$230=$B18)*ISNUMBER(INDEX(Inputs!$K$5:$AJ$230,0,MATCH(AH$2,Inputs!$K$4:$AJ$4,0))))+SUMPRODUCT((Inputs!$C$5:$C$230=$B18)*ISNUMBER(INDEX(Inputs!$K$5:$AJ$230,0,MATCH(AH$2,Inputs!$K$4:$AJ$4,0))))+SUMPRODUCT((Inputs!$E$5:$E$230=$B18)*ISNUMBER(INDEX(Inputs!$K$5:$AJ$230,0,MATCH(AH$2,Inputs!$K$4:$AJ$4,0))))=0,NA(),SUMPRODUCT((Inputs!$A$5:$A$230=$B18)*Inputs!$B$5:$B$230*(((Inputs!$G$5:$G$230="moeda")+(Inputs!$G$5:$G$230="acoes"))*Inputs!$B$1+((Inputs!$G$5:$G$230&lt;&gt;"moeda")*(Inputs!$G$5:$G$230&lt;&gt;"acoes")))*INDEX(Inputs!$K$5:$AJ$230,0,MATCH(AH$2,Inputs!$K$4:$AJ$4,0)))+SUMPRODUCT((Inputs!$C$5:$C$230=$B18)*Inputs!$D$5:$D$230*(((Inputs!$G$5:$G$230="moeda")+(Inputs!$G$5:$G$230="acoes"))*Inputs!$B$1+((Inputs!$G$5:$G$230&lt;&gt;"moeda")*(Inputs!$G$5:$G$230&lt;&gt;"acoes")))*INDEX(Inputs!$K$5:$AJ$230,0,MATCH(AH$2,Inputs!$K$4:$AJ$4,0)))+SUMPRODUCT((Inputs!$E$5:$E$230=$B18)*Inputs!$F$5:$F$230*(((Inputs!$G$5:$G$230="moeda")+(Inputs!$G$5:$G$230="acoes"))*Inputs!$B$1+((Inputs!$G$5:$G$230&lt;&gt;"moeda")*(Inputs!$G$5:$G$230&lt;&gt;"acoes")))*INDEX(Inputs!$K$5:$AJ$230,0,MATCH(AH$2,Inputs!$K$4:$AJ$4,0)))))</f>
        <v>6.169</v>
      </c>
      <c r="AI18" s="6">
        <f>IF(ISNA(MATCH(AI$2,Inputs!$K$4:$AJ$4,0)),NA(),IF(SUMPRODUCT((Inputs!$A$5:$A$230=$B18)*ISNUMBER(INDEX(Inputs!$K$5:$AJ$230,0,MATCH(AI$2,Inputs!$K$4:$AJ$4,0))))+SUMPRODUCT((Inputs!$C$5:$C$230=$B18)*ISNUMBER(INDEX(Inputs!$K$5:$AJ$230,0,MATCH(AI$2,Inputs!$K$4:$AJ$4,0))))+SUMPRODUCT((Inputs!$E$5:$E$230=$B18)*ISNUMBER(INDEX(Inputs!$K$5:$AJ$230,0,MATCH(AI$2,Inputs!$K$4:$AJ$4,0))))=0,NA(),SUMPRODUCT((Inputs!$A$5:$A$230=$B18)*Inputs!$B$5:$B$230*(((Inputs!$G$5:$G$230="moeda")+(Inputs!$G$5:$G$230="acoes"))*Inputs!$B$1+((Inputs!$G$5:$G$230&lt;&gt;"moeda")*(Inputs!$G$5:$G$230&lt;&gt;"acoes")))*INDEX(Inputs!$K$5:$AJ$230,0,MATCH(AI$2,Inputs!$K$4:$AJ$4,0)))+SUMPRODUCT((Inputs!$C$5:$C$230=$B18)*Inputs!$D$5:$D$230*(((Inputs!$G$5:$G$230="moeda")+(Inputs!$G$5:$G$230="acoes"))*Inputs!$B$1+((Inputs!$G$5:$G$230&lt;&gt;"moeda")*(Inputs!$G$5:$G$230&lt;&gt;"acoes")))*INDEX(Inputs!$K$5:$AJ$230,0,MATCH(AI$2,Inputs!$K$4:$AJ$4,0)))+SUMPRODUCT((Inputs!$E$5:$E$230=$B18)*Inputs!$F$5:$F$230*(((Inputs!$G$5:$G$230="moeda")+(Inputs!$G$5:$G$230="acoes"))*Inputs!$B$1+((Inputs!$G$5:$G$230&lt;&gt;"moeda")*(Inputs!$G$5:$G$230&lt;&gt;"acoes")))*INDEX(Inputs!$K$5:$AJ$230,0,MATCH(AI$2,Inputs!$K$4:$AJ$4,0)))))</f>
        <v>6.154</v>
      </c>
      <c r="AJ18" s="6">
        <f>IF(ISNA(MATCH(AJ$2,Inputs!$K$4:$AJ$4,0)),NA(),IF(SUMPRODUCT((Inputs!$A$5:$A$230=$B18)*ISNUMBER(INDEX(Inputs!$K$5:$AJ$230,0,MATCH(AJ$2,Inputs!$K$4:$AJ$4,0))))+SUMPRODUCT((Inputs!$C$5:$C$230=$B18)*ISNUMBER(INDEX(Inputs!$K$5:$AJ$230,0,MATCH(AJ$2,Inputs!$K$4:$AJ$4,0))))+SUMPRODUCT((Inputs!$E$5:$E$230=$B18)*ISNUMBER(INDEX(Inputs!$K$5:$AJ$230,0,MATCH(AJ$2,Inputs!$K$4:$AJ$4,0))))=0,NA(),SUMPRODUCT((Inputs!$A$5:$A$230=$B18)*Inputs!$B$5:$B$230*(((Inputs!$G$5:$G$230="moeda")+(Inputs!$G$5:$G$230="acoes"))*Inputs!$B$1+((Inputs!$G$5:$G$230&lt;&gt;"moeda")*(Inputs!$G$5:$G$230&lt;&gt;"acoes")))*INDEX(Inputs!$K$5:$AJ$230,0,MATCH(AJ$2,Inputs!$K$4:$AJ$4,0)))+SUMPRODUCT((Inputs!$C$5:$C$230=$B18)*Inputs!$D$5:$D$230*(((Inputs!$G$5:$G$230="moeda")+(Inputs!$G$5:$G$230="acoes"))*Inputs!$B$1+((Inputs!$G$5:$G$230&lt;&gt;"moeda")*(Inputs!$G$5:$G$230&lt;&gt;"acoes")))*INDEX(Inputs!$K$5:$AJ$230,0,MATCH(AJ$2,Inputs!$K$4:$AJ$4,0)))+SUMPRODUCT((Inputs!$E$5:$E$230=$B18)*Inputs!$F$5:$F$230*(((Inputs!$G$5:$G$230="moeda")+(Inputs!$G$5:$G$230="acoes"))*Inputs!$B$1+((Inputs!$G$5:$G$230&lt;&gt;"moeda")*(Inputs!$G$5:$G$230&lt;&gt;"acoes")))*INDEX(Inputs!$K$5:$AJ$230,0,MATCH(AJ$2,Inputs!$K$4:$AJ$4,0)))))</f>
        <v>7.832</v>
      </c>
      <c r="AK18" s="6">
        <f>IF(ISNA(MATCH(AK$2,Inputs!$K$4:$AJ$4,0)),NA(),IF(SUMPRODUCT((Inputs!$A$5:$A$230=$B18)*ISNUMBER(INDEX(Inputs!$K$5:$AJ$230,0,MATCH(AK$2,Inputs!$K$4:$AJ$4,0))))+SUMPRODUCT((Inputs!$C$5:$C$230=$B18)*ISNUMBER(INDEX(Inputs!$K$5:$AJ$230,0,MATCH(AK$2,Inputs!$K$4:$AJ$4,0))))+SUMPRODUCT((Inputs!$E$5:$E$230=$B18)*ISNUMBER(INDEX(Inputs!$K$5:$AJ$230,0,MATCH(AK$2,Inputs!$K$4:$AJ$4,0))))=0,NA(),SUMPRODUCT((Inputs!$A$5:$A$230=$B18)*Inputs!$B$5:$B$230*(((Inputs!$G$5:$G$230="moeda")+(Inputs!$G$5:$G$230="acoes"))*Inputs!$B$1+((Inputs!$G$5:$G$230&lt;&gt;"moeda")*(Inputs!$G$5:$G$230&lt;&gt;"acoes")))*INDEX(Inputs!$K$5:$AJ$230,0,MATCH(AK$2,Inputs!$K$4:$AJ$4,0)))+SUMPRODUCT((Inputs!$C$5:$C$230=$B18)*Inputs!$D$5:$D$230*(((Inputs!$G$5:$G$230="moeda")+(Inputs!$G$5:$G$230="acoes"))*Inputs!$B$1+((Inputs!$G$5:$G$230&lt;&gt;"moeda")*(Inputs!$G$5:$G$230&lt;&gt;"acoes")))*INDEX(Inputs!$K$5:$AJ$230,0,MATCH(AK$2,Inputs!$K$4:$AJ$4,0)))+SUMPRODUCT((Inputs!$E$5:$E$230=$B18)*Inputs!$F$5:$F$230*(((Inputs!$G$5:$G$230="moeda")+(Inputs!$G$5:$G$230="acoes"))*Inputs!$B$1+((Inputs!$G$5:$G$230&lt;&gt;"moeda")*(Inputs!$G$5:$G$230&lt;&gt;"acoes")))*INDEX(Inputs!$K$5:$AJ$230,0,MATCH(AK$2,Inputs!$K$4:$AJ$4,0)))))</f>
        <v>6.688</v>
      </c>
      <c r="AL18" s="3">
        <f>AK18</f>
        <v>6.688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$230=$B19)*ISNUMBER(INDEX(Inputs!$K$5:$AJ$230,0,MATCH(D$2,Inputs!$K$4:$AJ$4,0))))+SUMPRODUCT((Inputs!$C$5:$C$230=$B19)*ISNUMBER(INDEX(Inputs!$K$5:$AJ$230,0,MATCH(D$2,Inputs!$K$4:$AJ$4,0))))+SUMPRODUCT((Inputs!$E$5:$E$230=$B19)*ISNUMBER(INDEX(Inputs!$K$5:$AJ$230,0,MATCH(D$2,Inputs!$K$4:$AJ$4,0))))=0,NA(),SUMPRODUCT((Inputs!$A$5:$A$230=$B19)*Inputs!$B$5:$B$230*(((Inputs!$G$5:$G$230="moeda")+(Inputs!$G$5:$G$230="acoes"))*Inputs!$B$1+((Inputs!$G$5:$G$230&lt;&gt;"moeda")*(Inputs!$G$5:$G$230&lt;&gt;"acoes")))*INDEX(Inputs!$K$5:$AJ$230,0,MATCH(D$2,Inputs!$K$4:$AJ$4,0)))+SUMPRODUCT((Inputs!$C$5:$C$230=$B19)*Inputs!$D$5:$D$230*(((Inputs!$G$5:$G$230="moeda")+(Inputs!$G$5:$G$230="acoes"))*Inputs!$B$1+((Inputs!$G$5:$G$230&lt;&gt;"moeda")*(Inputs!$G$5:$G$230&lt;&gt;"acoes")))*INDEX(Inputs!$K$5:$AJ$230,0,MATCH(D$2,Inputs!$K$4:$AJ$4,0)))+SUMPRODUCT((Inputs!$E$5:$E$230=$B19)*Inputs!$F$5:$F$230*(((Inputs!$G$5:$G$230="moeda")+(Inputs!$G$5:$G$230="acoes"))*Inputs!$B$1+((Inputs!$G$5:$G$230&lt;&gt;"moeda")*(Inputs!$G$5:$G$230&lt;&gt;"acoes")))*INDEX(Inputs!$K$5:$AJ$230,0,MATCH(D$2,Inputs!$K$4:$AJ$4,0)))))</f>
        <v>4.979</v>
      </c>
      <c r="E19" s="6">
        <f>IF(ISNA(MATCH(E$2,Inputs!$K$4:$AJ$4,0)),NA(),IF(SUMPRODUCT((Inputs!$A$5:$A$230=$B19)*ISNUMBER(INDEX(Inputs!$K$5:$AJ$230,0,MATCH(E$2,Inputs!$K$4:$AJ$4,0))))+SUMPRODUCT((Inputs!$C$5:$C$230=$B19)*ISNUMBER(INDEX(Inputs!$K$5:$AJ$230,0,MATCH(E$2,Inputs!$K$4:$AJ$4,0))))+SUMPRODUCT((Inputs!$E$5:$E$230=$B19)*ISNUMBER(INDEX(Inputs!$K$5:$AJ$230,0,MATCH(E$2,Inputs!$K$4:$AJ$4,0))))=0,NA(),SUMPRODUCT((Inputs!$A$5:$A$230=$B19)*Inputs!$B$5:$B$230*(((Inputs!$G$5:$G$230="moeda")+(Inputs!$G$5:$G$230="acoes"))*Inputs!$B$1+((Inputs!$G$5:$G$230&lt;&gt;"moeda")*(Inputs!$G$5:$G$230&lt;&gt;"acoes")))*INDEX(Inputs!$K$5:$AJ$230,0,MATCH(E$2,Inputs!$K$4:$AJ$4,0)))+SUMPRODUCT((Inputs!$C$5:$C$230=$B19)*Inputs!$D$5:$D$230*(((Inputs!$G$5:$G$230="moeda")+(Inputs!$G$5:$G$230="acoes"))*Inputs!$B$1+((Inputs!$G$5:$G$230&lt;&gt;"moeda")*(Inputs!$G$5:$G$230&lt;&gt;"acoes")))*INDEX(Inputs!$K$5:$AJ$230,0,MATCH(E$2,Inputs!$K$4:$AJ$4,0)))+SUMPRODUCT((Inputs!$E$5:$E$230=$B19)*Inputs!$F$5:$F$230*(((Inputs!$G$5:$G$230="moeda")+(Inputs!$G$5:$G$230="acoes"))*Inputs!$B$1+((Inputs!$G$5:$G$230&lt;&gt;"moeda")*(Inputs!$G$5:$G$230&lt;&gt;"acoes")))*INDEX(Inputs!$K$5:$AJ$230,0,MATCH(E$2,Inputs!$K$4:$AJ$4,0)))))</f>
        <v>10.437</v>
      </c>
      <c r="F19" s="6">
        <f>IF(ISNA(MATCH(F$2,Inputs!$K$4:$AJ$4,0)),NA(),IF(SUMPRODUCT((Inputs!$A$5:$A$230=$B19)*ISNUMBER(INDEX(Inputs!$K$5:$AJ$230,0,MATCH(F$2,Inputs!$K$4:$AJ$4,0))))+SUMPRODUCT((Inputs!$C$5:$C$230=$B19)*ISNUMBER(INDEX(Inputs!$K$5:$AJ$230,0,MATCH(F$2,Inputs!$K$4:$AJ$4,0))))+SUMPRODUCT((Inputs!$E$5:$E$230=$B19)*ISNUMBER(INDEX(Inputs!$K$5:$AJ$230,0,MATCH(F$2,Inputs!$K$4:$AJ$4,0))))=0,NA(),SUMPRODUCT((Inputs!$A$5:$A$230=$B19)*Inputs!$B$5:$B$230*(((Inputs!$G$5:$G$230="moeda")+(Inputs!$G$5:$G$230="acoes"))*Inputs!$B$1+((Inputs!$G$5:$G$230&lt;&gt;"moeda")*(Inputs!$G$5:$G$230&lt;&gt;"acoes")))*INDEX(Inputs!$K$5:$AJ$230,0,MATCH(F$2,Inputs!$K$4:$AJ$4,0)))+SUMPRODUCT((Inputs!$C$5:$C$230=$B19)*Inputs!$D$5:$D$230*(((Inputs!$G$5:$G$230="moeda")+(Inputs!$G$5:$G$230="acoes"))*Inputs!$B$1+((Inputs!$G$5:$G$230&lt;&gt;"moeda")*(Inputs!$G$5:$G$230&lt;&gt;"acoes")))*INDEX(Inputs!$K$5:$AJ$230,0,MATCH(F$2,Inputs!$K$4:$AJ$4,0)))+SUMPRODUCT((Inputs!$E$5:$E$230=$B19)*Inputs!$F$5:$F$230*(((Inputs!$G$5:$G$230="moeda")+(Inputs!$G$5:$G$230="acoes"))*Inputs!$B$1+((Inputs!$G$5:$G$230&lt;&gt;"moeda")*(Inputs!$G$5:$G$230&lt;&gt;"acoes")))*INDEX(Inputs!$K$5:$AJ$230,0,MATCH(F$2,Inputs!$K$4:$AJ$4,0)))))</f>
        <v>9.944</v>
      </c>
      <c r="G19" s="6">
        <f>IF(ISNA(MATCH(G$2,Inputs!$K$4:$AJ$4,0)),NA(),IF(SUMPRODUCT((Inputs!$A$5:$A$230=$B19)*ISNUMBER(INDEX(Inputs!$K$5:$AJ$230,0,MATCH(G$2,Inputs!$K$4:$AJ$4,0))))+SUMPRODUCT((Inputs!$C$5:$C$230=$B19)*ISNUMBER(INDEX(Inputs!$K$5:$AJ$230,0,MATCH(G$2,Inputs!$K$4:$AJ$4,0))))+SUMPRODUCT((Inputs!$E$5:$E$230=$B19)*ISNUMBER(INDEX(Inputs!$K$5:$AJ$230,0,MATCH(G$2,Inputs!$K$4:$AJ$4,0))))=0,NA(),SUMPRODUCT((Inputs!$A$5:$A$230=$B19)*Inputs!$B$5:$B$230*(((Inputs!$G$5:$G$230="moeda")+(Inputs!$G$5:$G$230="acoes"))*Inputs!$B$1+((Inputs!$G$5:$G$230&lt;&gt;"moeda")*(Inputs!$G$5:$G$230&lt;&gt;"acoes")))*INDEX(Inputs!$K$5:$AJ$230,0,MATCH(G$2,Inputs!$K$4:$AJ$4,0)))+SUMPRODUCT((Inputs!$C$5:$C$230=$B19)*Inputs!$D$5:$D$230*(((Inputs!$G$5:$G$230="moeda")+(Inputs!$G$5:$G$230="acoes"))*Inputs!$B$1+((Inputs!$G$5:$G$230&lt;&gt;"moeda")*(Inputs!$G$5:$G$230&lt;&gt;"acoes")))*INDEX(Inputs!$K$5:$AJ$230,0,MATCH(G$2,Inputs!$K$4:$AJ$4,0)))+SUMPRODUCT((Inputs!$E$5:$E$230=$B19)*Inputs!$F$5:$F$230*(((Inputs!$G$5:$G$230="moeda")+(Inputs!$G$5:$G$230="acoes"))*Inputs!$B$1+((Inputs!$G$5:$G$230&lt;&gt;"moeda")*(Inputs!$G$5:$G$230&lt;&gt;"acoes")))*INDEX(Inputs!$K$5:$AJ$230,0,MATCH(G$2,Inputs!$K$4:$AJ$4,0)))))</f>
        <v>8.251</v>
      </c>
      <c r="H19" s="3">
        <f>G19</f>
        <v>8.251</v>
      </c>
      <c r="I19" s="6">
        <f>IF(ISNA(MATCH(I$2,Inputs!$K$4:$AJ$4,0)),NA(),IF(SUMPRODUCT((Inputs!$A$5:$A$230=$B19)*ISNUMBER(INDEX(Inputs!$K$5:$AJ$230,0,MATCH(I$2,Inputs!$K$4:$AJ$4,0))))+SUMPRODUCT((Inputs!$C$5:$C$230=$B19)*ISNUMBER(INDEX(Inputs!$K$5:$AJ$230,0,MATCH(I$2,Inputs!$K$4:$AJ$4,0))))+SUMPRODUCT((Inputs!$E$5:$E$230=$B19)*ISNUMBER(INDEX(Inputs!$K$5:$AJ$230,0,MATCH(I$2,Inputs!$K$4:$AJ$4,0))))=0,NA(),SUMPRODUCT((Inputs!$A$5:$A$230=$B19)*Inputs!$B$5:$B$230*(((Inputs!$G$5:$G$230="moeda")+(Inputs!$G$5:$G$230="acoes"))*Inputs!$B$1+((Inputs!$G$5:$G$230&lt;&gt;"moeda")*(Inputs!$G$5:$G$230&lt;&gt;"acoes")))*INDEX(Inputs!$K$5:$AJ$230,0,MATCH(I$2,Inputs!$K$4:$AJ$4,0)))+SUMPRODUCT((Inputs!$C$5:$C$230=$B19)*Inputs!$D$5:$D$230*(((Inputs!$G$5:$G$230="moeda")+(Inputs!$G$5:$G$230="acoes"))*Inputs!$B$1+((Inputs!$G$5:$G$230&lt;&gt;"moeda")*(Inputs!$G$5:$G$230&lt;&gt;"acoes")))*INDEX(Inputs!$K$5:$AJ$230,0,MATCH(I$2,Inputs!$K$4:$AJ$4,0)))+SUMPRODUCT((Inputs!$E$5:$E$230=$B19)*Inputs!$F$5:$F$230*(((Inputs!$G$5:$G$230="moeda")+(Inputs!$G$5:$G$230="acoes"))*Inputs!$B$1+((Inputs!$G$5:$G$230&lt;&gt;"moeda")*(Inputs!$G$5:$G$230&lt;&gt;"acoes")))*INDEX(Inputs!$K$5:$AJ$230,0,MATCH(I$2,Inputs!$K$4:$AJ$4,0)))))</f>
        <v>7.11</v>
      </c>
      <c r="J19" s="6">
        <f>IF(ISNA(MATCH(J$2,Inputs!$K$4:$AJ$4,0)),NA(),IF(SUMPRODUCT((Inputs!$A$5:$A$230=$B19)*ISNUMBER(INDEX(Inputs!$K$5:$AJ$230,0,MATCH(J$2,Inputs!$K$4:$AJ$4,0))))+SUMPRODUCT((Inputs!$C$5:$C$230=$B19)*ISNUMBER(INDEX(Inputs!$K$5:$AJ$230,0,MATCH(J$2,Inputs!$K$4:$AJ$4,0))))+SUMPRODUCT((Inputs!$E$5:$E$230=$B19)*ISNUMBER(INDEX(Inputs!$K$5:$AJ$230,0,MATCH(J$2,Inputs!$K$4:$AJ$4,0))))=0,NA(),SUMPRODUCT((Inputs!$A$5:$A$230=$B19)*Inputs!$B$5:$B$230*(((Inputs!$G$5:$G$230="moeda")+(Inputs!$G$5:$G$230="acoes"))*Inputs!$B$1+((Inputs!$G$5:$G$230&lt;&gt;"moeda")*(Inputs!$G$5:$G$230&lt;&gt;"acoes")))*INDEX(Inputs!$K$5:$AJ$230,0,MATCH(J$2,Inputs!$K$4:$AJ$4,0)))+SUMPRODUCT((Inputs!$C$5:$C$230=$B19)*Inputs!$D$5:$D$230*(((Inputs!$G$5:$G$230="moeda")+(Inputs!$G$5:$G$230="acoes"))*Inputs!$B$1+((Inputs!$G$5:$G$230&lt;&gt;"moeda")*(Inputs!$G$5:$G$230&lt;&gt;"acoes")))*INDEX(Inputs!$K$5:$AJ$230,0,MATCH(J$2,Inputs!$K$4:$AJ$4,0)))+SUMPRODUCT((Inputs!$E$5:$E$230=$B19)*Inputs!$F$5:$F$230*(((Inputs!$G$5:$G$230="moeda")+(Inputs!$G$5:$G$230="acoes"))*Inputs!$B$1+((Inputs!$G$5:$G$230&lt;&gt;"moeda")*(Inputs!$G$5:$G$230&lt;&gt;"acoes")))*INDEX(Inputs!$K$5:$AJ$230,0,MATCH(J$2,Inputs!$K$4:$AJ$4,0)))))</f>
        <v>11.678</v>
      </c>
      <c r="K19" s="6">
        <f>IF(ISNA(MATCH(K$2,Inputs!$K$4:$AJ$4,0)),NA(),IF(SUMPRODUCT((Inputs!$A$5:$A$230=$B19)*ISNUMBER(INDEX(Inputs!$K$5:$AJ$230,0,MATCH(K$2,Inputs!$K$4:$AJ$4,0))))+SUMPRODUCT((Inputs!$C$5:$C$230=$B19)*ISNUMBER(INDEX(Inputs!$K$5:$AJ$230,0,MATCH(K$2,Inputs!$K$4:$AJ$4,0))))+SUMPRODUCT((Inputs!$E$5:$E$230=$B19)*ISNUMBER(INDEX(Inputs!$K$5:$AJ$230,0,MATCH(K$2,Inputs!$K$4:$AJ$4,0))))=0,NA(),SUMPRODUCT((Inputs!$A$5:$A$230=$B19)*Inputs!$B$5:$B$230*(((Inputs!$G$5:$G$230="moeda")+(Inputs!$G$5:$G$230="acoes"))*Inputs!$B$1+((Inputs!$G$5:$G$230&lt;&gt;"moeda")*(Inputs!$G$5:$G$230&lt;&gt;"acoes")))*INDEX(Inputs!$K$5:$AJ$230,0,MATCH(K$2,Inputs!$K$4:$AJ$4,0)))+SUMPRODUCT((Inputs!$C$5:$C$230=$B19)*Inputs!$D$5:$D$230*(((Inputs!$G$5:$G$230="moeda")+(Inputs!$G$5:$G$230="acoes"))*Inputs!$B$1+((Inputs!$G$5:$G$230&lt;&gt;"moeda")*(Inputs!$G$5:$G$230&lt;&gt;"acoes")))*INDEX(Inputs!$K$5:$AJ$230,0,MATCH(K$2,Inputs!$K$4:$AJ$4,0)))+SUMPRODUCT((Inputs!$E$5:$E$230=$B19)*Inputs!$F$5:$F$230*(((Inputs!$G$5:$G$230="moeda")+(Inputs!$G$5:$G$230="acoes"))*Inputs!$B$1+((Inputs!$G$5:$G$230&lt;&gt;"moeda")*(Inputs!$G$5:$G$230&lt;&gt;"acoes")))*INDEX(Inputs!$K$5:$AJ$230,0,MATCH(K$2,Inputs!$K$4:$AJ$4,0)))))</f>
        <v>13.12</v>
      </c>
      <c r="L19" s="6">
        <f>IF(ISNA(MATCH(L$2,Inputs!$K$4:$AJ$4,0)),NA(),IF(SUMPRODUCT((Inputs!$A$5:$A$230=$B19)*ISNUMBER(INDEX(Inputs!$K$5:$AJ$230,0,MATCH(L$2,Inputs!$K$4:$AJ$4,0))))+SUMPRODUCT((Inputs!$C$5:$C$230=$B19)*ISNUMBER(INDEX(Inputs!$K$5:$AJ$230,0,MATCH(L$2,Inputs!$K$4:$AJ$4,0))))+SUMPRODUCT((Inputs!$E$5:$E$230=$B19)*ISNUMBER(INDEX(Inputs!$K$5:$AJ$230,0,MATCH(L$2,Inputs!$K$4:$AJ$4,0))))=0,NA(),SUMPRODUCT((Inputs!$A$5:$A$230=$B19)*Inputs!$B$5:$B$230*(((Inputs!$G$5:$G$230="moeda")+(Inputs!$G$5:$G$230="acoes"))*Inputs!$B$1+((Inputs!$G$5:$G$230&lt;&gt;"moeda")*(Inputs!$G$5:$G$230&lt;&gt;"acoes")))*INDEX(Inputs!$K$5:$AJ$230,0,MATCH(L$2,Inputs!$K$4:$AJ$4,0)))+SUMPRODUCT((Inputs!$C$5:$C$230=$B19)*Inputs!$D$5:$D$230*(((Inputs!$G$5:$G$230="moeda")+(Inputs!$G$5:$G$230="acoes"))*Inputs!$B$1+((Inputs!$G$5:$G$230&lt;&gt;"moeda")*(Inputs!$G$5:$G$230&lt;&gt;"acoes")))*INDEX(Inputs!$K$5:$AJ$230,0,MATCH(L$2,Inputs!$K$4:$AJ$4,0)))+SUMPRODUCT((Inputs!$E$5:$E$230=$B19)*Inputs!$F$5:$F$230*(((Inputs!$G$5:$G$230="moeda")+(Inputs!$G$5:$G$230="acoes"))*Inputs!$B$1+((Inputs!$G$5:$G$230&lt;&gt;"moeda")*(Inputs!$G$5:$G$230&lt;&gt;"acoes")))*INDEX(Inputs!$K$5:$AJ$230,0,MATCH(L$2,Inputs!$K$4:$AJ$4,0)))))</f>
        <v>13.602</v>
      </c>
      <c r="M19" s="3">
        <f>L19</f>
        <v>13.602</v>
      </c>
      <c r="N19" s="6">
        <f>IF(ISNA(MATCH(N$2,Inputs!$K$4:$AJ$4,0)),NA(),IF(SUMPRODUCT((Inputs!$A$5:$A$230=$B19)*ISNUMBER(INDEX(Inputs!$K$5:$AJ$230,0,MATCH(N$2,Inputs!$K$4:$AJ$4,0))))+SUMPRODUCT((Inputs!$C$5:$C$230=$B19)*ISNUMBER(INDEX(Inputs!$K$5:$AJ$230,0,MATCH(N$2,Inputs!$K$4:$AJ$4,0))))+SUMPRODUCT((Inputs!$E$5:$E$230=$B19)*ISNUMBER(INDEX(Inputs!$K$5:$AJ$230,0,MATCH(N$2,Inputs!$K$4:$AJ$4,0))))=0,NA(),SUMPRODUCT((Inputs!$A$5:$A$230=$B19)*Inputs!$B$5:$B$230*(((Inputs!$G$5:$G$230="moeda")+(Inputs!$G$5:$G$230="acoes"))*Inputs!$B$1+((Inputs!$G$5:$G$230&lt;&gt;"moeda")*(Inputs!$G$5:$G$230&lt;&gt;"acoes")))*INDEX(Inputs!$K$5:$AJ$230,0,MATCH(N$2,Inputs!$K$4:$AJ$4,0)))+SUMPRODUCT((Inputs!$C$5:$C$230=$B19)*Inputs!$D$5:$D$230*(((Inputs!$G$5:$G$230="moeda")+(Inputs!$G$5:$G$230="acoes"))*Inputs!$B$1+((Inputs!$G$5:$G$230&lt;&gt;"moeda")*(Inputs!$G$5:$G$230&lt;&gt;"acoes")))*INDEX(Inputs!$K$5:$AJ$230,0,MATCH(N$2,Inputs!$K$4:$AJ$4,0)))+SUMPRODUCT((Inputs!$E$5:$E$230=$B19)*Inputs!$F$5:$F$230*(((Inputs!$G$5:$G$230="moeda")+(Inputs!$G$5:$G$230="acoes"))*Inputs!$B$1+((Inputs!$G$5:$G$230&lt;&gt;"moeda")*(Inputs!$G$5:$G$230&lt;&gt;"acoes")))*INDEX(Inputs!$K$5:$AJ$230,0,MATCH(N$2,Inputs!$K$4:$AJ$4,0)))))</f>
        <v>7.204</v>
      </c>
      <c r="O19" s="6">
        <f>IF(ISNA(MATCH(O$2,Inputs!$K$4:$AJ$4,0)),NA(),IF(SUMPRODUCT((Inputs!$A$5:$A$230=$B19)*ISNUMBER(INDEX(Inputs!$K$5:$AJ$230,0,MATCH(O$2,Inputs!$K$4:$AJ$4,0))))+SUMPRODUCT((Inputs!$C$5:$C$230=$B19)*ISNUMBER(INDEX(Inputs!$K$5:$AJ$230,0,MATCH(O$2,Inputs!$K$4:$AJ$4,0))))+SUMPRODUCT((Inputs!$E$5:$E$230=$B19)*ISNUMBER(INDEX(Inputs!$K$5:$AJ$230,0,MATCH(O$2,Inputs!$K$4:$AJ$4,0))))=0,NA(),SUMPRODUCT((Inputs!$A$5:$A$230=$B19)*Inputs!$B$5:$B$230*(((Inputs!$G$5:$G$230="moeda")+(Inputs!$G$5:$G$230="acoes"))*Inputs!$B$1+((Inputs!$G$5:$G$230&lt;&gt;"moeda")*(Inputs!$G$5:$G$230&lt;&gt;"acoes")))*INDEX(Inputs!$K$5:$AJ$230,0,MATCH(O$2,Inputs!$K$4:$AJ$4,0)))+SUMPRODUCT((Inputs!$C$5:$C$230=$B19)*Inputs!$D$5:$D$230*(((Inputs!$G$5:$G$230="moeda")+(Inputs!$G$5:$G$230="acoes"))*Inputs!$B$1+((Inputs!$G$5:$G$230&lt;&gt;"moeda")*(Inputs!$G$5:$G$230&lt;&gt;"acoes")))*INDEX(Inputs!$K$5:$AJ$230,0,MATCH(O$2,Inputs!$K$4:$AJ$4,0)))+SUMPRODUCT((Inputs!$E$5:$E$230=$B19)*Inputs!$F$5:$F$230*(((Inputs!$G$5:$G$230="moeda")+(Inputs!$G$5:$G$230="acoes"))*Inputs!$B$1+((Inputs!$G$5:$G$230&lt;&gt;"moeda")*(Inputs!$G$5:$G$230&lt;&gt;"acoes")))*INDEX(Inputs!$K$5:$AJ$230,0,MATCH(O$2,Inputs!$K$4:$AJ$4,0)))))</f>
        <v>9.983</v>
      </c>
      <c r="P19" s="6">
        <f>IF(ISNA(MATCH(P$2,Inputs!$K$4:$AJ$4,0)),NA(),IF(SUMPRODUCT((Inputs!$A$5:$A$230=$B19)*ISNUMBER(INDEX(Inputs!$K$5:$AJ$230,0,MATCH(P$2,Inputs!$K$4:$AJ$4,0))))+SUMPRODUCT((Inputs!$C$5:$C$230=$B19)*ISNUMBER(INDEX(Inputs!$K$5:$AJ$230,0,MATCH(P$2,Inputs!$K$4:$AJ$4,0))))+SUMPRODUCT((Inputs!$E$5:$E$230=$B19)*ISNUMBER(INDEX(Inputs!$K$5:$AJ$230,0,MATCH(P$2,Inputs!$K$4:$AJ$4,0))))=0,NA(),SUMPRODUCT((Inputs!$A$5:$A$230=$B19)*Inputs!$B$5:$B$230*(((Inputs!$G$5:$G$230="moeda")+(Inputs!$G$5:$G$230="acoes"))*Inputs!$B$1+((Inputs!$G$5:$G$230&lt;&gt;"moeda")*(Inputs!$G$5:$G$230&lt;&gt;"acoes")))*INDEX(Inputs!$K$5:$AJ$230,0,MATCH(P$2,Inputs!$K$4:$AJ$4,0)))+SUMPRODUCT((Inputs!$C$5:$C$230=$B19)*Inputs!$D$5:$D$230*(((Inputs!$G$5:$G$230="moeda")+(Inputs!$G$5:$G$230="acoes"))*Inputs!$B$1+((Inputs!$G$5:$G$230&lt;&gt;"moeda")*(Inputs!$G$5:$G$230&lt;&gt;"acoes")))*INDEX(Inputs!$K$5:$AJ$230,0,MATCH(P$2,Inputs!$K$4:$AJ$4,0)))+SUMPRODUCT((Inputs!$E$5:$E$230=$B19)*Inputs!$F$5:$F$230*(((Inputs!$G$5:$G$230="moeda")+(Inputs!$G$5:$G$230="acoes"))*Inputs!$B$1+((Inputs!$G$5:$G$230&lt;&gt;"moeda")*(Inputs!$G$5:$G$230&lt;&gt;"acoes")))*INDEX(Inputs!$K$5:$AJ$230,0,MATCH(P$2,Inputs!$K$4:$AJ$4,0)))))</f>
        <v>9.189</v>
      </c>
      <c r="Q19" s="6">
        <f>IF(ISNA(MATCH(Q$2,Inputs!$K$4:$AJ$4,0)),NA(),IF(SUMPRODUCT((Inputs!$A$5:$A$230=$B19)*ISNUMBER(INDEX(Inputs!$K$5:$AJ$230,0,MATCH(Q$2,Inputs!$K$4:$AJ$4,0))))+SUMPRODUCT((Inputs!$C$5:$C$230=$B19)*ISNUMBER(INDEX(Inputs!$K$5:$AJ$230,0,MATCH(Q$2,Inputs!$K$4:$AJ$4,0))))+SUMPRODUCT((Inputs!$E$5:$E$230=$B19)*ISNUMBER(INDEX(Inputs!$K$5:$AJ$230,0,MATCH(Q$2,Inputs!$K$4:$AJ$4,0))))=0,NA(),SUMPRODUCT((Inputs!$A$5:$A$230=$B19)*Inputs!$B$5:$B$230*(((Inputs!$G$5:$G$230="moeda")+(Inputs!$G$5:$G$230="acoes"))*Inputs!$B$1+((Inputs!$G$5:$G$230&lt;&gt;"moeda")*(Inputs!$G$5:$G$230&lt;&gt;"acoes")))*INDEX(Inputs!$K$5:$AJ$230,0,MATCH(Q$2,Inputs!$K$4:$AJ$4,0)))+SUMPRODUCT((Inputs!$C$5:$C$230=$B19)*Inputs!$D$5:$D$230*(((Inputs!$G$5:$G$230="moeda")+(Inputs!$G$5:$G$230="acoes"))*Inputs!$B$1+((Inputs!$G$5:$G$230&lt;&gt;"moeda")*(Inputs!$G$5:$G$230&lt;&gt;"acoes")))*INDEX(Inputs!$K$5:$AJ$230,0,MATCH(Q$2,Inputs!$K$4:$AJ$4,0)))+SUMPRODUCT((Inputs!$E$5:$E$230=$B19)*Inputs!$F$5:$F$230*(((Inputs!$G$5:$G$230="moeda")+(Inputs!$G$5:$G$230="acoes"))*Inputs!$B$1+((Inputs!$G$5:$G$230&lt;&gt;"moeda")*(Inputs!$G$5:$G$230&lt;&gt;"acoes")))*INDEX(Inputs!$K$5:$AJ$230,0,MATCH(Q$2,Inputs!$K$4:$AJ$4,0)))))</f>
        <v>12.141</v>
      </c>
      <c r="R19" s="3">
        <f>Q19</f>
        <v>12.141</v>
      </c>
      <c r="S19" s="6">
        <f>IF(ISNA(MATCH(S$2,Inputs!$K$4:$AJ$4,0)),NA(),IF(SUMPRODUCT((Inputs!$A$5:$A$230=$B19)*ISNUMBER(INDEX(Inputs!$K$5:$AJ$230,0,MATCH(S$2,Inputs!$K$4:$AJ$4,0))))+SUMPRODUCT((Inputs!$C$5:$C$230=$B19)*ISNUMBER(INDEX(Inputs!$K$5:$AJ$230,0,MATCH(S$2,Inputs!$K$4:$AJ$4,0))))+SUMPRODUCT((Inputs!$E$5:$E$230=$B19)*ISNUMBER(INDEX(Inputs!$K$5:$AJ$230,0,MATCH(S$2,Inputs!$K$4:$AJ$4,0))))=0,NA(),SUMPRODUCT((Inputs!$A$5:$A$230=$B19)*Inputs!$B$5:$B$230*(((Inputs!$G$5:$G$230="moeda")+(Inputs!$G$5:$G$230="acoes"))*Inputs!$B$1+((Inputs!$G$5:$G$230&lt;&gt;"moeda")*(Inputs!$G$5:$G$230&lt;&gt;"acoes")))*INDEX(Inputs!$K$5:$AJ$230,0,MATCH(S$2,Inputs!$K$4:$AJ$4,0)))+SUMPRODUCT((Inputs!$C$5:$C$230=$B19)*Inputs!$D$5:$D$230*(((Inputs!$G$5:$G$230="moeda")+(Inputs!$G$5:$G$230="acoes"))*Inputs!$B$1+((Inputs!$G$5:$G$230&lt;&gt;"moeda")*(Inputs!$G$5:$G$230&lt;&gt;"acoes")))*INDEX(Inputs!$K$5:$AJ$230,0,MATCH(S$2,Inputs!$K$4:$AJ$4,0)))+SUMPRODUCT((Inputs!$E$5:$E$230=$B19)*Inputs!$F$5:$F$230*(((Inputs!$G$5:$G$230="moeda")+(Inputs!$G$5:$G$230="acoes"))*Inputs!$B$1+((Inputs!$G$5:$G$230&lt;&gt;"moeda")*(Inputs!$G$5:$G$230&lt;&gt;"acoes")))*INDEX(Inputs!$K$5:$AJ$230,0,MATCH(S$2,Inputs!$K$4:$AJ$4,0)))))</f>
        <v>7.964</v>
      </c>
      <c r="T19" s="6">
        <f>IF(ISNA(MATCH(T$2,Inputs!$K$4:$AJ$4,0)),NA(),IF(SUMPRODUCT((Inputs!$A$5:$A$230=$B19)*ISNUMBER(INDEX(Inputs!$K$5:$AJ$230,0,MATCH(T$2,Inputs!$K$4:$AJ$4,0))))+SUMPRODUCT((Inputs!$C$5:$C$230=$B19)*ISNUMBER(INDEX(Inputs!$K$5:$AJ$230,0,MATCH(T$2,Inputs!$K$4:$AJ$4,0))))+SUMPRODUCT((Inputs!$E$5:$E$230=$B19)*ISNUMBER(INDEX(Inputs!$K$5:$AJ$230,0,MATCH(T$2,Inputs!$K$4:$AJ$4,0))))=0,NA(),SUMPRODUCT((Inputs!$A$5:$A$230=$B19)*Inputs!$B$5:$B$230*(((Inputs!$G$5:$G$230="moeda")+(Inputs!$G$5:$G$230="acoes"))*Inputs!$B$1+((Inputs!$G$5:$G$230&lt;&gt;"moeda")*(Inputs!$G$5:$G$230&lt;&gt;"acoes")))*INDEX(Inputs!$K$5:$AJ$230,0,MATCH(T$2,Inputs!$K$4:$AJ$4,0)))+SUMPRODUCT((Inputs!$C$5:$C$230=$B19)*Inputs!$D$5:$D$230*(((Inputs!$G$5:$G$230="moeda")+(Inputs!$G$5:$G$230="acoes"))*Inputs!$B$1+((Inputs!$G$5:$G$230&lt;&gt;"moeda")*(Inputs!$G$5:$G$230&lt;&gt;"acoes")))*INDEX(Inputs!$K$5:$AJ$230,0,MATCH(T$2,Inputs!$K$4:$AJ$4,0)))+SUMPRODUCT((Inputs!$E$5:$E$230=$B19)*Inputs!$F$5:$F$230*(((Inputs!$G$5:$G$230="moeda")+(Inputs!$G$5:$G$230="acoes"))*Inputs!$B$1+((Inputs!$G$5:$G$230&lt;&gt;"moeda")*(Inputs!$G$5:$G$230&lt;&gt;"acoes")))*INDEX(Inputs!$K$5:$AJ$230,0,MATCH(T$2,Inputs!$K$4:$AJ$4,0)))))</f>
        <v>11.09</v>
      </c>
      <c r="U19" s="6">
        <f>IF(ISNA(MATCH(U$2,Inputs!$K$4:$AJ$4,0)),NA(),IF(SUMPRODUCT((Inputs!$A$5:$A$230=$B19)*ISNUMBER(INDEX(Inputs!$K$5:$AJ$230,0,MATCH(U$2,Inputs!$K$4:$AJ$4,0))))+SUMPRODUCT((Inputs!$C$5:$C$230=$B19)*ISNUMBER(INDEX(Inputs!$K$5:$AJ$230,0,MATCH(U$2,Inputs!$K$4:$AJ$4,0))))+SUMPRODUCT((Inputs!$E$5:$E$230=$B19)*ISNUMBER(INDEX(Inputs!$K$5:$AJ$230,0,MATCH(U$2,Inputs!$K$4:$AJ$4,0))))=0,NA(),SUMPRODUCT((Inputs!$A$5:$A$230=$B19)*Inputs!$B$5:$B$230*(((Inputs!$G$5:$G$230="moeda")+(Inputs!$G$5:$G$230="acoes"))*Inputs!$B$1+((Inputs!$G$5:$G$230&lt;&gt;"moeda")*(Inputs!$G$5:$G$230&lt;&gt;"acoes")))*INDEX(Inputs!$K$5:$AJ$230,0,MATCH(U$2,Inputs!$K$4:$AJ$4,0)))+SUMPRODUCT((Inputs!$C$5:$C$230=$B19)*Inputs!$D$5:$D$230*(((Inputs!$G$5:$G$230="moeda")+(Inputs!$G$5:$G$230="acoes"))*Inputs!$B$1+((Inputs!$G$5:$G$230&lt;&gt;"moeda")*(Inputs!$G$5:$G$230&lt;&gt;"acoes")))*INDEX(Inputs!$K$5:$AJ$230,0,MATCH(U$2,Inputs!$K$4:$AJ$4,0)))+SUMPRODUCT((Inputs!$E$5:$E$230=$B19)*Inputs!$F$5:$F$230*(((Inputs!$G$5:$G$230="moeda")+(Inputs!$G$5:$G$230="acoes"))*Inputs!$B$1+((Inputs!$G$5:$G$230&lt;&gt;"moeda")*(Inputs!$G$5:$G$230&lt;&gt;"acoes")))*INDEX(Inputs!$K$5:$AJ$230,0,MATCH(U$2,Inputs!$K$4:$AJ$4,0)))))</f>
        <v>10.329</v>
      </c>
      <c r="V19" s="6">
        <f>IF(ISNA(MATCH(V$2,Inputs!$K$4:$AJ$4,0)),NA(),IF(SUMPRODUCT((Inputs!$A$5:$A$230=$B19)*ISNUMBER(INDEX(Inputs!$K$5:$AJ$230,0,MATCH(V$2,Inputs!$K$4:$AJ$4,0))))+SUMPRODUCT((Inputs!$C$5:$C$230=$B19)*ISNUMBER(INDEX(Inputs!$K$5:$AJ$230,0,MATCH(V$2,Inputs!$K$4:$AJ$4,0))))+SUMPRODUCT((Inputs!$E$5:$E$230=$B19)*ISNUMBER(INDEX(Inputs!$K$5:$AJ$230,0,MATCH(V$2,Inputs!$K$4:$AJ$4,0))))=0,NA(),SUMPRODUCT((Inputs!$A$5:$A$230=$B19)*Inputs!$B$5:$B$230*(((Inputs!$G$5:$G$230="moeda")+(Inputs!$G$5:$G$230="acoes"))*Inputs!$B$1+((Inputs!$G$5:$G$230&lt;&gt;"moeda")*(Inputs!$G$5:$G$230&lt;&gt;"acoes")))*INDEX(Inputs!$K$5:$AJ$230,0,MATCH(V$2,Inputs!$K$4:$AJ$4,0)))+SUMPRODUCT((Inputs!$C$5:$C$230=$B19)*Inputs!$D$5:$D$230*(((Inputs!$G$5:$G$230="moeda")+(Inputs!$G$5:$G$230="acoes"))*Inputs!$B$1+((Inputs!$G$5:$G$230&lt;&gt;"moeda")*(Inputs!$G$5:$G$230&lt;&gt;"acoes")))*INDEX(Inputs!$K$5:$AJ$230,0,MATCH(V$2,Inputs!$K$4:$AJ$4,0)))+SUMPRODUCT((Inputs!$E$5:$E$230=$B19)*Inputs!$F$5:$F$230*(((Inputs!$G$5:$G$230="moeda")+(Inputs!$G$5:$G$230="acoes"))*Inputs!$B$1+((Inputs!$G$5:$G$230&lt;&gt;"moeda")*(Inputs!$G$5:$G$230&lt;&gt;"acoes")))*INDEX(Inputs!$K$5:$AJ$230,0,MATCH(V$2,Inputs!$K$4:$AJ$4,0)))))</f>
        <v>9.961</v>
      </c>
      <c r="W19" s="3">
        <f>V19</f>
        <v>9.961</v>
      </c>
      <c r="X19" s="6">
        <f>IF(ISNA(MATCH(X$2,Inputs!$K$4:$AJ$4,0)),NA(),IF(SUMPRODUCT((Inputs!$A$5:$A$230=$B19)*ISNUMBER(INDEX(Inputs!$K$5:$AJ$230,0,MATCH(X$2,Inputs!$K$4:$AJ$4,0))))+SUMPRODUCT((Inputs!$C$5:$C$230=$B19)*ISNUMBER(INDEX(Inputs!$K$5:$AJ$230,0,MATCH(X$2,Inputs!$K$4:$AJ$4,0))))+SUMPRODUCT((Inputs!$E$5:$E$230=$B19)*ISNUMBER(INDEX(Inputs!$K$5:$AJ$230,0,MATCH(X$2,Inputs!$K$4:$AJ$4,0))))=0,NA(),SUMPRODUCT((Inputs!$A$5:$A$230=$B19)*Inputs!$B$5:$B$230*(((Inputs!$G$5:$G$230="moeda")+(Inputs!$G$5:$G$230="acoes"))*Inputs!$B$1+((Inputs!$G$5:$G$230&lt;&gt;"moeda")*(Inputs!$G$5:$G$230&lt;&gt;"acoes")))*INDEX(Inputs!$K$5:$AJ$230,0,MATCH(X$2,Inputs!$K$4:$AJ$4,0)))+SUMPRODUCT((Inputs!$C$5:$C$230=$B19)*Inputs!$D$5:$D$230*(((Inputs!$G$5:$G$230="moeda")+(Inputs!$G$5:$G$230="acoes"))*Inputs!$B$1+((Inputs!$G$5:$G$230&lt;&gt;"moeda")*(Inputs!$G$5:$G$230&lt;&gt;"acoes")))*INDEX(Inputs!$K$5:$AJ$230,0,MATCH(X$2,Inputs!$K$4:$AJ$4,0)))+SUMPRODUCT((Inputs!$E$5:$E$230=$B19)*Inputs!$F$5:$F$230*(((Inputs!$G$5:$G$230="moeda")+(Inputs!$G$5:$G$230="acoes"))*Inputs!$B$1+((Inputs!$G$5:$G$230&lt;&gt;"moeda")*(Inputs!$G$5:$G$230&lt;&gt;"acoes")))*INDEX(Inputs!$K$5:$AJ$230,0,MATCH(X$2,Inputs!$K$4:$AJ$4,0)))))</f>
        <v>8.499</v>
      </c>
      <c r="Y19" s="6">
        <f>IF(ISNA(MATCH(Y$2,Inputs!$K$4:$AJ$4,0)),NA(),IF(SUMPRODUCT((Inputs!$A$5:$A$230=$B19)*ISNUMBER(INDEX(Inputs!$K$5:$AJ$230,0,MATCH(Y$2,Inputs!$K$4:$AJ$4,0))))+SUMPRODUCT((Inputs!$C$5:$C$230=$B19)*ISNUMBER(INDEX(Inputs!$K$5:$AJ$230,0,MATCH(Y$2,Inputs!$K$4:$AJ$4,0))))+SUMPRODUCT((Inputs!$E$5:$E$230=$B19)*ISNUMBER(INDEX(Inputs!$K$5:$AJ$230,0,MATCH(Y$2,Inputs!$K$4:$AJ$4,0))))=0,NA(),SUMPRODUCT((Inputs!$A$5:$A$230=$B19)*Inputs!$B$5:$B$230*(((Inputs!$G$5:$G$230="moeda")+(Inputs!$G$5:$G$230="acoes"))*Inputs!$B$1+((Inputs!$G$5:$G$230&lt;&gt;"moeda")*(Inputs!$G$5:$G$230&lt;&gt;"acoes")))*INDEX(Inputs!$K$5:$AJ$230,0,MATCH(Y$2,Inputs!$K$4:$AJ$4,0)))+SUMPRODUCT((Inputs!$C$5:$C$230=$B19)*Inputs!$D$5:$D$230*(((Inputs!$G$5:$G$230="moeda")+(Inputs!$G$5:$G$230="acoes"))*Inputs!$B$1+((Inputs!$G$5:$G$230&lt;&gt;"moeda")*(Inputs!$G$5:$G$230&lt;&gt;"acoes")))*INDEX(Inputs!$K$5:$AJ$230,0,MATCH(Y$2,Inputs!$K$4:$AJ$4,0)))+SUMPRODUCT((Inputs!$E$5:$E$230=$B19)*Inputs!$F$5:$F$230*(((Inputs!$G$5:$G$230="moeda")+(Inputs!$G$5:$G$230="acoes"))*Inputs!$B$1+((Inputs!$G$5:$G$230&lt;&gt;"moeda")*(Inputs!$G$5:$G$230&lt;&gt;"acoes")))*INDEX(Inputs!$K$5:$AJ$230,0,MATCH(Y$2,Inputs!$K$4:$AJ$4,0)))))</f>
        <v>9.341</v>
      </c>
      <c r="Z19" s="6">
        <f>IF(ISNA(MATCH(Z$2,Inputs!$K$4:$AJ$4,0)),NA(),IF(SUMPRODUCT((Inputs!$A$5:$A$230=$B19)*ISNUMBER(INDEX(Inputs!$K$5:$AJ$230,0,MATCH(Z$2,Inputs!$K$4:$AJ$4,0))))+SUMPRODUCT((Inputs!$C$5:$C$230=$B19)*ISNUMBER(INDEX(Inputs!$K$5:$AJ$230,0,MATCH(Z$2,Inputs!$K$4:$AJ$4,0))))+SUMPRODUCT((Inputs!$E$5:$E$230=$B19)*ISNUMBER(INDEX(Inputs!$K$5:$AJ$230,0,MATCH(Z$2,Inputs!$K$4:$AJ$4,0))))=0,NA(),SUMPRODUCT((Inputs!$A$5:$A$230=$B19)*Inputs!$B$5:$B$230*(((Inputs!$G$5:$G$230="moeda")+(Inputs!$G$5:$G$230="acoes"))*Inputs!$B$1+((Inputs!$G$5:$G$230&lt;&gt;"moeda")*(Inputs!$G$5:$G$230&lt;&gt;"acoes")))*INDEX(Inputs!$K$5:$AJ$230,0,MATCH(Z$2,Inputs!$K$4:$AJ$4,0)))+SUMPRODUCT((Inputs!$C$5:$C$230=$B19)*Inputs!$D$5:$D$230*(((Inputs!$G$5:$G$230="moeda")+(Inputs!$G$5:$G$230="acoes"))*Inputs!$B$1+((Inputs!$G$5:$G$230&lt;&gt;"moeda")*(Inputs!$G$5:$G$230&lt;&gt;"acoes")))*INDEX(Inputs!$K$5:$AJ$230,0,MATCH(Z$2,Inputs!$K$4:$AJ$4,0)))+SUMPRODUCT((Inputs!$E$5:$E$230=$B19)*Inputs!$F$5:$F$230*(((Inputs!$G$5:$G$230="moeda")+(Inputs!$G$5:$G$230="acoes"))*Inputs!$B$1+((Inputs!$G$5:$G$230&lt;&gt;"moeda")*(Inputs!$G$5:$G$230&lt;&gt;"acoes")))*INDEX(Inputs!$K$5:$AJ$230,0,MATCH(Z$2,Inputs!$K$4:$AJ$4,0)))))</f>
        <v>12.455</v>
      </c>
      <c r="AA19" s="6">
        <f>IF(ISNA(MATCH(AA$2,Inputs!$K$4:$AJ$4,0)),NA(),IF(SUMPRODUCT((Inputs!$A$5:$A$230=$B19)*ISNUMBER(INDEX(Inputs!$K$5:$AJ$230,0,MATCH(AA$2,Inputs!$K$4:$AJ$4,0))))+SUMPRODUCT((Inputs!$C$5:$C$230=$B19)*ISNUMBER(INDEX(Inputs!$K$5:$AJ$230,0,MATCH(AA$2,Inputs!$K$4:$AJ$4,0))))+SUMPRODUCT((Inputs!$E$5:$E$230=$B19)*ISNUMBER(INDEX(Inputs!$K$5:$AJ$230,0,MATCH(AA$2,Inputs!$K$4:$AJ$4,0))))=0,NA(),SUMPRODUCT((Inputs!$A$5:$A$230=$B19)*Inputs!$B$5:$B$230*(((Inputs!$G$5:$G$230="moeda")+(Inputs!$G$5:$G$230="acoes"))*Inputs!$B$1+((Inputs!$G$5:$G$230&lt;&gt;"moeda")*(Inputs!$G$5:$G$230&lt;&gt;"acoes")))*INDEX(Inputs!$K$5:$AJ$230,0,MATCH(AA$2,Inputs!$K$4:$AJ$4,0)))+SUMPRODUCT((Inputs!$C$5:$C$230=$B19)*Inputs!$D$5:$D$230*(((Inputs!$G$5:$G$230="moeda")+(Inputs!$G$5:$G$230="acoes"))*Inputs!$B$1+((Inputs!$G$5:$G$230&lt;&gt;"moeda")*(Inputs!$G$5:$G$230&lt;&gt;"acoes")))*INDEX(Inputs!$K$5:$AJ$230,0,MATCH(AA$2,Inputs!$K$4:$AJ$4,0)))+SUMPRODUCT((Inputs!$E$5:$E$230=$B19)*Inputs!$F$5:$F$230*(((Inputs!$G$5:$G$230="moeda")+(Inputs!$G$5:$G$230="acoes"))*Inputs!$B$1+((Inputs!$G$5:$G$230&lt;&gt;"moeda")*(Inputs!$G$5:$G$230&lt;&gt;"acoes")))*INDEX(Inputs!$K$5:$AJ$230,0,MATCH(AA$2,Inputs!$K$4:$AJ$4,0)))))</f>
        <v>10.9</v>
      </c>
      <c r="AB19" s="3">
        <f>AA19</f>
        <v>10.9</v>
      </c>
      <c r="AC19" s="6">
        <f>IF(ISNA(MATCH(AC$2,Inputs!$K$4:$AJ$4,0)),NA(),IF(SUMPRODUCT((Inputs!$A$5:$A$230=$B19)*ISNUMBER(INDEX(Inputs!$K$5:$AJ$230,0,MATCH(AC$2,Inputs!$K$4:$AJ$4,0))))+SUMPRODUCT((Inputs!$C$5:$C$230=$B19)*ISNUMBER(INDEX(Inputs!$K$5:$AJ$230,0,MATCH(AC$2,Inputs!$K$4:$AJ$4,0))))+SUMPRODUCT((Inputs!$E$5:$E$230=$B19)*ISNUMBER(INDEX(Inputs!$K$5:$AJ$230,0,MATCH(AC$2,Inputs!$K$4:$AJ$4,0))))=0,NA(),SUMPRODUCT((Inputs!$A$5:$A$230=$B19)*Inputs!$B$5:$B$230*(((Inputs!$G$5:$G$230="moeda")+(Inputs!$G$5:$G$230="acoes"))*Inputs!$B$1+((Inputs!$G$5:$G$230&lt;&gt;"moeda")*(Inputs!$G$5:$G$230&lt;&gt;"acoes")))*INDEX(Inputs!$K$5:$AJ$230,0,MATCH(AC$2,Inputs!$K$4:$AJ$4,0)))+SUMPRODUCT((Inputs!$C$5:$C$230=$B19)*Inputs!$D$5:$D$230*(((Inputs!$G$5:$G$230="moeda")+(Inputs!$G$5:$G$230="acoes"))*Inputs!$B$1+((Inputs!$G$5:$G$230&lt;&gt;"moeda")*(Inputs!$G$5:$G$230&lt;&gt;"acoes")))*INDEX(Inputs!$K$5:$AJ$230,0,MATCH(AC$2,Inputs!$K$4:$AJ$4,0)))+SUMPRODUCT((Inputs!$E$5:$E$230=$B19)*Inputs!$F$5:$F$230*(((Inputs!$G$5:$G$230="moeda")+(Inputs!$G$5:$G$230="acoes"))*Inputs!$B$1+((Inputs!$G$5:$G$230&lt;&gt;"moeda")*(Inputs!$G$5:$G$230&lt;&gt;"acoes")))*INDEX(Inputs!$K$5:$AJ$230,0,MATCH(AC$2,Inputs!$K$4:$AJ$4,0)))))</f>
        <v>11.131</v>
      </c>
      <c r="AD19" s="6">
        <f>IF(ISNA(MATCH(AD$2,Inputs!$K$4:$AJ$4,0)),NA(),IF(SUMPRODUCT((Inputs!$A$5:$A$230=$B19)*ISNUMBER(INDEX(Inputs!$K$5:$AJ$230,0,MATCH(AD$2,Inputs!$K$4:$AJ$4,0))))+SUMPRODUCT((Inputs!$C$5:$C$230=$B19)*ISNUMBER(INDEX(Inputs!$K$5:$AJ$230,0,MATCH(AD$2,Inputs!$K$4:$AJ$4,0))))+SUMPRODUCT((Inputs!$E$5:$E$230=$B19)*ISNUMBER(INDEX(Inputs!$K$5:$AJ$230,0,MATCH(AD$2,Inputs!$K$4:$AJ$4,0))))=0,NA(),SUMPRODUCT((Inputs!$A$5:$A$230=$B19)*Inputs!$B$5:$B$230*(((Inputs!$G$5:$G$230="moeda")+(Inputs!$G$5:$G$230="acoes"))*Inputs!$B$1+((Inputs!$G$5:$G$230&lt;&gt;"moeda")*(Inputs!$G$5:$G$230&lt;&gt;"acoes")))*INDEX(Inputs!$K$5:$AJ$230,0,MATCH(AD$2,Inputs!$K$4:$AJ$4,0)))+SUMPRODUCT((Inputs!$C$5:$C$230=$B19)*Inputs!$D$5:$D$230*(((Inputs!$G$5:$G$230="moeda")+(Inputs!$G$5:$G$230="acoes"))*Inputs!$B$1+((Inputs!$G$5:$G$230&lt;&gt;"moeda")*(Inputs!$G$5:$G$230&lt;&gt;"acoes")))*INDEX(Inputs!$K$5:$AJ$230,0,MATCH(AD$2,Inputs!$K$4:$AJ$4,0)))+SUMPRODUCT((Inputs!$E$5:$E$230=$B19)*Inputs!$F$5:$F$230*(((Inputs!$G$5:$G$230="moeda")+(Inputs!$G$5:$G$230="acoes"))*Inputs!$B$1+((Inputs!$G$5:$G$230&lt;&gt;"moeda")*(Inputs!$G$5:$G$230&lt;&gt;"acoes")))*INDEX(Inputs!$K$5:$AJ$230,0,MATCH(AD$2,Inputs!$K$4:$AJ$4,0)))))</f>
        <v>12.761</v>
      </c>
      <c r="AE19" s="6" t="e">
        <f>IF(ISNA(MATCH(AE$2,Inputs!$K$4:$AJ$4,0)),NA(),IF(SUMPRODUCT((Inputs!$A$5:$A$230=$B19)*ISNUMBER(INDEX(Inputs!$K$5:$AJ$230,0,MATCH(AE$2,Inputs!$K$4:$AJ$4,0))))+SUMPRODUCT((Inputs!$C$5:$C$230=$B19)*ISNUMBER(INDEX(Inputs!$K$5:$AJ$230,0,MATCH(AE$2,Inputs!$K$4:$AJ$4,0))))+SUMPRODUCT((Inputs!$E$5:$E$230=$B19)*ISNUMBER(INDEX(Inputs!$K$5:$AJ$230,0,MATCH(AE$2,Inputs!$K$4:$AJ$4,0))))=0,NA(),SUMPRODUCT((Inputs!$A$5:$A$230=$B19)*Inputs!$B$5:$B$230*(((Inputs!$G$5:$G$230="moeda")+(Inputs!$G$5:$G$230="acoes"))*Inputs!$B$1+((Inputs!$G$5:$G$230&lt;&gt;"moeda")*(Inputs!$G$5:$G$230&lt;&gt;"acoes")))*INDEX(Inputs!$K$5:$AJ$230,0,MATCH(AE$2,Inputs!$K$4:$AJ$4,0)))+SUMPRODUCT((Inputs!$C$5:$C$230=$B19)*Inputs!$D$5:$D$230*(((Inputs!$G$5:$G$230="moeda")+(Inputs!$G$5:$G$230="acoes"))*Inputs!$B$1+((Inputs!$G$5:$G$230&lt;&gt;"moeda")*(Inputs!$G$5:$G$230&lt;&gt;"acoes")))*INDEX(Inputs!$K$5:$AJ$230,0,MATCH(AE$2,Inputs!$K$4:$AJ$4,0)))+SUMPRODUCT((Inputs!$E$5:$E$230=$B19)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9" s="6" t="e">
        <f>IF(ISNA(MATCH(AF$2,Inputs!$K$4:$AJ$4,0)),NA(),IF(SUMPRODUCT((Inputs!$A$5:$A$230=$B19)*ISNUMBER(INDEX(Inputs!$K$5:$AJ$230,0,MATCH(AF$2,Inputs!$K$4:$AJ$4,0))))+SUMPRODUCT((Inputs!$C$5:$C$230=$B19)*ISNUMBER(INDEX(Inputs!$K$5:$AJ$230,0,MATCH(AF$2,Inputs!$K$4:$AJ$4,0))))+SUMPRODUCT((Inputs!$E$5:$E$230=$B19)*ISNUMBER(INDEX(Inputs!$K$5:$AJ$230,0,MATCH(AF$2,Inputs!$K$4:$AJ$4,0))))=0,NA(),SUMPRODUCT((Inputs!$A$5:$A$230=$B19)*Inputs!$B$5:$B$230*(((Inputs!$G$5:$G$230="moeda")+(Inputs!$G$5:$G$230="acoes"))*Inputs!$B$1+((Inputs!$G$5:$G$230&lt;&gt;"moeda")*(Inputs!$G$5:$G$230&lt;&gt;"acoes")))*INDEX(Inputs!$K$5:$AJ$230,0,MATCH(AF$2,Inputs!$K$4:$AJ$4,0)))+SUMPRODUCT((Inputs!$C$5:$C$230=$B19)*Inputs!$D$5:$D$230*(((Inputs!$G$5:$G$230="moeda")+(Inputs!$G$5:$G$230="acoes"))*Inputs!$B$1+((Inputs!$G$5:$G$230&lt;&gt;"moeda")*(Inputs!$G$5:$G$230&lt;&gt;"acoes")))*INDEX(Inputs!$K$5:$AJ$230,0,MATCH(AF$2,Inputs!$K$4:$AJ$4,0)))+SUMPRODUCT((Inputs!$E$5:$E$230=$B19)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9" s="3" t="e">
        <f>AF19</f>
        <v>#N/A</v>
      </c>
      <c r="AH19" s="6">
        <f>IF(ISNA(MATCH(AH$2,Inputs!$K$4:$AJ$4,0)),NA(),IF(SUMPRODUCT((Inputs!$A$5:$A$230=$B19)*ISNUMBER(INDEX(Inputs!$K$5:$AJ$230,0,MATCH(AH$2,Inputs!$K$4:$AJ$4,0))))+SUMPRODUCT((Inputs!$C$5:$C$230=$B19)*ISNUMBER(INDEX(Inputs!$K$5:$AJ$230,0,MATCH(AH$2,Inputs!$K$4:$AJ$4,0))))+SUMPRODUCT((Inputs!$E$5:$E$230=$B19)*ISNUMBER(INDEX(Inputs!$K$5:$AJ$230,0,MATCH(AH$2,Inputs!$K$4:$AJ$4,0))))=0,NA(),SUMPRODUCT((Inputs!$A$5:$A$230=$B19)*Inputs!$B$5:$B$230*(((Inputs!$G$5:$G$230="moeda")+(Inputs!$G$5:$G$230="acoes"))*Inputs!$B$1+((Inputs!$G$5:$G$230&lt;&gt;"moeda")*(Inputs!$G$5:$G$230&lt;&gt;"acoes")))*INDEX(Inputs!$K$5:$AJ$230,0,MATCH(AH$2,Inputs!$K$4:$AJ$4,0)))+SUMPRODUCT((Inputs!$C$5:$C$230=$B19)*Inputs!$D$5:$D$230*(((Inputs!$G$5:$G$230="moeda")+(Inputs!$G$5:$G$230="acoes"))*Inputs!$B$1+((Inputs!$G$5:$G$230&lt;&gt;"moeda")*(Inputs!$G$5:$G$230&lt;&gt;"acoes")))*INDEX(Inputs!$K$5:$AJ$230,0,MATCH(AH$2,Inputs!$K$4:$AJ$4,0)))+SUMPRODUCT((Inputs!$E$5:$E$230=$B19)*Inputs!$F$5:$F$230*(((Inputs!$G$5:$G$230="moeda")+(Inputs!$G$5:$G$230="acoes"))*Inputs!$B$1+((Inputs!$G$5:$G$230&lt;&gt;"moeda")*(Inputs!$G$5:$G$230&lt;&gt;"acoes")))*INDEX(Inputs!$K$5:$AJ$230,0,MATCH(AH$2,Inputs!$K$4:$AJ$4,0)))))</f>
        <v>3.616</v>
      </c>
      <c r="AI19" s="6">
        <f>IF(ISNA(MATCH(AI$2,Inputs!$K$4:$AJ$4,0)),NA(),IF(SUMPRODUCT((Inputs!$A$5:$A$230=$B19)*ISNUMBER(INDEX(Inputs!$K$5:$AJ$230,0,MATCH(AI$2,Inputs!$K$4:$AJ$4,0))))+SUMPRODUCT((Inputs!$C$5:$C$230=$B19)*ISNUMBER(INDEX(Inputs!$K$5:$AJ$230,0,MATCH(AI$2,Inputs!$K$4:$AJ$4,0))))+SUMPRODUCT((Inputs!$E$5:$E$230=$B19)*ISNUMBER(INDEX(Inputs!$K$5:$AJ$230,0,MATCH(AI$2,Inputs!$K$4:$AJ$4,0))))=0,NA(),SUMPRODUCT((Inputs!$A$5:$A$230=$B19)*Inputs!$B$5:$B$230*(((Inputs!$G$5:$G$230="moeda")+(Inputs!$G$5:$G$230="acoes"))*Inputs!$B$1+((Inputs!$G$5:$G$230&lt;&gt;"moeda")*(Inputs!$G$5:$G$230&lt;&gt;"acoes")))*INDEX(Inputs!$K$5:$AJ$230,0,MATCH(AI$2,Inputs!$K$4:$AJ$4,0)))+SUMPRODUCT((Inputs!$C$5:$C$230=$B19)*Inputs!$D$5:$D$230*(((Inputs!$G$5:$G$230="moeda")+(Inputs!$G$5:$G$230="acoes"))*Inputs!$B$1+((Inputs!$G$5:$G$230&lt;&gt;"moeda")*(Inputs!$G$5:$G$230&lt;&gt;"acoes")))*INDEX(Inputs!$K$5:$AJ$230,0,MATCH(AI$2,Inputs!$K$4:$AJ$4,0)))+SUMPRODUCT((Inputs!$E$5:$E$230=$B19)*Inputs!$F$5:$F$230*(((Inputs!$G$5:$G$230="moeda")+(Inputs!$G$5:$G$230="acoes"))*Inputs!$B$1+((Inputs!$G$5:$G$230&lt;&gt;"moeda")*(Inputs!$G$5:$G$230&lt;&gt;"acoes")))*INDEX(Inputs!$K$5:$AJ$230,0,MATCH(AI$2,Inputs!$K$4:$AJ$4,0)))))</f>
        <v>1.454</v>
      </c>
      <c r="AJ19" s="6">
        <f>IF(ISNA(MATCH(AJ$2,Inputs!$K$4:$AJ$4,0)),NA(),IF(SUMPRODUCT((Inputs!$A$5:$A$230=$B19)*ISNUMBER(INDEX(Inputs!$K$5:$AJ$230,0,MATCH(AJ$2,Inputs!$K$4:$AJ$4,0))))+SUMPRODUCT((Inputs!$C$5:$C$230=$B19)*ISNUMBER(INDEX(Inputs!$K$5:$AJ$230,0,MATCH(AJ$2,Inputs!$K$4:$AJ$4,0))))+SUMPRODUCT((Inputs!$E$5:$E$230=$B19)*ISNUMBER(INDEX(Inputs!$K$5:$AJ$230,0,MATCH(AJ$2,Inputs!$K$4:$AJ$4,0))))=0,NA(),SUMPRODUCT((Inputs!$A$5:$A$230=$B19)*Inputs!$B$5:$B$230*(((Inputs!$G$5:$G$230="moeda")+(Inputs!$G$5:$G$230="acoes"))*Inputs!$B$1+((Inputs!$G$5:$G$230&lt;&gt;"moeda")*(Inputs!$G$5:$G$230&lt;&gt;"acoes")))*INDEX(Inputs!$K$5:$AJ$230,0,MATCH(AJ$2,Inputs!$K$4:$AJ$4,0)))+SUMPRODUCT((Inputs!$C$5:$C$230=$B19)*Inputs!$D$5:$D$230*(((Inputs!$G$5:$G$230="moeda")+(Inputs!$G$5:$G$230="acoes"))*Inputs!$B$1+((Inputs!$G$5:$G$230&lt;&gt;"moeda")*(Inputs!$G$5:$G$230&lt;&gt;"acoes")))*INDEX(Inputs!$K$5:$AJ$230,0,MATCH(AJ$2,Inputs!$K$4:$AJ$4,0)))+SUMPRODUCT((Inputs!$E$5:$E$230=$B19)*Inputs!$F$5:$F$230*(((Inputs!$G$5:$G$230="moeda")+(Inputs!$G$5:$G$230="acoes"))*Inputs!$B$1+((Inputs!$G$5:$G$230&lt;&gt;"moeda")*(Inputs!$G$5:$G$230&lt;&gt;"acoes")))*INDEX(Inputs!$K$5:$AJ$230,0,MATCH(AJ$2,Inputs!$K$4:$AJ$4,0)))))</f>
        <v>6.391</v>
      </c>
      <c r="AK19" s="6">
        <f>IF(ISNA(MATCH(AK$2,Inputs!$K$4:$AJ$4,0)),NA(),IF(SUMPRODUCT((Inputs!$A$5:$A$230=$B19)*ISNUMBER(INDEX(Inputs!$K$5:$AJ$230,0,MATCH(AK$2,Inputs!$K$4:$AJ$4,0))))+SUMPRODUCT((Inputs!$C$5:$C$230=$B19)*ISNUMBER(INDEX(Inputs!$K$5:$AJ$230,0,MATCH(AK$2,Inputs!$K$4:$AJ$4,0))))+SUMPRODUCT((Inputs!$E$5:$E$230=$B19)*ISNUMBER(INDEX(Inputs!$K$5:$AJ$230,0,MATCH(AK$2,Inputs!$K$4:$AJ$4,0))))=0,NA(),SUMPRODUCT((Inputs!$A$5:$A$230=$B19)*Inputs!$B$5:$B$230*(((Inputs!$G$5:$G$230="moeda")+(Inputs!$G$5:$G$230="acoes"))*Inputs!$B$1+((Inputs!$G$5:$G$230&lt;&gt;"moeda")*(Inputs!$G$5:$G$230&lt;&gt;"acoes")))*INDEX(Inputs!$K$5:$AJ$230,0,MATCH(AK$2,Inputs!$K$4:$AJ$4,0)))+SUMPRODUCT((Inputs!$C$5:$C$230=$B19)*Inputs!$D$5:$D$230*(((Inputs!$G$5:$G$230="moeda")+(Inputs!$G$5:$G$230="acoes"))*Inputs!$B$1+((Inputs!$G$5:$G$230&lt;&gt;"moeda")*(Inputs!$G$5:$G$230&lt;&gt;"acoes")))*INDEX(Inputs!$K$5:$AJ$230,0,MATCH(AK$2,Inputs!$K$4:$AJ$4,0)))+SUMPRODUCT((Inputs!$E$5:$E$230=$B19)*Inputs!$F$5:$F$230*(((Inputs!$G$5:$G$230="moeda")+(Inputs!$G$5:$G$230="acoes"))*Inputs!$B$1+((Inputs!$G$5:$G$230&lt;&gt;"moeda")*(Inputs!$G$5:$G$230&lt;&gt;"acoes")))*INDEX(Inputs!$K$5:$AJ$230,0,MATCH(AK$2,Inputs!$K$4:$AJ$4,0)))))</f>
        <v>5.828</v>
      </c>
      <c r="AL19" s="3">
        <f>AK19</f>
        <v>5.828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$230=$B20)*ISNUMBER(INDEX(Inputs!$K$5:$AJ$230,0,MATCH(D$2,Inputs!$K$4:$AJ$4,0))))+SUMPRODUCT((Inputs!$C$5:$C$230=$B20)*ISNUMBER(INDEX(Inputs!$K$5:$AJ$230,0,MATCH(D$2,Inputs!$K$4:$AJ$4,0))))+SUMPRODUCT((Inputs!$E$5:$E$230=$B20)*ISNUMBER(INDEX(Inputs!$K$5:$AJ$230,0,MATCH(D$2,Inputs!$K$4:$AJ$4,0))))=0,NA(),SUMPRODUCT((Inputs!$A$5:$A$230=$B20)*Inputs!$B$5:$B$230*(((Inputs!$G$5:$G$230="moeda")+(Inputs!$G$5:$G$230="acoes"))*Inputs!$B$1+((Inputs!$G$5:$G$230&lt;&gt;"moeda")*(Inputs!$G$5:$G$230&lt;&gt;"acoes")))*INDEX(Inputs!$K$5:$AJ$230,0,MATCH(D$2,Inputs!$K$4:$AJ$4,0)))+SUMPRODUCT((Inputs!$C$5:$C$230=$B20)*Inputs!$D$5:$D$230*(((Inputs!$G$5:$G$230="moeda")+(Inputs!$G$5:$G$230="acoes"))*Inputs!$B$1+((Inputs!$G$5:$G$230&lt;&gt;"moeda")*(Inputs!$G$5:$G$230&lt;&gt;"acoes")))*INDEX(Inputs!$K$5:$AJ$230,0,MATCH(D$2,Inputs!$K$4:$AJ$4,0)))+SUMPRODUCT((Inputs!$E$5:$E$230=$B20)*Inputs!$F$5:$F$230*(((Inputs!$G$5:$G$230="moeda")+(Inputs!$G$5:$G$230="acoes"))*Inputs!$B$1+((Inputs!$G$5:$G$230&lt;&gt;"moeda")*(Inputs!$G$5:$G$230&lt;&gt;"acoes")))*INDEX(Inputs!$K$5:$AJ$230,0,MATCH(D$2,Inputs!$K$4:$AJ$4,0)))))</f>
        <v>1781.288</v>
      </c>
      <c r="E20" s="6">
        <f>IF(ISNA(MATCH(E$2,Inputs!$K$4:$AJ$4,0)),NA(),IF(SUMPRODUCT((Inputs!$A$5:$A$230=$B20)*ISNUMBER(INDEX(Inputs!$K$5:$AJ$230,0,MATCH(E$2,Inputs!$K$4:$AJ$4,0))))+SUMPRODUCT((Inputs!$C$5:$C$230=$B20)*ISNUMBER(INDEX(Inputs!$K$5:$AJ$230,0,MATCH(E$2,Inputs!$K$4:$AJ$4,0))))+SUMPRODUCT((Inputs!$E$5:$E$230=$B20)*ISNUMBER(INDEX(Inputs!$K$5:$AJ$230,0,MATCH(E$2,Inputs!$K$4:$AJ$4,0))))=0,NA(),SUMPRODUCT((Inputs!$A$5:$A$230=$B20)*Inputs!$B$5:$B$230*(((Inputs!$G$5:$G$230="moeda")+(Inputs!$G$5:$G$230="acoes"))*Inputs!$B$1+((Inputs!$G$5:$G$230&lt;&gt;"moeda")*(Inputs!$G$5:$G$230&lt;&gt;"acoes")))*INDEX(Inputs!$K$5:$AJ$230,0,MATCH(E$2,Inputs!$K$4:$AJ$4,0)))+SUMPRODUCT((Inputs!$C$5:$C$230=$B20)*Inputs!$D$5:$D$230*(((Inputs!$G$5:$G$230="moeda")+(Inputs!$G$5:$G$230="acoes"))*Inputs!$B$1+((Inputs!$G$5:$G$230&lt;&gt;"moeda")*(Inputs!$G$5:$G$230&lt;&gt;"acoes")))*INDEX(Inputs!$K$5:$AJ$230,0,MATCH(E$2,Inputs!$K$4:$AJ$4,0)))+SUMPRODUCT((Inputs!$E$5:$E$230=$B20)*Inputs!$F$5:$F$230*(((Inputs!$G$5:$G$230="moeda")+(Inputs!$G$5:$G$230="acoes"))*Inputs!$B$1+((Inputs!$G$5:$G$230&lt;&gt;"moeda")*(Inputs!$G$5:$G$230&lt;&gt;"acoes")))*INDEX(Inputs!$K$5:$AJ$230,0,MATCH(E$2,Inputs!$K$4:$AJ$4,0)))))</f>
        <v>1857.665</v>
      </c>
      <c r="F20" s="6">
        <f>IF(ISNA(MATCH(F$2,Inputs!$K$4:$AJ$4,0)),NA(),IF(SUMPRODUCT((Inputs!$A$5:$A$230=$B20)*ISNUMBER(INDEX(Inputs!$K$5:$AJ$230,0,MATCH(F$2,Inputs!$K$4:$AJ$4,0))))+SUMPRODUCT((Inputs!$C$5:$C$230=$B20)*ISNUMBER(INDEX(Inputs!$K$5:$AJ$230,0,MATCH(F$2,Inputs!$K$4:$AJ$4,0))))+SUMPRODUCT((Inputs!$E$5:$E$230=$B20)*ISNUMBER(INDEX(Inputs!$K$5:$AJ$230,0,MATCH(F$2,Inputs!$K$4:$AJ$4,0))))=0,NA(),SUMPRODUCT((Inputs!$A$5:$A$230=$B20)*Inputs!$B$5:$B$230*(((Inputs!$G$5:$G$230="moeda")+(Inputs!$G$5:$G$230="acoes"))*Inputs!$B$1+((Inputs!$G$5:$G$230&lt;&gt;"moeda")*(Inputs!$G$5:$G$230&lt;&gt;"acoes")))*INDEX(Inputs!$K$5:$AJ$230,0,MATCH(F$2,Inputs!$K$4:$AJ$4,0)))+SUMPRODUCT((Inputs!$C$5:$C$230=$B20)*Inputs!$D$5:$D$230*(((Inputs!$G$5:$G$230="moeda")+(Inputs!$G$5:$G$230="acoes"))*Inputs!$B$1+((Inputs!$G$5:$G$230&lt;&gt;"moeda")*(Inputs!$G$5:$G$230&lt;&gt;"acoes")))*INDEX(Inputs!$K$5:$AJ$230,0,MATCH(F$2,Inputs!$K$4:$AJ$4,0)))+SUMPRODUCT((Inputs!$E$5:$E$230=$B20)*Inputs!$F$5:$F$230*(((Inputs!$G$5:$G$230="moeda")+(Inputs!$G$5:$G$230="acoes"))*Inputs!$B$1+((Inputs!$G$5:$G$230&lt;&gt;"moeda")*(Inputs!$G$5:$G$230&lt;&gt;"acoes")))*INDEX(Inputs!$K$5:$AJ$230,0,MATCH(F$2,Inputs!$K$4:$AJ$4,0)))))</f>
        <v>1882.265</v>
      </c>
      <c r="G20" s="6">
        <f>IF(ISNA(MATCH(G$2,Inputs!$K$4:$AJ$4,0)),NA(),IF(SUMPRODUCT((Inputs!$A$5:$A$230=$B20)*ISNUMBER(INDEX(Inputs!$K$5:$AJ$230,0,MATCH(G$2,Inputs!$K$4:$AJ$4,0))))+SUMPRODUCT((Inputs!$C$5:$C$230=$B20)*ISNUMBER(INDEX(Inputs!$K$5:$AJ$230,0,MATCH(G$2,Inputs!$K$4:$AJ$4,0))))+SUMPRODUCT((Inputs!$E$5:$E$230=$B20)*ISNUMBER(INDEX(Inputs!$K$5:$AJ$230,0,MATCH(G$2,Inputs!$K$4:$AJ$4,0))))=0,NA(),SUMPRODUCT((Inputs!$A$5:$A$230=$B20)*Inputs!$B$5:$B$230*(((Inputs!$G$5:$G$230="moeda")+(Inputs!$G$5:$G$230="acoes"))*Inputs!$B$1+((Inputs!$G$5:$G$230&lt;&gt;"moeda")*(Inputs!$G$5:$G$230&lt;&gt;"acoes")))*INDEX(Inputs!$K$5:$AJ$230,0,MATCH(G$2,Inputs!$K$4:$AJ$4,0)))+SUMPRODUCT((Inputs!$C$5:$C$230=$B20)*Inputs!$D$5:$D$230*(((Inputs!$G$5:$G$230="moeda")+(Inputs!$G$5:$G$230="acoes"))*Inputs!$B$1+((Inputs!$G$5:$G$230&lt;&gt;"moeda")*(Inputs!$G$5:$G$230&lt;&gt;"acoes")))*INDEX(Inputs!$K$5:$AJ$230,0,MATCH(G$2,Inputs!$K$4:$AJ$4,0)))+SUMPRODUCT((Inputs!$E$5:$E$230=$B20)*Inputs!$F$5:$F$230*(((Inputs!$G$5:$G$230="moeda")+(Inputs!$G$5:$G$230="acoes"))*Inputs!$B$1+((Inputs!$G$5:$G$230&lt;&gt;"moeda")*(Inputs!$G$5:$G$230&lt;&gt;"acoes")))*INDEX(Inputs!$K$5:$AJ$230,0,MATCH(G$2,Inputs!$K$4:$AJ$4,0)))))</f>
        <v>2060.89</v>
      </c>
      <c r="H20" s="3">
        <f>G20</f>
        <v>2060.89</v>
      </c>
      <c r="I20" s="6">
        <f>IF(ISNA(MATCH(I$2,Inputs!$K$4:$AJ$4,0)),NA(),IF(SUMPRODUCT((Inputs!$A$5:$A$230=$B20)*ISNUMBER(INDEX(Inputs!$K$5:$AJ$230,0,MATCH(I$2,Inputs!$K$4:$AJ$4,0))))+SUMPRODUCT((Inputs!$C$5:$C$230=$B20)*ISNUMBER(INDEX(Inputs!$K$5:$AJ$230,0,MATCH(I$2,Inputs!$K$4:$AJ$4,0))))+SUMPRODUCT((Inputs!$E$5:$E$230=$B20)*ISNUMBER(INDEX(Inputs!$K$5:$AJ$230,0,MATCH(I$2,Inputs!$K$4:$AJ$4,0))))=0,NA(),SUMPRODUCT((Inputs!$A$5:$A$230=$B20)*Inputs!$B$5:$B$230*(((Inputs!$G$5:$G$230="moeda")+(Inputs!$G$5:$G$230="acoes"))*Inputs!$B$1+((Inputs!$G$5:$G$230&lt;&gt;"moeda")*(Inputs!$G$5:$G$230&lt;&gt;"acoes")))*INDEX(Inputs!$K$5:$AJ$230,0,MATCH(I$2,Inputs!$K$4:$AJ$4,0)))+SUMPRODUCT((Inputs!$C$5:$C$230=$B20)*Inputs!$D$5:$D$230*(((Inputs!$G$5:$G$230="moeda")+(Inputs!$G$5:$G$230="acoes"))*Inputs!$B$1+((Inputs!$G$5:$G$230&lt;&gt;"moeda")*(Inputs!$G$5:$G$230&lt;&gt;"acoes")))*INDEX(Inputs!$K$5:$AJ$230,0,MATCH(I$2,Inputs!$K$4:$AJ$4,0)))+SUMPRODUCT((Inputs!$E$5:$E$230=$B20)*Inputs!$F$5:$F$230*(((Inputs!$G$5:$G$230="moeda")+(Inputs!$G$5:$G$230="acoes"))*Inputs!$B$1+((Inputs!$G$5:$G$230&lt;&gt;"moeda")*(Inputs!$G$5:$G$230&lt;&gt;"acoes")))*INDEX(Inputs!$K$5:$AJ$230,0,MATCH(I$2,Inputs!$K$4:$AJ$4,0)))))</f>
        <v>2121.591</v>
      </c>
      <c r="J20" s="6">
        <f>IF(ISNA(MATCH(J$2,Inputs!$K$4:$AJ$4,0)),NA(),IF(SUMPRODUCT((Inputs!$A$5:$A$230=$B20)*ISNUMBER(INDEX(Inputs!$K$5:$AJ$230,0,MATCH(J$2,Inputs!$K$4:$AJ$4,0))))+SUMPRODUCT((Inputs!$C$5:$C$230=$B20)*ISNUMBER(INDEX(Inputs!$K$5:$AJ$230,0,MATCH(J$2,Inputs!$K$4:$AJ$4,0))))+SUMPRODUCT((Inputs!$E$5:$E$230=$B20)*ISNUMBER(INDEX(Inputs!$K$5:$AJ$230,0,MATCH(J$2,Inputs!$K$4:$AJ$4,0))))=0,NA(),SUMPRODUCT((Inputs!$A$5:$A$230=$B20)*Inputs!$B$5:$B$230*(((Inputs!$G$5:$G$230="moeda")+(Inputs!$G$5:$G$230="acoes"))*Inputs!$B$1+((Inputs!$G$5:$G$230&lt;&gt;"moeda")*(Inputs!$G$5:$G$230&lt;&gt;"acoes")))*INDEX(Inputs!$K$5:$AJ$230,0,MATCH(J$2,Inputs!$K$4:$AJ$4,0)))+SUMPRODUCT((Inputs!$C$5:$C$230=$B20)*Inputs!$D$5:$D$230*(((Inputs!$G$5:$G$230="moeda")+(Inputs!$G$5:$G$230="acoes"))*Inputs!$B$1+((Inputs!$G$5:$G$230&lt;&gt;"moeda")*(Inputs!$G$5:$G$230&lt;&gt;"acoes")))*INDEX(Inputs!$K$5:$AJ$230,0,MATCH(J$2,Inputs!$K$4:$AJ$4,0)))+SUMPRODUCT((Inputs!$E$5:$E$230=$B20)*Inputs!$F$5:$F$230*(((Inputs!$G$5:$G$230="moeda")+(Inputs!$G$5:$G$230="acoes"))*Inputs!$B$1+((Inputs!$G$5:$G$230&lt;&gt;"moeda")*(Inputs!$G$5:$G$230&lt;&gt;"acoes")))*INDEX(Inputs!$K$5:$AJ$230,0,MATCH(J$2,Inputs!$K$4:$AJ$4,0)))))</f>
        <v>2203.378</v>
      </c>
      <c r="K20" s="6">
        <f>IF(ISNA(MATCH(K$2,Inputs!$K$4:$AJ$4,0)),NA(),IF(SUMPRODUCT((Inputs!$A$5:$A$230=$B20)*ISNUMBER(INDEX(Inputs!$K$5:$AJ$230,0,MATCH(K$2,Inputs!$K$4:$AJ$4,0))))+SUMPRODUCT((Inputs!$C$5:$C$230=$B20)*ISNUMBER(INDEX(Inputs!$K$5:$AJ$230,0,MATCH(K$2,Inputs!$K$4:$AJ$4,0))))+SUMPRODUCT((Inputs!$E$5:$E$230=$B20)*ISNUMBER(INDEX(Inputs!$K$5:$AJ$230,0,MATCH(K$2,Inputs!$K$4:$AJ$4,0))))=0,NA(),SUMPRODUCT((Inputs!$A$5:$A$230=$B20)*Inputs!$B$5:$B$230*(((Inputs!$G$5:$G$230="moeda")+(Inputs!$G$5:$G$230="acoes"))*Inputs!$B$1+((Inputs!$G$5:$G$230&lt;&gt;"moeda")*(Inputs!$G$5:$G$230&lt;&gt;"acoes")))*INDEX(Inputs!$K$5:$AJ$230,0,MATCH(K$2,Inputs!$K$4:$AJ$4,0)))+SUMPRODUCT((Inputs!$C$5:$C$230=$B20)*Inputs!$D$5:$D$230*(((Inputs!$G$5:$G$230="moeda")+(Inputs!$G$5:$G$230="acoes"))*Inputs!$B$1+((Inputs!$G$5:$G$230&lt;&gt;"moeda")*(Inputs!$G$5:$G$230&lt;&gt;"acoes")))*INDEX(Inputs!$K$5:$AJ$230,0,MATCH(K$2,Inputs!$K$4:$AJ$4,0)))+SUMPRODUCT((Inputs!$E$5:$E$230=$B20)*Inputs!$F$5:$F$230*(((Inputs!$G$5:$G$230="moeda")+(Inputs!$G$5:$G$230="acoes"))*Inputs!$B$1+((Inputs!$G$5:$G$230&lt;&gt;"moeda")*(Inputs!$G$5:$G$230&lt;&gt;"acoes")))*INDEX(Inputs!$K$5:$AJ$230,0,MATCH(K$2,Inputs!$K$4:$AJ$4,0)))))</f>
        <v>2164.519</v>
      </c>
      <c r="L20" s="6">
        <f>IF(ISNA(MATCH(L$2,Inputs!$K$4:$AJ$4,0)),NA(),IF(SUMPRODUCT((Inputs!$A$5:$A$230=$B20)*ISNUMBER(INDEX(Inputs!$K$5:$AJ$230,0,MATCH(L$2,Inputs!$K$4:$AJ$4,0))))+SUMPRODUCT((Inputs!$C$5:$C$230=$B20)*ISNUMBER(INDEX(Inputs!$K$5:$AJ$230,0,MATCH(L$2,Inputs!$K$4:$AJ$4,0))))+SUMPRODUCT((Inputs!$E$5:$E$230=$B20)*ISNUMBER(INDEX(Inputs!$K$5:$AJ$230,0,MATCH(L$2,Inputs!$K$4:$AJ$4,0))))=0,NA(),SUMPRODUCT((Inputs!$A$5:$A$230=$B20)*Inputs!$B$5:$B$230*(((Inputs!$G$5:$G$230="moeda")+(Inputs!$G$5:$G$230="acoes"))*Inputs!$B$1+((Inputs!$G$5:$G$230&lt;&gt;"moeda")*(Inputs!$G$5:$G$230&lt;&gt;"acoes")))*INDEX(Inputs!$K$5:$AJ$230,0,MATCH(L$2,Inputs!$K$4:$AJ$4,0)))+SUMPRODUCT((Inputs!$C$5:$C$230=$B20)*Inputs!$D$5:$D$230*(((Inputs!$G$5:$G$230="moeda")+(Inputs!$G$5:$G$230="acoes"))*Inputs!$B$1+((Inputs!$G$5:$G$230&lt;&gt;"moeda")*(Inputs!$G$5:$G$230&lt;&gt;"acoes")))*INDEX(Inputs!$K$5:$AJ$230,0,MATCH(L$2,Inputs!$K$4:$AJ$4,0)))+SUMPRODUCT((Inputs!$E$5:$E$230=$B20)*Inputs!$F$5:$F$230*(((Inputs!$G$5:$G$230="moeda")+(Inputs!$G$5:$G$230="acoes"))*Inputs!$B$1+((Inputs!$G$5:$G$230&lt;&gt;"moeda")*(Inputs!$G$5:$G$230&lt;&gt;"acoes")))*INDEX(Inputs!$K$5:$AJ$230,0,MATCH(L$2,Inputs!$K$4:$AJ$4,0)))))</f>
        <v>2213.971</v>
      </c>
      <c r="M20" s="3">
        <f>L20</f>
        <v>2213.971</v>
      </c>
      <c r="N20" s="6">
        <f>IF(ISNA(MATCH(N$2,Inputs!$K$4:$AJ$4,0)),NA(),IF(SUMPRODUCT((Inputs!$A$5:$A$230=$B20)*ISNUMBER(INDEX(Inputs!$K$5:$AJ$230,0,MATCH(N$2,Inputs!$K$4:$AJ$4,0))))+SUMPRODUCT((Inputs!$C$5:$C$230=$B20)*ISNUMBER(INDEX(Inputs!$K$5:$AJ$230,0,MATCH(N$2,Inputs!$K$4:$AJ$4,0))))+SUMPRODUCT((Inputs!$E$5:$E$230=$B20)*ISNUMBER(INDEX(Inputs!$K$5:$AJ$230,0,MATCH(N$2,Inputs!$K$4:$AJ$4,0))))=0,NA(),SUMPRODUCT((Inputs!$A$5:$A$230=$B20)*Inputs!$B$5:$B$230*(((Inputs!$G$5:$G$230="moeda")+(Inputs!$G$5:$G$230="acoes"))*Inputs!$B$1+((Inputs!$G$5:$G$230&lt;&gt;"moeda")*(Inputs!$G$5:$G$230&lt;&gt;"acoes")))*INDEX(Inputs!$K$5:$AJ$230,0,MATCH(N$2,Inputs!$K$4:$AJ$4,0)))+SUMPRODUCT((Inputs!$C$5:$C$230=$B20)*Inputs!$D$5:$D$230*(((Inputs!$G$5:$G$230="moeda")+(Inputs!$G$5:$G$230="acoes"))*Inputs!$B$1+((Inputs!$G$5:$G$230&lt;&gt;"moeda")*(Inputs!$G$5:$G$230&lt;&gt;"acoes")))*INDEX(Inputs!$K$5:$AJ$230,0,MATCH(N$2,Inputs!$K$4:$AJ$4,0)))+SUMPRODUCT((Inputs!$E$5:$E$230=$B20)*Inputs!$F$5:$F$230*(((Inputs!$G$5:$G$230="moeda")+(Inputs!$G$5:$G$230="acoes"))*Inputs!$B$1+((Inputs!$G$5:$G$230&lt;&gt;"moeda")*(Inputs!$G$5:$G$230&lt;&gt;"acoes")))*INDEX(Inputs!$K$5:$AJ$230,0,MATCH(N$2,Inputs!$K$4:$AJ$4,0)))))</f>
        <v>2263.795</v>
      </c>
      <c r="O20" s="6">
        <f>IF(ISNA(MATCH(O$2,Inputs!$K$4:$AJ$4,0)),NA(),IF(SUMPRODUCT((Inputs!$A$5:$A$230=$B20)*ISNUMBER(INDEX(Inputs!$K$5:$AJ$230,0,MATCH(O$2,Inputs!$K$4:$AJ$4,0))))+SUMPRODUCT((Inputs!$C$5:$C$230=$B20)*ISNUMBER(INDEX(Inputs!$K$5:$AJ$230,0,MATCH(O$2,Inputs!$K$4:$AJ$4,0))))+SUMPRODUCT((Inputs!$E$5:$E$230=$B20)*ISNUMBER(INDEX(Inputs!$K$5:$AJ$230,0,MATCH(O$2,Inputs!$K$4:$AJ$4,0))))=0,NA(),SUMPRODUCT((Inputs!$A$5:$A$230=$B20)*Inputs!$B$5:$B$230*(((Inputs!$G$5:$G$230="moeda")+(Inputs!$G$5:$G$230="acoes"))*Inputs!$B$1+((Inputs!$G$5:$G$230&lt;&gt;"moeda")*(Inputs!$G$5:$G$230&lt;&gt;"acoes")))*INDEX(Inputs!$K$5:$AJ$230,0,MATCH(O$2,Inputs!$K$4:$AJ$4,0)))+SUMPRODUCT((Inputs!$C$5:$C$230=$B20)*Inputs!$D$5:$D$230*(((Inputs!$G$5:$G$230="moeda")+(Inputs!$G$5:$G$230="acoes"))*Inputs!$B$1+((Inputs!$G$5:$G$230&lt;&gt;"moeda")*(Inputs!$G$5:$G$230&lt;&gt;"acoes")))*INDEX(Inputs!$K$5:$AJ$230,0,MATCH(O$2,Inputs!$K$4:$AJ$4,0)))+SUMPRODUCT((Inputs!$E$5:$E$230=$B20)*Inputs!$F$5:$F$230*(((Inputs!$G$5:$G$230="moeda")+(Inputs!$G$5:$G$230="acoes"))*Inputs!$B$1+((Inputs!$G$5:$G$230&lt;&gt;"moeda")*(Inputs!$G$5:$G$230&lt;&gt;"acoes")))*INDEX(Inputs!$K$5:$AJ$230,0,MATCH(O$2,Inputs!$K$4:$AJ$4,0)))))</f>
        <v>2322.041</v>
      </c>
      <c r="P20" s="6">
        <f>IF(ISNA(MATCH(P$2,Inputs!$K$4:$AJ$4,0)),NA(),IF(SUMPRODUCT((Inputs!$A$5:$A$230=$B20)*ISNUMBER(INDEX(Inputs!$K$5:$AJ$230,0,MATCH(P$2,Inputs!$K$4:$AJ$4,0))))+SUMPRODUCT((Inputs!$C$5:$C$230=$B20)*ISNUMBER(INDEX(Inputs!$K$5:$AJ$230,0,MATCH(P$2,Inputs!$K$4:$AJ$4,0))))+SUMPRODUCT((Inputs!$E$5:$E$230=$B20)*ISNUMBER(INDEX(Inputs!$K$5:$AJ$230,0,MATCH(P$2,Inputs!$K$4:$AJ$4,0))))=0,NA(),SUMPRODUCT((Inputs!$A$5:$A$230=$B20)*Inputs!$B$5:$B$230*(((Inputs!$G$5:$G$230="moeda")+(Inputs!$G$5:$G$230="acoes"))*Inputs!$B$1+((Inputs!$G$5:$G$230&lt;&gt;"moeda")*(Inputs!$G$5:$G$230&lt;&gt;"acoes")))*INDEX(Inputs!$K$5:$AJ$230,0,MATCH(P$2,Inputs!$K$4:$AJ$4,0)))+SUMPRODUCT((Inputs!$C$5:$C$230=$B20)*Inputs!$D$5:$D$230*(((Inputs!$G$5:$G$230="moeda")+(Inputs!$G$5:$G$230="acoes"))*Inputs!$B$1+((Inputs!$G$5:$G$230&lt;&gt;"moeda")*(Inputs!$G$5:$G$230&lt;&gt;"acoes")))*INDEX(Inputs!$K$5:$AJ$230,0,MATCH(P$2,Inputs!$K$4:$AJ$4,0)))+SUMPRODUCT((Inputs!$E$5:$E$230=$B20)*Inputs!$F$5:$F$230*(((Inputs!$G$5:$G$230="moeda")+(Inputs!$G$5:$G$230="acoes"))*Inputs!$B$1+((Inputs!$G$5:$G$230&lt;&gt;"moeda")*(Inputs!$G$5:$G$230&lt;&gt;"acoes")))*INDEX(Inputs!$K$5:$AJ$230,0,MATCH(P$2,Inputs!$K$4:$AJ$4,0)))))</f>
        <v>2300.812</v>
      </c>
      <c r="Q20" s="6">
        <f>IF(ISNA(MATCH(Q$2,Inputs!$K$4:$AJ$4,0)),NA(),IF(SUMPRODUCT((Inputs!$A$5:$A$230=$B20)*ISNUMBER(INDEX(Inputs!$K$5:$AJ$230,0,MATCH(Q$2,Inputs!$K$4:$AJ$4,0))))+SUMPRODUCT((Inputs!$C$5:$C$230=$B20)*ISNUMBER(INDEX(Inputs!$K$5:$AJ$230,0,MATCH(Q$2,Inputs!$K$4:$AJ$4,0))))+SUMPRODUCT((Inputs!$E$5:$E$230=$B20)*ISNUMBER(INDEX(Inputs!$K$5:$AJ$230,0,MATCH(Q$2,Inputs!$K$4:$AJ$4,0))))=0,NA(),SUMPRODUCT((Inputs!$A$5:$A$230=$B20)*Inputs!$B$5:$B$230*(((Inputs!$G$5:$G$230="moeda")+(Inputs!$G$5:$G$230="acoes"))*Inputs!$B$1+((Inputs!$G$5:$G$230&lt;&gt;"moeda")*(Inputs!$G$5:$G$230&lt;&gt;"acoes")))*INDEX(Inputs!$K$5:$AJ$230,0,MATCH(Q$2,Inputs!$K$4:$AJ$4,0)))+SUMPRODUCT((Inputs!$C$5:$C$230=$B20)*Inputs!$D$5:$D$230*(((Inputs!$G$5:$G$230="moeda")+(Inputs!$G$5:$G$230="acoes"))*Inputs!$B$1+((Inputs!$G$5:$G$230&lt;&gt;"moeda")*(Inputs!$G$5:$G$230&lt;&gt;"acoes")))*INDEX(Inputs!$K$5:$AJ$230,0,MATCH(Q$2,Inputs!$K$4:$AJ$4,0)))+SUMPRODUCT((Inputs!$E$5:$E$230=$B20)*Inputs!$F$5:$F$230*(((Inputs!$G$5:$G$230="moeda")+(Inputs!$G$5:$G$230="acoes"))*Inputs!$B$1+((Inputs!$G$5:$G$230&lt;&gt;"moeda")*(Inputs!$G$5:$G$230&lt;&gt;"acoes")))*INDEX(Inputs!$K$5:$AJ$230,0,MATCH(Q$2,Inputs!$K$4:$AJ$4,0)))))</f>
        <v>2276.969</v>
      </c>
      <c r="R20" s="3">
        <f>Q20</f>
        <v>2276.969</v>
      </c>
      <c r="S20" s="6">
        <f>IF(ISNA(MATCH(S$2,Inputs!$K$4:$AJ$4,0)),NA(),IF(SUMPRODUCT((Inputs!$A$5:$A$230=$B20)*ISNUMBER(INDEX(Inputs!$K$5:$AJ$230,0,MATCH(S$2,Inputs!$K$4:$AJ$4,0))))+SUMPRODUCT((Inputs!$C$5:$C$230=$B20)*ISNUMBER(INDEX(Inputs!$K$5:$AJ$230,0,MATCH(S$2,Inputs!$K$4:$AJ$4,0))))+SUMPRODUCT((Inputs!$E$5:$E$230=$B20)*ISNUMBER(INDEX(Inputs!$K$5:$AJ$230,0,MATCH(S$2,Inputs!$K$4:$AJ$4,0))))=0,NA(),SUMPRODUCT((Inputs!$A$5:$A$230=$B20)*Inputs!$B$5:$B$230*(((Inputs!$G$5:$G$230="moeda")+(Inputs!$G$5:$G$230="acoes"))*Inputs!$B$1+((Inputs!$G$5:$G$230&lt;&gt;"moeda")*(Inputs!$G$5:$G$230&lt;&gt;"acoes")))*INDEX(Inputs!$K$5:$AJ$230,0,MATCH(S$2,Inputs!$K$4:$AJ$4,0)))+SUMPRODUCT((Inputs!$C$5:$C$230=$B20)*Inputs!$D$5:$D$230*(((Inputs!$G$5:$G$230="moeda")+(Inputs!$G$5:$G$230="acoes"))*Inputs!$B$1+((Inputs!$G$5:$G$230&lt;&gt;"moeda")*(Inputs!$G$5:$G$230&lt;&gt;"acoes")))*INDEX(Inputs!$K$5:$AJ$230,0,MATCH(S$2,Inputs!$K$4:$AJ$4,0)))+SUMPRODUCT((Inputs!$E$5:$E$230=$B20)*Inputs!$F$5:$F$230*(((Inputs!$G$5:$G$230="moeda")+(Inputs!$G$5:$G$230="acoes"))*Inputs!$B$1+((Inputs!$G$5:$G$230&lt;&gt;"moeda")*(Inputs!$G$5:$G$230&lt;&gt;"acoes")))*INDEX(Inputs!$K$5:$AJ$230,0,MATCH(S$2,Inputs!$K$4:$AJ$4,0)))))</f>
        <v>2318.041</v>
      </c>
      <c r="T20" s="6">
        <f>IF(ISNA(MATCH(T$2,Inputs!$K$4:$AJ$4,0)),NA(),IF(SUMPRODUCT((Inputs!$A$5:$A$230=$B20)*ISNUMBER(INDEX(Inputs!$K$5:$AJ$230,0,MATCH(T$2,Inputs!$K$4:$AJ$4,0))))+SUMPRODUCT((Inputs!$C$5:$C$230=$B20)*ISNUMBER(INDEX(Inputs!$K$5:$AJ$230,0,MATCH(T$2,Inputs!$K$4:$AJ$4,0))))+SUMPRODUCT((Inputs!$E$5:$E$230=$B20)*ISNUMBER(INDEX(Inputs!$K$5:$AJ$230,0,MATCH(T$2,Inputs!$K$4:$AJ$4,0))))=0,NA(),SUMPRODUCT((Inputs!$A$5:$A$230=$B20)*Inputs!$B$5:$B$230*(((Inputs!$G$5:$G$230="moeda")+(Inputs!$G$5:$G$230="acoes"))*Inputs!$B$1+((Inputs!$G$5:$G$230&lt;&gt;"moeda")*(Inputs!$G$5:$G$230&lt;&gt;"acoes")))*INDEX(Inputs!$K$5:$AJ$230,0,MATCH(T$2,Inputs!$K$4:$AJ$4,0)))+SUMPRODUCT((Inputs!$C$5:$C$230=$B20)*Inputs!$D$5:$D$230*(((Inputs!$G$5:$G$230="moeda")+(Inputs!$G$5:$G$230="acoes"))*Inputs!$B$1+((Inputs!$G$5:$G$230&lt;&gt;"moeda")*(Inputs!$G$5:$G$230&lt;&gt;"acoes")))*INDEX(Inputs!$K$5:$AJ$230,0,MATCH(T$2,Inputs!$K$4:$AJ$4,0)))+SUMPRODUCT((Inputs!$E$5:$E$230=$B20)*Inputs!$F$5:$F$230*(((Inputs!$G$5:$G$230="moeda")+(Inputs!$G$5:$G$230="acoes"))*Inputs!$B$1+((Inputs!$G$5:$G$230&lt;&gt;"moeda")*(Inputs!$G$5:$G$230&lt;&gt;"acoes")))*INDEX(Inputs!$K$5:$AJ$230,0,MATCH(T$2,Inputs!$K$4:$AJ$4,0)))))</f>
        <v>2353.538</v>
      </c>
      <c r="U20" s="6">
        <f>IF(ISNA(MATCH(U$2,Inputs!$K$4:$AJ$4,0)),NA(),IF(SUMPRODUCT((Inputs!$A$5:$A$230=$B20)*ISNUMBER(INDEX(Inputs!$K$5:$AJ$230,0,MATCH(U$2,Inputs!$K$4:$AJ$4,0))))+SUMPRODUCT((Inputs!$C$5:$C$230=$B20)*ISNUMBER(INDEX(Inputs!$K$5:$AJ$230,0,MATCH(U$2,Inputs!$K$4:$AJ$4,0))))+SUMPRODUCT((Inputs!$E$5:$E$230=$B20)*ISNUMBER(INDEX(Inputs!$K$5:$AJ$230,0,MATCH(U$2,Inputs!$K$4:$AJ$4,0))))=0,NA(),SUMPRODUCT((Inputs!$A$5:$A$230=$B20)*Inputs!$B$5:$B$230*(((Inputs!$G$5:$G$230="moeda")+(Inputs!$G$5:$G$230="acoes"))*Inputs!$B$1+((Inputs!$G$5:$G$230&lt;&gt;"moeda")*(Inputs!$G$5:$G$230&lt;&gt;"acoes")))*INDEX(Inputs!$K$5:$AJ$230,0,MATCH(U$2,Inputs!$K$4:$AJ$4,0)))+SUMPRODUCT((Inputs!$C$5:$C$230=$B20)*Inputs!$D$5:$D$230*(((Inputs!$G$5:$G$230="moeda")+(Inputs!$G$5:$G$230="acoes"))*Inputs!$B$1+((Inputs!$G$5:$G$230&lt;&gt;"moeda")*(Inputs!$G$5:$G$230&lt;&gt;"acoes")))*INDEX(Inputs!$K$5:$AJ$230,0,MATCH(U$2,Inputs!$K$4:$AJ$4,0)))+SUMPRODUCT((Inputs!$E$5:$E$230=$B20)*Inputs!$F$5:$F$230*(((Inputs!$G$5:$G$230="moeda")+(Inputs!$G$5:$G$230="acoes"))*Inputs!$B$1+((Inputs!$G$5:$G$230&lt;&gt;"moeda")*(Inputs!$G$5:$G$230&lt;&gt;"acoes")))*INDEX(Inputs!$K$5:$AJ$230,0,MATCH(U$2,Inputs!$K$4:$AJ$4,0)))))</f>
        <v>2372.45</v>
      </c>
      <c r="V20" s="6">
        <f>IF(ISNA(MATCH(V$2,Inputs!$K$4:$AJ$4,0)),NA(),IF(SUMPRODUCT((Inputs!$A$5:$A$230=$B20)*ISNUMBER(INDEX(Inputs!$K$5:$AJ$230,0,MATCH(V$2,Inputs!$K$4:$AJ$4,0))))+SUMPRODUCT((Inputs!$C$5:$C$230=$B20)*ISNUMBER(INDEX(Inputs!$K$5:$AJ$230,0,MATCH(V$2,Inputs!$K$4:$AJ$4,0))))+SUMPRODUCT((Inputs!$E$5:$E$230=$B20)*ISNUMBER(INDEX(Inputs!$K$5:$AJ$230,0,MATCH(V$2,Inputs!$K$4:$AJ$4,0))))=0,NA(),SUMPRODUCT((Inputs!$A$5:$A$230=$B20)*Inputs!$B$5:$B$230*(((Inputs!$G$5:$G$230="moeda")+(Inputs!$G$5:$G$230="acoes"))*Inputs!$B$1+((Inputs!$G$5:$G$230&lt;&gt;"moeda")*(Inputs!$G$5:$G$230&lt;&gt;"acoes")))*INDEX(Inputs!$K$5:$AJ$230,0,MATCH(V$2,Inputs!$K$4:$AJ$4,0)))+SUMPRODUCT((Inputs!$C$5:$C$230=$B20)*Inputs!$D$5:$D$230*(((Inputs!$G$5:$G$230="moeda")+(Inputs!$G$5:$G$230="acoes"))*Inputs!$B$1+((Inputs!$G$5:$G$230&lt;&gt;"moeda")*(Inputs!$G$5:$G$230&lt;&gt;"acoes")))*INDEX(Inputs!$K$5:$AJ$230,0,MATCH(V$2,Inputs!$K$4:$AJ$4,0)))+SUMPRODUCT((Inputs!$E$5:$E$230=$B20)*Inputs!$F$5:$F$230*(((Inputs!$G$5:$G$230="moeda")+(Inputs!$G$5:$G$230="acoes"))*Inputs!$B$1+((Inputs!$G$5:$G$230&lt;&gt;"moeda")*(Inputs!$G$5:$G$230&lt;&gt;"acoes")))*INDEX(Inputs!$K$5:$AJ$230,0,MATCH(V$2,Inputs!$K$4:$AJ$4,0)))))</f>
        <v>2396.23</v>
      </c>
      <c r="W20" s="3">
        <f>V20</f>
        <v>2396.23</v>
      </c>
      <c r="X20" s="6">
        <f>IF(ISNA(MATCH(X$2,Inputs!$K$4:$AJ$4,0)),NA(),IF(SUMPRODUCT((Inputs!$A$5:$A$230=$B20)*ISNUMBER(INDEX(Inputs!$K$5:$AJ$230,0,MATCH(X$2,Inputs!$K$4:$AJ$4,0))))+SUMPRODUCT((Inputs!$C$5:$C$230=$B20)*ISNUMBER(INDEX(Inputs!$K$5:$AJ$230,0,MATCH(X$2,Inputs!$K$4:$AJ$4,0))))+SUMPRODUCT((Inputs!$E$5:$E$230=$B20)*ISNUMBER(INDEX(Inputs!$K$5:$AJ$230,0,MATCH(X$2,Inputs!$K$4:$AJ$4,0))))=0,NA(),SUMPRODUCT((Inputs!$A$5:$A$230=$B20)*Inputs!$B$5:$B$230*(((Inputs!$G$5:$G$230="moeda")+(Inputs!$G$5:$G$230="acoes"))*Inputs!$B$1+((Inputs!$G$5:$G$230&lt;&gt;"moeda")*(Inputs!$G$5:$G$230&lt;&gt;"acoes")))*INDEX(Inputs!$K$5:$AJ$230,0,MATCH(X$2,Inputs!$K$4:$AJ$4,0)))+SUMPRODUCT((Inputs!$C$5:$C$230=$B20)*Inputs!$D$5:$D$230*(((Inputs!$G$5:$G$230="moeda")+(Inputs!$G$5:$G$230="acoes"))*Inputs!$B$1+((Inputs!$G$5:$G$230&lt;&gt;"moeda")*(Inputs!$G$5:$G$230&lt;&gt;"acoes")))*INDEX(Inputs!$K$5:$AJ$230,0,MATCH(X$2,Inputs!$K$4:$AJ$4,0)))+SUMPRODUCT((Inputs!$E$5:$E$230=$B20)*Inputs!$F$5:$F$230*(((Inputs!$G$5:$G$230="moeda")+(Inputs!$G$5:$G$230="acoes"))*Inputs!$B$1+((Inputs!$G$5:$G$230&lt;&gt;"moeda")*(Inputs!$G$5:$G$230&lt;&gt;"acoes")))*INDEX(Inputs!$K$5:$AJ$230,0,MATCH(X$2,Inputs!$K$4:$AJ$4,0)))))</f>
        <v>2456.996</v>
      </c>
      <c r="Y20" s="6">
        <f>IF(ISNA(MATCH(Y$2,Inputs!$K$4:$AJ$4,0)),NA(),IF(SUMPRODUCT((Inputs!$A$5:$A$230=$B20)*ISNUMBER(INDEX(Inputs!$K$5:$AJ$230,0,MATCH(Y$2,Inputs!$K$4:$AJ$4,0))))+SUMPRODUCT((Inputs!$C$5:$C$230=$B20)*ISNUMBER(INDEX(Inputs!$K$5:$AJ$230,0,MATCH(Y$2,Inputs!$K$4:$AJ$4,0))))+SUMPRODUCT((Inputs!$E$5:$E$230=$B20)*ISNUMBER(INDEX(Inputs!$K$5:$AJ$230,0,MATCH(Y$2,Inputs!$K$4:$AJ$4,0))))=0,NA(),SUMPRODUCT((Inputs!$A$5:$A$230=$B20)*Inputs!$B$5:$B$230*(((Inputs!$G$5:$G$230="moeda")+(Inputs!$G$5:$G$230="acoes"))*Inputs!$B$1+((Inputs!$G$5:$G$230&lt;&gt;"moeda")*(Inputs!$G$5:$G$230&lt;&gt;"acoes")))*INDEX(Inputs!$K$5:$AJ$230,0,MATCH(Y$2,Inputs!$K$4:$AJ$4,0)))+SUMPRODUCT((Inputs!$C$5:$C$230=$B20)*Inputs!$D$5:$D$230*(((Inputs!$G$5:$G$230="moeda")+(Inputs!$G$5:$G$230="acoes"))*Inputs!$B$1+((Inputs!$G$5:$G$230&lt;&gt;"moeda")*(Inputs!$G$5:$G$230&lt;&gt;"acoes")))*INDEX(Inputs!$K$5:$AJ$230,0,MATCH(Y$2,Inputs!$K$4:$AJ$4,0)))+SUMPRODUCT((Inputs!$E$5:$E$230=$B20)*Inputs!$F$5:$F$230*(((Inputs!$G$5:$G$230="moeda")+(Inputs!$G$5:$G$230="acoes"))*Inputs!$B$1+((Inputs!$G$5:$G$230&lt;&gt;"moeda")*(Inputs!$G$5:$G$230&lt;&gt;"acoes")))*INDEX(Inputs!$K$5:$AJ$230,0,MATCH(Y$2,Inputs!$K$4:$AJ$4,0)))))</f>
        <v>2593.108</v>
      </c>
      <c r="Z20" s="6">
        <f>IF(ISNA(MATCH(Z$2,Inputs!$K$4:$AJ$4,0)),NA(),IF(SUMPRODUCT((Inputs!$A$5:$A$230=$B20)*ISNUMBER(INDEX(Inputs!$K$5:$AJ$230,0,MATCH(Z$2,Inputs!$K$4:$AJ$4,0))))+SUMPRODUCT((Inputs!$C$5:$C$230=$B20)*ISNUMBER(INDEX(Inputs!$K$5:$AJ$230,0,MATCH(Z$2,Inputs!$K$4:$AJ$4,0))))+SUMPRODUCT((Inputs!$E$5:$E$230=$B20)*ISNUMBER(INDEX(Inputs!$K$5:$AJ$230,0,MATCH(Z$2,Inputs!$K$4:$AJ$4,0))))=0,NA(),SUMPRODUCT((Inputs!$A$5:$A$230=$B20)*Inputs!$B$5:$B$230*(((Inputs!$G$5:$G$230="moeda")+(Inputs!$G$5:$G$230="acoes"))*Inputs!$B$1+((Inputs!$G$5:$G$230&lt;&gt;"moeda")*(Inputs!$G$5:$G$230&lt;&gt;"acoes")))*INDEX(Inputs!$K$5:$AJ$230,0,MATCH(Z$2,Inputs!$K$4:$AJ$4,0)))+SUMPRODUCT((Inputs!$C$5:$C$230=$B20)*Inputs!$D$5:$D$230*(((Inputs!$G$5:$G$230="moeda")+(Inputs!$G$5:$G$230="acoes"))*Inputs!$B$1+((Inputs!$G$5:$G$230&lt;&gt;"moeda")*(Inputs!$G$5:$G$230&lt;&gt;"acoes")))*INDEX(Inputs!$K$5:$AJ$230,0,MATCH(Z$2,Inputs!$K$4:$AJ$4,0)))+SUMPRODUCT((Inputs!$E$5:$E$230=$B20)*Inputs!$F$5:$F$230*(((Inputs!$G$5:$G$230="moeda")+(Inputs!$G$5:$G$230="acoes"))*Inputs!$B$1+((Inputs!$G$5:$G$230&lt;&gt;"moeda")*(Inputs!$G$5:$G$230&lt;&gt;"acoes")))*INDEX(Inputs!$K$5:$AJ$230,0,MATCH(Z$2,Inputs!$K$4:$AJ$4,0)))))</f>
        <v>2628.473</v>
      </c>
      <c r="AA20" s="6">
        <f>IF(ISNA(MATCH(AA$2,Inputs!$K$4:$AJ$4,0)),NA(),IF(SUMPRODUCT((Inputs!$A$5:$A$230=$B20)*ISNUMBER(INDEX(Inputs!$K$5:$AJ$230,0,MATCH(AA$2,Inputs!$K$4:$AJ$4,0))))+SUMPRODUCT((Inputs!$C$5:$C$230=$B20)*ISNUMBER(INDEX(Inputs!$K$5:$AJ$230,0,MATCH(AA$2,Inputs!$K$4:$AJ$4,0))))+SUMPRODUCT((Inputs!$E$5:$E$230=$B20)*ISNUMBER(INDEX(Inputs!$K$5:$AJ$230,0,MATCH(AA$2,Inputs!$K$4:$AJ$4,0))))=0,NA(),SUMPRODUCT((Inputs!$A$5:$A$230=$B20)*Inputs!$B$5:$B$230*(((Inputs!$G$5:$G$230="moeda")+(Inputs!$G$5:$G$230="acoes"))*Inputs!$B$1+((Inputs!$G$5:$G$230&lt;&gt;"moeda")*(Inputs!$G$5:$G$230&lt;&gt;"acoes")))*INDEX(Inputs!$K$5:$AJ$230,0,MATCH(AA$2,Inputs!$K$4:$AJ$4,0)))+SUMPRODUCT((Inputs!$C$5:$C$230=$B20)*Inputs!$D$5:$D$230*(((Inputs!$G$5:$G$230="moeda")+(Inputs!$G$5:$G$230="acoes"))*Inputs!$B$1+((Inputs!$G$5:$G$230&lt;&gt;"moeda")*(Inputs!$G$5:$G$230&lt;&gt;"acoes")))*INDEX(Inputs!$K$5:$AJ$230,0,MATCH(AA$2,Inputs!$K$4:$AJ$4,0)))+SUMPRODUCT((Inputs!$E$5:$E$230=$B20)*Inputs!$F$5:$F$230*(((Inputs!$G$5:$G$230="moeda")+(Inputs!$G$5:$G$230="acoes"))*Inputs!$B$1+((Inputs!$G$5:$G$230&lt;&gt;"moeda")*(Inputs!$G$5:$G$230&lt;&gt;"acoes")))*INDEX(Inputs!$K$5:$AJ$230,0,MATCH(AA$2,Inputs!$K$4:$AJ$4,0)))))</f>
        <v>2789.043</v>
      </c>
      <c r="AB20" s="3">
        <f>AA20</f>
        <v>2789.043</v>
      </c>
      <c r="AC20" s="6">
        <f>IF(ISNA(MATCH(AC$2,Inputs!$K$4:$AJ$4,0)),NA(),IF(SUMPRODUCT((Inputs!$A$5:$A$230=$B20)*ISNUMBER(INDEX(Inputs!$K$5:$AJ$230,0,MATCH(AC$2,Inputs!$K$4:$AJ$4,0))))+SUMPRODUCT((Inputs!$C$5:$C$230=$B20)*ISNUMBER(INDEX(Inputs!$K$5:$AJ$230,0,MATCH(AC$2,Inputs!$K$4:$AJ$4,0))))+SUMPRODUCT((Inputs!$E$5:$E$230=$B20)*ISNUMBER(INDEX(Inputs!$K$5:$AJ$230,0,MATCH(AC$2,Inputs!$K$4:$AJ$4,0))))=0,NA(),SUMPRODUCT((Inputs!$A$5:$A$230=$B20)*Inputs!$B$5:$B$230*(((Inputs!$G$5:$G$230="moeda")+(Inputs!$G$5:$G$230="acoes"))*Inputs!$B$1+((Inputs!$G$5:$G$230&lt;&gt;"moeda")*(Inputs!$G$5:$G$230&lt;&gt;"acoes")))*INDEX(Inputs!$K$5:$AJ$230,0,MATCH(AC$2,Inputs!$K$4:$AJ$4,0)))+SUMPRODUCT((Inputs!$C$5:$C$230=$B20)*Inputs!$D$5:$D$230*(((Inputs!$G$5:$G$230="moeda")+(Inputs!$G$5:$G$230="acoes"))*Inputs!$B$1+((Inputs!$G$5:$G$230&lt;&gt;"moeda")*(Inputs!$G$5:$G$230&lt;&gt;"acoes")))*INDEX(Inputs!$K$5:$AJ$230,0,MATCH(AC$2,Inputs!$K$4:$AJ$4,0)))+SUMPRODUCT((Inputs!$E$5:$E$230=$B20)*Inputs!$F$5:$F$230*(((Inputs!$G$5:$G$230="moeda")+(Inputs!$G$5:$G$230="acoes"))*Inputs!$B$1+((Inputs!$G$5:$G$230&lt;&gt;"moeda")*(Inputs!$G$5:$G$230&lt;&gt;"acoes")))*INDEX(Inputs!$K$5:$AJ$230,0,MATCH(AC$2,Inputs!$K$4:$AJ$4,0)))))</f>
        <v>2838.566</v>
      </c>
      <c r="AD20" s="6">
        <f>IF(ISNA(MATCH(AD$2,Inputs!$K$4:$AJ$4,0)),NA(),IF(SUMPRODUCT((Inputs!$A$5:$A$230=$B20)*ISNUMBER(INDEX(Inputs!$K$5:$AJ$230,0,MATCH(AD$2,Inputs!$K$4:$AJ$4,0))))+SUMPRODUCT((Inputs!$C$5:$C$230=$B20)*ISNUMBER(INDEX(Inputs!$K$5:$AJ$230,0,MATCH(AD$2,Inputs!$K$4:$AJ$4,0))))+SUMPRODUCT((Inputs!$E$5:$E$230=$B20)*ISNUMBER(INDEX(Inputs!$K$5:$AJ$230,0,MATCH(AD$2,Inputs!$K$4:$AJ$4,0))))=0,NA(),SUMPRODUCT((Inputs!$A$5:$A$230=$B20)*Inputs!$B$5:$B$230*(((Inputs!$G$5:$G$230="moeda")+(Inputs!$G$5:$G$230="acoes"))*Inputs!$B$1+((Inputs!$G$5:$G$230&lt;&gt;"moeda")*(Inputs!$G$5:$G$230&lt;&gt;"acoes")))*INDEX(Inputs!$K$5:$AJ$230,0,MATCH(AD$2,Inputs!$K$4:$AJ$4,0)))+SUMPRODUCT((Inputs!$C$5:$C$230=$B20)*Inputs!$D$5:$D$230*(((Inputs!$G$5:$G$230="moeda")+(Inputs!$G$5:$G$230="acoes"))*Inputs!$B$1+((Inputs!$G$5:$G$230&lt;&gt;"moeda")*(Inputs!$G$5:$G$230&lt;&gt;"acoes")))*INDEX(Inputs!$K$5:$AJ$230,0,MATCH(AD$2,Inputs!$K$4:$AJ$4,0)))+SUMPRODUCT((Inputs!$E$5:$E$230=$B20)*Inputs!$F$5:$F$230*(((Inputs!$G$5:$G$230="moeda")+(Inputs!$G$5:$G$230="acoes"))*Inputs!$B$1+((Inputs!$G$5:$G$230&lt;&gt;"moeda")*(Inputs!$G$5:$G$230&lt;&gt;"acoes")))*INDEX(Inputs!$K$5:$AJ$230,0,MATCH(AD$2,Inputs!$K$4:$AJ$4,0)))))</f>
        <v>3062.425</v>
      </c>
      <c r="AE20" s="6" t="e">
        <f>IF(ISNA(MATCH(AE$2,Inputs!$K$4:$AJ$4,0)),NA(),IF(SUMPRODUCT((Inputs!$A$5:$A$230=$B20)*ISNUMBER(INDEX(Inputs!$K$5:$AJ$230,0,MATCH(AE$2,Inputs!$K$4:$AJ$4,0))))+SUMPRODUCT((Inputs!$C$5:$C$230=$B20)*ISNUMBER(INDEX(Inputs!$K$5:$AJ$230,0,MATCH(AE$2,Inputs!$K$4:$AJ$4,0))))+SUMPRODUCT((Inputs!$E$5:$E$230=$B20)*ISNUMBER(INDEX(Inputs!$K$5:$AJ$230,0,MATCH(AE$2,Inputs!$K$4:$AJ$4,0))))=0,NA(),SUMPRODUCT((Inputs!$A$5:$A$230=$B20)*Inputs!$B$5:$B$230*(((Inputs!$G$5:$G$230="moeda")+(Inputs!$G$5:$G$230="acoes"))*Inputs!$B$1+((Inputs!$G$5:$G$230&lt;&gt;"moeda")*(Inputs!$G$5:$G$230&lt;&gt;"acoes")))*INDEX(Inputs!$K$5:$AJ$230,0,MATCH(AE$2,Inputs!$K$4:$AJ$4,0)))+SUMPRODUCT((Inputs!$C$5:$C$230=$B20)*Inputs!$D$5:$D$230*(((Inputs!$G$5:$G$230="moeda")+(Inputs!$G$5:$G$230="acoes"))*Inputs!$B$1+((Inputs!$G$5:$G$230&lt;&gt;"moeda")*(Inputs!$G$5:$G$230&lt;&gt;"acoes")))*INDEX(Inputs!$K$5:$AJ$230,0,MATCH(AE$2,Inputs!$K$4:$AJ$4,0)))+SUMPRODUCT((Inputs!$E$5:$E$230=$B20)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20" s="6" t="e">
        <f>IF(ISNA(MATCH(AF$2,Inputs!$K$4:$AJ$4,0)),NA(),IF(SUMPRODUCT((Inputs!$A$5:$A$230=$B20)*ISNUMBER(INDEX(Inputs!$K$5:$AJ$230,0,MATCH(AF$2,Inputs!$K$4:$AJ$4,0))))+SUMPRODUCT((Inputs!$C$5:$C$230=$B20)*ISNUMBER(INDEX(Inputs!$K$5:$AJ$230,0,MATCH(AF$2,Inputs!$K$4:$AJ$4,0))))+SUMPRODUCT((Inputs!$E$5:$E$230=$B20)*ISNUMBER(INDEX(Inputs!$K$5:$AJ$230,0,MATCH(AF$2,Inputs!$K$4:$AJ$4,0))))=0,NA(),SUMPRODUCT((Inputs!$A$5:$A$230=$B20)*Inputs!$B$5:$B$230*(((Inputs!$G$5:$G$230="moeda")+(Inputs!$G$5:$G$230="acoes"))*Inputs!$B$1+((Inputs!$G$5:$G$230&lt;&gt;"moeda")*(Inputs!$G$5:$G$230&lt;&gt;"acoes")))*INDEX(Inputs!$K$5:$AJ$230,0,MATCH(AF$2,Inputs!$K$4:$AJ$4,0)))+SUMPRODUCT((Inputs!$C$5:$C$230=$B20)*Inputs!$D$5:$D$230*(((Inputs!$G$5:$G$230="moeda")+(Inputs!$G$5:$G$230="acoes"))*Inputs!$B$1+((Inputs!$G$5:$G$230&lt;&gt;"moeda")*(Inputs!$G$5:$G$230&lt;&gt;"acoes")))*INDEX(Inputs!$K$5:$AJ$230,0,MATCH(AF$2,Inputs!$K$4:$AJ$4,0)))+SUMPRODUCT((Inputs!$E$5:$E$230=$B20)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20" s="3" t="e">
        <f>AF20</f>
        <v>#N/A</v>
      </c>
      <c r="AH20" s="6">
        <f>IF(ISNA(MATCH(AH$2,Inputs!$K$4:$AJ$4,0)),NA(),IF(SUMPRODUCT((Inputs!$A$5:$A$230=$B20)*ISNUMBER(INDEX(Inputs!$K$5:$AJ$230,0,MATCH(AH$2,Inputs!$K$4:$AJ$4,0))))+SUMPRODUCT((Inputs!$C$5:$C$230=$B20)*ISNUMBER(INDEX(Inputs!$K$5:$AJ$230,0,MATCH(AH$2,Inputs!$K$4:$AJ$4,0))))+SUMPRODUCT((Inputs!$E$5:$E$230=$B20)*ISNUMBER(INDEX(Inputs!$K$5:$AJ$230,0,MATCH(AH$2,Inputs!$K$4:$AJ$4,0))))=0,NA(),SUMPRODUCT((Inputs!$A$5:$A$230=$B20)*Inputs!$B$5:$B$230*(((Inputs!$G$5:$G$230="moeda")+(Inputs!$G$5:$G$230="acoes"))*Inputs!$B$1+((Inputs!$G$5:$G$230&lt;&gt;"moeda")*(Inputs!$G$5:$G$230&lt;&gt;"acoes")))*INDEX(Inputs!$K$5:$AJ$230,0,MATCH(AH$2,Inputs!$K$4:$AJ$4,0)))+SUMPRODUCT((Inputs!$C$5:$C$230=$B20)*Inputs!$D$5:$D$230*(((Inputs!$G$5:$G$230="moeda")+(Inputs!$G$5:$G$230="acoes"))*Inputs!$B$1+((Inputs!$G$5:$G$230&lt;&gt;"moeda")*(Inputs!$G$5:$G$230&lt;&gt;"acoes")))*INDEX(Inputs!$K$5:$AJ$230,0,MATCH(AH$2,Inputs!$K$4:$AJ$4,0)))+SUMPRODUCT((Inputs!$E$5:$E$230=$B20)*Inputs!$F$5:$F$230*(((Inputs!$G$5:$G$230="moeda")+(Inputs!$G$5:$G$230="acoes"))*Inputs!$B$1+((Inputs!$G$5:$G$230&lt;&gt;"moeda")*(Inputs!$G$5:$G$230&lt;&gt;"acoes")))*INDEX(Inputs!$K$5:$AJ$230,0,MATCH(AH$2,Inputs!$K$4:$AJ$4,0)))))</f>
        <v>1202.379</v>
      </c>
      <c r="AI20" s="6">
        <f>IF(ISNA(MATCH(AI$2,Inputs!$K$4:$AJ$4,0)),NA(),IF(SUMPRODUCT((Inputs!$A$5:$A$230=$B20)*ISNUMBER(INDEX(Inputs!$K$5:$AJ$230,0,MATCH(AI$2,Inputs!$K$4:$AJ$4,0))))+SUMPRODUCT((Inputs!$C$5:$C$230=$B20)*ISNUMBER(INDEX(Inputs!$K$5:$AJ$230,0,MATCH(AI$2,Inputs!$K$4:$AJ$4,0))))+SUMPRODUCT((Inputs!$E$5:$E$230=$B20)*ISNUMBER(INDEX(Inputs!$K$5:$AJ$230,0,MATCH(AI$2,Inputs!$K$4:$AJ$4,0))))=0,NA(),SUMPRODUCT((Inputs!$A$5:$A$230=$B20)*Inputs!$B$5:$B$230*(((Inputs!$G$5:$G$230="moeda")+(Inputs!$G$5:$G$230="acoes"))*Inputs!$B$1+((Inputs!$G$5:$G$230&lt;&gt;"moeda")*(Inputs!$G$5:$G$230&lt;&gt;"acoes")))*INDEX(Inputs!$K$5:$AJ$230,0,MATCH(AI$2,Inputs!$K$4:$AJ$4,0)))+SUMPRODUCT((Inputs!$C$5:$C$230=$B20)*Inputs!$D$5:$D$230*(((Inputs!$G$5:$G$230="moeda")+(Inputs!$G$5:$G$230="acoes"))*Inputs!$B$1+((Inputs!$G$5:$G$230&lt;&gt;"moeda")*(Inputs!$G$5:$G$230&lt;&gt;"acoes")))*INDEX(Inputs!$K$5:$AJ$230,0,MATCH(AI$2,Inputs!$K$4:$AJ$4,0)))+SUMPRODUCT((Inputs!$E$5:$E$230=$B20)*Inputs!$F$5:$F$230*(((Inputs!$G$5:$G$230="moeda")+(Inputs!$G$5:$G$230="acoes"))*Inputs!$B$1+((Inputs!$G$5:$G$230&lt;&gt;"moeda")*(Inputs!$G$5:$G$230&lt;&gt;"acoes")))*INDEX(Inputs!$K$5:$AJ$230,0,MATCH(AI$2,Inputs!$K$4:$AJ$4,0)))))</f>
        <v>1188.871</v>
      </c>
      <c r="AJ20" s="6">
        <f>IF(ISNA(MATCH(AJ$2,Inputs!$K$4:$AJ$4,0)),NA(),IF(SUMPRODUCT((Inputs!$A$5:$A$230=$B20)*ISNUMBER(INDEX(Inputs!$K$5:$AJ$230,0,MATCH(AJ$2,Inputs!$K$4:$AJ$4,0))))+SUMPRODUCT((Inputs!$C$5:$C$230=$B20)*ISNUMBER(INDEX(Inputs!$K$5:$AJ$230,0,MATCH(AJ$2,Inputs!$K$4:$AJ$4,0))))+SUMPRODUCT((Inputs!$E$5:$E$230=$B20)*ISNUMBER(INDEX(Inputs!$K$5:$AJ$230,0,MATCH(AJ$2,Inputs!$K$4:$AJ$4,0))))=0,NA(),SUMPRODUCT((Inputs!$A$5:$A$230=$B20)*Inputs!$B$5:$B$230*(((Inputs!$G$5:$G$230="moeda")+(Inputs!$G$5:$G$230="acoes"))*Inputs!$B$1+((Inputs!$G$5:$G$230&lt;&gt;"moeda")*(Inputs!$G$5:$G$230&lt;&gt;"acoes")))*INDEX(Inputs!$K$5:$AJ$230,0,MATCH(AJ$2,Inputs!$K$4:$AJ$4,0)))+SUMPRODUCT((Inputs!$C$5:$C$230=$B20)*Inputs!$D$5:$D$230*(((Inputs!$G$5:$G$230="moeda")+(Inputs!$G$5:$G$230="acoes"))*Inputs!$B$1+((Inputs!$G$5:$G$230&lt;&gt;"moeda")*(Inputs!$G$5:$G$230&lt;&gt;"acoes")))*INDEX(Inputs!$K$5:$AJ$230,0,MATCH(AJ$2,Inputs!$K$4:$AJ$4,0)))+SUMPRODUCT((Inputs!$E$5:$E$230=$B20)*Inputs!$F$5:$F$230*(((Inputs!$G$5:$G$230="moeda")+(Inputs!$G$5:$G$230="acoes"))*Inputs!$B$1+((Inputs!$G$5:$G$230&lt;&gt;"moeda")*(Inputs!$G$5:$G$230&lt;&gt;"acoes")))*INDEX(Inputs!$K$5:$AJ$230,0,MATCH(AJ$2,Inputs!$K$4:$AJ$4,0)))))</f>
        <v>1317.714</v>
      </c>
      <c r="AK20" s="6">
        <f>IF(ISNA(MATCH(AK$2,Inputs!$K$4:$AJ$4,0)),NA(),IF(SUMPRODUCT((Inputs!$A$5:$A$230=$B20)*ISNUMBER(INDEX(Inputs!$K$5:$AJ$230,0,MATCH(AK$2,Inputs!$K$4:$AJ$4,0))))+SUMPRODUCT((Inputs!$C$5:$C$230=$B20)*ISNUMBER(INDEX(Inputs!$K$5:$AJ$230,0,MATCH(AK$2,Inputs!$K$4:$AJ$4,0))))+SUMPRODUCT((Inputs!$E$5:$E$230=$B20)*ISNUMBER(INDEX(Inputs!$K$5:$AJ$230,0,MATCH(AK$2,Inputs!$K$4:$AJ$4,0))))=0,NA(),SUMPRODUCT((Inputs!$A$5:$A$230=$B20)*Inputs!$B$5:$B$230*(((Inputs!$G$5:$G$230="moeda")+(Inputs!$G$5:$G$230="acoes"))*Inputs!$B$1+((Inputs!$G$5:$G$230&lt;&gt;"moeda")*(Inputs!$G$5:$G$230&lt;&gt;"acoes")))*INDEX(Inputs!$K$5:$AJ$230,0,MATCH(AK$2,Inputs!$K$4:$AJ$4,0)))+SUMPRODUCT((Inputs!$C$5:$C$230=$B20)*Inputs!$D$5:$D$230*(((Inputs!$G$5:$G$230="moeda")+(Inputs!$G$5:$G$230="acoes"))*Inputs!$B$1+((Inputs!$G$5:$G$230&lt;&gt;"moeda")*(Inputs!$G$5:$G$230&lt;&gt;"acoes")))*INDEX(Inputs!$K$5:$AJ$230,0,MATCH(AK$2,Inputs!$K$4:$AJ$4,0)))+SUMPRODUCT((Inputs!$E$5:$E$230=$B20)*Inputs!$F$5:$F$230*(((Inputs!$G$5:$G$230="moeda")+(Inputs!$G$5:$G$230="acoes"))*Inputs!$B$1+((Inputs!$G$5:$G$230&lt;&gt;"moeda")*(Inputs!$G$5:$G$230&lt;&gt;"acoes")))*INDEX(Inputs!$K$5:$AJ$230,0,MATCH(AK$2,Inputs!$K$4:$AJ$4,0)))))</f>
        <v>1574.475</v>
      </c>
      <c r="AL20" s="3">
        <f>AK20</f>
        <v>1574.475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$230=$B21)*ISNUMBER(INDEX(Inputs!$K$5:$AJ$230,0,MATCH(D$2,Inputs!$K$4:$AJ$4,0))))+SUMPRODUCT((Inputs!$C$5:$C$230=$B21)*ISNUMBER(INDEX(Inputs!$K$5:$AJ$230,0,MATCH(D$2,Inputs!$K$4:$AJ$4,0))))+SUMPRODUCT((Inputs!$E$5:$E$230=$B21)*ISNUMBER(INDEX(Inputs!$K$5:$AJ$230,0,MATCH(D$2,Inputs!$K$4:$AJ$4,0))))=0,NA(),SUMPRODUCT((Inputs!$A$5:$A$230=$B21)*Inputs!$B$5:$B$230*(((Inputs!$G$5:$G$230="moeda")+(Inputs!$G$5:$G$230="acoes"))*Inputs!$B$1+((Inputs!$G$5:$G$230&lt;&gt;"moeda")*(Inputs!$G$5:$G$230&lt;&gt;"acoes")))*INDEX(Inputs!$K$5:$AJ$230,0,MATCH(D$2,Inputs!$K$4:$AJ$4,0)))+SUMPRODUCT((Inputs!$C$5:$C$230=$B21)*Inputs!$D$5:$D$230*(((Inputs!$G$5:$G$230="moeda")+(Inputs!$G$5:$G$230="acoes"))*Inputs!$B$1+((Inputs!$G$5:$G$230&lt;&gt;"moeda")*(Inputs!$G$5:$G$230&lt;&gt;"acoes")))*INDEX(Inputs!$K$5:$AJ$230,0,MATCH(D$2,Inputs!$K$4:$AJ$4,0)))+SUMPRODUCT((Inputs!$E$5:$E$230=$B21)*Inputs!$F$5:$F$230*(((Inputs!$G$5:$G$230="moeda")+(Inputs!$G$5:$G$230="acoes"))*Inputs!$B$1+((Inputs!$G$5:$G$230&lt;&gt;"moeda")*(Inputs!$G$5:$G$230&lt;&gt;"acoes")))*INDEX(Inputs!$K$5:$AJ$230,0,MATCH(D$2,Inputs!$K$4:$AJ$4,0)))))</f>
        <v>136.93</v>
      </c>
      <c r="E21" s="6">
        <f>IF(ISNA(MATCH(E$2,Inputs!$K$4:$AJ$4,0)),NA(),IF(SUMPRODUCT((Inputs!$A$5:$A$230=$B21)*ISNUMBER(INDEX(Inputs!$K$5:$AJ$230,0,MATCH(E$2,Inputs!$K$4:$AJ$4,0))))+SUMPRODUCT((Inputs!$C$5:$C$230=$B21)*ISNUMBER(INDEX(Inputs!$K$5:$AJ$230,0,MATCH(E$2,Inputs!$K$4:$AJ$4,0))))+SUMPRODUCT((Inputs!$E$5:$E$230=$B21)*ISNUMBER(INDEX(Inputs!$K$5:$AJ$230,0,MATCH(E$2,Inputs!$K$4:$AJ$4,0))))=0,NA(),SUMPRODUCT((Inputs!$A$5:$A$230=$B21)*Inputs!$B$5:$B$230*(((Inputs!$G$5:$G$230="moeda")+(Inputs!$G$5:$G$230="acoes"))*Inputs!$B$1+((Inputs!$G$5:$G$230&lt;&gt;"moeda")*(Inputs!$G$5:$G$230&lt;&gt;"acoes")))*INDEX(Inputs!$K$5:$AJ$230,0,MATCH(E$2,Inputs!$K$4:$AJ$4,0)))+SUMPRODUCT((Inputs!$C$5:$C$230=$B21)*Inputs!$D$5:$D$230*(((Inputs!$G$5:$G$230="moeda")+(Inputs!$G$5:$G$230="acoes"))*Inputs!$B$1+((Inputs!$G$5:$G$230&lt;&gt;"moeda")*(Inputs!$G$5:$G$230&lt;&gt;"acoes")))*INDEX(Inputs!$K$5:$AJ$230,0,MATCH(E$2,Inputs!$K$4:$AJ$4,0)))+SUMPRODUCT((Inputs!$E$5:$E$230=$B21)*Inputs!$F$5:$F$230*(((Inputs!$G$5:$G$230="moeda")+(Inputs!$G$5:$G$230="acoes"))*Inputs!$B$1+((Inputs!$G$5:$G$230&lt;&gt;"moeda")*(Inputs!$G$5:$G$230&lt;&gt;"acoes")))*INDEX(Inputs!$K$5:$AJ$230,0,MATCH(E$2,Inputs!$K$4:$AJ$4,0)))))</f>
        <v>139.039</v>
      </c>
      <c r="F21" s="6">
        <f>IF(ISNA(MATCH(F$2,Inputs!$K$4:$AJ$4,0)),NA(),IF(SUMPRODUCT((Inputs!$A$5:$A$230=$B21)*ISNUMBER(INDEX(Inputs!$K$5:$AJ$230,0,MATCH(F$2,Inputs!$K$4:$AJ$4,0))))+SUMPRODUCT((Inputs!$C$5:$C$230=$B21)*ISNUMBER(INDEX(Inputs!$K$5:$AJ$230,0,MATCH(F$2,Inputs!$K$4:$AJ$4,0))))+SUMPRODUCT((Inputs!$E$5:$E$230=$B21)*ISNUMBER(INDEX(Inputs!$K$5:$AJ$230,0,MATCH(F$2,Inputs!$K$4:$AJ$4,0))))=0,NA(),SUMPRODUCT((Inputs!$A$5:$A$230=$B21)*Inputs!$B$5:$B$230*(((Inputs!$G$5:$G$230="moeda")+(Inputs!$G$5:$G$230="acoes"))*Inputs!$B$1+((Inputs!$G$5:$G$230&lt;&gt;"moeda")*(Inputs!$G$5:$G$230&lt;&gt;"acoes")))*INDEX(Inputs!$K$5:$AJ$230,0,MATCH(F$2,Inputs!$K$4:$AJ$4,0)))+SUMPRODUCT((Inputs!$C$5:$C$230=$B21)*Inputs!$D$5:$D$230*(((Inputs!$G$5:$G$230="moeda")+(Inputs!$G$5:$G$230="acoes"))*Inputs!$B$1+((Inputs!$G$5:$G$230&lt;&gt;"moeda")*(Inputs!$G$5:$G$230&lt;&gt;"acoes")))*INDEX(Inputs!$K$5:$AJ$230,0,MATCH(F$2,Inputs!$K$4:$AJ$4,0)))+SUMPRODUCT((Inputs!$E$5:$E$230=$B21)*Inputs!$F$5:$F$230*(((Inputs!$G$5:$G$230="moeda")+(Inputs!$G$5:$G$230="acoes"))*Inputs!$B$1+((Inputs!$G$5:$G$230&lt;&gt;"moeda")*(Inputs!$G$5:$G$230&lt;&gt;"acoes")))*INDEX(Inputs!$K$5:$AJ$230,0,MATCH(F$2,Inputs!$K$4:$AJ$4,0)))))</f>
        <v>140.182</v>
      </c>
      <c r="G21" s="6">
        <f>IF(ISNA(MATCH(G$2,Inputs!$K$4:$AJ$4,0)),NA(),IF(SUMPRODUCT((Inputs!$A$5:$A$230=$B21)*ISNUMBER(INDEX(Inputs!$K$5:$AJ$230,0,MATCH(G$2,Inputs!$K$4:$AJ$4,0))))+SUMPRODUCT((Inputs!$C$5:$C$230=$B21)*ISNUMBER(INDEX(Inputs!$K$5:$AJ$230,0,MATCH(G$2,Inputs!$K$4:$AJ$4,0))))+SUMPRODUCT((Inputs!$E$5:$E$230=$B21)*ISNUMBER(INDEX(Inputs!$K$5:$AJ$230,0,MATCH(G$2,Inputs!$K$4:$AJ$4,0))))=0,NA(),SUMPRODUCT((Inputs!$A$5:$A$230=$B21)*Inputs!$B$5:$B$230*(((Inputs!$G$5:$G$230="moeda")+(Inputs!$G$5:$G$230="acoes"))*Inputs!$B$1+((Inputs!$G$5:$G$230&lt;&gt;"moeda")*(Inputs!$G$5:$G$230&lt;&gt;"acoes")))*INDEX(Inputs!$K$5:$AJ$230,0,MATCH(G$2,Inputs!$K$4:$AJ$4,0)))+SUMPRODUCT((Inputs!$C$5:$C$230=$B21)*Inputs!$D$5:$D$230*(((Inputs!$G$5:$G$230="moeda")+(Inputs!$G$5:$G$230="acoes"))*Inputs!$B$1+((Inputs!$G$5:$G$230&lt;&gt;"moeda")*(Inputs!$G$5:$G$230&lt;&gt;"acoes")))*INDEX(Inputs!$K$5:$AJ$230,0,MATCH(G$2,Inputs!$K$4:$AJ$4,0)))+SUMPRODUCT((Inputs!$E$5:$E$230=$B21)*Inputs!$F$5:$F$230*(((Inputs!$G$5:$G$230="moeda")+(Inputs!$G$5:$G$230="acoes"))*Inputs!$B$1+((Inputs!$G$5:$G$230&lt;&gt;"moeda")*(Inputs!$G$5:$G$230&lt;&gt;"acoes")))*INDEX(Inputs!$K$5:$AJ$230,0,MATCH(G$2,Inputs!$K$4:$AJ$4,0)))))</f>
        <v>150.92</v>
      </c>
      <c r="H21" s="3">
        <f>G21</f>
        <v>150.92</v>
      </c>
      <c r="I21" s="6">
        <f>IF(ISNA(MATCH(I$2,Inputs!$K$4:$AJ$4,0)),NA(),IF(SUMPRODUCT((Inputs!$A$5:$A$230=$B21)*ISNUMBER(INDEX(Inputs!$K$5:$AJ$230,0,MATCH(I$2,Inputs!$K$4:$AJ$4,0))))+SUMPRODUCT((Inputs!$C$5:$C$230=$B21)*ISNUMBER(INDEX(Inputs!$K$5:$AJ$230,0,MATCH(I$2,Inputs!$K$4:$AJ$4,0))))+SUMPRODUCT((Inputs!$E$5:$E$230=$B21)*ISNUMBER(INDEX(Inputs!$K$5:$AJ$230,0,MATCH(I$2,Inputs!$K$4:$AJ$4,0))))=0,NA(),SUMPRODUCT((Inputs!$A$5:$A$230=$B21)*Inputs!$B$5:$B$230*(((Inputs!$G$5:$G$230="moeda")+(Inputs!$G$5:$G$230="acoes"))*Inputs!$B$1+((Inputs!$G$5:$G$230&lt;&gt;"moeda")*(Inputs!$G$5:$G$230&lt;&gt;"acoes")))*INDEX(Inputs!$K$5:$AJ$230,0,MATCH(I$2,Inputs!$K$4:$AJ$4,0)))+SUMPRODUCT((Inputs!$C$5:$C$230=$B21)*Inputs!$D$5:$D$230*(((Inputs!$G$5:$G$230="moeda")+(Inputs!$G$5:$G$230="acoes"))*Inputs!$B$1+((Inputs!$G$5:$G$230&lt;&gt;"moeda")*(Inputs!$G$5:$G$230&lt;&gt;"acoes")))*INDEX(Inputs!$K$5:$AJ$230,0,MATCH(I$2,Inputs!$K$4:$AJ$4,0)))+SUMPRODUCT((Inputs!$E$5:$E$230=$B21)*Inputs!$F$5:$F$230*(((Inputs!$G$5:$G$230="moeda")+(Inputs!$G$5:$G$230="acoes"))*Inputs!$B$1+((Inputs!$G$5:$G$230&lt;&gt;"moeda")*(Inputs!$G$5:$G$230&lt;&gt;"acoes")))*INDEX(Inputs!$K$5:$AJ$230,0,MATCH(I$2,Inputs!$K$4:$AJ$4,0)))))</f>
        <v>150.555</v>
      </c>
      <c r="J21" s="6">
        <f>IF(ISNA(MATCH(J$2,Inputs!$K$4:$AJ$4,0)),NA(),IF(SUMPRODUCT((Inputs!$A$5:$A$230=$B21)*ISNUMBER(INDEX(Inputs!$K$5:$AJ$230,0,MATCH(J$2,Inputs!$K$4:$AJ$4,0))))+SUMPRODUCT((Inputs!$C$5:$C$230=$B21)*ISNUMBER(INDEX(Inputs!$K$5:$AJ$230,0,MATCH(J$2,Inputs!$K$4:$AJ$4,0))))+SUMPRODUCT((Inputs!$E$5:$E$230=$B21)*ISNUMBER(INDEX(Inputs!$K$5:$AJ$230,0,MATCH(J$2,Inputs!$K$4:$AJ$4,0))))=0,NA(),SUMPRODUCT((Inputs!$A$5:$A$230=$B21)*Inputs!$B$5:$B$230*(((Inputs!$G$5:$G$230="moeda")+(Inputs!$G$5:$G$230="acoes"))*Inputs!$B$1+((Inputs!$G$5:$G$230&lt;&gt;"moeda")*(Inputs!$G$5:$G$230&lt;&gt;"acoes")))*INDEX(Inputs!$K$5:$AJ$230,0,MATCH(J$2,Inputs!$K$4:$AJ$4,0)))+SUMPRODUCT((Inputs!$C$5:$C$230=$B21)*Inputs!$D$5:$D$230*(((Inputs!$G$5:$G$230="moeda")+(Inputs!$G$5:$G$230="acoes"))*Inputs!$B$1+((Inputs!$G$5:$G$230&lt;&gt;"moeda")*(Inputs!$G$5:$G$230&lt;&gt;"acoes")))*INDEX(Inputs!$K$5:$AJ$230,0,MATCH(J$2,Inputs!$K$4:$AJ$4,0)))+SUMPRODUCT((Inputs!$E$5:$E$230=$B21)*Inputs!$F$5:$F$230*(((Inputs!$G$5:$G$230="moeda")+(Inputs!$G$5:$G$230="acoes"))*Inputs!$B$1+((Inputs!$G$5:$G$230&lt;&gt;"moeda")*(Inputs!$G$5:$G$230&lt;&gt;"acoes")))*INDEX(Inputs!$K$5:$AJ$230,0,MATCH(J$2,Inputs!$K$4:$AJ$4,0)))))</f>
        <v>153.088</v>
      </c>
      <c r="K21" s="6">
        <f>IF(ISNA(MATCH(K$2,Inputs!$K$4:$AJ$4,0)),NA(),IF(SUMPRODUCT((Inputs!$A$5:$A$230=$B21)*ISNUMBER(INDEX(Inputs!$K$5:$AJ$230,0,MATCH(K$2,Inputs!$K$4:$AJ$4,0))))+SUMPRODUCT((Inputs!$C$5:$C$230=$B21)*ISNUMBER(INDEX(Inputs!$K$5:$AJ$230,0,MATCH(K$2,Inputs!$K$4:$AJ$4,0))))+SUMPRODUCT((Inputs!$E$5:$E$230=$B21)*ISNUMBER(INDEX(Inputs!$K$5:$AJ$230,0,MATCH(K$2,Inputs!$K$4:$AJ$4,0))))=0,NA(),SUMPRODUCT((Inputs!$A$5:$A$230=$B21)*Inputs!$B$5:$B$230*(((Inputs!$G$5:$G$230="moeda")+(Inputs!$G$5:$G$230="acoes"))*Inputs!$B$1+((Inputs!$G$5:$G$230&lt;&gt;"moeda")*(Inputs!$G$5:$G$230&lt;&gt;"acoes")))*INDEX(Inputs!$K$5:$AJ$230,0,MATCH(K$2,Inputs!$K$4:$AJ$4,0)))+SUMPRODUCT((Inputs!$C$5:$C$230=$B21)*Inputs!$D$5:$D$230*(((Inputs!$G$5:$G$230="moeda")+(Inputs!$G$5:$G$230="acoes"))*Inputs!$B$1+((Inputs!$G$5:$G$230&lt;&gt;"moeda")*(Inputs!$G$5:$G$230&lt;&gt;"acoes")))*INDEX(Inputs!$K$5:$AJ$230,0,MATCH(K$2,Inputs!$K$4:$AJ$4,0)))+SUMPRODUCT((Inputs!$E$5:$E$230=$B21)*Inputs!$F$5:$F$230*(((Inputs!$G$5:$G$230="moeda")+(Inputs!$G$5:$G$230="acoes"))*Inputs!$B$1+((Inputs!$G$5:$G$230&lt;&gt;"moeda")*(Inputs!$G$5:$G$230&lt;&gt;"acoes")))*INDEX(Inputs!$K$5:$AJ$230,0,MATCH(K$2,Inputs!$K$4:$AJ$4,0)))))</f>
        <v>168.252</v>
      </c>
      <c r="L21" s="6">
        <f>IF(ISNA(MATCH(L$2,Inputs!$K$4:$AJ$4,0)),NA(),IF(SUMPRODUCT((Inputs!$A$5:$A$230=$B21)*ISNUMBER(INDEX(Inputs!$K$5:$AJ$230,0,MATCH(L$2,Inputs!$K$4:$AJ$4,0))))+SUMPRODUCT((Inputs!$C$5:$C$230=$B21)*ISNUMBER(INDEX(Inputs!$K$5:$AJ$230,0,MATCH(L$2,Inputs!$K$4:$AJ$4,0))))+SUMPRODUCT((Inputs!$E$5:$E$230=$B21)*ISNUMBER(INDEX(Inputs!$K$5:$AJ$230,0,MATCH(L$2,Inputs!$K$4:$AJ$4,0))))=0,NA(),SUMPRODUCT((Inputs!$A$5:$A$230=$B21)*Inputs!$B$5:$B$230*(((Inputs!$G$5:$G$230="moeda")+(Inputs!$G$5:$G$230="acoes"))*Inputs!$B$1+((Inputs!$G$5:$G$230&lt;&gt;"moeda")*(Inputs!$G$5:$G$230&lt;&gt;"acoes")))*INDEX(Inputs!$K$5:$AJ$230,0,MATCH(L$2,Inputs!$K$4:$AJ$4,0)))+SUMPRODUCT((Inputs!$C$5:$C$230=$B21)*Inputs!$D$5:$D$230*(((Inputs!$G$5:$G$230="moeda")+(Inputs!$G$5:$G$230="acoes"))*Inputs!$B$1+((Inputs!$G$5:$G$230&lt;&gt;"moeda")*(Inputs!$G$5:$G$230&lt;&gt;"acoes")))*INDEX(Inputs!$K$5:$AJ$230,0,MATCH(L$2,Inputs!$K$4:$AJ$4,0)))+SUMPRODUCT((Inputs!$E$5:$E$230=$B21)*Inputs!$F$5:$F$230*(((Inputs!$G$5:$G$230="moeda")+(Inputs!$G$5:$G$230="acoes"))*Inputs!$B$1+((Inputs!$G$5:$G$230&lt;&gt;"moeda")*(Inputs!$G$5:$G$230&lt;&gt;"acoes")))*INDEX(Inputs!$K$5:$AJ$230,0,MATCH(L$2,Inputs!$K$4:$AJ$4,0)))))</f>
        <v>176.062</v>
      </c>
      <c r="M21" s="3">
        <f>L21</f>
        <v>176.062</v>
      </c>
      <c r="N21" s="6">
        <f>IF(ISNA(MATCH(N$2,Inputs!$K$4:$AJ$4,0)),NA(),IF(SUMPRODUCT((Inputs!$A$5:$A$230=$B21)*ISNUMBER(INDEX(Inputs!$K$5:$AJ$230,0,MATCH(N$2,Inputs!$K$4:$AJ$4,0))))+SUMPRODUCT((Inputs!$C$5:$C$230=$B21)*ISNUMBER(INDEX(Inputs!$K$5:$AJ$230,0,MATCH(N$2,Inputs!$K$4:$AJ$4,0))))+SUMPRODUCT((Inputs!$E$5:$E$230=$B21)*ISNUMBER(INDEX(Inputs!$K$5:$AJ$230,0,MATCH(N$2,Inputs!$K$4:$AJ$4,0))))=0,NA(),SUMPRODUCT((Inputs!$A$5:$A$230=$B21)*Inputs!$B$5:$B$230*(((Inputs!$G$5:$G$230="moeda")+(Inputs!$G$5:$G$230="acoes"))*Inputs!$B$1+((Inputs!$G$5:$G$230&lt;&gt;"moeda")*(Inputs!$G$5:$G$230&lt;&gt;"acoes")))*INDEX(Inputs!$K$5:$AJ$230,0,MATCH(N$2,Inputs!$K$4:$AJ$4,0)))+SUMPRODUCT((Inputs!$C$5:$C$230=$B21)*Inputs!$D$5:$D$230*(((Inputs!$G$5:$G$230="moeda")+(Inputs!$G$5:$G$230="acoes"))*Inputs!$B$1+((Inputs!$G$5:$G$230&lt;&gt;"moeda")*(Inputs!$G$5:$G$230&lt;&gt;"acoes")))*INDEX(Inputs!$K$5:$AJ$230,0,MATCH(N$2,Inputs!$K$4:$AJ$4,0)))+SUMPRODUCT((Inputs!$E$5:$E$230=$B21)*Inputs!$F$5:$F$230*(((Inputs!$G$5:$G$230="moeda")+(Inputs!$G$5:$G$230="acoes"))*Inputs!$B$1+((Inputs!$G$5:$G$230&lt;&gt;"moeda")*(Inputs!$G$5:$G$230&lt;&gt;"acoes")))*INDEX(Inputs!$K$5:$AJ$230,0,MATCH(N$2,Inputs!$K$4:$AJ$4,0)))))</f>
        <v>186.664</v>
      </c>
      <c r="O21" s="6">
        <f>IF(ISNA(MATCH(O$2,Inputs!$K$4:$AJ$4,0)),NA(),IF(SUMPRODUCT((Inputs!$A$5:$A$230=$B21)*ISNUMBER(INDEX(Inputs!$K$5:$AJ$230,0,MATCH(O$2,Inputs!$K$4:$AJ$4,0))))+SUMPRODUCT((Inputs!$C$5:$C$230=$B21)*ISNUMBER(INDEX(Inputs!$K$5:$AJ$230,0,MATCH(O$2,Inputs!$K$4:$AJ$4,0))))+SUMPRODUCT((Inputs!$E$5:$E$230=$B21)*ISNUMBER(INDEX(Inputs!$K$5:$AJ$230,0,MATCH(O$2,Inputs!$K$4:$AJ$4,0))))=0,NA(),SUMPRODUCT((Inputs!$A$5:$A$230=$B21)*Inputs!$B$5:$B$230*(((Inputs!$G$5:$G$230="moeda")+(Inputs!$G$5:$G$230="acoes"))*Inputs!$B$1+((Inputs!$G$5:$G$230&lt;&gt;"moeda")*(Inputs!$G$5:$G$230&lt;&gt;"acoes")))*INDEX(Inputs!$K$5:$AJ$230,0,MATCH(O$2,Inputs!$K$4:$AJ$4,0)))+SUMPRODUCT((Inputs!$C$5:$C$230=$B21)*Inputs!$D$5:$D$230*(((Inputs!$G$5:$G$230="moeda")+(Inputs!$G$5:$G$230="acoes"))*Inputs!$B$1+((Inputs!$G$5:$G$230&lt;&gt;"moeda")*(Inputs!$G$5:$G$230&lt;&gt;"acoes")))*INDEX(Inputs!$K$5:$AJ$230,0,MATCH(O$2,Inputs!$K$4:$AJ$4,0)))+SUMPRODUCT((Inputs!$E$5:$E$230=$B21)*Inputs!$F$5:$F$230*(((Inputs!$G$5:$G$230="moeda")+(Inputs!$G$5:$G$230="acoes"))*Inputs!$B$1+((Inputs!$G$5:$G$230&lt;&gt;"moeda")*(Inputs!$G$5:$G$230&lt;&gt;"acoes")))*INDEX(Inputs!$K$5:$AJ$230,0,MATCH(O$2,Inputs!$K$4:$AJ$4,0)))))</f>
        <v>212.488</v>
      </c>
      <c r="P21" s="6">
        <f>IF(ISNA(MATCH(P$2,Inputs!$K$4:$AJ$4,0)),NA(),IF(SUMPRODUCT((Inputs!$A$5:$A$230=$B21)*ISNUMBER(INDEX(Inputs!$K$5:$AJ$230,0,MATCH(P$2,Inputs!$K$4:$AJ$4,0))))+SUMPRODUCT((Inputs!$C$5:$C$230=$B21)*ISNUMBER(INDEX(Inputs!$K$5:$AJ$230,0,MATCH(P$2,Inputs!$K$4:$AJ$4,0))))+SUMPRODUCT((Inputs!$E$5:$E$230=$B21)*ISNUMBER(INDEX(Inputs!$K$5:$AJ$230,0,MATCH(P$2,Inputs!$K$4:$AJ$4,0))))=0,NA(),SUMPRODUCT((Inputs!$A$5:$A$230=$B21)*Inputs!$B$5:$B$230*(((Inputs!$G$5:$G$230="moeda")+(Inputs!$G$5:$G$230="acoes"))*Inputs!$B$1+((Inputs!$G$5:$G$230&lt;&gt;"moeda")*(Inputs!$G$5:$G$230&lt;&gt;"acoes")))*INDEX(Inputs!$K$5:$AJ$230,0,MATCH(P$2,Inputs!$K$4:$AJ$4,0)))+SUMPRODUCT((Inputs!$C$5:$C$230=$B21)*Inputs!$D$5:$D$230*(((Inputs!$G$5:$G$230="moeda")+(Inputs!$G$5:$G$230="acoes"))*Inputs!$B$1+((Inputs!$G$5:$G$230&lt;&gt;"moeda")*(Inputs!$G$5:$G$230&lt;&gt;"acoes")))*INDEX(Inputs!$K$5:$AJ$230,0,MATCH(P$2,Inputs!$K$4:$AJ$4,0)))+SUMPRODUCT((Inputs!$E$5:$E$230=$B21)*Inputs!$F$5:$F$230*(((Inputs!$G$5:$G$230="moeda")+(Inputs!$G$5:$G$230="acoes"))*Inputs!$B$1+((Inputs!$G$5:$G$230&lt;&gt;"moeda")*(Inputs!$G$5:$G$230&lt;&gt;"acoes")))*INDEX(Inputs!$K$5:$AJ$230,0,MATCH(P$2,Inputs!$K$4:$AJ$4,0)))))</f>
        <v>218.734</v>
      </c>
      <c r="Q21" s="6">
        <f>IF(ISNA(MATCH(Q$2,Inputs!$K$4:$AJ$4,0)),NA(),IF(SUMPRODUCT((Inputs!$A$5:$A$230=$B21)*ISNUMBER(INDEX(Inputs!$K$5:$AJ$230,0,MATCH(Q$2,Inputs!$K$4:$AJ$4,0))))+SUMPRODUCT((Inputs!$C$5:$C$230=$B21)*ISNUMBER(INDEX(Inputs!$K$5:$AJ$230,0,MATCH(Q$2,Inputs!$K$4:$AJ$4,0))))+SUMPRODUCT((Inputs!$E$5:$E$230=$B21)*ISNUMBER(INDEX(Inputs!$K$5:$AJ$230,0,MATCH(Q$2,Inputs!$K$4:$AJ$4,0))))=0,NA(),SUMPRODUCT((Inputs!$A$5:$A$230=$B21)*Inputs!$B$5:$B$230*(((Inputs!$G$5:$G$230="moeda")+(Inputs!$G$5:$G$230="acoes"))*Inputs!$B$1+((Inputs!$G$5:$G$230&lt;&gt;"moeda")*(Inputs!$G$5:$G$230&lt;&gt;"acoes")))*INDEX(Inputs!$K$5:$AJ$230,0,MATCH(Q$2,Inputs!$K$4:$AJ$4,0)))+SUMPRODUCT((Inputs!$C$5:$C$230=$B21)*Inputs!$D$5:$D$230*(((Inputs!$G$5:$G$230="moeda")+(Inputs!$G$5:$G$230="acoes"))*Inputs!$B$1+((Inputs!$G$5:$G$230&lt;&gt;"moeda")*(Inputs!$G$5:$G$230&lt;&gt;"acoes")))*INDEX(Inputs!$K$5:$AJ$230,0,MATCH(Q$2,Inputs!$K$4:$AJ$4,0)))+SUMPRODUCT((Inputs!$E$5:$E$230=$B21)*Inputs!$F$5:$F$230*(((Inputs!$G$5:$G$230="moeda")+(Inputs!$G$5:$G$230="acoes"))*Inputs!$B$1+((Inputs!$G$5:$G$230&lt;&gt;"moeda")*(Inputs!$G$5:$G$230&lt;&gt;"acoes")))*INDEX(Inputs!$K$5:$AJ$230,0,MATCH(Q$2,Inputs!$K$4:$AJ$4,0)))))</f>
        <v>232.644</v>
      </c>
      <c r="R21" s="3">
        <f>Q21</f>
        <v>232.644</v>
      </c>
      <c r="S21" s="6">
        <f>IF(ISNA(MATCH(S$2,Inputs!$K$4:$AJ$4,0)),NA(),IF(SUMPRODUCT((Inputs!$A$5:$A$230=$B21)*ISNUMBER(INDEX(Inputs!$K$5:$AJ$230,0,MATCH(S$2,Inputs!$K$4:$AJ$4,0))))+SUMPRODUCT((Inputs!$C$5:$C$230=$B21)*ISNUMBER(INDEX(Inputs!$K$5:$AJ$230,0,MATCH(S$2,Inputs!$K$4:$AJ$4,0))))+SUMPRODUCT((Inputs!$E$5:$E$230=$B21)*ISNUMBER(INDEX(Inputs!$K$5:$AJ$230,0,MATCH(S$2,Inputs!$K$4:$AJ$4,0))))=0,NA(),SUMPRODUCT((Inputs!$A$5:$A$230=$B21)*Inputs!$B$5:$B$230*(((Inputs!$G$5:$G$230="moeda")+(Inputs!$G$5:$G$230="acoes"))*Inputs!$B$1+((Inputs!$G$5:$G$230&lt;&gt;"moeda")*(Inputs!$G$5:$G$230&lt;&gt;"acoes")))*INDEX(Inputs!$K$5:$AJ$230,0,MATCH(S$2,Inputs!$K$4:$AJ$4,0)))+SUMPRODUCT((Inputs!$C$5:$C$230=$B21)*Inputs!$D$5:$D$230*(((Inputs!$G$5:$G$230="moeda")+(Inputs!$G$5:$G$230="acoes"))*Inputs!$B$1+((Inputs!$G$5:$G$230&lt;&gt;"moeda")*(Inputs!$G$5:$G$230&lt;&gt;"acoes")))*INDEX(Inputs!$K$5:$AJ$230,0,MATCH(S$2,Inputs!$K$4:$AJ$4,0)))+SUMPRODUCT((Inputs!$E$5:$E$230=$B21)*Inputs!$F$5:$F$230*(((Inputs!$G$5:$G$230="moeda")+(Inputs!$G$5:$G$230="acoes"))*Inputs!$B$1+((Inputs!$G$5:$G$230&lt;&gt;"moeda")*(Inputs!$G$5:$G$230&lt;&gt;"acoes")))*INDEX(Inputs!$K$5:$AJ$230,0,MATCH(S$2,Inputs!$K$4:$AJ$4,0)))))</f>
        <v>248.826</v>
      </c>
      <c r="T21" s="6">
        <f>IF(ISNA(MATCH(T$2,Inputs!$K$4:$AJ$4,0)),NA(),IF(SUMPRODUCT((Inputs!$A$5:$A$230=$B21)*ISNUMBER(INDEX(Inputs!$K$5:$AJ$230,0,MATCH(T$2,Inputs!$K$4:$AJ$4,0))))+SUMPRODUCT((Inputs!$C$5:$C$230=$B21)*ISNUMBER(INDEX(Inputs!$K$5:$AJ$230,0,MATCH(T$2,Inputs!$K$4:$AJ$4,0))))+SUMPRODUCT((Inputs!$E$5:$E$230=$B21)*ISNUMBER(INDEX(Inputs!$K$5:$AJ$230,0,MATCH(T$2,Inputs!$K$4:$AJ$4,0))))=0,NA(),SUMPRODUCT((Inputs!$A$5:$A$230=$B21)*Inputs!$B$5:$B$230*(((Inputs!$G$5:$G$230="moeda")+(Inputs!$G$5:$G$230="acoes"))*Inputs!$B$1+((Inputs!$G$5:$G$230&lt;&gt;"moeda")*(Inputs!$G$5:$G$230&lt;&gt;"acoes")))*INDEX(Inputs!$K$5:$AJ$230,0,MATCH(T$2,Inputs!$K$4:$AJ$4,0)))+SUMPRODUCT((Inputs!$C$5:$C$230=$B21)*Inputs!$D$5:$D$230*(((Inputs!$G$5:$G$230="moeda")+(Inputs!$G$5:$G$230="acoes"))*Inputs!$B$1+((Inputs!$G$5:$G$230&lt;&gt;"moeda")*(Inputs!$G$5:$G$230&lt;&gt;"acoes")))*INDEX(Inputs!$K$5:$AJ$230,0,MATCH(T$2,Inputs!$K$4:$AJ$4,0)))+SUMPRODUCT((Inputs!$E$5:$E$230=$B21)*Inputs!$F$5:$F$230*(((Inputs!$G$5:$G$230="moeda")+(Inputs!$G$5:$G$230="acoes"))*Inputs!$B$1+((Inputs!$G$5:$G$230&lt;&gt;"moeda")*(Inputs!$G$5:$G$230&lt;&gt;"acoes")))*INDEX(Inputs!$K$5:$AJ$230,0,MATCH(T$2,Inputs!$K$4:$AJ$4,0)))))</f>
        <v>279.634</v>
      </c>
      <c r="U21" s="6">
        <f>IF(ISNA(MATCH(U$2,Inputs!$K$4:$AJ$4,0)),NA(),IF(SUMPRODUCT((Inputs!$A$5:$A$230=$B21)*ISNUMBER(INDEX(Inputs!$K$5:$AJ$230,0,MATCH(U$2,Inputs!$K$4:$AJ$4,0))))+SUMPRODUCT((Inputs!$C$5:$C$230=$B21)*ISNUMBER(INDEX(Inputs!$K$5:$AJ$230,0,MATCH(U$2,Inputs!$K$4:$AJ$4,0))))+SUMPRODUCT((Inputs!$E$5:$E$230=$B21)*ISNUMBER(INDEX(Inputs!$K$5:$AJ$230,0,MATCH(U$2,Inputs!$K$4:$AJ$4,0))))=0,NA(),SUMPRODUCT((Inputs!$A$5:$A$230=$B21)*Inputs!$B$5:$B$230*(((Inputs!$G$5:$G$230="moeda")+(Inputs!$G$5:$G$230="acoes"))*Inputs!$B$1+((Inputs!$G$5:$G$230&lt;&gt;"moeda")*(Inputs!$G$5:$G$230&lt;&gt;"acoes")))*INDEX(Inputs!$K$5:$AJ$230,0,MATCH(U$2,Inputs!$K$4:$AJ$4,0)))+SUMPRODUCT((Inputs!$C$5:$C$230=$B21)*Inputs!$D$5:$D$230*(((Inputs!$G$5:$G$230="moeda")+(Inputs!$G$5:$G$230="acoes"))*Inputs!$B$1+((Inputs!$G$5:$G$230&lt;&gt;"moeda")*(Inputs!$G$5:$G$230&lt;&gt;"acoes")))*INDEX(Inputs!$K$5:$AJ$230,0,MATCH(U$2,Inputs!$K$4:$AJ$4,0)))+SUMPRODUCT((Inputs!$E$5:$E$230=$B21)*Inputs!$F$5:$F$230*(((Inputs!$G$5:$G$230="moeda")+(Inputs!$G$5:$G$230="acoes"))*Inputs!$B$1+((Inputs!$G$5:$G$230&lt;&gt;"moeda")*(Inputs!$G$5:$G$230&lt;&gt;"acoes")))*INDEX(Inputs!$K$5:$AJ$230,0,MATCH(U$2,Inputs!$K$4:$AJ$4,0)))))</f>
        <v>328.05</v>
      </c>
      <c r="V21" s="6">
        <f>IF(ISNA(MATCH(V$2,Inputs!$K$4:$AJ$4,0)),NA(),IF(SUMPRODUCT((Inputs!$A$5:$A$230=$B21)*ISNUMBER(INDEX(Inputs!$K$5:$AJ$230,0,MATCH(V$2,Inputs!$K$4:$AJ$4,0))))+SUMPRODUCT((Inputs!$C$5:$C$230=$B21)*ISNUMBER(INDEX(Inputs!$K$5:$AJ$230,0,MATCH(V$2,Inputs!$K$4:$AJ$4,0))))+SUMPRODUCT((Inputs!$E$5:$E$230=$B21)*ISNUMBER(INDEX(Inputs!$K$5:$AJ$230,0,MATCH(V$2,Inputs!$K$4:$AJ$4,0))))=0,NA(),SUMPRODUCT((Inputs!$A$5:$A$230=$B21)*Inputs!$B$5:$B$230*(((Inputs!$G$5:$G$230="moeda")+(Inputs!$G$5:$G$230="acoes"))*Inputs!$B$1+((Inputs!$G$5:$G$230&lt;&gt;"moeda")*(Inputs!$G$5:$G$230&lt;&gt;"acoes")))*INDEX(Inputs!$K$5:$AJ$230,0,MATCH(V$2,Inputs!$K$4:$AJ$4,0)))+SUMPRODUCT((Inputs!$C$5:$C$230=$B21)*Inputs!$D$5:$D$230*(((Inputs!$G$5:$G$230="moeda")+(Inputs!$G$5:$G$230="acoes"))*Inputs!$B$1+((Inputs!$G$5:$G$230&lt;&gt;"moeda")*(Inputs!$G$5:$G$230&lt;&gt;"acoes")))*INDEX(Inputs!$K$5:$AJ$230,0,MATCH(V$2,Inputs!$K$4:$AJ$4,0)))+SUMPRODUCT((Inputs!$E$5:$E$230=$B21)*Inputs!$F$5:$F$230*(((Inputs!$G$5:$G$230="moeda")+(Inputs!$G$5:$G$230="acoes"))*Inputs!$B$1+((Inputs!$G$5:$G$230&lt;&gt;"moeda")*(Inputs!$G$5:$G$230&lt;&gt;"acoes")))*INDEX(Inputs!$K$5:$AJ$230,0,MATCH(V$2,Inputs!$K$4:$AJ$4,0)))))</f>
        <v>381.647</v>
      </c>
      <c r="W21" s="3">
        <f>V21</f>
        <v>381.647</v>
      </c>
      <c r="X21" s="6">
        <f>IF(ISNA(MATCH(X$2,Inputs!$K$4:$AJ$4,0)),NA(),IF(SUMPRODUCT((Inputs!$A$5:$A$230=$B21)*ISNUMBER(INDEX(Inputs!$K$5:$AJ$230,0,MATCH(X$2,Inputs!$K$4:$AJ$4,0))))+SUMPRODUCT((Inputs!$C$5:$C$230=$B21)*ISNUMBER(INDEX(Inputs!$K$5:$AJ$230,0,MATCH(X$2,Inputs!$K$4:$AJ$4,0))))+SUMPRODUCT((Inputs!$E$5:$E$230=$B21)*ISNUMBER(INDEX(Inputs!$K$5:$AJ$230,0,MATCH(X$2,Inputs!$K$4:$AJ$4,0))))=0,NA(),SUMPRODUCT((Inputs!$A$5:$A$230=$B21)*Inputs!$B$5:$B$230*(((Inputs!$G$5:$G$230="moeda")+(Inputs!$G$5:$G$230="acoes"))*Inputs!$B$1+((Inputs!$G$5:$G$230&lt;&gt;"moeda")*(Inputs!$G$5:$G$230&lt;&gt;"acoes")))*INDEX(Inputs!$K$5:$AJ$230,0,MATCH(X$2,Inputs!$K$4:$AJ$4,0)))+SUMPRODUCT((Inputs!$C$5:$C$230=$B21)*Inputs!$D$5:$D$230*(((Inputs!$G$5:$G$230="moeda")+(Inputs!$G$5:$G$230="acoes"))*Inputs!$B$1+((Inputs!$G$5:$G$230&lt;&gt;"moeda")*(Inputs!$G$5:$G$230&lt;&gt;"acoes")))*INDEX(Inputs!$K$5:$AJ$230,0,MATCH(X$2,Inputs!$K$4:$AJ$4,0)))+SUMPRODUCT((Inputs!$E$5:$E$230=$B21)*Inputs!$F$5:$F$230*(((Inputs!$G$5:$G$230="moeda")+(Inputs!$G$5:$G$230="acoes"))*Inputs!$B$1+((Inputs!$G$5:$G$230&lt;&gt;"moeda")*(Inputs!$G$5:$G$230&lt;&gt;"acoes")))*INDEX(Inputs!$K$5:$AJ$230,0,MATCH(X$2,Inputs!$K$4:$AJ$4,0)))))</f>
        <v>431.194</v>
      </c>
      <c r="Y21" s="6">
        <f>IF(ISNA(MATCH(Y$2,Inputs!$K$4:$AJ$4,0)),NA(),IF(SUMPRODUCT((Inputs!$A$5:$A$230=$B21)*ISNUMBER(INDEX(Inputs!$K$5:$AJ$230,0,MATCH(Y$2,Inputs!$K$4:$AJ$4,0))))+SUMPRODUCT((Inputs!$C$5:$C$230=$B21)*ISNUMBER(INDEX(Inputs!$K$5:$AJ$230,0,MATCH(Y$2,Inputs!$K$4:$AJ$4,0))))+SUMPRODUCT((Inputs!$E$5:$E$230=$B21)*ISNUMBER(INDEX(Inputs!$K$5:$AJ$230,0,MATCH(Y$2,Inputs!$K$4:$AJ$4,0))))=0,NA(),SUMPRODUCT((Inputs!$A$5:$A$230=$B21)*Inputs!$B$5:$B$230*(((Inputs!$G$5:$G$230="moeda")+(Inputs!$G$5:$G$230="acoes"))*Inputs!$B$1+((Inputs!$G$5:$G$230&lt;&gt;"moeda")*(Inputs!$G$5:$G$230&lt;&gt;"acoes")))*INDEX(Inputs!$K$5:$AJ$230,0,MATCH(Y$2,Inputs!$K$4:$AJ$4,0)))+SUMPRODUCT((Inputs!$C$5:$C$230=$B21)*Inputs!$D$5:$D$230*(((Inputs!$G$5:$G$230="moeda")+(Inputs!$G$5:$G$230="acoes"))*Inputs!$B$1+((Inputs!$G$5:$G$230&lt;&gt;"moeda")*(Inputs!$G$5:$G$230&lt;&gt;"acoes")))*INDEX(Inputs!$K$5:$AJ$230,0,MATCH(Y$2,Inputs!$K$4:$AJ$4,0)))+SUMPRODUCT((Inputs!$E$5:$E$230=$B21)*Inputs!$F$5:$F$230*(((Inputs!$G$5:$G$230="moeda")+(Inputs!$G$5:$G$230="acoes"))*Inputs!$B$1+((Inputs!$G$5:$G$230&lt;&gt;"moeda")*(Inputs!$G$5:$G$230&lt;&gt;"acoes")))*INDEX(Inputs!$K$5:$AJ$230,0,MATCH(Y$2,Inputs!$K$4:$AJ$4,0)))))</f>
        <v>324.079</v>
      </c>
      <c r="Z21" s="6">
        <f>IF(ISNA(MATCH(Z$2,Inputs!$K$4:$AJ$4,0)),NA(),IF(SUMPRODUCT((Inputs!$A$5:$A$230=$B21)*ISNUMBER(INDEX(Inputs!$K$5:$AJ$230,0,MATCH(Z$2,Inputs!$K$4:$AJ$4,0))))+SUMPRODUCT((Inputs!$C$5:$C$230=$B21)*ISNUMBER(INDEX(Inputs!$K$5:$AJ$230,0,MATCH(Z$2,Inputs!$K$4:$AJ$4,0))))+SUMPRODUCT((Inputs!$E$5:$E$230=$B21)*ISNUMBER(INDEX(Inputs!$K$5:$AJ$230,0,MATCH(Z$2,Inputs!$K$4:$AJ$4,0))))=0,NA(),SUMPRODUCT((Inputs!$A$5:$A$230=$B21)*Inputs!$B$5:$B$230*(((Inputs!$G$5:$G$230="moeda")+(Inputs!$G$5:$G$230="acoes"))*Inputs!$B$1+((Inputs!$G$5:$G$230&lt;&gt;"moeda")*(Inputs!$G$5:$G$230&lt;&gt;"acoes")))*INDEX(Inputs!$K$5:$AJ$230,0,MATCH(Z$2,Inputs!$K$4:$AJ$4,0)))+SUMPRODUCT((Inputs!$C$5:$C$230=$B21)*Inputs!$D$5:$D$230*(((Inputs!$G$5:$G$230="moeda")+(Inputs!$G$5:$G$230="acoes"))*Inputs!$B$1+((Inputs!$G$5:$G$230&lt;&gt;"moeda")*(Inputs!$G$5:$G$230&lt;&gt;"acoes")))*INDEX(Inputs!$K$5:$AJ$230,0,MATCH(Z$2,Inputs!$K$4:$AJ$4,0)))+SUMPRODUCT((Inputs!$E$5:$E$230=$B21)*Inputs!$F$5:$F$230*(((Inputs!$G$5:$G$230="moeda")+(Inputs!$G$5:$G$230="acoes"))*Inputs!$B$1+((Inputs!$G$5:$G$230&lt;&gt;"moeda")*(Inputs!$G$5:$G$230&lt;&gt;"acoes")))*INDEX(Inputs!$K$5:$AJ$230,0,MATCH(Z$2,Inputs!$K$4:$AJ$4,0)))))</f>
        <v>807.382</v>
      </c>
      <c r="AA21" s="6">
        <f>IF(ISNA(MATCH(AA$2,Inputs!$K$4:$AJ$4,0)),NA(),IF(SUMPRODUCT((Inputs!$A$5:$A$230=$B21)*ISNUMBER(INDEX(Inputs!$K$5:$AJ$230,0,MATCH(AA$2,Inputs!$K$4:$AJ$4,0))))+SUMPRODUCT((Inputs!$C$5:$C$230=$B21)*ISNUMBER(INDEX(Inputs!$K$5:$AJ$230,0,MATCH(AA$2,Inputs!$K$4:$AJ$4,0))))+SUMPRODUCT((Inputs!$E$5:$E$230=$B21)*ISNUMBER(INDEX(Inputs!$K$5:$AJ$230,0,MATCH(AA$2,Inputs!$K$4:$AJ$4,0))))=0,NA(),SUMPRODUCT((Inputs!$A$5:$A$230=$B21)*Inputs!$B$5:$B$230*(((Inputs!$G$5:$G$230="moeda")+(Inputs!$G$5:$G$230="acoes"))*Inputs!$B$1+((Inputs!$G$5:$G$230&lt;&gt;"moeda")*(Inputs!$G$5:$G$230&lt;&gt;"acoes")))*INDEX(Inputs!$K$5:$AJ$230,0,MATCH(AA$2,Inputs!$K$4:$AJ$4,0)))+SUMPRODUCT((Inputs!$C$5:$C$230=$B21)*Inputs!$D$5:$D$230*(((Inputs!$G$5:$G$230="moeda")+(Inputs!$G$5:$G$230="acoes"))*Inputs!$B$1+((Inputs!$G$5:$G$230&lt;&gt;"moeda")*(Inputs!$G$5:$G$230&lt;&gt;"acoes")))*INDEX(Inputs!$K$5:$AJ$230,0,MATCH(AA$2,Inputs!$K$4:$AJ$4,0)))+SUMPRODUCT((Inputs!$E$5:$E$230=$B21)*Inputs!$F$5:$F$230*(((Inputs!$G$5:$G$230="moeda")+(Inputs!$G$5:$G$230="acoes"))*Inputs!$B$1+((Inputs!$G$5:$G$230&lt;&gt;"moeda")*(Inputs!$G$5:$G$230&lt;&gt;"acoes")))*INDEX(Inputs!$K$5:$AJ$230,0,MATCH(AA$2,Inputs!$K$4:$AJ$4,0)))))</f>
        <v>817.595</v>
      </c>
      <c r="AB21" s="3">
        <f>AA21</f>
        <v>817.595</v>
      </c>
      <c r="AC21" s="6">
        <f>IF(ISNA(MATCH(AC$2,Inputs!$K$4:$AJ$4,0)),NA(),IF(SUMPRODUCT((Inputs!$A$5:$A$230=$B21)*ISNUMBER(INDEX(Inputs!$K$5:$AJ$230,0,MATCH(AC$2,Inputs!$K$4:$AJ$4,0))))+SUMPRODUCT((Inputs!$C$5:$C$230=$B21)*ISNUMBER(INDEX(Inputs!$K$5:$AJ$230,0,MATCH(AC$2,Inputs!$K$4:$AJ$4,0))))+SUMPRODUCT((Inputs!$E$5:$E$230=$B21)*ISNUMBER(INDEX(Inputs!$K$5:$AJ$230,0,MATCH(AC$2,Inputs!$K$4:$AJ$4,0))))=0,NA(),SUMPRODUCT((Inputs!$A$5:$A$230=$B21)*Inputs!$B$5:$B$230*(((Inputs!$G$5:$G$230="moeda")+(Inputs!$G$5:$G$230="acoes"))*Inputs!$B$1+((Inputs!$G$5:$G$230&lt;&gt;"moeda")*(Inputs!$G$5:$G$230&lt;&gt;"acoes")))*INDEX(Inputs!$K$5:$AJ$230,0,MATCH(AC$2,Inputs!$K$4:$AJ$4,0)))+SUMPRODUCT((Inputs!$C$5:$C$230=$B21)*Inputs!$D$5:$D$230*(((Inputs!$G$5:$G$230="moeda")+(Inputs!$G$5:$G$230="acoes"))*Inputs!$B$1+((Inputs!$G$5:$G$230&lt;&gt;"moeda")*(Inputs!$G$5:$G$230&lt;&gt;"acoes")))*INDEX(Inputs!$K$5:$AJ$230,0,MATCH(AC$2,Inputs!$K$4:$AJ$4,0)))+SUMPRODUCT((Inputs!$E$5:$E$230=$B21)*Inputs!$F$5:$F$230*(((Inputs!$G$5:$G$230="moeda")+(Inputs!$G$5:$G$230="acoes"))*Inputs!$B$1+((Inputs!$G$5:$G$230&lt;&gt;"moeda")*(Inputs!$G$5:$G$230&lt;&gt;"acoes")))*INDEX(Inputs!$K$5:$AJ$230,0,MATCH(AC$2,Inputs!$K$4:$AJ$4,0)))))</f>
        <v>842.58</v>
      </c>
      <c r="AD21" s="6">
        <f>IF(ISNA(MATCH(AD$2,Inputs!$K$4:$AJ$4,0)),NA(),IF(SUMPRODUCT((Inputs!$A$5:$A$230=$B21)*ISNUMBER(INDEX(Inputs!$K$5:$AJ$230,0,MATCH(AD$2,Inputs!$K$4:$AJ$4,0))))+SUMPRODUCT((Inputs!$C$5:$C$230=$B21)*ISNUMBER(INDEX(Inputs!$K$5:$AJ$230,0,MATCH(AD$2,Inputs!$K$4:$AJ$4,0))))+SUMPRODUCT((Inputs!$E$5:$E$230=$B21)*ISNUMBER(INDEX(Inputs!$K$5:$AJ$230,0,MATCH(AD$2,Inputs!$K$4:$AJ$4,0))))=0,NA(),SUMPRODUCT((Inputs!$A$5:$A$230=$B21)*Inputs!$B$5:$B$230*(((Inputs!$G$5:$G$230="moeda")+(Inputs!$G$5:$G$230="acoes"))*Inputs!$B$1+((Inputs!$G$5:$G$230&lt;&gt;"moeda")*(Inputs!$G$5:$G$230&lt;&gt;"acoes")))*INDEX(Inputs!$K$5:$AJ$230,0,MATCH(AD$2,Inputs!$K$4:$AJ$4,0)))+SUMPRODUCT((Inputs!$C$5:$C$230=$B21)*Inputs!$D$5:$D$230*(((Inputs!$G$5:$G$230="moeda")+(Inputs!$G$5:$G$230="acoes"))*Inputs!$B$1+((Inputs!$G$5:$G$230&lt;&gt;"moeda")*(Inputs!$G$5:$G$230&lt;&gt;"acoes")))*INDEX(Inputs!$K$5:$AJ$230,0,MATCH(AD$2,Inputs!$K$4:$AJ$4,0)))+SUMPRODUCT((Inputs!$E$5:$E$230=$B21)*Inputs!$F$5:$F$230*(((Inputs!$G$5:$G$230="moeda")+(Inputs!$G$5:$G$230="acoes"))*Inputs!$B$1+((Inputs!$G$5:$G$230&lt;&gt;"moeda")*(Inputs!$G$5:$G$230&lt;&gt;"acoes")))*INDEX(Inputs!$K$5:$AJ$230,0,MATCH(AD$2,Inputs!$K$4:$AJ$4,0)))))</f>
        <v>872.439</v>
      </c>
      <c r="AE21" s="6" t="e">
        <f>IF(ISNA(MATCH(AE$2,Inputs!$K$4:$AJ$4,0)),NA(),IF(SUMPRODUCT((Inputs!$A$5:$A$230=$B21)*ISNUMBER(INDEX(Inputs!$K$5:$AJ$230,0,MATCH(AE$2,Inputs!$K$4:$AJ$4,0))))+SUMPRODUCT((Inputs!$C$5:$C$230=$B21)*ISNUMBER(INDEX(Inputs!$K$5:$AJ$230,0,MATCH(AE$2,Inputs!$K$4:$AJ$4,0))))+SUMPRODUCT((Inputs!$E$5:$E$230=$B21)*ISNUMBER(INDEX(Inputs!$K$5:$AJ$230,0,MATCH(AE$2,Inputs!$K$4:$AJ$4,0))))=0,NA(),SUMPRODUCT((Inputs!$A$5:$A$230=$B21)*Inputs!$B$5:$B$230*(((Inputs!$G$5:$G$230="moeda")+(Inputs!$G$5:$G$230="acoes"))*Inputs!$B$1+((Inputs!$G$5:$G$230&lt;&gt;"moeda")*(Inputs!$G$5:$G$230&lt;&gt;"acoes")))*INDEX(Inputs!$K$5:$AJ$230,0,MATCH(AE$2,Inputs!$K$4:$AJ$4,0)))+SUMPRODUCT((Inputs!$C$5:$C$230=$B21)*Inputs!$D$5:$D$230*(((Inputs!$G$5:$G$230="moeda")+(Inputs!$G$5:$G$230="acoes"))*Inputs!$B$1+((Inputs!$G$5:$G$230&lt;&gt;"moeda")*(Inputs!$G$5:$G$230&lt;&gt;"acoes")))*INDEX(Inputs!$K$5:$AJ$230,0,MATCH(AE$2,Inputs!$K$4:$AJ$4,0)))+SUMPRODUCT((Inputs!$E$5:$E$230=$B21)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21" s="6" t="e">
        <f>IF(ISNA(MATCH(AF$2,Inputs!$K$4:$AJ$4,0)),NA(),IF(SUMPRODUCT((Inputs!$A$5:$A$230=$B21)*ISNUMBER(INDEX(Inputs!$K$5:$AJ$230,0,MATCH(AF$2,Inputs!$K$4:$AJ$4,0))))+SUMPRODUCT((Inputs!$C$5:$C$230=$B21)*ISNUMBER(INDEX(Inputs!$K$5:$AJ$230,0,MATCH(AF$2,Inputs!$K$4:$AJ$4,0))))+SUMPRODUCT((Inputs!$E$5:$E$230=$B21)*ISNUMBER(INDEX(Inputs!$K$5:$AJ$230,0,MATCH(AF$2,Inputs!$K$4:$AJ$4,0))))=0,NA(),SUMPRODUCT((Inputs!$A$5:$A$230=$B21)*Inputs!$B$5:$B$230*(((Inputs!$G$5:$G$230="moeda")+(Inputs!$G$5:$G$230="acoes"))*Inputs!$B$1+((Inputs!$G$5:$G$230&lt;&gt;"moeda")*(Inputs!$G$5:$G$230&lt;&gt;"acoes")))*INDEX(Inputs!$K$5:$AJ$230,0,MATCH(AF$2,Inputs!$K$4:$AJ$4,0)))+SUMPRODUCT((Inputs!$C$5:$C$230=$B21)*Inputs!$D$5:$D$230*(((Inputs!$G$5:$G$230="moeda")+(Inputs!$G$5:$G$230="acoes"))*Inputs!$B$1+((Inputs!$G$5:$G$230&lt;&gt;"moeda")*(Inputs!$G$5:$G$230&lt;&gt;"acoes")))*INDEX(Inputs!$K$5:$AJ$230,0,MATCH(AF$2,Inputs!$K$4:$AJ$4,0)))+SUMPRODUCT((Inputs!$E$5:$E$230=$B21)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21" s="3" t="e">
        <f>AF21</f>
        <v>#N/A</v>
      </c>
      <c r="AH21" s="6">
        <f>IF(ISNA(MATCH(AH$2,Inputs!$K$4:$AJ$4,0)),NA(),IF(SUMPRODUCT((Inputs!$A$5:$A$230=$B21)*ISNUMBER(INDEX(Inputs!$K$5:$AJ$230,0,MATCH(AH$2,Inputs!$K$4:$AJ$4,0))))+SUMPRODUCT((Inputs!$C$5:$C$230=$B21)*ISNUMBER(INDEX(Inputs!$K$5:$AJ$230,0,MATCH(AH$2,Inputs!$K$4:$AJ$4,0))))+SUMPRODUCT((Inputs!$E$5:$E$230=$B21)*ISNUMBER(INDEX(Inputs!$K$5:$AJ$230,0,MATCH(AH$2,Inputs!$K$4:$AJ$4,0))))=0,NA(),SUMPRODUCT((Inputs!$A$5:$A$230=$B21)*Inputs!$B$5:$B$230*(((Inputs!$G$5:$G$230="moeda")+(Inputs!$G$5:$G$230="acoes"))*Inputs!$B$1+((Inputs!$G$5:$G$230&lt;&gt;"moeda")*(Inputs!$G$5:$G$230&lt;&gt;"acoes")))*INDEX(Inputs!$K$5:$AJ$230,0,MATCH(AH$2,Inputs!$K$4:$AJ$4,0)))+SUMPRODUCT((Inputs!$C$5:$C$230=$B21)*Inputs!$D$5:$D$230*(((Inputs!$G$5:$G$230="moeda")+(Inputs!$G$5:$G$230="acoes"))*Inputs!$B$1+((Inputs!$G$5:$G$230&lt;&gt;"moeda")*(Inputs!$G$5:$G$230&lt;&gt;"acoes")))*INDEX(Inputs!$K$5:$AJ$230,0,MATCH(AH$2,Inputs!$K$4:$AJ$4,0)))+SUMPRODUCT((Inputs!$E$5:$E$230=$B21)*Inputs!$F$5:$F$230*(((Inputs!$G$5:$G$230="moeda")+(Inputs!$G$5:$G$230="acoes"))*Inputs!$B$1+((Inputs!$G$5:$G$230&lt;&gt;"moeda")*(Inputs!$G$5:$G$230&lt;&gt;"acoes")))*INDEX(Inputs!$K$5:$AJ$230,0,MATCH(AH$2,Inputs!$K$4:$AJ$4,0)))))</f>
        <v>143.332</v>
      </c>
      <c r="AI21" s="6">
        <f>IF(ISNA(MATCH(AI$2,Inputs!$K$4:$AJ$4,0)),NA(),IF(SUMPRODUCT((Inputs!$A$5:$A$230=$B21)*ISNUMBER(INDEX(Inputs!$K$5:$AJ$230,0,MATCH(AI$2,Inputs!$K$4:$AJ$4,0))))+SUMPRODUCT((Inputs!$C$5:$C$230=$B21)*ISNUMBER(INDEX(Inputs!$K$5:$AJ$230,0,MATCH(AI$2,Inputs!$K$4:$AJ$4,0))))+SUMPRODUCT((Inputs!$E$5:$E$230=$B21)*ISNUMBER(INDEX(Inputs!$K$5:$AJ$230,0,MATCH(AI$2,Inputs!$K$4:$AJ$4,0))))=0,NA(),SUMPRODUCT((Inputs!$A$5:$A$230=$B21)*Inputs!$B$5:$B$230*(((Inputs!$G$5:$G$230="moeda")+(Inputs!$G$5:$G$230="acoes"))*Inputs!$B$1+((Inputs!$G$5:$G$230&lt;&gt;"moeda")*(Inputs!$G$5:$G$230&lt;&gt;"acoes")))*INDEX(Inputs!$K$5:$AJ$230,0,MATCH(AI$2,Inputs!$K$4:$AJ$4,0)))+SUMPRODUCT((Inputs!$C$5:$C$230=$B21)*Inputs!$D$5:$D$230*(((Inputs!$G$5:$G$230="moeda")+(Inputs!$G$5:$G$230="acoes"))*Inputs!$B$1+((Inputs!$G$5:$G$230&lt;&gt;"moeda")*(Inputs!$G$5:$G$230&lt;&gt;"acoes")))*INDEX(Inputs!$K$5:$AJ$230,0,MATCH(AI$2,Inputs!$K$4:$AJ$4,0)))+SUMPRODUCT((Inputs!$E$5:$E$230=$B21)*Inputs!$F$5:$F$230*(((Inputs!$G$5:$G$230="moeda")+(Inputs!$G$5:$G$230="acoes"))*Inputs!$B$1+((Inputs!$G$5:$G$230&lt;&gt;"moeda")*(Inputs!$G$5:$G$230&lt;&gt;"acoes")))*INDEX(Inputs!$K$5:$AJ$230,0,MATCH(AI$2,Inputs!$K$4:$AJ$4,0)))))</f>
        <v>144.271</v>
      </c>
      <c r="AJ21" s="6">
        <f>IF(ISNA(MATCH(AJ$2,Inputs!$K$4:$AJ$4,0)),NA(),IF(SUMPRODUCT((Inputs!$A$5:$A$230=$B21)*ISNUMBER(INDEX(Inputs!$K$5:$AJ$230,0,MATCH(AJ$2,Inputs!$K$4:$AJ$4,0))))+SUMPRODUCT((Inputs!$C$5:$C$230=$B21)*ISNUMBER(INDEX(Inputs!$K$5:$AJ$230,0,MATCH(AJ$2,Inputs!$K$4:$AJ$4,0))))+SUMPRODUCT((Inputs!$E$5:$E$230=$B21)*ISNUMBER(INDEX(Inputs!$K$5:$AJ$230,0,MATCH(AJ$2,Inputs!$K$4:$AJ$4,0))))=0,NA(),SUMPRODUCT((Inputs!$A$5:$A$230=$B21)*Inputs!$B$5:$B$230*(((Inputs!$G$5:$G$230="moeda")+(Inputs!$G$5:$G$230="acoes"))*Inputs!$B$1+((Inputs!$G$5:$G$230&lt;&gt;"moeda")*(Inputs!$G$5:$G$230&lt;&gt;"acoes")))*INDEX(Inputs!$K$5:$AJ$230,0,MATCH(AJ$2,Inputs!$K$4:$AJ$4,0)))+SUMPRODUCT((Inputs!$C$5:$C$230=$B21)*Inputs!$D$5:$D$230*(((Inputs!$G$5:$G$230="moeda")+(Inputs!$G$5:$G$230="acoes"))*Inputs!$B$1+((Inputs!$G$5:$G$230&lt;&gt;"moeda")*(Inputs!$G$5:$G$230&lt;&gt;"acoes")))*INDEX(Inputs!$K$5:$AJ$230,0,MATCH(AJ$2,Inputs!$K$4:$AJ$4,0)))+SUMPRODUCT((Inputs!$E$5:$E$230=$B21)*Inputs!$F$5:$F$230*(((Inputs!$G$5:$G$230="moeda")+(Inputs!$G$5:$G$230="acoes"))*Inputs!$B$1+((Inputs!$G$5:$G$230&lt;&gt;"moeda")*(Inputs!$G$5:$G$230&lt;&gt;"acoes")))*INDEX(Inputs!$K$5:$AJ$230,0,MATCH(AJ$2,Inputs!$K$4:$AJ$4,0)))))</f>
        <v>144.602</v>
      </c>
      <c r="AK21" s="6">
        <f>IF(ISNA(MATCH(AK$2,Inputs!$K$4:$AJ$4,0)),NA(),IF(SUMPRODUCT((Inputs!$A$5:$A$230=$B21)*ISNUMBER(INDEX(Inputs!$K$5:$AJ$230,0,MATCH(AK$2,Inputs!$K$4:$AJ$4,0))))+SUMPRODUCT((Inputs!$C$5:$C$230=$B21)*ISNUMBER(INDEX(Inputs!$K$5:$AJ$230,0,MATCH(AK$2,Inputs!$K$4:$AJ$4,0))))+SUMPRODUCT((Inputs!$E$5:$E$230=$B21)*ISNUMBER(INDEX(Inputs!$K$5:$AJ$230,0,MATCH(AK$2,Inputs!$K$4:$AJ$4,0))))=0,NA(),SUMPRODUCT((Inputs!$A$5:$A$230=$B21)*Inputs!$B$5:$B$230*(((Inputs!$G$5:$G$230="moeda")+(Inputs!$G$5:$G$230="acoes"))*Inputs!$B$1+((Inputs!$G$5:$G$230&lt;&gt;"moeda")*(Inputs!$G$5:$G$230&lt;&gt;"acoes")))*INDEX(Inputs!$K$5:$AJ$230,0,MATCH(AK$2,Inputs!$K$4:$AJ$4,0)))+SUMPRODUCT((Inputs!$C$5:$C$230=$B21)*Inputs!$D$5:$D$230*(((Inputs!$G$5:$G$230="moeda")+(Inputs!$G$5:$G$230="acoes"))*Inputs!$B$1+((Inputs!$G$5:$G$230&lt;&gt;"moeda")*(Inputs!$G$5:$G$230&lt;&gt;"acoes")))*INDEX(Inputs!$K$5:$AJ$230,0,MATCH(AK$2,Inputs!$K$4:$AJ$4,0)))+SUMPRODUCT((Inputs!$E$5:$E$230=$B21)*Inputs!$F$5:$F$230*(((Inputs!$G$5:$G$230="moeda")+(Inputs!$G$5:$G$230="acoes"))*Inputs!$B$1+((Inputs!$G$5:$G$230&lt;&gt;"moeda")*(Inputs!$G$5:$G$230&lt;&gt;"acoes")))*INDEX(Inputs!$K$5:$AJ$230,0,MATCH(AK$2,Inputs!$K$4:$AJ$4,0)))))</f>
        <v>135.464</v>
      </c>
      <c r="AL21" s="3">
        <f>AK21</f>
        <v>135.464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$230=$B22)*ISNUMBER(INDEX(Inputs!$K$5:$AJ$230,0,MATCH(D$2,Inputs!$K$4:$AJ$4,0))))+SUMPRODUCT((Inputs!$C$5:$C$230=$B22)*ISNUMBER(INDEX(Inputs!$K$5:$AJ$230,0,MATCH(D$2,Inputs!$K$4:$AJ$4,0))))+SUMPRODUCT((Inputs!$E$5:$E$230=$B22)*ISNUMBER(INDEX(Inputs!$K$5:$AJ$230,0,MATCH(D$2,Inputs!$K$4:$AJ$4,0))))=0,NA(),SUMPRODUCT((Inputs!$A$5:$A$230=$B22)*Inputs!$B$5:$B$230*(((Inputs!$G$5:$G$230="moeda")+(Inputs!$G$5:$G$230="acoes"))*Inputs!$B$1+((Inputs!$G$5:$G$230&lt;&gt;"moeda")*(Inputs!$G$5:$G$230&lt;&gt;"acoes")))*INDEX(Inputs!$K$5:$AJ$230,0,MATCH(D$2,Inputs!$K$4:$AJ$4,0)))+SUMPRODUCT((Inputs!$C$5:$C$230=$B22)*Inputs!$D$5:$D$230*(((Inputs!$G$5:$G$230="moeda")+(Inputs!$G$5:$G$230="acoes"))*Inputs!$B$1+((Inputs!$G$5:$G$230&lt;&gt;"moeda")*(Inputs!$G$5:$G$230&lt;&gt;"acoes")))*INDEX(Inputs!$K$5:$AJ$230,0,MATCH(D$2,Inputs!$K$4:$AJ$4,0)))+SUMPRODUCT((Inputs!$E$5:$E$230=$B22)*Inputs!$F$5:$F$230*(((Inputs!$G$5:$G$230="moeda")+(Inputs!$G$5:$G$230="acoes"))*Inputs!$B$1+((Inputs!$G$5:$G$230&lt;&gt;"moeda")*(Inputs!$G$5:$G$230&lt;&gt;"acoes")))*INDEX(Inputs!$K$5:$AJ$230,0,MATCH(D$2,Inputs!$K$4:$AJ$4,0)))))</f>
        <v>4756.788</v>
      </c>
      <c r="E22" s="6">
        <f>IF(ISNA(MATCH(E$2,Inputs!$K$4:$AJ$4,0)),NA(),IF(SUMPRODUCT((Inputs!$A$5:$A$230=$B22)*ISNUMBER(INDEX(Inputs!$K$5:$AJ$230,0,MATCH(E$2,Inputs!$K$4:$AJ$4,0))))+SUMPRODUCT((Inputs!$C$5:$C$230=$B22)*ISNUMBER(INDEX(Inputs!$K$5:$AJ$230,0,MATCH(E$2,Inputs!$K$4:$AJ$4,0))))+SUMPRODUCT((Inputs!$E$5:$E$230=$B22)*ISNUMBER(INDEX(Inputs!$K$5:$AJ$230,0,MATCH(E$2,Inputs!$K$4:$AJ$4,0))))=0,NA(),SUMPRODUCT((Inputs!$A$5:$A$230=$B22)*Inputs!$B$5:$B$230*(((Inputs!$G$5:$G$230="moeda")+(Inputs!$G$5:$G$230="acoes"))*Inputs!$B$1+((Inputs!$G$5:$G$230&lt;&gt;"moeda")*(Inputs!$G$5:$G$230&lt;&gt;"acoes")))*INDEX(Inputs!$K$5:$AJ$230,0,MATCH(E$2,Inputs!$K$4:$AJ$4,0)))+SUMPRODUCT((Inputs!$C$5:$C$230=$B22)*Inputs!$D$5:$D$230*(((Inputs!$G$5:$G$230="moeda")+(Inputs!$G$5:$G$230="acoes"))*Inputs!$B$1+((Inputs!$G$5:$G$230&lt;&gt;"moeda")*(Inputs!$G$5:$G$230&lt;&gt;"acoes")))*INDEX(Inputs!$K$5:$AJ$230,0,MATCH(E$2,Inputs!$K$4:$AJ$4,0)))+SUMPRODUCT((Inputs!$E$5:$E$230=$B22)*Inputs!$F$5:$F$230*(((Inputs!$G$5:$G$230="moeda")+(Inputs!$G$5:$G$230="acoes"))*Inputs!$B$1+((Inputs!$G$5:$G$230&lt;&gt;"moeda")*(Inputs!$G$5:$G$230&lt;&gt;"acoes")))*INDEX(Inputs!$K$5:$AJ$230,0,MATCH(E$2,Inputs!$K$4:$AJ$4,0)))))</f>
        <v>4610.024</v>
      </c>
      <c r="F22" s="6">
        <f>IF(ISNA(MATCH(F$2,Inputs!$K$4:$AJ$4,0)),NA(),IF(SUMPRODUCT((Inputs!$A$5:$A$230=$B22)*ISNUMBER(INDEX(Inputs!$K$5:$AJ$230,0,MATCH(F$2,Inputs!$K$4:$AJ$4,0))))+SUMPRODUCT((Inputs!$C$5:$C$230=$B22)*ISNUMBER(INDEX(Inputs!$K$5:$AJ$230,0,MATCH(F$2,Inputs!$K$4:$AJ$4,0))))+SUMPRODUCT((Inputs!$E$5:$E$230=$B22)*ISNUMBER(INDEX(Inputs!$K$5:$AJ$230,0,MATCH(F$2,Inputs!$K$4:$AJ$4,0))))=0,NA(),SUMPRODUCT((Inputs!$A$5:$A$230=$B22)*Inputs!$B$5:$B$230*(((Inputs!$G$5:$G$230="moeda")+(Inputs!$G$5:$G$230="acoes"))*Inputs!$B$1+((Inputs!$G$5:$G$230&lt;&gt;"moeda")*(Inputs!$G$5:$G$230&lt;&gt;"acoes")))*INDEX(Inputs!$K$5:$AJ$230,0,MATCH(F$2,Inputs!$K$4:$AJ$4,0)))+SUMPRODUCT((Inputs!$C$5:$C$230=$B22)*Inputs!$D$5:$D$230*(((Inputs!$G$5:$G$230="moeda")+(Inputs!$G$5:$G$230="acoes"))*Inputs!$B$1+((Inputs!$G$5:$G$230&lt;&gt;"moeda")*(Inputs!$G$5:$G$230&lt;&gt;"acoes")))*INDEX(Inputs!$K$5:$AJ$230,0,MATCH(F$2,Inputs!$K$4:$AJ$4,0)))+SUMPRODUCT((Inputs!$E$5:$E$230=$B22)*Inputs!$F$5:$F$230*(((Inputs!$G$5:$G$230="moeda")+(Inputs!$G$5:$G$230="acoes"))*Inputs!$B$1+((Inputs!$G$5:$G$230&lt;&gt;"moeda")*(Inputs!$G$5:$G$230&lt;&gt;"acoes")))*INDEX(Inputs!$K$5:$AJ$230,0,MATCH(F$2,Inputs!$K$4:$AJ$4,0)))))</f>
        <v>4624.455</v>
      </c>
      <c r="G22" s="6">
        <f>IF(ISNA(MATCH(G$2,Inputs!$K$4:$AJ$4,0)),NA(),IF(SUMPRODUCT((Inputs!$A$5:$A$230=$B22)*ISNUMBER(INDEX(Inputs!$K$5:$AJ$230,0,MATCH(G$2,Inputs!$K$4:$AJ$4,0))))+SUMPRODUCT((Inputs!$C$5:$C$230=$B22)*ISNUMBER(INDEX(Inputs!$K$5:$AJ$230,0,MATCH(G$2,Inputs!$K$4:$AJ$4,0))))+SUMPRODUCT((Inputs!$E$5:$E$230=$B22)*ISNUMBER(INDEX(Inputs!$K$5:$AJ$230,0,MATCH(G$2,Inputs!$K$4:$AJ$4,0))))=0,NA(),SUMPRODUCT((Inputs!$A$5:$A$230=$B22)*Inputs!$B$5:$B$230*(((Inputs!$G$5:$G$230="moeda")+(Inputs!$G$5:$G$230="acoes"))*Inputs!$B$1+((Inputs!$G$5:$G$230&lt;&gt;"moeda")*(Inputs!$G$5:$G$230&lt;&gt;"acoes")))*INDEX(Inputs!$K$5:$AJ$230,0,MATCH(G$2,Inputs!$K$4:$AJ$4,0)))+SUMPRODUCT((Inputs!$C$5:$C$230=$B22)*Inputs!$D$5:$D$230*(((Inputs!$G$5:$G$230="moeda")+(Inputs!$G$5:$G$230="acoes"))*Inputs!$B$1+((Inputs!$G$5:$G$230&lt;&gt;"moeda")*(Inputs!$G$5:$G$230&lt;&gt;"acoes")))*INDEX(Inputs!$K$5:$AJ$230,0,MATCH(G$2,Inputs!$K$4:$AJ$4,0)))+SUMPRODUCT((Inputs!$E$5:$E$230=$B22)*Inputs!$F$5:$F$230*(((Inputs!$G$5:$G$230="moeda")+(Inputs!$G$5:$G$230="acoes"))*Inputs!$B$1+((Inputs!$G$5:$G$230&lt;&gt;"moeda")*(Inputs!$G$5:$G$230&lt;&gt;"acoes")))*INDEX(Inputs!$K$5:$AJ$230,0,MATCH(G$2,Inputs!$K$4:$AJ$4,0)))))</f>
        <v>4710.238</v>
      </c>
      <c r="H22" s="3">
        <f>G22</f>
        <v>4710.238</v>
      </c>
      <c r="I22" s="6">
        <f>IF(ISNA(MATCH(I$2,Inputs!$K$4:$AJ$4,0)),NA(),IF(SUMPRODUCT((Inputs!$A$5:$A$230=$B22)*ISNUMBER(INDEX(Inputs!$K$5:$AJ$230,0,MATCH(I$2,Inputs!$K$4:$AJ$4,0))))+SUMPRODUCT((Inputs!$C$5:$C$230=$B22)*ISNUMBER(INDEX(Inputs!$K$5:$AJ$230,0,MATCH(I$2,Inputs!$K$4:$AJ$4,0))))+SUMPRODUCT((Inputs!$E$5:$E$230=$B22)*ISNUMBER(INDEX(Inputs!$K$5:$AJ$230,0,MATCH(I$2,Inputs!$K$4:$AJ$4,0))))=0,NA(),SUMPRODUCT((Inputs!$A$5:$A$230=$B22)*Inputs!$B$5:$B$230*(((Inputs!$G$5:$G$230="moeda")+(Inputs!$G$5:$G$230="acoes"))*Inputs!$B$1+((Inputs!$G$5:$G$230&lt;&gt;"moeda")*(Inputs!$G$5:$G$230&lt;&gt;"acoes")))*INDEX(Inputs!$K$5:$AJ$230,0,MATCH(I$2,Inputs!$K$4:$AJ$4,0)))+SUMPRODUCT((Inputs!$C$5:$C$230=$B22)*Inputs!$D$5:$D$230*(((Inputs!$G$5:$G$230="moeda")+(Inputs!$G$5:$G$230="acoes"))*Inputs!$B$1+((Inputs!$G$5:$G$230&lt;&gt;"moeda")*(Inputs!$G$5:$G$230&lt;&gt;"acoes")))*INDEX(Inputs!$K$5:$AJ$230,0,MATCH(I$2,Inputs!$K$4:$AJ$4,0)))+SUMPRODUCT((Inputs!$E$5:$E$230=$B22)*Inputs!$F$5:$F$230*(((Inputs!$G$5:$G$230="moeda")+(Inputs!$G$5:$G$230="acoes"))*Inputs!$B$1+((Inputs!$G$5:$G$230&lt;&gt;"moeda")*(Inputs!$G$5:$G$230&lt;&gt;"acoes")))*INDEX(Inputs!$K$5:$AJ$230,0,MATCH(I$2,Inputs!$K$4:$AJ$4,0)))))</f>
        <v>5013.953</v>
      </c>
      <c r="J22" s="6">
        <f>IF(ISNA(MATCH(J$2,Inputs!$K$4:$AJ$4,0)),NA(),IF(SUMPRODUCT((Inputs!$A$5:$A$230=$B22)*ISNUMBER(INDEX(Inputs!$K$5:$AJ$230,0,MATCH(J$2,Inputs!$K$4:$AJ$4,0))))+SUMPRODUCT((Inputs!$C$5:$C$230=$B22)*ISNUMBER(INDEX(Inputs!$K$5:$AJ$230,0,MATCH(J$2,Inputs!$K$4:$AJ$4,0))))+SUMPRODUCT((Inputs!$E$5:$E$230=$B22)*ISNUMBER(INDEX(Inputs!$K$5:$AJ$230,0,MATCH(J$2,Inputs!$K$4:$AJ$4,0))))=0,NA(),SUMPRODUCT((Inputs!$A$5:$A$230=$B22)*Inputs!$B$5:$B$230*(((Inputs!$G$5:$G$230="moeda")+(Inputs!$G$5:$G$230="acoes"))*Inputs!$B$1+((Inputs!$G$5:$G$230&lt;&gt;"moeda")*(Inputs!$G$5:$G$230&lt;&gt;"acoes")))*INDEX(Inputs!$K$5:$AJ$230,0,MATCH(J$2,Inputs!$K$4:$AJ$4,0)))+SUMPRODUCT((Inputs!$C$5:$C$230=$B22)*Inputs!$D$5:$D$230*(((Inputs!$G$5:$G$230="moeda")+(Inputs!$G$5:$G$230="acoes"))*Inputs!$B$1+((Inputs!$G$5:$G$230&lt;&gt;"moeda")*(Inputs!$G$5:$G$230&lt;&gt;"acoes")))*INDEX(Inputs!$K$5:$AJ$230,0,MATCH(J$2,Inputs!$K$4:$AJ$4,0)))+SUMPRODUCT((Inputs!$E$5:$E$230=$B22)*Inputs!$F$5:$F$230*(((Inputs!$G$5:$G$230="moeda")+(Inputs!$G$5:$G$230="acoes"))*Inputs!$B$1+((Inputs!$G$5:$G$230&lt;&gt;"moeda")*(Inputs!$G$5:$G$230&lt;&gt;"acoes")))*INDEX(Inputs!$K$5:$AJ$230,0,MATCH(J$2,Inputs!$K$4:$AJ$4,0)))))</f>
        <v>4946.807</v>
      </c>
      <c r="K22" s="6">
        <f>IF(ISNA(MATCH(K$2,Inputs!$K$4:$AJ$4,0)),NA(),IF(SUMPRODUCT((Inputs!$A$5:$A$230=$B22)*ISNUMBER(INDEX(Inputs!$K$5:$AJ$230,0,MATCH(K$2,Inputs!$K$4:$AJ$4,0))))+SUMPRODUCT((Inputs!$C$5:$C$230=$B22)*ISNUMBER(INDEX(Inputs!$K$5:$AJ$230,0,MATCH(K$2,Inputs!$K$4:$AJ$4,0))))+SUMPRODUCT((Inputs!$E$5:$E$230=$B22)*ISNUMBER(INDEX(Inputs!$K$5:$AJ$230,0,MATCH(K$2,Inputs!$K$4:$AJ$4,0))))=0,NA(),SUMPRODUCT((Inputs!$A$5:$A$230=$B22)*Inputs!$B$5:$B$230*(((Inputs!$G$5:$G$230="moeda")+(Inputs!$G$5:$G$230="acoes"))*Inputs!$B$1+((Inputs!$G$5:$G$230&lt;&gt;"moeda")*(Inputs!$G$5:$G$230&lt;&gt;"acoes")))*INDEX(Inputs!$K$5:$AJ$230,0,MATCH(K$2,Inputs!$K$4:$AJ$4,0)))+SUMPRODUCT((Inputs!$C$5:$C$230=$B22)*Inputs!$D$5:$D$230*(((Inputs!$G$5:$G$230="moeda")+(Inputs!$G$5:$G$230="acoes"))*Inputs!$B$1+((Inputs!$G$5:$G$230&lt;&gt;"moeda")*(Inputs!$G$5:$G$230&lt;&gt;"acoes")))*INDEX(Inputs!$K$5:$AJ$230,0,MATCH(K$2,Inputs!$K$4:$AJ$4,0)))+SUMPRODUCT((Inputs!$E$5:$E$230=$B22)*Inputs!$F$5:$F$230*(((Inputs!$G$5:$G$230="moeda")+(Inputs!$G$5:$G$230="acoes"))*Inputs!$B$1+((Inputs!$G$5:$G$230&lt;&gt;"moeda")*(Inputs!$G$5:$G$230&lt;&gt;"acoes")))*INDEX(Inputs!$K$5:$AJ$230,0,MATCH(K$2,Inputs!$K$4:$AJ$4,0)))))</f>
        <v>5109.731</v>
      </c>
      <c r="L22" s="6">
        <f>IF(ISNA(MATCH(L$2,Inputs!$K$4:$AJ$4,0)),NA(),IF(SUMPRODUCT((Inputs!$A$5:$A$230=$B22)*ISNUMBER(INDEX(Inputs!$K$5:$AJ$230,0,MATCH(L$2,Inputs!$K$4:$AJ$4,0))))+SUMPRODUCT((Inputs!$C$5:$C$230=$B22)*ISNUMBER(INDEX(Inputs!$K$5:$AJ$230,0,MATCH(L$2,Inputs!$K$4:$AJ$4,0))))+SUMPRODUCT((Inputs!$E$5:$E$230=$B22)*ISNUMBER(INDEX(Inputs!$K$5:$AJ$230,0,MATCH(L$2,Inputs!$K$4:$AJ$4,0))))=0,NA(),SUMPRODUCT((Inputs!$A$5:$A$230=$B22)*Inputs!$B$5:$B$230*(((Inputs!$G$5:$G$230="moeda")+(Inputs!$G$5:$G$230="acoes"))*Inputs!$B$1+((Inputs!$G$5:$G$230&lt;&gt;"moeda")*(Inputs!$G$5:$G$230&lt;&gt;"acoes")))*INDEX(Inputs!$K$5:$AJ$230,0,MATCH(L$2,Inputs!$K$4:$AJ$4,0)))+SUMPRODUCT((Inputs!$C$5:$C$230=$B22)*Inputs!$D$5:$D$230*(((Inputs!$G$5:$G$230="moeda")+(Inputs!$G$5:$G$230="acoes"))*Inputs!$B$1+((Inputs!$G$5:$G$230&lt;&gt;"moeda")*(Inputs!$G$5:$G$230&lt;&gt;"acoes")))*INDEX(Inputs!$K$5:$AJ$230,0,MATCH(L$2,Inputs!$K$4:$AJ$4,0)))+SUMPRODUCT((Inputs!$E$5:$E$230=$B22)*Inputs!$F$5:$F$230*(((Inputs!$G$5:$G$230="moeda")+(Inputs!$G$5:$G$230="acoes"))*Inputs!$B$1+((Inputs!$G$5:$G$230&lt;&gt;"moeda")*(Inputs!$G$5:$G$230&lt;&gt;"acoes")))*INDEX(Inputs!$K$5:$AJ$230,0,MATCH(L$2,Inputs!$K$4:$AJ$4,0)))))</f>
        <v>5324.416</v>
      </c>
      <c r="M22" s="3">
        <f>L22</f>
        <v>5324.416</v>
      </c>
      <c r="N22" s="6">
        <f>IF(ISNA(MATCH(N$2,Inputs!$K$4:$AJ$4,0)),NA(),IF(SUMPRODUCT((Inputs!$A$5:$A$230=$B22)*ISNUMBER(INDEX(Inputs!$K$5:$AJ$230,0,MATCH(N$2,Inputs!$K$4:$AJ$4,0))))+SUMPRODUCT((Inputs!$C$5:$C$230=$B22)*ISNUMBER(INDEX(Inputs!$K$5:$AJ$230,0,MATCH(N$2,Inputs!$K$4:$AJ$4,0))))+SUMPRODUCT((Inputs!$E$5:$E$230=$B22)*ISNUMBER(INDEX(Inputs!$K$5:$AJ$230,0,MATCH(N$2,Inputs!$K$4:$AJ$4,0))))=0,NA(),SUMPRODUCT((Inputs!$A$5:$A$230=$B22)*Inputs!$B$5:$B$230*(((Inputs!$G$5:$G$230="moeda")+(Inputs!$G$5:$G$230="acoes"))*Inputs!$B$1+((Inputs!$G$5:$G$230&lt;&gt;"moeda")*(Inputs!$G$5:$G$230&lt;&gt;"acoes")))*INDEX(Inputs!$K$5:$AJ$230,0,MATCH(N$2,Inputs!$K$4:$AJ$4,0)))+SUMPRODUCT((Inputs!$C$5:$C$230=$B22)*Inputs!$D$5:$D$230*(((Inputs!$G$5:$G$230="moeda")+(Inputs!$G$5:$G$230="acoes"))*Inputs!$B$1+((Inputs!$G$5:$G$230&lt;&gt;"moeda")*(Inputs!$G$5:$G$230&lt;&gt;"acoes")))*INDEX(Inputs!$K$5:$AJ$230,0,MATCH(N$2,Inputs!$K$4:$AJ$4,0)))+SUMPRODUCT((Inputs!$E$5:$E$230=$B22)*Inputs!$F$5:$F$230*(((Inputs!$G$5:$G$230="moeda")+(Inputs!$G$5:$G$230="acoes"))*Inputs!$B$1+((Inputs!$G$5:$G$230&lt;&gt;"moeda")*(Inputs!$G$5:$G$230&lt;&gt;"acoes")))*INDEX(Inputs!$K$5:$AJ$230,0,MATCH(N$2,Inputs!$K$4:$AJ$4,0)))))</f>
        <v>5372.552</v>
      </c>
      <c r="O22" s="6">
        <f>IF(ISNA(MATCH(O$2,Inputs!$K$4:$AJ$4,0)),NA(),IF(SUMPRODUCT((Inputs!$A$5:$A$230=$B22)*ISNUMBER(INDEX(Inputs!$K$5:$AJ$230,0,MATCH(O$2,Inputs!$K$4:$AJ$4,0))))+SUMPRODUCT((Inputs!$C$5:$C$230=$B22)*ISNUMBER(INDEX(Inputs!$K$5:$AJ$230,0,MATCH(O$2,Inputs!$K$4:$AJ$4,0))))+SUMPRODUCT((Inputs!$E$5:$E$230=$B22)*ISNUMBER(INDEX(Inputs!$K$5:$AJ$230,0,MATCH(O$2,Inputs!$K$4:$AJ$4,0))))=0,NA(),SUMPRODUCT((Inputs!$A$5:$A$230=$B22)*Inputs!$B$5:$B$230*(((Inputs!$G$5:$G$230="moeda")+(Inputs!$G$5:$G$230="acoes"))*Inputs!$B$1+((Inputs!$G$5:$G$230&lt;&gt;"moeda")*(Inputs!$G$5:$G$230&lt;&gt;"acoes")))*INDEX(Inputs!$K$5:$AJ$230,0,MATCH(O$2,Inputs!$K$4:$AJ$4,0)))+SUMPRODUCT((Inputs!$C$5:$C$230=$B22)*Inputs!$D$5:$D$230*(((Inputs!$G$5:$G$230="moeda")+(Inputs!$G$5:$G$230="acoes"))*Inputs!$B$1+((Inputs!$G$5:$G$230&lt;&gt;"moeda")*(Inputs!$G$5:$G$230&lt;&gt;"acoes")))*INDEX(Inputs!$K$5:$AJ$230,0,MATCH(O$2,Inputs!$K$4:$AJ$4,0)))+SUMPRODUCT((Inputs!$E$5:$E$230=$B22)*Inputs!$F$5:$F$230*(((Inputs!$G$5:$G$230="moeda")+(Inputs!$G$5:$G$230="acoes"))*Inputs!$B$1+((Inputs!$G$5:$G$230&lt;&gt;"moeda")*(Inputs!$G$5:$G$230&lt;&gt;"acoes")))*INDEX(Inputs!$K$5:$AJ$230,0,MATCH(O$2,Inputs!$K$4:$AJ$4,0)))))</f>
        <v>5408.683</v>
      </c>
      <c r="P22" s="6">
        <f>IF(ISNA(MATCH(P$2,Inputs!$K$4:$AJ$4,0)),NA(),IF(SUMPRODUCT((Inputs!$A$5:$A$230=$B22)*ISNUMBER(INDEX(Inputs!$K$5:$AJ$230,0,MATCH(P$2,Inputs!$K$4:$AJ$4,0))))+SUMPRODUCT((Inputs!$C$5:$C$230=$B22)*ISNUMBER(INDEX(Inputs!$K$5:$AJ$230,0,MATCH(P$2,Inputs!$K$4:$AJ$4,0))))+SUMPRODUCT((Inputs!$E$5:$E$230=$B22)*ISNUMBER(INDEX(Inputs!$K$5:$AJ$230,0,MATCH(P$2,Inputs!$K$4:$AJ$4,0))))=0,NA(),SUMPRODUCT((Inputs!$A$5:$A$230=$B22)*Inputs!$B$5:$B$230*(((Inputs!$G$5:$G$230="moeda")+(Inputs!$G$5:$G$230="acoes"))*Inputs!$B$1+((Inputs!$G$5:$G$230&lt;&gt;"moeda")*(Inputs!$G$5:$G$230&lt;&gt;"acoes")))*INDEX(Inputs!$K$5:$AJ$230,0,MATCH(P$2,Inputs!$K$4:$AJ$4,0)))+SUMPRODUCT((Inputs!$C$5:$C$230=$B22)*Inputs!$D$5:$D$230*(((Inputs!$G$5:$G$230="moeda")+(Inputs!$G$5:$G$230="acoes"))*Inputs!$B$1+((Inputs!$G$5:$G$230&lt;&gt;"moeda")*(Inputs!$G$5:$G$230&lt;&gt;"acoes")))*INDEX(Inputs!$K$5:$AJ$230,0,MATCH(P$2,Inputs!$K$4:$AJ$4,0)))+SUMPRODUCT((Inputs!$E$5:$E$230=$B22)*Inputs!$F$5:$F$230*(((Inputs!$G$5:$G$230="moeda")+(Inputs!$G$5:$G$230="acoes"))*Inputs!$B$1+((Inputs!$G$5:$G$230&lt;&gt;"moeda")*(Inputs!$G$5:$G$230&lt;&gt;"acoes")))*INDEX(Inputs!$K$5:$AJ$230,0,MATCH(P$2,Inputs!$K$4:$AJ$4,0)))))</f>
        <v>5530.079</v>
      </c>
      <c r="Q22" s="6">
        <f>IF(ISNA(MATCH(Q$2,Inputs!$K$4:$AJ$4,0)),NA(),IF(SUMPRODUCT((Inputs!$A$5:$A$230=$B22)*ISNUMBER(INDEX(Inputs!$K$5:$AJ$230,0,MATCH(Q$2,Inputs!$K$4:$AJ$4,0))))+SUMPRODUCT((Inputs!$C$5:$C$230=$B22)*ISNUMBER(INDEX(Inputs!$K$5:$AJ$230,0,MATCH(Q$2,Inputs!$K$4:$AJ$4,0))))+SUMPRODUCT((Inputs!$E$5:$E$230=$B22)*ISNUMBER(INDEX(Inputs!$K$5:$AJ$230,0,MATCH(Q$2,Inputs!$K$4:$AJ$4,0))))=0,NA(),SUMPRODUCT((Inputs!$A$5:$A$230=$B22)*Inputs!$B$5:$B$230*(((Inputs!$G$5:$G$230="moeda")+(Inputs!$G$5:$G$230="acoes"))*Inputs!$B$1+((Inputs!$G$5:$G$230&lt;&gt;"moeda")*(Inputs!$G$5:$G$230&lt;&gt;"acoes")))*INDEX(Inputs!$K$5:$AJ$230,0,MATCH(Q$2,Inputs!$K$4:$AJ$4,0)))+SUMPRODUCT((Inputs!$C$5:$C$230=$B22)*Inputs!$D$5:$D$230*(((Inputs!$G$5:$G$230="moeda")+(Inputs!$G$5:$G$230="acoes"))*Inputs!$B$1+((Inputs!$G$5:$G$230&lt;&gt;"moeda")*(Inputs!$G$5:$G$230&lt;&gt;"acoes")))*INDEX(Inputs!$K$5:$AJ$230,0,MATCH(Q$2,Inputs!$K$4:$AJ$4,0)))+SUMPRODUCT((Inputs!$E$5:$E$230=$B22)*Inputs!$F$5:$F$230*(((Inputs!$G$5:$G$230="moeda")+(Inputs!$G$5:$G$230="acoes"))*Inputs!$B$1+((Inputs!$G$5:$G$230&lt;&gt;"moeda")*(Inputs!$G$5:$G$230&lt;&gt;"acoes")))*INDEX(Inputs!$K$5:$AJ$230,0,MATCH(Q$2,Inputs!$K$4:$AJ$4,0)))))</f>
        <v>5589.542</v>
      </c>
      <c r="R22" s="3">
        <f>Q22</f>
        <v>5589.542</v>
      </c>
      <c r="S22" s="6">
        <f>IF(ISNA(MATCH(S$2,Inputs!$K$4:$AJ$4,0)),NA(),IF(SUMPRODUCT((Inputs!$A$5:$A$230=$B22)*ISNUMBER(INDEX(Inputs!$K$5:$AJ$230,0,MATCH(S$2,Inputs!$K$4:$AJ$4,0))))+SUMPRODUCT((Inputs!$C$5:$C$230=$B22)*ISNUMBER(INDEX(Inputs!$K$5:$AJ$230,0,MATCH(S$2,Inputs!$K$4:$AJ$4,0))))+SUMPRODUCT((Inputs!$E$5:$E$230=$B22)*ISNUMBER(INDEX(Inputs!$K$5:$AJ$230,0,MATCH(S$2,Inputs!$K$4:$AJ$4,0))))=0,NA(),SUMPRODUCT((Inputs!$A$5:$A$230=$B22)*Inputs!$B$5:$B$230*(((Inputs!$G$5:$G$230="moeda")+(Inputs!$G$5:$G$230="acoes"))*Inputs!$B$1+((Inputs!$G$5:$G$230&lt;&gt;"moeda")*(Inputs!$G$5:$G$230&lt;&gt;"acoes")))*INDEX(Inputs!$K$5:$AJ$230,0,MATCH(S$2,Inputs!$K$4:$AJ$4,0)))+SUMPRODUCT((Inputs!$C$5:$C$230=$B22)*Inputs!$D$5:$D$230*(((Inputs!$G$5:$G$230="moeda")+(Inputs!$G$5:$G$230="acoes"))*Inputs!$B$1+((Inputs!$G$5:$G$230&lt;&gt;"moeda")*(Inputs!$G$5:$G$230&lt;&gt;"acoes")))*INDEX(Inputs!$K$5:$AJ$230,0,MATCH(S$2,Inputs!$K$4:$AJ$4,0)))+SUMPRODUCT((Inputs!$E$5:$E$230=$B22)*Inputs!$F$5:$F$230*(((Inputs!$G$5:$G$230="moeda")+(Inputs!$G$5:$G$230="acoes"))*Inputs!$B$1+((Inputs!$G$5:$G$230&lt;&gt;"moeda")*(Inputs!$G$5:$G$230&lt;&gt;"acoes")))*INDEX(Inputs!$K$5:$AJ$230,0,MATCH(S$2,Inputs!$K$4:$AJ$4,0)))))</f>
        <v>5635.29</v>
      </c>
      <c r="T22" s="6">
        <f>IF(ISNA(MATCH(T$2,Inputs!$K$4:$AJ$4,0)),NA(),IF(SUMPRODUCT((Inputs!$A$5:$A$230=$B22)*ISNUMBER(INDEX(Inputs!$K$5:$AJ$230,0,MATCH(T$2,Inputs!$K$4:$AJ$4,0))))+SUMPRODUCT((Inputs!$C$5:$C$230=$B22)*ISNUMBER(INDEX(Inputs!$K$5:$AJ$230,0,MATCH(T$2,Inputs!$K$4:$AJ$4,0))))+SUMPRODUCT((Inputs!$E$5:$E$230=$B22)*ISNUMBER(INDEX(Inputs!$K$5:$AJ$230,0,MATCH(T$2,Inputs!$K$4:$AJ$4,0))))=0,NA(),SUMPRODUCT((Inputs!$A$5:$A$230=$B22)*Inputs!$B$5:$B$230*(((Inputs!$G$5:$G$230="moeda")+(Inputs!$G$5:$G$230="acoes"))*Inputs!$B$1+((Inputs!$G$5:$G$230&lt;&gt;"moeda")*(Inputs!$G$5:$G$230&lt;&gt;"acoes")))*INDEX(Inputs!$K$5:$AJ$230,0,MATCH(T$2,Inputs!$K$4:$AJ$4,0)))+SUMPRODUCT((Inputs!$C$5:$C$230=$B22)*Inputs!$D$5:$D$230*(((Inputs!$G$5:$G$230="moeda")+(Inputs!$G$5:$G$230="acoes"))*Inputs!$B$1+((Inputs!$G$5:$G$230&lt;&gt;"moeda")*(Inputs!$G$5:$G$230&lt;&gt;"acoes")))*INDEX(Inputs!$K$5:$AJ$230,0,MATCH(T$2,Inputs!$K$4:$AJ$4,0)))+SUMPRODUCT((Inputs!$E$5:$E$230=$B22)*Inputs!$F$5:$F$230*(((Inputs!$G$5:$G$230="moeda")+(Inputs!$G$5:$G$230="acoes"))*Inputs!$B$1+((Inputs!$G$5:$G$230&lt;&gt;"moeda")*(Inputs!$G$5:$G$230&lt;&gt;"acoes")))*INDEX(Inputs!$K$5:$AJ$230,0,MATCH(T$2,Inputs!$K$4:$AJ$4,0)))))</f>
        <v>5779.312</v>
      </c>
      <c r="U22" s="6">
        <f>IF(ISNA(MATCH(U$2,Inputs!$K$4:$AJ$4,0)),NA(),IF(SUMPRODUCT((Inputs!$A$5:$A$230=$B22)*ISNUMBER(INDEX(Inputs!$K$5:$AJ$230,0,MATCH(U$2,Inputs!$K$4:$AJ$4,0))))+SUMPRODUCT((Inputs!$C$5:$C$230=$B22)*ISNUMBER(INDEX(Inputs!$K$5:$AJ$230,0,MATCH(U$2,Inputs!$K$4:$AJ$4,0))))+SUMPRODUCT((Inputs!$E$5:$E$230=$B22)*ISNUMBER(INDEX(Inputs!$K$5:$AJ$230,0,MATCH(U$2,Inputs!$K$4:$AJ$4,0))))=0,NA(),SUMPRODUCT((Inputs!$A$5:$A$230=$B22)*Inputs!$B$5:$B$230*(((Inputs!$G$5:$G$230="moeda")+(Inputs!$G$5:$G$230="acoes"))*Inputs!$B$1+((Inputs!$G$5:$G$230&lt;&gt;"moeda")*(Inputs!$G$5:$G$230&lt;&gt;"acoes")))*INDEX(Inputs!$K$5:$AJ$230,0,MATCH(U$2,Inputs!$K$4:$AJ$4,0)))+SUMPRODUCT((Inputs!$C$5:$C$230=$B22)*Inputs!$D$5:$D$230*(((Inputs!$G$5:$G$230="moeda")+(Inputs!$G$5:$G$230="acoes"))*Inputs!$B$1+((Inputs!$G$5:$G$230&lt;&gt;"moeda")*(Inputs!$G$5:$G$230&lt;&gt;"acoes")))*INDEX(Inputs!$K$5:$AJ$230,0,MATCH(U$2,Inputs!$K$4:$AJ$4,0)))+SUMPRODUCT((Inputs!$E$5:$E$230=$B22)*Inputs!$F$5:$F$230*(((Inputs!$G$5:$G$230="moeda")+(Inputs!$G$5:$G$230="acoes"))*Inputs!$B$1+((Inputs!$G$5:$G$230&lt;&gt;"moeda")*(Inputs!$G$5:$G$230&lt;&gt;"acoes")))*INDEX(Inputs!$K$5:$AJ$230,0,MATCH(U$2,Inputs!$K$4:$AJ$4,0)))))</f>
        <v>5746.537</v>
      </c>
      <c r="V22" s="6">
        <f>IF(ISNA(MATCH(V$2,Inputs!$K$4:$AJ$4,0)),NA(),IF(SUMPRODUCT((Inputs!$A$5:$A$230=$B22)*ISNUMBER(INDEX(Inputs!$K$5:$AJ$230,0,MATCH(V$2,Inputs!$K$4:$AJ$4,0))))+SUMPRODUCT((Inputs!$C$5:$C$230=$B22)*ISNUMBER(INDEX(Inputs!$K$5:$AJ$230,0,MATCH(V$2,Inputs!$K$4:$AJ$4,0))))+SUMPRODUCT((Inputs!$E$5:$E$230=$B22)*ISNUMBER(INDEX(Inputs!$K$5:$AJ$230,0,MATCH(V$2,Inputs!$K$4:$AJ$4,0))))=0,NA(),SUMPRODUCT((Inputs!$A$5:$A$230=$B22)*Inputs!$B$5:$B$230*(((Inputs!$G$5:$G$230="moeda")+(Inputs!$G$5:$G$230="acoes"))*Inputs!$B$1+((Inputs!$G$5:$G$230&lt;&gt;"moeda")*(Inputs!$G$5:$G$230&lt;&gt;"acoes")))*INDEX(Inputs!$K$5:$AJ$230,0,MATCH(V$2,Inputs!$K$4:$AJ$4,0)))+SUMPRODUCT((Inputs!$C$5:$C$230=$B22)*Inputs!$D$5:$D$230*(((Inputs!$G$5:$G$230="moeda")+(Inputs!$G$5:$G$230="acoes"))*Inputs!$B$1+((Inputs!$G$5:$G$230&lt;&gt;"moeda")*(Inputs!$G$5:$G$230&lt;&gt;"acoes")))*INDEX(Inputs!$K$5:$AJ$230,0,MATCH(V$2,Inputs!$K$4:$AJ$4,0)))+SUMPRODUCT((Inputs!$E$5:$E$230=$B22)*Inputs!$F$5:$F$230*(((Inputs!$G$5:$G$230="moeda")+(Inputs!$G$5:$G$230="acoes"))*Inputs!$B$1+((Inputs!$G$5:$G$230&lt;&gt;"moeda")*(Inputs!$G$5:$G$230&lt;&gt;"acoes")))*INDEX(Inputs!$K$5:$AJ$230,0,MATCH(V$2,Inputs!$K$4:$AJ$4,0)))))</f>
        <v>5996.226</v>
      </c>
      <c r="W22" s="3">
        <f>V22</f>
        <v>5996.226</v>
      </c>
      <c r="X22" s="6">
        <f>IF(ISNA(MATCH(X$2,Inputs!$K$4:$AJ$4,0)),NA(),IF(SUMPRODUCT((Inputs!$A$5:$A$230=$B22)*ISNUMBER(INDEX(Inputs!$K$5:$AJ$230,0,MATCH(X$2,Inputs!$K$4:$AJ$4,0))))+SUMPRODUCT((Inputs!$C$5:$C$230=$B22)*ISNUMBER(INDEX(Inputs!$K$5:$AJ$230,0,MATCH(X$2,Inputs!$K$4:$AJ$4,0))))+SUMPRODUCT((Inputs!$E$5:$E$230=$B22)*ISNUMBER(INDEX(Inputs!$K$5:$AJ$230,0,MATCH(X$2,Inputs!$K$4:$AJ$4,0))))=0,NA(),SUMPRODUCT((Inputs!$A$5:$A$230=$B22)*Inputs!$B$5:$B$230*(((Inputs!$G$5:$G$230="moeda")+(Inputs!$G$5:$G$230="acoes"))*Inputs!$B$1+((Inputs!$G$5:$G$230&lt;&gt;"moeda")*(Inputs!$G$5:$G$230&lt;&gt;"acoes")))*INDEX(Inputs!$K$5:$AJ$230,0,MATCH(X$2,Inputs!$K$4:$AJ$4,0)))+SUMPRODUCT((Inputs!$C$5:$C$230=$B22)*Inputs!$D$5:$D$230*(((Inputs!$G$5:$G$230="moeda")+(Inputs!$G$5:$G$230="acoes"))*Inputs!$B$1+((Inputs!$G$5:$G$230&lt;&gt;"moeda")*(Inputs!$G$5:$G$230&lt;&gt;"acoes")))*INDEX(Inputs!$K$5:$AJ$230,0,MATCH(X$2,Inputs!$K$4:$AJ$4,0)))+SUMPRODUCT((Inputs!$E$5:$E$230=$B22)*Inputs!$F$5:$F$230*(((Inputs!$G$5:$G$230="moeda")+(Inputs!$G$5:$G$230="acoes"))*Inputs!$B$1+((Inputs!$G$5:$G$230&lt;&gt;"moeda")*(Inputs!$G$5:$G$230&lt;&gt;"acoes")))*INDEX(Inputs!$K$5:$AJ$230,0,MATCH(X$2,Inputs!$K$4:$AJ$4,0)))))</f>
        <v>5831.673</v>
      </c>
      <c r="Y22" s="6">
        <f>IF(ISNA(MATCH(Y$2,Inputs!$K$4:$AJ$4,0)),NA(),IF(SUMPRODUCT((Inputs!$A$5:$A$230=$B22)*ISNUMBER(INDEX(Inputs!$K$5:$AJ$230,0,MATCH(Y$2,Inputs!$K$4:$AJ$4,0))))+SUMPRODUCT((Inputs!$C$5:$C$230=$B22)*ISNUMBER(INDEX(Inputs!$K$5:$AJ$230,0,MATCH(Y$2,Inputs!$K$4:$AJ$4,0))))+SUMPRODUCT((Inputs!$E$5:$E$230=$B22)*ISNUMBER(INDEX(Inputs!$K$5:$AJ$230,0,MATCH(Y$2,Inputs!$K$4:$AJ$4,0))))=0,NA(),SUMPRODUCT((Inputs!$A$5:$A$230=$B22)*Inputs!$B$5:$B$230*(((Inputs!$G$5:$G$230="moeda")+(Inputs!$G$5:$G$230="acoes"))*Inputs!$B$1+((Inputs!$G$5:$G$230&lt;&gt;"moeda")*(Inputs!$G$5:$G$230&lt;&gt;"acoes")))*INDEX(Inputs!$K$5:$AJ$230,0,MATCH(Y$2,Inputs!$K$4:$AJ$4,0)))+SUMPRODUCT((Inputs!$C$5:$C$230=$B22)*Inputs!$D$5:$D$230*(((Inputs!$G$5:$G$230="moeda")+(Inputs!$G$5:$G$230="acoes"))*Inputs!$B$1+((Inputs!$G$5:$G$230&lt;&gt;"moeda")*(Inputs!$G$5:$G$230&lt;&gt;"acoes")))*INDEX(Inputs!$K$5:$AJ$230,0,MATCH(Y$2,Inputs!$K$4:$AJ$4,0)))+SUMPRODUCT((Inputs!$E$5:$E$230=$B22)*Inputs!$F$5:$F$230*(((Inputs!$G$5:$G$230="moeda")+(Inputs!$G$5:$G$230="acoes"))*Inputs!$B$1+((Inputs!$G$5:$G$230&lt;&gt;"moeda")*(Inputs!$G$5:$G$230&lt;&gt;"acoes")))*INDEX(Inputs!$K$5:$AJ$230,0,MATCH(Y$2,Inputs!$K$4:$AJ$4,0)))))</f>
        <v>5764.356</v>
      </c>
      <c r="Z22" s="6">
        <f>IF(ISNA(MATCH(Z$2,Inputs!$K$4:$AJ$4,0)),NA(),IF(SUMPRODUCT((Inputs!$A$5:$A$230=$B22)*ISNUMBER(INDEX(Inputs!$K$5:$AJ$230,0,MATCH(Z$2,Inputs!$K$4:$AJ$4,0))))+SUMPRODUCT((Inputs!$C$5:$C$230=$B22)*ISNUMBER(INDEX(Inputs!$K$5:$AJ$230,0,MATCH(Z$2,Inputs!$K$4:$AJ$4,0))))+SUMPRODUCT((Inputs!$E$5:$E$230=$B22)*ISNUMBER(INDEX(Inputs!$K$5:$AJ$230,0,MATCH(Z$2,Inputs!$K$4:$AJ$4,0))))=0,NA(),SUMPRODUCT((Inputs!$A$5:$A$230=$B22)*Inputs!$B$5:$B$230*(((Inputs!$G$5:$G$230="moeda")+(Inputs!$G$5:$G$230="acoes"))*Inputs!$B$1+((Inputs!$G$5:$G$230&lt;&gt;"moeda")*(Inputs!$G$5:$G$230&lt;&gt;"acoes")))*INDEX(Inputs!$K$5:$AJ$230,0,MATCH(Z$2,Inputs!$K$4:$AJ$4,0)))+SUMPRODUCT((Inputs!$C$5:$C$230=$B22)*Inputs!$D$5:$D$230*(((Inputs!$G$5:$G$230="moeda")+(Inputs!$G$5:$G$230="acoes"))*Inputs!$B$1+((Inputs!$G$5:$G$230&lt;&gt;"moeda")*(Inputs!$G$5:$G$230&lt;&gt;"acoes")))*INDEX(Inputs!$K$5:$AJ$230,0,MATCH(Z$2,Inputs!$K$4:$AJ$4,0)))+SUMPRODUCT((Inputs!$E$5:$E$230=$B22)*Inputs!$F$5:$F$230*(((Inputs!$G$5:$G$230="moeda")+(Inputs!$G$5:$G$230="acoes"))*Inputs!$B$1+((Inputs!$G$5:$G$230&lt;&gt;"moeda")*(Inputs!$G$5:$G$230&lt;&gt;"acoes")))*INDEX(Inputs!$K$5:$AJ$230,0,MATCH(Z$2,Inputs!$K$4:$AJ$4,0)))))</f>
        <v>5730.09</v>
      </c>
      <c r="AA22" s="6">
        <f>IF(ISNA(MATCH(AA$2,Inputs!$K$4:$AJ$4,0)),NA(),IF(SUMPRODUCT((Inputs!$A$5:$A$230=$B22)*ISNUMBER(INDEX(Inputs!$K$5:$AJ$230,0,MATCH(AA$2,Inputs!$K$4:$AJ$4,0))))+SUMPRODUCT((Inputs!$C$5:$C$230=$B22)*ISNUMBER(INDEX(Inputs!$K$5:$AJ$230,0,MATCH(AA$2,Inputs!$K$4:$AJ$4,0))))+SUMPRODUCT((Inputs!$E$5:$E$230=$B22)*ISNUMBER(INDEX(Inputs!$K$5:$AJ$230,0,MATCH(AA$2,Inputs!$K$4:$AJ$4,0))))=0,NA(),SUMPRODUCT((Inputs!$A$5:$A$230=$B22)*Inputs!$B$5:$B$230*(((Inputs!$G$5:$G$230="moeda")+(Inputs!$G$5:$G$230="acoes"))*Inputs!$B$1+((Inputs!$G$5:$G$230&lt;&gt;"moeda")*(Inputs!$G$5:$G$230&lt;&gt;"acoes")))*INDEX(Inputs!$K$5:$AJ$230,0,MATCH(AA$2,Inputs!$K$4:$AJ$4,0)))+SUMPRODUCT((Inputs!$C$5:$C$230=$B22)*Inputs!$D$5:$D$230*(((Inputs!$G$5:$G$230="moeda")+(Inputs!$G$5:$G$230="acoes"))*Inputs!$B$1+((Inputs!$G$5:$G$230&lt;&gt;"moeda")*(Inputs!$G$5:$G$230&lt;&gt;"acoes")))*INDEX(Inputs!$K$5:$AJ$230,0,MATCH(AA$2,Inputs!$K$4:$AJ$4,0)))+SUMPRODUCT((Inputs!$E$5:$E$230=$B22)*Inputs!$F$5:$F$230*(((Inputs!$G$5:$G$230="moeda")+(Inputs!$G$5:$G$230="acoes"))*Inputs!$B$1+((Inputs!$G$5:$G$230&lt;&gt;"moeda")*(Inputs!$G$5:$G$230&lt;&gt;"acoes")))*INDEX(Inputs!$K$5:$AJ$230,0,MATCH(AA$2,Inputs!$K$4:$AJ$4,0)))))</f>
        <v>5878.065</v>
      </c>
      <c r="AB22" s="3">
        <f>AA22</f>
        <v>5878.065</v>
      </c>
      <c r="AC22" s="6">
        <f>IF(ISNA(MATCH(AC$2,Inputs!$K$4:$AJ$4,0)),NA(),IF(SUMPRODUCT((Inputs!$A$5:$A$230=$B22)*ISNUMBER(INDEX(Inputs!$K$5:$AJ$230,0,MATCH(AC$2,Inputs!$K$4:$AJ$4,0))))+SUMPRODUCT((Inputs!$C$5:$C$230=$B22)*ISNUMBER(INDEX(Inputs!$K$5:$AJ$230,0,MATCH(AC$2,Inputs!$K$4:$AJ$4,0))))+SUMPRODUCT((Inputs!$E$5:$E$230=$B22)*ISNUMBER(INDEX(Inputs!$K$5:$AJ$230,0,MATCH(AC$2,Inputs!$K$4:$AJ$4,0))))=0,NA(),SUMPRODUCT((Inputs!$A$5:$A$230=$B22)*Inputs!$B$5:$B$230*(((Inputs!$G$5:$G$230="moeda")+(Inputs!$G$5:$G$230="acoes"))*Inputs!$B$1+((Inputs!$G$5:$G$230&lt;&gt;"moeda")*(Inputs!$G$5:$G$230&lt;&gt;"acoes")))*INDEX(Inputs!$K$5:$AJ$230,0,MATCH(AC$2,Inputs!$K$4:$AJ$4,0)))+SUMPRODUCT((Inputs!$C$5:$C$230=$B22)*Inputs!$D$5:$D$230*(((Inputs!$G$5:$G$230="moeda")+(Inputs!$G$5:$G$230="acoes"))*Inputs!$B$1+((Inputs!$G$5:$G$230&lt;&gt;"moeda")*(Inputs!$G$5:$G$230&lt;&gt;"acoes")))*INDEX(Inputs!$K$5:$AJ$230,0,MATCH(AC$2,Inputs!$K$4:$AJ$4,0)))+SUMPRODUCT((Inputs!$E$5:$E$230=$B22)*Inputs!$F$5:$F$230*(((Inputs!$G$5:$G$230="moeda")+(Inputs!$G$5:$G$230="acoes"))*Inputs!$B$1+((Inputs!$G$5:$G$230&lt;&gt;"moeda")*(Inputs!$G$5:$G$230&lt;&gt;"acoes")))*INDEX(Inputs!$K$5:$AJ$230,0,MATCH(AC$2,Inputs!$K$4:$AJ$4,0)))))</f>
        <v>5718.153</v>
      </c>
      <c r="AD22" s="6">
        <f>IF(ISNA(MATCH(AD$2,Inputs!$K$4:$AJ$4,0)),NA(),IF(SUMPRODUCT((Inputs!$A$5:$A$230=$B22)*ISNUMBER(INDEX(Inputs!$K$5:$AJ$230,0,MATCH(AD$2,Inputs!$K$4:$AJ$4,0))))+SUMPRODUCT((Inputs!$C$5:$C$230=$B22)*ISNUMBER(INDEX(Inputs!$K$5:$AJ$230,0,MATCH(AD$2,Inputs!$K$4:$AJ$4,0))))+SUMPRODUCT((Inputs!$E$5:$E$230=$B22)*ISNUMBER(INDEX(Inputs!$K$5:$AJ$230,0,MATCH(AD$2,Inputs!$K$4:$AJ$4,0))))=0,NA(),SUMPRODUCT((Inputs!$A$5:$A$230=$B22)*Inputs!$B$5:$B$230*(((Inputs!$G$5:$G$230="moeda")+(Inputs!$G$5:$G$230="acoes"))*Inputs!$B$1+((Inputs!$G$5:$G$230&lt;&gt;"moeda")*(Inputs!$G$5:$G$230&lt;&gt;"acoes")))*INDEX(Inputs!$K$5:$AJ$230,0,MATCH(AD$2,Inputs!$K$4:$AJ$4,0)))+SUMPRODUCT((Inputs!$C$5:$C$230=$B22)*Inputs!$D$5:$D$230*(((Inputs!$G$5:$G$230="moeda")+(Inputs!$G$5:$G$230="acoes"))*Inputs!$B$1+((Inputs!$G$5:$G$230&lt;&gt;"moeda")*(Inputs!$G$5:$G$230&lt;&gt;"acoes")))*INDEX(Inputs!$K$5:$AJ$230,0,MATCH(AD$2,Inputs!$K$4:$AJ$4,0)))+SUMPRODUCT((Inputs!$E$5:$E$230=$B22)*Inputs!$F$5:$F$230*(((Inputs!$G$5:$G$230="moeda")+(Inputs!$G$5:$G$230="acoes"))*Inputs!$B$1+((Inputs!$G$5:$G$230&lt;&gt;"moeda")*(Inputs!$G$5:$G$230&lt;&gt;"acoes")))*INDEX(Inputs!$K$5:$AJ$230,0,MATCH(AD$2,Inputs!$K$4:$AJ$4,0)))))</f>
        <v>5795.449</v>
      </c>
      <c r="AE22" s="6" t="e">
        <f>IF(ISNA(MATCH(AE$2,Inputs!$K$4:$AJ$4,0)),NA(),IF(SUMPRODUCT((Inputs!$A$5:$A$230=$B22)*ISNUMBER(INDEX(Inputs!$K$5:$AJ$230,0,MATCH(AE$2,Inputs!$K$4:$AJ$4,0))))+SUMPRODUCT((Inputs!$C$5:$C$230=$B22)*ISNUMBER(INDEX(Inputs!$K$5:$AJ$230,0,MATCH(AE$2,Inputs!$K$4:$AJ$4,0))))+SUMPRODUCT((Inputs!$E$5:$E$230=$B22)*ISNUMBER(INDEX(Inputs!$K$5:$AJ$230,0,MATCH(AE$2,Inputs!$K$4:$AJ$4,0))))=0,NA(),SUMPRODUCT((Inputs!$A$5:$A$230=$B22)*Inputs!$B$5:$B$230*(((Inputs!$G$5:$G$230="moeda")+(Inputs!$G$5:$G$230="acoes"))*Inputs!$B$1+((Inputs!$G$5:$G$230&lt;&gt;"moeda")*(Inputs!$G$5:$G$230&lt;&gt;"acoes")))*INDEX(Inputs!$K$5:$AJ$230,0,MATCH(AE$2,Inputs!$K$4:$AJ$4,0)))+SUMPRODUCT((Inputs!$C$5:$C$230=$B22)*Inputs!$D$5:$D$230*(((Inputs!$G$5:$G$230="moeda")+(Inputs!$G$5:$G$230="acoes"))*Inputs!$B$1+((Inputs!$G$5:$G$230&lt;&gt;"moeda")*(Inputs!$G$5:$G$230&lt;&gt;"acoes")))*INDEX(Inputs!$K$5:$AJ$230,0,MATCH(AE$2,Inputs!$K$4:$AJ$4,0)))+SUMPRODUCT((Inputs!$E$5:$E$230=$B22)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22" s="6" t="e">
        <f>IF(ISNA(MATCH(AF$2,Inputs!$K$4:$AJ$4,0)),NA(),IF(SUMPRODUCT((Inputs!$A$5:$A$230=$B22)*ISNUMBER(INDEX(Inputs!$K$5:$AJ$230,0,MATCH(AF$2,Inputs!$K$4:$AJ$4,0))))+SUMPRODUCT((Inputs!$C$5:$C$230=$B22)*ISNUMBER(INDEX(Inputs!$K$5:$AJ$230,0,MATCH(AF$2,Inputs!$K$4:$AJ$4,0))))+SUMPRODUCT((Inputs!$E$5:$E$230=$B22)*ISNUMBER(INDEX(Inputs!$K$5:$AJ$230,0,MATCH(AF$2,Inputs!$K$4:$AJ$4,0))))=0,NA(),SUMPRODUCT((Inputs!$A$5:$A$230=$B22)*Inputs!$B$5:$B$230*(((Inputs!$G$5:$G$230="moeda")+(Inputs!$G$5:$G$230="acoes"))*Inputs!$B$1+((Inputs!$G$5:$G$230&lt;&gt;"moeda")*(Inputs!$G$5:$G$230&lt;&gt;"acoes")))*INDEX(Inputs!$K$5:$AJ$230,0,MATCH(AF$2,Inputs!$K$4:$AJ$4,0)))+SUMPRODUCT((Inputs!$C$5:$C$230=$B22)*Inputs!$D$5:$D$230*(((Inputs!$G$5:$G$230="moeda")+(Inputs!$G$5:$G$230="acoes"))*Inputs!$B$1+((Inputs!$G$5:$G$230&lt;&gt;"moeda")*(Inputs!$G$5:$G$230&lt;&gt;"acoes")))*INDEX(Inputs!$K$5:$AJ$230,0,MATCH(AF$2,Inputs!$K$4:$AJ$4,0)))+SUMPRODUCT((Inputs!$E$5:$E$230=$B22)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22" s="3" t="e">
        <f>AF22</f>
        <v>#N/A</v>
      </c>
      <c r="AH22" s="6">
        <f>IF(ISNA(MATCH(AH$2,Inputs!$K$4:$AJ$4,0)),NA(),IF(SUMPRODUCT((Inputs!$A$5:$A$230=$B22)*ISNUMBER(INDEX(Inputs!$K$5:$AJ$230,0,MATCH(AH$2,Inputs!$K$4:$AJ$4,0))))+SUMPRODUCT((Inputs!$C$5:$C$230=$B22)*ISNUMBER(INDEX(Inputs!$K$5:$AJ$230,0,MATCH(AH$2,Inputs!$K$4:$AJ$4,0))))+SUMPRODUCT((Inputs!$E$5:$E$230=$B22)*ISNUMBER(INDEX(Inputs!$K$5:$AJ$230,0,MATCH(AH$2,Inputs!$K$4:$AJ$4,0))))=0,NA(),SUMPRODUCT((Inputs!$A$5:$A$230=$B22)*Inputs!$B$5:$B$230*(((Inputs!$G$5:$G$230="moeda")+(Inputs!$G$5:$G$230="acoes"))*Inputs!$B$1+((Inputs!$G$5:$G$230&lt;&gt;"moeda")*(Inputs!$G$5:$G$230&lt;&gt;"acoes")))*INDEX(Inputs!$K$5:$AJ$230,0,MATCH(AH$2,Inputs!$K$4:$AJ$4,0)))+SUMPRODUCT((Inputs!$C$5:$C$230=$B22)*Inputs!$D$5:$D$230*(((Inputs!$G$5:$G$230="moeda")+(Inputs!$G$5:$G$230="acoes"))*Inputs!$B$1+((Inputs!$G$5:$G$230&lt;&gt;"moeda")*(Inputs!$G$5:$G$230&lt;&gt;"acoes")))*INDEX(Inputs!$K$5:$AJ$230,0,MATCH(AH$2,Inputs!$K$4:$AJ$4,0)))+SUMPRODUCT((Inputs!$E$5:$E$230=$B22)*Inputs!$F$5:$F$230*(((Inputs!$G$5:$G$230="moeda")+(Inputs!$G$5:$G$230="acoes"))*Inputs!$B$1+((Inputs!$G$5:$G$230&lt;&gt;"moeda")*(Inputs!$G$5:$G$230&lt;&gt;"acoes")))*INDEX(Inputs!$K$5:$AJ$230,0,MATCH(AH$2,Inputs!$K$4:$AJ$4,0)))))</f>
        <v>4652.854</v>
      </c>
      <c r="AI22" s="6">
        <f>IF(ISNA(MATCH(AI$2,Inputs!$K$4:$AJ$4,0)),NA(),IF(SUMPRODUCT((Inputs!$A$5:$A$230=$B22)*ISNUMBER(INDEX(Inputs!$K$5:$AJ$230,0,MATCH(AI$2,Inputs!$K$4:$AJ$4,0))))+SUMPRODUCT((Inputs!$C$5:$C$230=$B22)*ISNUMBER(INDEX(Inputs!$K$5:$AJ$230,0,MATCH(AI$2,Inputs!$K$4:$AJ$4,0))))+SUMPRODUCT((Inputs!$E$5:$E$230=$B22)*ISNUMBER(INDEX(Inputs!$K$5:$AJ$230,0,MATCH(AI$2,Inputs!$K$4:$AJ$4,0))))=0,NA(),SUMPRODUCT((Inputs!$A$5:$A$230=$B22)*Inputs!$B$5:$B$230*(((Inputs!$G$5:$G$230="moeda")+(Inputs!$G$5:$G$230="acoes"))*Inputs!$B$1+((Inputs!$G$5:$G$230&lt;&gt;"moeda")*(Inputs!$G$5:$G$230&lt;&gt;"acoes")))*INDEX(Inputs!$K$5:$AJ$230,0,MATCH(AI$2,Inputs!$K$4:$AJ$4,0)))+SUMPRODUCT((Inputs!$C$5:$C$230=$B22)*Inputs!$D$5:$D$230*(((Inputs!$G$5:$G$230="moeda")+(Inputs!$G$5:$G$230="acoes"))*Inputs!$B$1+((Inputs!$G$5:$G$230&lt;&gt;"moeda")*(Inputs!$G$5:$G$230&lt;&gt;"acoes")))*INDEX(Inputs!$K$5:$AJ$230,0,MATCH(AI$2,Inputs!$K$4:$AJ$4,0)))+SUMPRODUCT((Inputs!$E$5:$E$230=$B22)*Inputs!$F$5:$F$230*(((Inputs!$G$5:$G$230="moeda")+(Inputs!$G$5:$G$230="acoes"))*Inputs!$B$1+((Inputs!$G$5:$G$230&lt;&gt;"moeda")*(Inputs!$G$5:$G$230&lt;&gt;"acoes")))*INDEX(Inputs!$K$5:$AJ$230,0,MATCH(AI$2,Inputs!$K$4:$AJ$4,0)))))</f>
        <v>4689.746</v>
      </c>
      <c r="AJ22" s="6">
        <f>IF(ISNA(MATCH(AJ$2,Inputs!$K$4:$AJ$4,0)),NA(),IF(SUMPRODUCT((Inputs!$A$5:$A$230=$B22)*ISNUMBER(INDEX(Inputs!$K$5:$AJ$230,0,MATCH(AJ$2,Inputs!$K$4:$AJ$4,0))))+SUMPRODUCT((Inputs!$C$5:$C$230=$B22)*ISNUMBER(INDEX(Inputs!$K$5:$AJ$230,0,MATCH(AJ$2,Inputs!$K$4:$AJ$4,0))))+SUMPRODUCT((Inputs!$E$5:$E$230=$B22)*ISNUMBER(INDEX(Inputs!$K$5:$AJ$230,0,MATCH(AJ$2,Inputs!$K$4:$AJ$4,0))))=0,NA(),SUMPRODUCT((Inputs!$A$5:$A$230=$B22)*Inputs!$B$5:$B$230*(((Inputs!$G$5:$G$230="moeda")+(Inputs!$G$5:$G$230="acoes"))*Inputs!$B$1+((Inputs!$G$5:$G$230&lt;&gt;"moeda")*(Inputs!$G$5:$G$230&lt;&gt;"acoes")))*INDEX(Inputs!$K$5:$AJ$230,0,MATCH(AJ$2,Inputs!$K$4:$AJ$4,0)))+SUMPRODUCT((Inputs!$C$5:$C$230=$B22)*Inputs!$D$5:$D$230*(((Inputs!$G$5:$G$230="moeda")+(Inputs!$G$5:$G$230="acoes"))*Inputs!$B$1+((Inputs!$G$5:$G$230&lt;&gt;"moeda")*(Inputs!$G$5:$G$230&lt;&gt;"acoes")))*INDEX(Inputs!$K$5:$AJ$230,0,MATCH(AJ$2,Inputs!$K$4:$AJ$4,0)))+SUMPRODUCT((Inputs!$E$5:$E$230=$B22)*Inputs!$F$5:$F$230*(((Inputs!$G$5:$G$230="moeda")+(Inputs!$G$5:$G$230="acoes"))*Inputs!$B$1+((Inputs!$G$5:$G$230&lt;&gt;"moeda")*(Inputs!$G$5:$G$230&lt;&gt;"acoes")))*INDEX(Inputs!$K$5:$AJ$230,0,MATCH(AJ$2,Inputs!$K$4:$AJ$4,0)))))</f>
        <v>4712.887</v>
      </c>
      <c r="AK22" s="6">
        <f>IF(ISNA(MATCH(AK$2,Inputs!$K$4:$AJ$4,0)),NA(),IF(SUMPRODUCT((Inputs!$A$5:$A$230=$B22)*ISNUMBER(INDEX(Inputs!$K$5:$AJ$230,0,MATCH(AK$2,Inputs!$K$4:$AJ$4,0))))+SUMPRODUCT((Inputs!$C$5:$C$230=$B22)*ISNUMBER(INDEX(Inputs!$K$5:$AJ$230,0,MATCH(AK$2,Inputs!$K$4:$AJ$4,0))))+SUMPRODUCT((Inputs!$E$5:$E$230=$B22)*ISNUMBER(INDEX(Inputs!$K$5:$AJ$230,0,MATCH(AK$2,Inputs!$K$4:$AJ$4,0))))=0,NA(),SUMPRODUCT((Inputs!$A$5:$A$230=$B22)*Inputs!$B$5:$B$230*(((Inputs!$G$5:$G$230="moeda")+(Inputs!$G$5:$G$230="acoes"))*Inputs!$B$1+((Inputs!$G$5:$G$230&lt;&gt;"moeda")*(Inputs!$G$5:$G$230&lt;&gt;"acoes")))*INDEX(Inputs!$K$5:$AJ$230,0,MATCH(AK$2,Inputs!$K$4:$AJ$4,0)))+SUMPRODUCT((Inputs!$C$5:$C$230=$B22)*Inputs!$D$5:$D$230*(((Inputs!$G$5:$G$230="moeda")+(Inputs!$G$5:$G$230="acoes"))*Inputs!$B$1+((Inputs!$G$5:$G$230&lt;&gt;"moeda")*(Inputs!$G$5:$G$230&lt;&gt;"acoes")))*INDEX(Inputs!$K$5:$AJ$230,0,MATCH(AK$2,Inputs!$K$4:$AJ$4,0)))+SUMPRODUCT((Inputs!$E$5:$E$230=$B22)*Inputs!$F$5:$F$230*(((Inputs!$G$5:$G$230="moeda")+(Inputs!$G$5:$G$230="acoes"))*Inputs!$B$1+((Inputs!$G$5:$G$230&lt;&gt;"moeda")*(Inputs!$G$5:$G$230&lt;&gt;"acoes")))*INDEX(Inputs!$K$5:$AJ$230,0,MATCH(AK$2,Inputs!$K$4:$AJ$4,0)))))</f>
        <v>4672.156</v>
      </c>
      <c r="AL22" s="3">
        <f>AK22</f>
        <v>4672.156</v>
      </c>
    </row>
    <row r="23">
      <c r="B23" s="46" t="n">
        <v>19</v>
      </c>
      <c r="C23" s="26" t="inlineStr">
        <is>
          <t>Right-of-use-assets</t>
        </is>
      </c>
      <c r="D23" s="6" t="e">
        <f>IF(ISNA(MATCH(D$2,Inputs!$K$4:$AJ$4,0)),NA(),IF(SUMPRODUCT((Inputs!$A$5:$A$230=$B23)*ISNUMBER(INDEX(Inputs!$K$5:$AJ$230,0,MATCH(D$2,Inputs!$K$4:$AJ$4,0))))+SUMPRODUCT((Inputs!$C$5:$C$230=$B23)*ISNUMBER(INDEX(Inputs!$K$5:$AJ$230,0,MATCH(D$2,Inputs!$K$4:$AJ$4,0))))+SUMPRODUCT((Inputs!$E$5:$E$230=$B23)*ISNUMBER(INDEX(Inputs!$K$5:$AJ$230,0,MATCH(D$2,Inputs!$K$4:$AJ$4,0))))=0,NA(),SUMPRODUCT((Inputs!$A$5:$A$230=$B23)*Inputs!$B$5:$B$230*(((Inputs!$G$5:$G$230="moeda")+(Inputs!$G$5:$G$230="acoes"))*Inputs!$B$1+((Inputs!$G$5:$G$230&lt;&gt;"moeda")*(Inputs!$G$5:$G$230&lt;&gt;"acoes")))*INDEX(Inputs!$K$5:$AJ$230,0,MATCH(D$2,Inputs!$K$4:$AJ$4,0)))+SUMPRODUCT((Inputs!$C$5:$C$230=$B23)*Inputs!$D$5:$D$230*(((Inputs!$G$5:$G$230="moeda")+(Inputs!$G$5:$G$230="acoes"))*Inputs!$B$1+((Inputs!$G$5:$G$230&lt;&gt;"moeda")*(Inputs!$G$5:$G$230&lt;&gt;"acoes")))*INDEX(Inputs!$K$5:$AJ$230,0,MATCH(D$2,Inputs!$K$4:$AJ$4,0)))+SUMPRODUCT((Inputs!$E$5:$E$230=$B23)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23" s="6" t="e">
        <f>IF(ISNA(MATCH(E$2,Inputs!$K$4:$AJ$4,0)),NA(),IF(SUMPRODUCT((Inputs!$A$5:$A$230=$B23)*ISNUMBER(INDEX(Inputs!$K$5:$AJ$230,0,MATCH(E$2,Inputs!$K$4:$AJ$4,0))))+SUMPRODUCT((Inputs!$C$5:$C$230=$B23)*ISNUMBER(INDEX(Inputs!$K$5:$AJ$230,0,MATCH(E$2,Inputs!$K$4:$AJ$4,0))))+SUMPRODUCT((Inputs!$E$5:$E$230=$B23)*ISNUMBER(INDEX(Inputs!$K$5:$AJ$230,0,MATCH(E$2,Inputs!$K$4:$AJ$4,0))))=0,NA(),SUMPRODUCT((Inputs!$A$5:$A$230=$B23)*Inputs!$B$5:$B$230*(((Inputs!$G$5:$G$230="moeda")+(Inputs!$G$5:$G$230="acoes"))*Inputs!$B$1+((Inputs!$G$5:$G$230&lt;&gt;"moeda")*(Inputs!$G$5:$G$230&lt;&gt;"acoes")))*INDEX(Inputs!$K$5:$AJ$230,0,MATCH(E$2,Inputs!$K$4:$AJ$4,0)))+SUMPRODUCT((Inputs!$C$5:$C$230=$B23)*Inputs!$D$5:$D$230*(((Inputs!$G$5:$G$230="moeda")+(Inputs!$G$5:$G$230="acoes"))*Inputs!$B$1+((Inputs!$G$5:$G$230&lt;&gt;"moeda")*(Inputs!$G$5:$G$230&lt;&gt;"acoes")))*INDEX(Inputs!$K$5:$AJ$230,0,MATCH(E$2,Inputs!$K$4:$AJ$4,0)))+SUMPRODUCT((Inputs!$E$5:$E$230=$B23)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23" s="6" t="e">
        <f>IF(ISNA(MATCH(F$2,Inputs!$K$4:$AJ$4,0)),NA(),IF(SUMPRODUCT((Inputs!$A$5:$A$230=$B23)*ISNUMBER(INDEX(Inputs!$K$5:$AJ$230,0,MATCH(F$2,Inputs!$K$4:$AJ$4,0))))+SUMPRODUCT((Inputs!$C$5:$C$230=$B23)*ISNUMBER(INDEX(Inputs!$K$5:$AJ$230,0,MATCH(F$2,Inputs!$K$4:$AJ$4,0))))+SUMPRODUCT((Inputs!$E$5:$E$230=$B23)*ISNUMBER(INDEX(Inputs!$K$5:$AJ$230,0,MATCH(F$2,Inputs!$K$4:$AJ$4,0))))=0,NA(),SUMPRODUCT((Inputs!$A$5:$A$230=$B23)*Inputs!$B$5:$B$230*(((Inputs!$G$5:$G$230="moeda")+(Inputs!$G$5:$G$230="acoes"))*Inputs!$B$1+((Inputs!$G$5:$G$230&lt;&gt;"moeda")*(Inputs!$G$5:$G$230&lt;&gt;"acoes")))*INDEX(Inputs!$K$5:$AJ$230,0,MATCH(F$2,Inputs!$K$4:$AJ$4,0)))+SUMPRODUCT((Inputs!$C$5:$C$230=$B23)*Inputs!$D$5:$D$230*(((Inputs!$G$5:$G$230="moeda")+(Inputs!$G$5:$G$230="acoes"))*Inputs!$B$1+((Inputs!$G$5:$G$230&lt;&gt;"moeda")*(Inputs!$G$5:$G$230&lt;&gt;"acoes")))*INDEX(Inputs!$K$5:$AJ$230,0,MATCH(F$2,Inputs!$K$4:$AJ$4,0)))+SUMPRODUCT((Inputs!$E$5:$E$230=$B23)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23" s="6" t="e">
        <f>IF(ISNA(MATCH(G$2,Inputs!$K$4:$AJ$4,0)),NA(),IF(SUMPRODUCT((Inputs!$A$5:$A$230=$B23)*ISNUMBER(INDEX(Inputs!$K$5:$AJ$230,0,MATCH(G$2,Inputs!$K$4:$AJ$4,0))))+SUMPRODUCT((Inputs!$C$5:$C$230=$B23)*ISNUMBER(INDEX(Inputs!$K$5:$AJ$230,0,MATCH(G$2,Inputs!$K$4:$AJ$4,0))))+SUMPRODUCT((Inputs!$E$5:$E$230=$B23)*ISNUMBER(INDEX(Inputs!$K$5:$AJ$230,0,MATCH(G$2,Inputs!$K$4:$AJ$4,0))))=0,NA(),SUMPRODUCT((Inputs!$A$5:$A$230=$B23)*Inputs!$B$5:$B$230*(((Inputs!$G$5:$G$230="moeda")+(Inputs!$G$5:$G$230="acoes"))*Inputs!$B$1+((Inputs!$G$5:$G$230&lt;&gt;"moeda")*(Inputs!$G$5:$G$230&lt;&gt;"acoes")))*INDEX(Inputs!$K$5:$AJ$230,0,MATCH(G$2,Inputs!$K$4:$AJ$4,0)))+SUMPRODUCT((Inputs!$C$5:$C$230=$B23)*Inputs!$D$5:$D$230*(((Inputs!$G$5:$G$230="moeda")+(Inputs!$G$5:$G$230="acoes"))*Inputs!$B$1+((Inputs!$G$5:$G$230&lt;&gt;"moeda")*(Inputs!$G$5:$G$230&lt;&gt;"acoes")))*INDEX(Inputs!$K$5:$AJ$230,0,MATCH(G$2,Inputs!$K$4:$AJ$4,0)))+SUMPRODUCT((Inputs!$E$5:$E$230=$B23)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23" s="3" t="e">
        <f>G23</f>
        <v>#N/A</v>
      </c>
      <c r="I23" s="6" t="e">
        <f>IF(ISNA(MATCH(I$2,Inputs!$K$4:$AJ$4,0)),NA(),IF(SUMPRODUCT((Inputs!$A$5:$A$230=$B23)*ISNUMBER(INDEX(Inputs!$K$5:$AJ$230,0,MATCH(I$2,Inputs!$K$4:$AJ$4,0))))+SUMPRODUCT((Inputs!$C$5:$C$230=$B23)*ISNUMBER(INDEX(Inputs!$K$5:$AJ$230,0,MATCH(I$2,Inputs!$K$4:$AJ$4,0))))+SUMPRODUCT((Inputs!$E$5:$E$230=$B23)*ISNUMBER(INDEX(Inputs!$K$5:$AJ$230,0,MATCH(I$2,Inputs!$K$4:$AJ$4,0))))=0,NA(),SUMPRODUCT((Inputs!$A$5:$A$230=$B23)*Inputs!$B$5:$B$230*(((Inputs!$G$5:$G$230="moeda")+(Inputs!$G$5:$G$230="acoes"))*Inputs!$B$1+((Inputs!$G$5:$G$230&lt;&gt;"moeda")*(Inputs!$G$5:$G$230&lt;&gt;"acoes")))*INDEX(Inputs!$K$5:$AJ$230,0,MATCH(I$2,Inputs!$K$4:$AJ$4,0)))+SUMPRODUCT((Inputs!$C$5:$C$230=$B23)*Inputs!$D$5:$D$230*(((Inputs!$G$5:$G$230="moeda")+(Inputs!$G$5:$G$230="acoes"))*Inputs!$B$1+((Inputs!$G$5:$G$230&lt;&gt;"moeda")*(Inputs!$G$5:$G$230&lt;&gt;"acoes")))*INDEX(Inputs!$K$5:$AJ$230,0,MATCH(I$2,Inputs!$K$4:$AJ$4,0)))+SUMPRODUCT((Inputs!$E$5:$E$230=$B23)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23" s="6" t="e">
        <f>IF(ISNA(MATCH(J$2,Inputs!$K$4:$AJ$4,0)),NA(),IF(SUMPRODUCT((Inputs!$A$5:$A$230=$B23)*ISNUMBER(INDEX(Inputs!$K$5:$AJ$230,0,MATCH(J$2,Inputs!$K$4:$AJ$4,0))))+SUMPRODUCT((Inputs!$C$5:$C$230=$B23)*ISNUMBER(INDEX(Inputs!$K$5:$AJ$230,0,MATCH(J$2,Inputs!$K$4:$AJ$4,0))))+SUMPRODUCT((Inputs!$E$5:$E$230=$B23)*ISNUMBER(INDEX(Inputs!$K$5:$AJ$230,0,MATCH(J$2,Inputs!$K$4:$AJ$4,0))))=0,NA(),SUMPRODUCT((Inputs!$A$5:$A$230=$B23)*Inputs!$B$5:$B$230*(((Inputs!$G$5:$G$230="moeda")+(Inputs!$G$5:$G$230="acoes"))*Inputs!$B$1+((Inputs!$G$5:$G$230&lt;&gt;"moeda")*(Inputs!$G$5:$G$230&lt;&gt;"acoes")))*INDEX(Inputs!$K$5:$AJ$230,0,MATCH(J$2,Inputs!$K$4:$AJ$4,0)))+SUMPRODUCT((Inputs!$C$5:$C$230=$B23)*Inputs!$D$5:$D$230*(((Inputs!$G$5:$G$230="moeda")+(Inputs!$G$5:$G$230="acoes"))*Inputs!$B$1+((Inputs!$G$5:$G$230&lt;&gt;"moeda")*(Inputs!$G$5:$G$230&lt;&gt;"acoes")))*INDEX(Inputs!$K$5:$AJ$230,0,MATCH(J$2,Inputs!$K$4:$AJ$4,0)))+SUMPRODUCT((Inputs!$E$5:$E$230=$B23)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23" s="6" t="e">
        <f>IF(ISNA(MATCH(K$2,Inputs!$K$4:$AJ$4,0)),NA(),IF(SUMPRODUCT((Inputs!$A$5:$A$230=$B23)*ISNUMBER(INDEX(Inputs!$K$5:$AJ$230,0,MATCH(K$2,Inputs!$K$4:$AJ$4,0))))+SUMPRODUCT((Inputs!$C$5:$C$230=$B23)*ISNUMBER(INDEX(Inputs!$K$5:$AJ$230,0,MATCH(K$2,Inputs!$K$4:$AJ$4,0))))+SUMPRODUCT((Inputs!$E$5:$E$230=$B23)*ISNUMBER(INDEX(Inputs!$K$5:$AJ$230,0,MATCH(K$2,Inputs!$K$4:$AJ$4,0))))=0,NA(),SUMPRODUCT((Inputs!$A$5:$A$230=$B23)*Inputs!$B$5:$B$230*(((Inputs!$G$5:$G$230="moeda")+(Inputs!$G$5:$G$230="acoes"))*Inputs!$B$1+((Inputs!$G$5:$G$230&lt;&gt;"moeda")*(Inputs!$G$5:$G$230&lt;&gt;"acoes")))*INDEX(Inputs!$K$5:$AJ$230,0,MATCH(K$2,Inputs!$K$4:$AJ$4,0)))+SUMPRODUCT((Inputs!$C$5:$C$230=$B23)*Inputs!$D$5:$D$230*(((Inputs!$G$5:$G$230="moeda")+(Inputs!$G$5:$G$230="acoes"))*Inputs!$B$1+((Inputs!$G$5:$G$230&lt;&gt;"moeda")*(Inputs!$G$5:$G$230&lt;&gt;"acoes")))*INDEX(Inputs!$K$5:$AJ$230,0,MATCH(K$2,Inputs!$K$4:$AJ$4,0)))+SUMPRODUCT((Inputs!$E$5:$E$230=$B23)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23" s="6" t="e">
        <f>IF(ISNA(MATCH(L$2,Inputs!$K$4:$AJ$4,0)),NA(),IF(SUMPRODUCT((Inputs!$A$5:$A$230=$B23)*ISNUMBER(INDEX(Inputs!$K$5:$AJ$230,0,MATCH(L$2,Inputs!$K$4:$AJ$4,0))))+SUMPRODUCT((Inputs!$C$5:$C$230=$B23)*ISNUMBER(INDEX(Inputs!$K$5:$AJ$230,0,MATCH(L$2,Inputs!$K$4:$AJ$4,0))))+SUMPRODUCT((Inputs!$E$5:$E$230=$B23)*ISNUMBER(INDEX(Inputs!$K$5:$AJ$230,0,MATCH(L$2,Inputs!$K$4:$AJ$4,0))))=0,NA(),SUMPRODUCT((Inputs!$A$5:$A$230=$B23)*Inputs!$B$5:$B$230*(((Inputs!$G$5:$G$230="moeda")+(Inputs!$G$5:$G$230="acoes"))*Inputs!$B$1+((Inputs!$G$5:$G$230&lt;&gt;"moeda")*(Inputs!$G$5:$G$230&lt;&gt;"acoes")))*INDEX(Inputs!$K$5:$AJ$230,0,MATCH(L$2,Inputs!$K$4:$AJ$4,0)))+SUMPRODUCT((Inputs!$C$5:$C$230=$B23)*Inputs!$D$5:$D$230*(((Inputs!$G$5:$G$230="moeda")+(Inputs!$G$5:$G$230="acoes"))*Inputs!$B$1+((Inputs!$G$5:$G$230&lt;&gt;"moeda")*(Inputs!$G$5:$G$230&lt;&gt;"acoes")))*INDEX(Inputs!$K$5:$AJ$230,0,MATCH(L$2,Inputs!$K$4:$AJ$4,0)))+SUMPRODUCT((Inputs!$E$5:$E$230=$B23)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23" s="3" t="e">
        <f>L23</f>
        <v>#N/A</v>
      </c>
      <c r="N23" s="6" t="e">
        <f>IF(ISNA(MATCH(N$2,Inputs!$K$4:$AJ$4,0)),NA(),IF(SUMPRODUCT((Inputs!$A$5:$A$230=$B23)*ISNUMBER(INDEX(Inputs!$K$5:$AJ$230,0,MATCH(N$2,Inputs!$K$4:$AJ$4,0))))+SUMPRODUCT((Inputs!$C$5:$C$230=$B23)*ISNUMBER(INDEX(Inputs!$K$5:$AJ$230,0,MATCH(N$2,Inputs!$K$4:$AJ$4,0))))+SUMPRODUCT((Inputs!$E$5:$E$230=$B23)*ISNUMBER(INDEX(Inputs!$K$5:$AJ$230,0,MATCH(N$2,Inputs!$K$4:$AJ$4,0))))=0,NA(),SUMPRODUCT((Inputs!$A$5:$A$230=$B23)*Inputs!$B$5:$B$230*(((Inputs!$G$5:$G$230="moeda")+(Inputs!$G$5:$G$230="acoes"))*Inputs!$B$1+((Inputs!$G$5:$G$230&lt;&gt;"moeda")*(Inputs!$G$5:$G$230&lt;&gt;"acoes")))*INDEX(Inputs!$K$5:$AJ$230,0,MATCH(N$2,Inputs!$K$4:$AJ$4,0)))+SUMPRODUCT((Inputs!$C$5:$C$230=$B23)*Inputs!$D$5:$D$230*(((Inputs!$G$5:$G$230="moeda")+(Inputs!$G$5:$G$230="acoes"))*Inputs!$B$1+((Inputs!$G$5:$G$230&lt;&gt;"moeda")*(Inputs!$G$5:$G$230&lt;&gt;"acoes")))*INDEX(Inputs!$K$5:$AJ$230,0,MATCH(N$2,Inputs!$K$4:$AJ$4,0)))+SUMPRODUCT((Inputs!$E$5:$E$230=$B23)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23" s="6" t="e">
        <f>IF(ISNA(MATCH(O$2,Inputs!$K$4:$AJ$4,0)),NA(),IF(SUMPRODUCT((Inputs!$A$5:$A$230=$B23)*ISNUMBER(INDEX(Inputs!$K$5:$AJ$230,0,MATCH(O$2,Inputs!$K$4:$AJ$4,0))))+SUMPRODUCT((Inputs!$C$5:$C$230=$B23)*ISNUMBER(INDEX(Inputs!$K$5:$AJ$230,0,MATCH(O$2,Inputs!$K$4:$AJ$4,0))))+SUMPRODUCT((Inputs!$E$5:$E$230=$B23)*ISNUMBER(INDEX(Inputs!$K$5:$AJ$230,0,MATCH(O$2,Inputs!$K$4:$AJ$4,0))))=0,NA(),SUMPRODUCT((Inputs!$A$5:$A$230=$B23)*Inputs!$B$5:$B$230*(((Inputs!$G$5:$G$230="moeda")+(Inputs!$G$5:$G$230="acoes"))*Inputs!$B$1+((Inputs!$G$5:$G$230&lt;&gt;"moeda")*(Inputs!$G$5:$G$230&lt;&gt;"acoes")))*INDEX(Inputs!$K$5:$AJ$230,0,MATCH(O$2,Inputs!$K$4:$AJ$4,0)))+SUMPRODUCT((Inputs!$C$5:$C$230=$B23)*Inputs!$D$5:$D$230*(((Inputs!$G$5:$G$230="moeda")+(Inputs!$G$5:$G$230="acoes"))*Inputs!$B$1+((Inputs!$G$5:$G$230&lt;&gt;"moeda")*(Inputs!$G$5:$G$230&lt;&gt;"acoes")))*INDEX(Inputs!$K$5:$AJ$230,0,MATCH(O$2,Inputs!$K$4:$AJ$4,0)))+SUMPRODUCT((Inputs!$E$5:$E$230=$B23)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23" s="6" t="e">
        <f>IF(ISNA(MATCH(P$2,Inputs!$K$4:$AJ$4,0)),NA(),IF(SUMPRODUCT((Inputs!$A$5:$A$230=$B23)*ISNUMBER(INDEX(Inputs!$K$5:$AJ$230,0,MATCH(P$2,Inputs!$K$4:$AJ$4,0))))+SUMPRODUCT((Inputs!$C$5:$C$230=$B23)*ISNUMBER(INDEX(Inputs!$K$5:$AJ$230,0,MATCH(P$2,Inputs!$K$4:$AJ$4,0))))+SUMPRODUCT((Inputs!$E$5:$E$230=$B23)*ISNUMBER(INDEX(Inputs!$K$5:$AJ$230,0,MATCH(P$2,Inputs!$K$4:$AJ$4,0))))=0,NA(),SUMPRODUCT((Inputs!$A$5:$A$230=$B23)*Inputs!$B$5:$B$230*(((Inputs!$G$5:$G$230="moeda")+(Inputs!$G$5:$G$230="acoes"))*Inputs!$B$1+((Inputs!$G$5:$G$230&lt;&gt;"moeda")*(Inputs!$G$5:$G$230&lt;&gt;"acoes")))*INDEX(Inputs!$K$5:$AJ$230,0,MATCH(P$2,Inputs!$K$4:$AJ$4,0)))+SUMPRODUCT((Inputs!$C$5:$C$230=$B23)*Inputs!$D$5:$D$230*(((Inputs!$G$5:$G$230="moeda")+(Inputs!$G$5:$G$230="acoes"))*Inputs!$B$1+((Inputs!$G$5:$G$230&lt;&gt;"moeda")*(Inputs!$G$5:$G$230&lt;&gt;"acoes")))*INDEX(Inputs!$K$5:$AJ$230,0,MATCH(P$2,Inputs!$K$4:$AJ$4,0)))+SUMPRODUCT((Inputs!$E$5:$E$230=$B23)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23" s="6" t="e">
        <f>IF(ISNA(MATCH(Q$2,Inputs!$K$4:$AJ$4,0)),NA(),IF(SUMPRODUCT((Inputs!$A$5:$A$230=$B23)*ISNUMBER(INDEX(Inputs!$K$5:$AJ$230,0,MATCH(Q$2,Inputs!$K$4:$AJ$4,0))))+SUMPRODUCT((Inputs!$C$5:$C$230=$B23)*ISNUMBER(INDEX(Inputs!$K$5:$AJ$230,0,MATCH(Q$2,Inputs!$K$4:$AJ$4,0))))+SUMPRODUCT((Inputs!$E$5:$E$230=$B23)*ISNUMBER(INDEX(Inputs!$K$5:$AJ$230,0,MATCH(Q$2,Inputs!$K$4:$AJ$4,0))))=0,NA(),SUMPRODUCT((Inputs!$A$5:$A$230=$B23)*Inputs!$B$5:$B$230*(((Inputs!$G$5:$G$230="moeda")+(Inputs!$G$5:$G$230="acoes"))*Inputs!$B$1+((Inputs!$G$5:$G$230&lt;&gt;"moeda")*(Inputs!$G$5:$G$230&lt;&gt;"acoes")))*INDEX(Inputs!$K$5:$AJ$230,0,MATCH(Q$2,Inputs!$K$4:$AJ$4,0)))+SUMPRODUCT((Inputs!$C$5:$C$230=$B23)*Inputs!$D$5:$D$230*(((Inputs!$G$5:$G$230="moeda")+(Inputs!$G$5:$G$230="acoes"))*Inputs!$B$1+((Inputs!$G$5:$G$230&lt;&gt;"moeda")*(Inputs!$G$5:$G$230&lt;&gt;"acoes")))*INDEX(Inputs!$K$5:$AJ$230,0,MATCH(Q$2,Inputs!$K$4:$AJ$4,0)))+SUMPRODUCT((Inputs!$E$5:$E$230=$B23)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23" s="3" t="e">
        <f>Q23</f>
        <v>#N/A</v>
      </c>
      <c r="S23" s="6" t="e">
        <f>IF(ISNA(MATCH(S$2,Inputs!$K$4:$AJ$4,0)),NA(),IF(SUMPRODUCT((Inputs!$A$5:$A$230=$B23)*ISNUMBER(INDEX(Inputs!$K$5:$AJ$230,0,MATCH(S$2,Inputs!$K$4:$AJ$4,0))))+SUMPRODUCT((Inputs!$C$5:$C$230=$B23)*ISNUMBER(INDEX(Inputs!$K$5:$AJ$230,0,MATCH(S$2,Inputs!$K$4:$AJ$4,0))))+SUMPRODUCT((Inputs!$E$5:$E$230=$B23)*ISNUMBER(INDEX(Inputs!$K$5:$AJ$230,0,MATCH(S$2,Inputs!$K$4:$AJ$4,0))))=0,NA(),SUMPRODUCT((Inputs!$A$5:$A$230=$B23)*Inputs!$B$5:$B$230*(((Inputs!$G$5:$G$230="moeda")+(Inputs!$G$5:$G$230="acoes"))*Inputs!$B$1+((Inputs!$G$5:$G$230&lt;&gt;"moeda")*(Inputs!$G$5:$G$230&lt;&gt;"acoes")))*INDEX(Inputs!$K$5:$AJ$230,0,MATCH(S$2,Inputs!$K$4:$AJ$4,0)))+SUMPRODUCT((Inputs!$C$5:$C$230=$B23)*Inputs!$D$5:$D$230*(((Inputs!$G$5:$G$230="moeda")+(Inputs!$G$5:$G$230="acoes"))*Inputs!$B$1+((Inputs!$G$5:$G$230&lt;&gt;"moeda")*(Inputs!$G$5:$G$230&lt;&gt;"acoes")))*INDEX(Inputs!$K$5:$AJ$230,0,MATCH(S$2,Inputs!$K$4:$AJ$4,0)))+SUMPRODUCT((Inputs!$E$5:$E$230=$B23)*Inputs!$F$5:$F$230*(((Inputs!$G$5:$G$230="moeda")+(Inputs!$G$5:$G$230="acoes"))*Inputs!$B$1+((Inputs!$G$5:$G$230&lt;&gt;"moeda")*(Inputs!$G$5:$G$230&lt;&gt;"acoes")))*INDEX(Inputs!$K$5:$AJ$230,0,MATCH(S$2,Inputs!$K$4:$AJ$4,0)))))</f>
        <v>#N/A</v>
      </c>
      <c r="T23" s="6" t="e">
        <f>IF(ISNA(MATCH(T$2,Inputs!$K$4:$AJ$4,0)),NA(),IF(SUMPRODUCT((Inputs!$A$5:$A$230=$B23)*ISNUMBER(INDEX(Inputs!$K$5:$AJ$230,0,MATCH(T$2,Inputs!$K$4:$AJ$4,0))))+SUMPRODUCT((Inputs!$C$5:$C$230=$B23)*ISNUMBER(INDEX(Inputs!$K$5:$AJ$230,0,MATCH(T$2,Inputs!$K$4:$AJ$4,0))))+SUMPRODUCT((Inputs!$E$5:$E$230=$B23)*ISNUMBER(INDEX(Inputs!$K$5:$AJ$230,0,MATCH(T$2,Inputs!$K$4:$AJ$4,0))))=0,NA(),SUMPRODUCT((Inputs!$A$5:$A$230=$B23)*Inputs!$B$5:$B$230*(((Inputs!$G$5:$G$230="moeda")+(Inputs!$G$5:$G$230="acoes"))*Inputs!$B$1+((Inputs!$G$5:$G$230&lt;&gt;"moeda")*(Inputs!$G$5:$G$230&lt;&gt;"acoes")))*INDEX(Inputs!$K$5:$AJ$230,0,MATCH(T$2,Inputs!$K$4:$AJ$4,0)))+SUMPRODUCT((Inputs!$C$5:$C$230=$B23)*Inputs!$D$5:$D$230*(((Inputs!$G$5:$G$230="moeda")+(Inputs!$G$5:$G$230="acoes"))*Inputs!$B$1+((Inputs!$G$5:$G$230&lt;&gt;"moeda")*(Inputs!$G$5:$G$230&lt;&gt;"acoes")))*INDEX(Inputs!$K$5:$AJ$230,0,MATCH(T$2,Inputs!$K$4:$AJ$4,0)))+SUMPRODUCT((Inputs!$E$5:$E$230=$B23)*Inputs!$F$5:$F$230*(((Inputs!$G$5:$G$230="moeda")+(Inputs!$G$5:$G$230="acoes"))*Inputs!$B$1+((Inputs!$G$5:$G$230&lt;&gt;"moeda")*(Inputs!$G$5:$G$230&lt;&gt;"acoes")))*INDEX(Inputs!$K$5:$AJ$230,0,MATCH(T$2,Inputs!$K$4:$AJ$4,0)))))</f>
        <v>#N/A</v>
      </c>
      <c r="U23" s="6" t="e">
        <f>IF(ISNA(MATCH(U$2,Inputs!$K$4:$AJ$4,0)),NA(),IF(SUMPRODUCT((Inputs!$A$5:$A$230=$B23)*ISNUMBER(INDEX(Inputs!$K$5:$AJ$230,0,MATCH(U$2,Inputs!$K$4:$AJ$4,0))))+SUMPRODUCT((Inputs!$C$5:$C$230=$B23)*ISNUMBER(INDEX(Inputs!$K$5:$AJ$230,0,MATCH(U$2,Inputs!$K$4:$AJ$4,0))))+SUMPRODUCT((Inputs!$E$5:$E$230=$B23)*ISNUMBER(INDEX(Inputs!$K$5:$AJ$230,0,MATCH(U$2,Inputs!$K$4:$AJ$4,0))))=0,NA(),SUMPRODUCT((Inputs!$A$5:$A$230=$B23)*Inputs!$B$5:$B$230*(((Inputs!$G$5:$G$230="moeda")+(Inputs!$G$5:$G$230="acoes"))*Inputs!$B$1+((Inputs!$G$5:$G$230&lt;&gt;"moeda")*(Inputs!$G$5:$G$230&lt;&gt;"acoes")))*INDEX(Inputs!$K$5:$AJ$230,0,MATCH(U$2,Inputs!$K$4:$AJ$4,0)))+SUMPRODUCT((Inputs!$C$5:$C$230=$B23)*Inputs!$D$5:$D$230*(((Inputs!$G$5:$G$230="moeda")+(Inputs!$G$5:$G$230="acoes"))*Inputs!$B$1+((Inputs!$G$5:$G$230&lt;&gt;"moeda")*(Inputs!$G$5:$G$230&lt;&gt;"acoes")))*INDEX(Inputs!$K$5:$AJ$230,0,MATCH(U$2,Inputs!$K$4:$AJ$4,0)))+SUMPRODUCT((Inputs!$E$5:$E$230=$B23)*Inputs!$F$5:$F$230*(((Inputs!$G$5:$G$230="moeda")+(Inputs!$G$5:$G$230="acoes"))*Inputs!$B$1+((Inputs!$G$5:$G$230&lt;&gt;"moeda")*(Inputs!$G$5:$G$230&lt;&gt;"acoes")))*INDEX(Inputs!$K$5:$AJ$230,0,MATCH(U$2,Inputs!$K$4:$AJ$4,0)))))</f>
        <v>#N/A</v>
      </c>
      <c r="V23" s="6" t="e">
        <f>IF(ISNA(MATCH(V$2,Inputs!$K$4:$AJ$4,0)),NA(),IF(SUMPRODUCT((Inputs!$A$5:$A$230=$B23)*ISNUMBER(INDEX(Inputs!$K$5:$AJ$230,0,MATCH(V$2,Inputs!$K$4:$AJ$4,0))))+SUMPRODUCT((Inputs!$C$5:$C$230=$B23)*ISNUMBER(INDEX(Inputs!$K$5:$AJ$230,0,MATCH(V$2,Inputs!$K$4:$AJ$4,0))))+SUMPRODUCT((Inputs!$E$5:$E$230=$B23)*ISNUMBER(INDEX(Inputs!$K$5:$AJ$230,0,MATCH(V$2,Inputs!$K$4:$AJ$4,0))))=0,NA(),SUMPRODUCT((Inputs!$A$5:$A$230=$B23)*Inputs!$B$5:$B$230*(((Inputs!$G$5:$G$230="moeda")+(Inputs!$G$5:$G$230="acoes"))*Inputs!$B$1+((Inputs!$G$5:$G$230&lt;&gt;"moeda")*(Inputs!$G$5:$G$230&lt;&gt;"acoes")))*INDEX(Inputs!$K$5:$AJ$230,0,MATCH(V$2,Inputs!$K$4:$AJ$4,0)))+SUMPRODUCT((Inputs!$C$5:$C$230=$B23)*Inputs!$D$5:$D$230*(((Inputs!$G$5:$G$230="moeda")+(Inputs!$G$5:$G$230="acoes"))*Inputs!$B$1+((Inputs!$G$5:$G$230&lt;&gt;"moeda")*(Inputs!$G$5:$G$230&lt;&gt;"acoes")))*INDEX(Inputs!$K$5:$AJ$230,0,MATCH(V$2,Inputs!$K$4:$AJ$4,0)))+SUMPRODUCT((Inputs!$E$5:$E$230=$B23)*Inputs!$F$5:$F$230*(((Inputs!$G$5:$G$230="moeda")+(Inputs!$G$5:$G$230="acoes"))*Inputs!$B$1+((Inputs!$G$5:$G$230&lt;&gt;"moeda")*(Inputs!$G$5:$G$230&lt;&gt;"acoes")))*INDEX(Inputs!$K$5:$AJ$230,0,MATCH(V$2,Inputs!$K$4:$AJ$4,0)))))</f>
        <v>#N/A</v>
      </c>
      <c r="W23" s="3" t="e">
        <f>V23</f>
        <v>#N/A</v>
      </c>
      <c r="X23" s="6" t="e">
        <f>IF(ISNA(MATCH(X$2,Inputs!$K$4:$AJ$4,0)),NA(),IF(SUMPRODUCT((Inputs!$A$5:$A$230=$B23)*ISNUMBER(INDEX(Inputs!$K$5:$AJ$230,0,MATCH(X$2,Inputs!$K$4:$AJ$4,0))))+SUMPRODUCT((Inputs!$C$5:$C$230=$B23)*ISNUMBER(INDEX(Inputs!$K$5:$AJ$230,0,MATCH(X$2,Inputs!$K$4:$AJ$4,0))))+SUMPRODUCT((Inputs!$E$5:$E$230=$B23)*ISNUMBER(INDEX(Inputs!$K$5:$AJ$230,0,MATCH(X$2,Inputs!$K$4:$AJ$4,0))))=0,NA(),SUMPRODUCT((Inputs!$A$5:$A$230=$B23)*Inputs!$B$5:$B$230*(((Inputs!$G$5:$G$230="moeda")+(Inputs!$G$5:$G$230="acoes"))*Inputs!$B$1+((Inputs!$G$5:$G$230&lt;&gt;"moeda")*(Inputs!$G$5:$G$230&lt;&gt;"acoes")))*INDEX(Inputs!$K$5:$AJ$230,0,MATCH(X$2,Inputs!$K$4:$AJ$4,0)))+SUMPRODUCT((Inputs!$C$5:$C$230=$B23)*Inputs!$D$5:$D$230*(((Inputs!$G$5:$G$230="moeda")+(Inputs!$G$5:$G$230="acoes"))*Inputs!$B$1+((Inputs!$G$5:$G$230&lt;&gt;"moeda")*(Inputs!$G$5:$G$230&lt;&gt;"acoes")))*INDEX(Inputs!$K$5:$AJ$230,0,MATCH(X$2,Inputs!$K$4:$AJ$4,0)))+SUMPRODUCT((Inputs!$E$5:$E$230=$B23)*Inputs!$F$5:$F$230*(((Inputs!$G$5:$G$230="moeda")+(Inputs!$G$5:$G$230="acoes"))*Inputs!$B$1+((Inputs!$G$5:$G$230&lt;&gt;"moeda")*(Inputs!$G$5:$G$230&lt;&gt;"acoes")))*INDEX(Inputs!$K$5:$AJ$230,0,MATCH(X$2,Inputs!$K$4:$AJ$4,0)))))</f>
        <v>#N/A</v>
      </c>
      <c r="Y23" s="6" t="e">
        <f>IF(ISNA(MATCH(Y$2,Inputs!$K$4:$AJ$4,0)),NA(),IF(SUMPRODUCT((Inputs!$A$5:$A$230=$B23)*ISNUMBER(INDEX(Inputs!$K$5:$AJ$230,0,MATCH(Y$2,Inputs!$K$4:$AJ$4,0))))+SUMPRODUCT((Inputs!$C$5:$C$230=$B23)*ISNUMBER(INDEX(Inputs!$K$5:$AJ$230,0,MATCH(Y$2,Inputs!$K$4:$AJ$4,0))))+SUMPRODUCT((Inputs!$E$5:$E$230=$B23)*ISNUMBER(INDEX(Inputs!$K$5:$AJ$230,0,MATCH(Y$2,Inputs!$K$4:$AJ$4,0))))=0,NA(),SUMPRODUCT((Inputs!$A$5:$A$230=$B23)*Inputs!$B$5:$B$230*(((Inputs!$G$5:$G$230="moeda")+(Inputs!$G$5:$G$230="acoes"))*Inputs!$B$1+((Inputs!$G$5:$G$230&lt;&gt;"moeda")*(Inputs!$G$5:$G$230&lt;&gt;"acoes")))*INDEX(Inputs!$K$5:$AJ$230,0,MATCH(Y$2,Inputs!$K$4:$AJ$4,0)))+SUMPRODUCT((Inputs!$C$5:$C$230=$B23)*Inputs!$D$5:$D$230*(((Inputs!$G$5:$G$230="moeda")+(Inputs!$G$5:$G$230="acoes"))*Inputs!$B$1+((Inputs!$G$5:$G$230&lt;&gt;"moeda")*(Inputs!$G$5:$G$230&lt;&gt;"acoes")))*INDEX(Inputs!$K$5:$AJ$230,0,MATCH(Y$2,Inputs!$K$4:$AJ$4,0)))+SUMPRODUCT((Inputs!$E$5:$E$230=$B23)*Inputs!$F$5:$F$230*(((Inputs!$G$5:$G$230="moeda")+(Inputs!$G$5:$G$230="acoes"))*Inputs!$B$1+((Inputs!$G$5:$G$230&lt;&gt;"moeda")*(Inputs!$G$5:$G$230&lt;&gt;"acoes")))*INDEX(Inputs!$K$5:$AJ$230,0,MATCH(Y$2,Inputs!$K$4:$AJ$4,0)))))</f>
        <v>#N/A</v>
      </c>
      <c r="Z23" s="6" t="e">
        <f>IF(ISNA(MATCH(Z$2,Inputs!$K$4:$AJ$4,0)),NA(),IF(SUMPRODUCT((Inputs!$A$5:$A$230=$B23)*ISNUMBER(INDEX(Inputs!$K$5:$AJ$230,0,MATCH(Z$2,Inputs!$K$4:$AJ$4,0))))+SUMPRODUCT((Inputs!$C$5:$C$230=$B23)*ISNUMBER(INDEX(Inputs!$K$5:$AJ$230,0,MATCH(Z$2,Inputs!$K$4:$AJ$4,0))))+SUMPRODUCT((Inputs!$E$5:$E$230=$B23)*ISNUMBER(INDEX(Inputs!$K$5:$AJ$230,0,MATCH(Z$2,Inputs!$K$4:$AJ$4,0))))=0,NA(),SUMPRODUCT((Inputs!$A$5:$A$230=$B23)*Inputs!$B$5:$B$230*(((Inputs!$G$5:$G$230="moeda")+(Inputs!$G$5:$G$230="acoes"))*Inputs!$B$1+((Inputs!$G$5:$G$230&lt;&gt;"moeda")*(Inputs!$G$5:$G$230&lt;&gt;"acoes")))*INDEX(Inputs!$K$5:$AJ$230,0,MATCH(Z$2,Inputs!$K$4:$AJ$4,0)))+SUMPRODUCT((Inputs!$C$5:$C$230=$B23)*Inputs!$D$5:$D$230*(((Inputs!$G$5:$G$230="moeda")+(Inputs!$G$5:$G$230="acoes"))*Inputs!$B$1+((Inputs!$G$5:$G$230&lt;&gt;"moeda")*(Inputs!$G$5:$G$230&lt;&gt;"acoes")))*INDEX(Inputs!$K$5:$AJ$230,0,MATCH(Z$2,Inputs!$K$4:$AJ$4,0)))+SUMPRODUCT((Inputs!$E$5:$E$230=$B23)*Inputs!$F$5:$F$230*(((Inputs!$G$5:$G$230="moeda")+(Inputs!$G$5:$G$230="acoes"))*Inputs!$B$1+((Inputs!$G$5:$G$230&lt;&gt;"moeda")*(Inputs!$G$5:$G$230&lt;&gt;"acoes")))*INDEX(Inputs!$K$5:$AJ$230,0,MATCH(Z$2,Inputs!$K$4:$AJ$4,0)))))</f>
        <v>#N/A</v>
      </c>
      <c r="AA23" s="6" t="e">
        <f>IF(ISNA(MATCH(AA$2,Inputs!$K$4:$AJ$4,0)),NA(),IF(SUMPRODUCT((Inputs!$A$5:$A$230=$B23)*ISNUMBER(INDEX(Inputs!$K$5:$AJ$230,0,MATCH(AA$2,Inputs!$K$4:$AJ$4,0))))+SUMPRODUCT((Inputs!$C$5:$C$230=$B23)*ISNUMBER(INDEX(Inputs!$K$5:$AJ$230,0,MATCH(AA$2,Inputs!$K$4:$AJ$4,0))))+SUMPRODUCT((Inputs!$E$5:$E$230=$B23)*ISNUMBER(INDEX(Inputs!$K$5:$AJ$230,0,MATCH(AA$2,Inputs!$K$4:$AJ$4,0))))=0,NA(),SUMPRODUCT((Inputs!$A$5:$A$230=$B23)*Inputs!$B$5:$B$230*(((Inputs!$G$5:$G$230="moeda")+(Inputs!$G$5:$G$230="acoes"))*Inputs!$B$1+((Inputs!$G$5:$G$230&lt;&gt;"moeda")*(Inputs!$G$5:$G$230&lt;&gt;"acoes")))*INDEX(Inputs!$K$5:$AJ$230,0,MATCH(AA$2,Inputs!$K$4:$AJ$4,0)))+SUMPRODUCT((Inputs!$C$5:$C$230=$B23)*Inputs!$D$5:$D$230*(((Inputs!$G$5:$G$230="moeda")+(Inputs!$G$5:$G$230="acoes"))*Inputs!$B$1+((Inputs!$G$5:$G$230&lt;&gt;"moeda")*(Inputs!$G$5:$G$230&lt;&gt;"acoes")))*INDEX(Inputs!$K$5:$AJ$230,0,MATCH(AA$2,Inputs!$K$4:$AJ$4,0)))+SUMPRODUCT((Inputs!$E$5:$E$230=$B23)*Inputs!$F$5:$F$230*(((Inputs!$G$5:$G$230="moeda")+(Inputs!$G$5:$G$230="acoes"))*Inputs!$B$1+((Inputs!$G$5:$G$230&lt;&gt;"moeda")*(Inputs!$G$5:$G$230&lt;&gt;"acoes")))*INDEX(Inputs!$K$5:$AJ$230,0,MATCH(AA$2,Inputs!$K$4:$AJ$4,0)))))</f>
        <v>#N/A</v>
      </c>
      <c r="AB23" s="3" t="e">
        <f>AA23</f>
        <v>#N/A</v>
      </c>
      <c r="AC23" s="6" t="e">
        <f>IF(ISNA(MATCH(AC$2,Inputs!$K$4:$AJ$4,0)),NA(),IF(SUMPRODUCT((Inputs!$A$5:$A$230=$B23)*ISNUMBER(INDEX(Inputs!$K$5:$AJ$230,0,MATCH(AC$2,Inputs!$K$4:$AJ$4,0))))+SUMPRODUCT((Inputs!$C$5:$C$230=$B23)*ISNUMBER(INDEX(Inputs!$K$5:$AJ$230,0,MATCH(AC$2,Inputs!$K$4:$AJ$4,0))))+SUMPRODUCT((Inputs!$E$5:$E$230=$B23)*ISNUMBER(INDEX(Inputs!$K$5:$AJ$230,0,MATCH(AC$2,Inputs!$K$4:$AJ$4,0))))=0,NA(),SUMPRODUCT((Inputs!$A$5:$A$230=$B23)*Inputs!$B$5:$B$230*(((Inputs!$G$5:$G$230="moeda")+(Inputs!$G$5:$G$230="acoes"))*Inputs!$B$1+((Inputs!$G$5:$G$230&lt;&gt;"moeda")*(Inputs!$G$5:$G$230&lt;&gt;"acoes")))*INDEX(Inputs!$K$5:$AJ$230,0,MATCH(AC$2,Inputs!$K$4:$AJ$4,0)))+SUMPRODUCT((Inputs!$C$5:$C$230=$B23)*Inputs!$D$5:$D$230*(((Inputs!$G$5:$G$230="moeda")+(Inputs!$G$5:$G$230="acoes"))*Inputs!$B$1+((Inputs!$G$5:$G$230&lt;&gt;"moeda")*(Inputs!$G$5:$G$230&lt;&gt;"acoes")))*INDEX(Inputs!$K$5:$AJ$230,0,MATCH(AC$2,Inputs!$K$4:$AJ$4,0)))+SUMPRODUCT((Inputs!$E$5:$E$230=$B23)*Inputs!$F$5:$F$230*(((Inputs!$G$5:$G$230="moeda")+(Inputs!$G$5:$G$230="acoes"))*Inputs!$B$1+((Inputs!$G$5:$G$230&lt;&gt;"moeda")*(Inputs!$G$5:$G$230&lt;&gt;"acoes")))*INDEX(Inputs!$K$5:$AJ$230,0,MATCH(AC$2,Inputs!$K$4:$AJ$4,0)))))</f>
        <v>#N/A</v>
      </c>
      <c r="AD23" s="6" t="e">
        <f>IF(ISNA(MATCH(AD$2,Inputs!$K$4:$AJ$4,0)),NA(),IF(SUMPRODUCT((Inputs!$A$5:$A$230=$B23)*ISNUMBER(INDEX(Inputs!$K$5:$AJ$230,0,MATCH(AD$2,Inputs!$K$4:$AJ$4,0))))+SUMPRODUCT((Inputs!$C$5:$C$230=$B23)*ISNUMBER(INDEX(Inputs!$K$5:$AJ$230,0,MATCH(AD$2,Inputs!$K$4:$AJ$4,0))))+SUMPRODUCT((Inputs!$E$5:$E$230=$B23)*ISNUMBER(INDEX(Inputs!$K$5:$AJ$230,0,MATCH(AD$2,Inputs!$K$4:$AJ$4,0))))=0,NA(),SUMPRODUCT((Inputs!$A$5:$A$230=$B23)*Inputs!$B$5:$B$230*(((Inputs!$G$5:$G$230="moeda")+(Inputs!$G$5:$G$230="acoes"))*Inputs!$B$1+((Inputs!$G$5:$G$230&lt;&gt;"moeda")*(Inputs!$G$5:$G$230&lt;&gt;"acoes")))*INDEX(Inputs!$K$5:$AJ$230,0,MATCH(AD$2,Inputs!$K$4:$AJ$4,0)))+SUMPRODUCT((Inputs!$C$5:$C$230=$B23)*Inputs!$D$5:$D$230*(((Inputs!$G$5:$G$230="moeda")+(Inputs!$G$5:$G$230="acoes"))*Inputs!$B$1+((Inputs!$G$5:$G$230&lt;&gt;"moeda")*(Inputs!$G$5:$G$230&lt;&gt;"acoes")))*INDEX(Inputs!$K$5:$AJ$230,0,MATCH(AD$2,Inputs!$K$4:$AJ$4,0)))+SUMPRODUCT((Inputs!$E$5:$E$230=$B23)*Inputs!$F$5:$F$230*(((Inputs!$G$5:$G$230="moeda")+(Inputs!$G$5:$G$230="acoes"))*Inputs!$B$1+((Inputs!$G$5:$G$230&lt;&gt;"moeda")*(Inputs!$G$5:$G$230&lt;&gt;"acoes")))*INDEX(Inputs!$K$5:$AJ$230,0,MATCH(AD$2,Inputs!$K$4:$AJ$4,0)))))</f>
        <v>#N/A</v>
      </c>
      <c r="AE23" s="6" t="e">
        <f>IF(ISNA(MATCH(AE$2,Inputs!$K$4:$AJ$4,0)),NA(),IF(SUMPRODUCT((Inputs!$A$5:$A$230=$B23)*ISNUMBER(INDEX(Inputs!$K$5:$AJ$230,0,MATCH(AE$2,Inputs!$K$4:$AJ$4,0))))+SUMPRODUCT((Inputs!$C$5:$C$230=$B23)*ISNUMBER(INDEX(Inputs!$K$5:$AJ$230,0,MATCH(AE$2,Inputs!$K$4:$AJ$4,0))))+SUMPRODUCT((Inputs!$E$5:$E$230=$B23)*ISNUMBER(INDEX(Inputs!$K$5:$AJ$230,0,MATCH(AE$2,Inputs!$K$4:$AJ$4,0))))=0,NA(),SUMPRODUCT((Inputs!$A$5:$A$230=$B23)*Inputs!$B$5:$B$230*(((Inputs!$G$5:$G$230="moeda")+(Inputs!$G$5:$G$230="acoes"))*Inputs!$B$1+((Inputs!$G$5:$G$230&lt;&gt;"moeda")*(Inputs!$G$5:$G$230&lt;&gt;"acoes")))*INDEX(Inputs!$K$5:$AJ$230,0,MATCH(AE$2,Inputs!$K$4:$AJ$4,0)))+SUMPRODUCT((Inputs!$C$5:$C$230=$B23)*Inputs!$D$5:$D$230*(((Inputs!$G$5:$G$230="moeda")+(Inputs!$G$5:$G$230="acoes"))*Inputs!$B$1+((Inputs!$G$5:$G$230&lt;&gt;"moeda")*(Inputs!$G$5:$G$230&lt;&gt;"acoes")))*INDEX(Inputs!$K$5:$AJ$230,0,MATCH(AE$2,Inputs!$K$4:$AJ$4,0)))+SUMPRODUCT((Inputs!$E$5:$E$230=$B23)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23" s="6" t="e">
        <f>IF(ISNA(MATCH(AF$2,Inputs!$K$4:$AJ$4,0)),NA(),IF(SUMPRODUCT((Inputs!$A$5:$A$230=$B23)*ISNUMBER(INDEX(Inputs!$K$5:$AJ$230,0,MATCH(AF$2,Inputs!$K$4:$AJ$4,0))))+SUMPRODUCT((Inputs!$C$5:$C$230=$B23)*ISNUMBER(INDEX(Inputs!$K$5:$AJ$230,0,MATCH(AF$2,Inputs!$K$4:$AJ$4,0))))+SUMPRODUCT((Inputs!$E$5:$E$230=$B23)*ISNUMBER(INDEX(Inputs!$K$5:$AJ$230,0,MATCH(AF$2,Inputs!$K$4:$AJ$4,0))))=0,NA(),SUMPRODUCT((Inputs!$A$5:$A$230=$B23)*Inputs!$B$5:$B$230*(((Inputs!$G$5:$G$230="moeda")+(Inputs!$G$5:$G$230="acoes"))*Inputs!$B$1+((Inputs!$G$5:$G$230&lt;&gt;"moeda")*(Inputs!$G$5:$G$230&lt;&gt;"acoes")))*INDEX(Inputs!$K$5:$AJ$230,0,MATCH(AF$2,Inputs!$K$4:$AJ$4,0)))+SUMPRODUCT((Inputs!$C$5:$C$230=$B23)*Inputs!$D$5:$D$230*(((Inputs!$G$5:$G$230="moeda")+(Inputs!$G$5:$G$230="acoes"))*Inputs!$B$1+((Inputs!$G$5:$G$230&lt;&gt;"moeda")*(Inputs!$G$5:$G$230&lt;&gt;"acoes")))*INDEX(Inputs!$K$5:$AJ$230,0,MATCH(AF$2,Inputs!$K$4:$AJ$4,0)))+SUMPRODUCT((Inputs!$E$5:$E$230=$B23)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23" s="3" t="e">
        <f>AF23</f>
        <v>#N/A</v>
      </c>
      <c r="AH23" s="6" t="e">
        <f>IF(ISNA(MATCH(AH$2,Inputs!$K$4:$AJ$4,0)),NA(),IF(SUMPRODUCT((Inputs!$A$5:$A$230=$B23)*ISNUMBER(INDEX(Inputs!$K$5:$AJ$230,0,MATCH(AH$2,Inputs!$K$4:$AJ$4,0))))+SUMPRODUCT((Inputs!$C$5:$C$230=$B23)*ISNUMBER(INDEX(Inputs!$K$5:$AJ$230,0,MATCH(AH$2,Inputs!$K$4:$AJ$4,0))))+SUMPRODUCT((Inputs!$E$5:$E$230=$B23)*ISNUMBER(INDEX(Inputs!$K$5:$AJ$230,0,MATCH(AH$2,Inputs!$K$4:$AJ$4,0))))=0,NA(),SUMPRODUCT((Inputs!$A$5:$A$230=$B23)*Inputs!$B$5:$B$230*(((Inputs!$G$5:$G$230="moeda")+(Inputs!$G$5:$G$230="acoes"))*Inputs!$B$1+((Inputs!$G$5:$G$230&lt;&gt;"moeda")*(Inputs!$G$5:$G$230&lt;&gt;"acoes")))*INDEX(Inputs!$K$5:$AJ$230,0,MATCH(AH$2,Inputs!$K$4:$AJ$4,0)))+SUMPRODUCT((Inputs!$C$5:$C$230=$B23)*Inputs!$D$5:$D$230*(((Inputs!$G$5:$G$230="moeda")+(Inputs!$G$5:$G$230="acoes"))*Inputs!$B$1+((Inputs!$G$5:$G$230&lt;&gt;"moeda")*(Inputs!$G$5:$G$230&lt;&gt;"acoes")))*INDEX(Inputs!$K$5:$AJ$230,0,MATCH(AH$2,Inputs!$K$4:$AJ$4,0)))+SUMPRODUCT((Inputs!$E$5:$E$230=$B23)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23" s="6" t="e">
        <f>IF(ISNA(MATCH(AI$2,Inputs!$K$4:$AJ$4,0)),NA(),IF(SUMPRODUCT((Inputs!$A$5:$A$230=$B23)*ISNUMBER(INDEX(Inputs!$K$5:$AJ$230,0,MATCH(AI$2,Inputs!$K$4:$AJ$4,0))))+SUMPRODUCT((Inputs!$C$5:$C$230=$B23)*ISNUMBER(INDEX(Inputs!$K$5:$AJ$230,0,MATCH(AI$2,Inputs!$K$4:$AJ$4,0))))+SUMPRODUCT((Inputs!$E$5:$E$230=$B23)*ISNUMBER(INDEX(Inputs!$K$5:$AJ$230,0,MATCH(AI$2,Inputs!$K$4:$AJ$4,0))))=0,NA(),SUMPRODUCT((Inputs!$A$5:$A$230=$B23)*Inputs!$B$5:$B$230*(((Inputs!$G$5:$G$230="moeda")+(Inputs!$G$5:$G$230="acoes"))*Inputs!$B$1+((Inputs!$G$5:$G$230&lt;&gt;"moeda")*(Inputs!$G$5:$G$230&lt;&gt;"acoes")))*INDEX(Inputs!$K$5:$AJ$230,0,MATCH(AI$2,Inputs!$K$4:$AJ$4,0)))+SUMPRODUCT((Inputs!$C$5:$C$230=$B23)*Inputs!$D$5:$D$230*(((Inputs!$G$5:$G$230="moeda")+(Inputs!$G$5:$G$230="acoes"))*Inputs!$B$1+((Inputs!$G$5:$G$230&lt;&gt;"moeda")*(Inputs!$G$5:$G$230&lt;&gt;"acoes")))*INDEX(Inputs!$K$5:$AJ$230,0,MATCH(AI$2,Inputs!$K$4:$AJ$4,0)))+SUMPRODUCT((Inputs!$E$5:$E$230=$B23)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23" s="6" t="e">
        <f>IF(ISNA(MATCH(AJ$2,Inputs!$K$4:$AJ$4,0)),NA(),IF(SUMPRODUCT((Inputs!$A$5:$A$230=$B23)*ISNUMBER(INDEX(Inputs!$K$5:$AJ$230,0,MATCH(AJ$2,Inputs!$K$4:$AJ$4,0))))+SUMPRODUCT((Inputs!$C$5:$C$230=$B23)*ISNUMBER(INDEX(Inputs!$K$5:$AJ$230,0,MATCH(AJ$2,Inputs!$K$4:$AJ$4,0))))+SUMPRODUCT((Inputs!$E$5:$E$230=$B23)*ISNUMBER(INDEX(Inputs!$K$5:$AJ$230,0,MATCH(AJ$2,Inputs!$K$4:$AJ$4,0))))=0,NA(),SUMPRODUCT((Inputs!$A$5:$A$230=$B23)*Inputs!$B$5:$B$230*(((Inputs!$G$5:$G$230="moeda")+(Inputs!$G$5:$G$230="acoes"))*Inputs!$B$1+((Inputs!$G$5:$G$230&lt;&gt;"moeda")*(Inputs!$G$5:$G$230&lt;&gt;"acoes")))*INDEX(Inputs!$K$5:$AJ$230,0,MATCH(AJ$2,Inputs!$K$4:$AJ$4,0)))+SUMPRODUCT((Inputs!$C$5:$C$230=$B23)*Inputs!$D$5:$D$230*(((Inputs!$G$5:$G$230="moeda")+(Inputs!$G$5:$G$230="acoes"))*Inputs!$B$1+((Inputs!$G$5:$G$230&lt;&gt;"moeda")*(Inputs!$G$5:$G$230&lt;&gt;"acoes")))*INDEX(Inputs!$K$5:$AJ$230,0,MATCH(AJ$2,Inputs!$K$4:$AJ$4,0)))+SUMPRODUCT((Inputs!$E$5:$E$230=$B23)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23" s="6" t="e">
        <f>IF(ISNA(MATCH(AK$2,Inputs!$K$4:$AJ$4,0)),NA(),IF(SUMPRODUCT((Inputs!$A$5:$A$230=$B23)*ISNUMBER(INDEX(Inputs!$K$5:$AJ$230,0,MATCH(AK$2,Inputs!$K$4:$AJ$4,0))))+SUMPRODUCT((Inputs!$C$5:$C$230=$B23)*ISNUMBER(INDEX(Inputs!$K$5:$AJ$230,0,MATCH(AK$2,Inputs!$K$4:$AJ$4,0))))+SUMPRODUCT((Inputs!$E$5:$E$230=$B23)*ISNUMBER(INDEX(Inputs!$K$5:$AJ$230,0,MATCH(AK$2,Inputs!$K$4:$AJ$4,0))))=0,NA(),SUMPRODUCT((Inputs!$A$5:$A$230=$B23)*Inputs!$B$5:$B$230*(((Inputs!$G$5:$G$230="moeda")+(Inputs!$G$5:$G$230="acoes"))*Inputs!$B$1+((Inputs!$G$5:$G$230&lt;&gt;"moeda")*(Inputs!$G$5:$G$230&lt;&gt;"acoes")))*INDEX(Inputs!$K$5:$AJ$230,0,MATCH(AK$2,Inputs!$K$4:$AJ$4,0)))+SUMPRODUCT((Inputs!$C$5:$C$230=$B23)*Inputs!$D$5:$D$230*(((Inputs!$G$5:$G$230="moeda")+(Inputs!$G$5:$G$230="acoes"))*Inputs!$B$1+((Inputs!$G$5:$G$230&lt;&gt;"moeda")*(Inputs!$G$5:$G$230&lt;&gt;"acoes")))*INDEX(Inputs!$K$5:$AJ$230,0,MATCH(AK$2,Inputs!$K$4:$AJ$4,0)))+SUMPRODUCT((Inputs!$E$5:$E$230=$B23)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23" s="3" t="e">
        <f>AK23</f>
        <v>#N/A</v>
      </c>
    </row>
    <row r="24">
      <c r="B24" s="46" t="n">
        <v>20</v>
      </c>
      <c r="C24" s="26" t="inlineStr">
        <is>
          <t>Goodwill</t>
        </is>
      </c>
      <c r="D24" s="6" t="e">
        <f>IF(ISNA(MATCH(D$2,Inputs!$K$4:$AJ$4,0)),NA(),IF(SUMPRODUCT((Inputs!$A$5:$A$230=$B24)*ISNUMBER(INDEX(Inputs!$K$5:$AJ$230,0,MATCH(D$2,Inputs!$K$4:$AJ$4,0))))+SUMPRODUCT((Inputs!$C$5:$C$230=$B24)*ISNUMBER(INDEX(Inputs!$K$5:$AJ$230,0,MATCH(D$2,Inputs!$K$4:$AJ$4,0))))+SUMPRODUCT((Inputs!$E$5:$E$230=$B24)*ISNUMBER(INDEX(Inputs!$K$5:$AJ$230,0,MATCH(D$2,Inputs!$K$4:$AJ$4,0))))=0,NA(),SUMPRODUCT((Inputs!$A$5:$A$230=$B24)*Inputs!$B$5:$B$230*(((Inputs!$G$5:$G$230="moeda")+(Inputs!$G$5:$G$230="acoes"))*Inputs!$B$1+((Inputs!$G$5:$G$230&lt;&gt;"moeda")*(Inputs!$G$5:$G$230&lt;&gt;"acoes")))*INDEX(Inputs!$K$5:$AJ$230,0,MATCH(D$2,Inputs!$K$4:$AJ$4,0)))+SUMPRODUCT((Inputs!$C$5:$C$230=$B24)*Inputs!$D$5:$D$230*(((Inputs!$G$5:$G$230="moeda")+(Inputs!$G$5:$G$230="acoes"))*Inputs!$B$1+((Inputs!$G$5:$G$230&lt;&gt;"moeda")*(Inputs!$G$5:$G$230&lt;&gt;"acoes")))*INDEX(Inputs!$K$5:$AJ$230,0,MATCH(D$2,Inputs!$K$4:$AJ$4,0)))+SUMPRODUCT((Inputs!$E$5:$E$230=$B24)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24" s="6" t="e">
        <f>IF(ISNA(MATCH(E$2,Inputs!$K$4:$AJ$4,0)),NA(),IF(SUMPRODUCT((Inputs!$A$5:$A$230=$B24)*ISNUMBER(INDEX(Inputs!$K$5:$AJ$230,0,MATCH(E$2,Inputs!$K$4:$AJ$4,0))))+SUMPRODUCT((Inputs!$C$5:$C$230=$B24)*ISNUMBER(INDEX(Inputs!$K$5:$AJ$230,0,MATCH(E$2,Inputs!$K$4:$AJ$4,0))))+SUMPRODUCT((Inputs!$E$5:$E$230=$B24)*ISNUMBER(INDEX(Inputs!$K$5:$AJ$230,0,MATCH(E$2,Inputs!$K$4:$AJ$4,0))))=0,NA(),SUMPRODUCT((Inputs!$A$5:$A$230=$B24)*Inputs!$B$5:$B$230*(((Inputs!$G$5:$G$230="moeda")+(Inputs!$G$5:$G$230="acoes"))*Inputs!$B$1+((Inputs!$G$5:$G$230&lt;&gt;"moeda")*(Inputs!$G$5:$G$230&lt;&gt;"acoes")))*INDEX(Inputs!$K$5:$AJ$230,0,MATCH(E$2,Inputs!$K$4:$AJ$4,0)))+SUMPRODUCT((Inputs!$C$5:$C$230=$B24)*Inputs!$D$5:$D$230*(((Inputs!$G$5:$G$230="moeda")+(Inputs!$G$5:$G$230="acoes"))*Inputs!$B$1+((Inputs!$G$5:$G$230&lt;&gt;"moeda")*(Inputs!$G$5:$G$230&lt;&gt;"acoes")))*INDEX(Inputs!$K$5:$AJ$230,0,MATCH(E$2,Inputs!$K$4:$AJ$4,0)))+SUMPRODUCT((Inputs!$E$5:$E$230=$B24)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24" s="6" t="e">
        <f>IF(ISNA(MATCH(F$2,Inputs!$K$4:$AJ$4,0)),NA(),IF(SUMPRODUCT((Inputs!$A$5:$A$230=$B24)*ISNUMBER(INDEX(Inputs!$K$5:$AJ$230,0,MATCH(F$2,Inputs!$K$4:$AJ$4,0))))+SUMPRODUCT((Inputs!$C$5:$C$230=$B24)*ISNUMBER(INDEX(Inputs!$K$5:$AJ$230,0,MATCH(F$2,Inputs!$K$4:$AJ$4,0))))+SUMPRODUCT((Inputs!$E$5:$E$230=$B24)*ISNUMBER(INDEX(Inputs!$K$5:$AJ$230,0,MATCH(F$2,Inputs!$K$4:$AJ$4,0))))=0,NA(),SUMPRODUCT((Inputs!$A$5:$A$230=$B24)*Inputs!$B$5:$B$230*(((Inputs!$G$5:$G$230="moeda")+(Inputs!$G$5:$G$230="acoes"))*Inputs!$B$1+((Inputs!$G$5:$G$230&lt;&gt;"moeda")*(Inputs!$G$5:$G$230&lt;&gt;"acoes")))*INDEX(Inputs!$K$5:$AJ$230,0,MATCH(F$2,Inputs!$K$4:$AJ$4,0)))+SUMPRODUCT((Inputs!$C$5:$C$230=$B24)*Inputs!$D$5:$D$230*(((Inputs!$G$5:$G$230="moeda")+(Inputs!$G$5:$G$230="acoes"))*Inputs!$B$1+((Inputs!$G$5:$G$230&lt;&gt;"moeda")*(Inputs!$G$5:$G$230&lt;&gt;"acoes")))*INDEX(Inputs!$K$5:$AJ$230,0,MATCH(F$2,Inputs!$K$4:$AJ$4,0)))+SUMPRODUCT((Inputs!$E$5:$E$230=$B24)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24" s="6" t="e">
        <f>IF(ISNA(MATCH(G$2,Inputs!$K$4:$AJ$4,0)),NA(),IF(SUMPRODUCT((Inputs!$A$5:$A$230=$B24)*ISNUMBER(INDEX(Inputs!$K$5:$AJ$230,0,MATCH(G$2,Inputs!$K$4:$AJ$4,0))))+SUMPRODUCT((Inputs!$C$5:$C$230=$B24)*ISNUMBER(INDEX(Inputs!$K$5:$AJ$230,0,MATCH(G$2,Inputs!$K$4:$AJ$4,0))))+SUMPRODUCT((Inputs!$E$5:$E$230=$B24)*ISNUMBER(INDEX(Inputs!$K$5:$AJ$230,0,MATCH(G$2,Inputs!$K$4:$AJ$4,0))))=0,NA(),SUMPRODUCT((Inputs!$A$5:$A$230=$B24)*Inputs!$B$5:$B$230*(((Inputs!$G$5:$G$230="moeda")+(Inputs!$G$5:$G$230="acoes"))*Inputs!$B$1+((Inputs!$G$5:$G$230&lt;&gt;"moeda")*(Inputs!$G$5:$G$230&lt;&gt;"acoes")))*INDEX(Inputs!$K$5:$AJ$230,0,MATCH(G$2,Inputs!$K$4:$AJ$4,0)))+SUMPRODUCT((Inputs!$C$5:$C$230=$B24)*Inputs!$D$5:$D$230*(((Inputs!$G$5:$G$230="moeda")+(Inputs!$G$5:$G$230="acoes"))*Inputs!$B$1+((Inputs!$G$5:$G$230&lt;&gt;"moeda")*(Inputs!$G$5:$G$230&lt;&gt;"acoes")))*INDEX(Inputs!$K$5:$AJ$230,0,MATCH(G$2,Inputs!$K$4:$AJ$4,0)))+SUMPRODUCT((Inputs!$E$5:$E$230=$B24)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24" s="3" t="e">
        <f>G24</f>
        <v>#N/A</v>
      </c>
      <c r="I24" s="6" t="e">
        <f>IF(ISNA(MATCH(I$2,Inputs!$K$4:$AJ$4,0)),NA(),IF(SUMPRODUCT((Inputs!$A$5:$A$230=$B24)*ISNUMBER(INDEX(Inputs!$K$5:$AJ$230,0,MATCH(I$2,Inputs!$K$4:$AJ$4,0))))+SUMPRODUCT((Inputs!$C$5:$C$230=$B24)*ISNUMBER(INDEX(Inputs!$K$5:$AJ$230,0,MATCH(I$2,Inputs!$K$4:$AJ$4,0))))+SUMPRODUCT((Inputs!$E$5:$E$230=$B24)*ISNUMBER(INDEX(Inputs!$K$5:$AJ$230,0,MATCH(I$2,Inputs!$K$4:$AJ$4,0))))=0,NA(),SUMPRODUCT((Inputs!$A$5:$A$230=$B24)*Inputs!$B$5:$B$230*(((Inputs!$G$5:$G$230="moeda")+(Inputs!$G$5:$G$230="acoes"))*Inputs!$B$1+((Inputs!$G$5:$G$230&lt;&gt;"moeda")*(Inputs!$G$5:$G$230&lt;&gt;"acoes")))*INDEX(Inputs!$K$5:$AJ$230,0,MATCH(I$2,Inputs!$K$4:$AJ$4,0)))+SUMPRODUCT((Inputs!$C$5:$C$230=$B24)*Inputs!$D$5:$D$230*(((Inputs!$G$5:$G$230="moeda")+(Inputs!$G$5:$G$230="acoes"))*Inputs!$B$1+((Inputs!$G$5:$G$230&lt;&gt;"moeda")*(Inputs!$G$5:$G$230&lt;&gt;"acoes")))*INDEX(Inputs!$K$5:$AJ$230,0,MATCH(I$2,Inputs!$K$4:$AJ$4,0)))+SUMPRODUCT((Inputs!$E$5:$E$230=$B24)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24" s="6" t="e">
        <f>IF(ISNA(MATCH(J$2,Inputs!$K$4:$AJ$4,0)),NA(),IF(SUMPRODUCT((Inputs!$A$5:$A$230=$B24)*ISNUMBER(INDEX(Inputs!$K$5:$AJ$230,0,MATCH(J$2,Inputs!$K$4:$AJ$4,0))))+SUMPRODUCT((Inputs!$C$5:$C$230=$B24)*ISNUMBER(INDEX(Inputs!$K$5:$AJ$230,0,MATCH(J$2,Inputs!$K$4:$AJ$4,0))))+SUMPRODUCT((Inputs!$E$5:$E$230=$B24)*ISNUMBER(INDEX(Inputs!$K$5:$AJ$230,0,MATCH(J$2,Inputs!$K$4:$AJ$4,0))))=0,NA(),SUMPRODUCT((Inputs!$A$5:$A$230=$B24)*Inputs!$B$5:$B$230*(((Inputs!$G$5:$G$230="moeda")+(Inputs!$G$5:$G$230="acoes"))*Inputs!$B$1+((Inputs!$G$5:$G$230&lt;&gt;"moeda")*(Inputs!$G$5:$G$230&lt;&gt;"acoes")))*INDEX(Inputs!$K$5:$AJ$230,0,MATCH(J$2,Inputs!$K$4:$AJ$4,0)))+SUMPRODUCT((Inputs!$C$5:$C$230=$B24)*Inputs!$D$5:$D$230*(((Inputs!$G$5:$G$230="moeda")+(Inputs!$G$5:$G$230="acoes"))*Inputs!$B$1+((Inputs!$G$5:$G$230&lt;&gt;"moeda")*(Inputs!$G$5:$G$230&lt;&gt;"acoes")))*INDEX(Inputs!$K$5:$AJ$230,0,MATCH(J$2,Inputs!$K$4:$AJ$4,0)))+SUMPRODUCT((Inputs!$E$5:$E$230=$B24)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24" s="6" t="e">
        <f>IF(ISNA(MATCH(K$2,Inputs!$K$4:$AJ$4,0)),NA(),IF(SUMPRODUCT((Inputs!$A$5:$A$230=$B24)*ISNUMBER(INDEX(Inputs!$K$5:$AJ$230,0,MATCH(K$2,Inputs!$K$4:$AJ$4,0))))+SUMPRODUCT((Inputs!$C$5:$C$230=$B24)*ISNUMBER(INDEX(Inputs!$K$5:$AJ$230,0,MATCH(K$2,Inputs!$K$4:$AJ$4,0))))+SUMPRODUCT((Inputs!$E$5:$E$230=$B24)*ISNUMBER(INDEX(Inputs!$K$5:$AJ$230,0,MATCH(K$2,Inputs!$K$4:$AJ$4,0))))=0,NA(),SUMPRODUCT((Inputs!$A$5:$A$230=$B24)*Inputs!$B$5:$B$230*(((Inputs!$G$5:$G$230="moeda")+(Inputs!$G$5:$G$230="acoes"))*Inputs!$B$1+((Inputs!$G$5:$G$230&lt;&gt;"moeda")*(Inputs!$G$5:$G$230&lt;&gt;"acoes")))*INDEX(Inputs!$K$5:$AJ$230,0,MATCH(K$2,Inputs!$K$4:$AJ$4,0)))+SUMPRODUCT((Inputs!$C$5:$C$230=$B24)*Inputs!$D$5:$D$230*(((Inputs!$G$5:$G$230="moeda")+(Inputs!$G$5:$G$230="acoes"))*Inputs!$B$1+((Inputs!$G$5:$G$230&lt;&gt;"moeda")*(Inputs!$G$5:$G$230&lt;&gt;"acoes")))*INDEX(Inputs!$K$5:$AJ$230,0,MATCH(K$2,Inputs!$K$4:$AJ$4,0)))+SUMPRODUCT((Inputs!$E$5:$E$230=$B24)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24" s="6" t="e">
        <f>IF(ISNA(MATCH(L$2,Inputs!$K$4:$AJ$4,0)),NA(),IF(SUMPRODUCT((Inputs!$A$5:$A$230=$B24)*ISNUMBER(INDEX(Inputs!$K$5:$AJ$230,0,MATCH(L$2,Inputs!$K$4:$AJ$4,0))))+SUMPRODUCT((Inputs!$C$5:$C$230=$B24)*ISNUMBER(INDEX(Inputs!$K$5:$AJ$230,0,MATCH(L$2,Inputs!$K$4:$AJ$4,0))))+SUMPRODUCT((Inputs!$E$5:$E$230=$B24)*ISNUMBER(INDEX(Inputs!$K$5:$AJ$230,0,MATCH(L$2,Inputs!$K$4:$AJ$4,0))))=0,NA(),SUMPRODUCT((Inputs!$A$5:$A$230=$B24)*Inputs!$B$5:$B$230*(((Inputs!$G$5:$G$230="moeda")+(Inputs!$G$5:$G$230="acoes"))*Inputs!$B$1+((Inputs!$G$5:$G$230&lt;&gt;"moeda")*(Inputs!$G$5:$G$230&lt;&gt;"acoes")))*INDEX(Inputs!$K$5:$AJ$230,0,MATCH(L$2,Inputs!$K$4:$AJ$4,0)))+SUMPRODUCT((Inputs!$C$5:$C$230=$B24)*Inputs!$D$5:$D$230*(((Inputs!$G$5:$G$230="moeda")+(Inputs!$G$5:$G$230="acoes"))*Inputs!$B$1+((Inputs!$G$5:$G$230&lt;&gt;"moeda")*(Inputs!$G$5:$G$230&lt;&gt;"acoes")))*INDEX(Inputs!$K$5:$AJ$230,0,MATCH(L$2,Inputs!$K$4:$AJ$4,0)))+SUMPRODUCT((Inputs!$E$5:$E$230=$B24)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24" s="3" t="e">
        <f>L24</f>
        <v>#N/A</v>
      </c>
      <c r="N24" s="6" t="e">
        <f>IF(ISNA(MATCH(N$2,Inputs!$K$4:$AJ$4,0)),NA(),IF(SUMPRODUCT((Inputs!$A$5:$A$230=$B24)*ISNUMBER(INDEX(Inputs!$K$5:$AJ$230,0,MATCH(N$2,Inputs!$K$4:$AJ$4,0))))+SUMPRODUCT((Inputs!$C$5:$C$230=$B24)*ISNUMBER(INDEX(Inputs!$K$5:$AJ$230,0,MATCH(N$2,Inputs!$K$4:$AJ$4,0))))+SUMPRODUCT((Inputs!$E$5:$E$230=$B24)*ISNUMBER(INDEX(Inputs!$K$5:$AJ$230,0,MATCH(N$2,Inputs!$K$4:$AJ$4,0))))=0,NA(),SUMPRODUCT((Inputs!$A$5:$A$230=$B24)*Inputs!$B$5:$B$230*(((Inputs!$G$5:$G$230="moeda")+(Inputs!$G$5:$G$230="acoes"))*Inputs!$B$1+((Inputs!$G$5:$G$230&lt;&gt;"moeda")*(Inputs!$G$5:$G$230&lt;&gt;"acoes")))*INDEX(Inputs!$K$5:$AJ$230,0,MATCH(N$2,Inputs!$K$4:$AJ$4,0)))+SUMPRODUCT((Inputs!$C$5:$C$230=$B24)*Inputs!$D$5:$D$230*(((Inputs!$G$5:$G$230="moeda")+(Inputs!$G$5:$G$230="acoes"))*Inputs!$B$1+((Inputs!$G$5:$G$230&lt;&gt;"moeda")*(Inputs!$G$5:$G$230&lt;&gt;"acoes")))*INDEX(Inputs!$K$5:$AJ$230,0,MATCH(N$2,Inputs!$K$4:$AJ$4,0)))+SUMPRODUCT((Inputs!$E$5:$E$230=$B24)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24" s="6" t="e">
        <f>IF(ISNA(MATCH(O$2,Inputs!$K$4:$AJ$4,0)),NA(),IF(SUMPRODUCT((Inputs!$A$5:$A$230=$B24)*ISNUMBER(INDEX(Inputs!$K$5:$AJ$230,0,MATCH(O$2,Inputs!$K$4:$AJ$4,0))))+SUMPRODUCT((Inputs!$C$5:$C$230=$B24)*ISNUMBER(INDEX(Inputs!$K$5:$AJ$230,0,MATCH(O$2,Inputs!$K$4:$AJ$4,0))))+SUMPRODUCT((Inputs!$E$5:$E$230=$B24)*ISNUMBER(INDEX(Inputs!$K$5:$AJ$230,0,MATCH(O$2,Inputs!$K$4:$AJ$4,0))))=0,NA(),SUMPRODUCT((Inputs!$A$5:$A$230=$B24)*Inputs!$B$5:$B$230*(((Inputs!$G$5:$G$230="moeda")+(Inputs!$G$5:$G$230="acoes"))*Inputs!$B$1+((Inputs!$G$5:$G$230&lt;&gt;"moeda")*(Inputs!$G$5:$G$230&lt;&gt;"acoes")))*INDEX(Inputs!$K$5:$AJ$230,0,MATCH(O$2,Inputs!$K$4:$AJ$4,0)))+SUMPRODUCT((Inputs!$C$5:$C$230=$B24)*Inputs!$D$5:$D$230*(((Inputs!$G$5:$G$230="moeda")+(Inputs!$G$5:$G$230="acoes"))*Inputs!$B$1+((Inputs!$G$5:$G$230&lt;&gt;"moeda")*(Inputs!$G$5:$G$230&lt;&gt;"acoes")))*INDEX(Inputs!$K$5:$AJ$230,0,MATCH(O$2,Inputs!$K$4:$AJ$4,0)))+SUMPRODUCT((Inputs!$E$5:$E$230=$B24)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24" s="6" t="e">
        <f>IF(ISNA(MATCH(P$2,Inputs!$K$4:$AJ$4,0)),NA(),IF(SUMPRODUCT((Inputs!$A$5:$A$230=$B24)*ISNUMBER(INDEX(Inputs!$K$5:$AJ$230,0,MATCH(P$2,Inputs!$K$4:$AJ$4,0))))+SUMPRODUCT((Inputs!$C$5:$C$230=$B24)*ISNUMBER(INDEX(Inputs!$K$5:$AJ$230,0,MATCH(P$2,Inputs!$K$4:$AJ$4,0))))+SUMPRODUCT((Inputs!$E$5:$E$230=$B24)*ISNUMBER(INDEX(Inputs!$K$5:$AJ$230,0,MATCH(P$2,Inputs!$K$4:$AJ$4,0))))=0,NA(),SUMPRODUCT((Inputs!$A$5:$A$230=$B24)*Inputs!$B$5:$B$230*(((Inputs!$G$5:$G$230="moeda")+(Inputs!$G$5:$G$230="acoes"))*Inputs!$B$1+((Inputs!$G$5:$G$230&lt;&gt;"moeda")*(Inputs!$G$5:$G$230&lt;&gt;"acoes")))*INDEX(Inputs!$K$5:$AJ$230,0,MATCH(P$2,Inputs!$K$4:$AJ$4,0)))+SUMPRODUCT((Inputs!$C$5:$C$230=$B24)*Inputs!$D$5:$D$230*(((Inputs!$G$5:$G$230="moeda")+(Inputs!$G$5:$G$230="acoes"))*Inputs!$B$1+((Inputs!$G$5:$G$230&lt;&gt;"moeda")*(Inputs!$G$5:$G$230&lt;&gt;"acoes")))*INDEX(Inputs!$K$5:$AJ$230,0,MATCH(P$2,Inputs!$K$4:$AJ$4,0)))+SUMPRODUCT((Inputs!$E$5:$E$230=$B24)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24" s="6" t="e">
        <f>IF(ISNA(MATCH(Q$2,Inputs!$K$4:$AJ$4,0)),NA(),IF(SUMPRODUCT((Inputs!$A$5:$A$230=$B24)*ISNUMBER(INDEX(Inputs!$K$5:$AJ$230,0,MATCH(Q$2,Inputs!$K$4:$AJ$4,0))))+SUMPRODUCT((Inputs!$C$5:$C$230=$B24)*ISNUMBER(INDEX(Inputs!$K$5:$AJ$230,0,MATCH(Q$2,Inputs!$K$4:$AJ$4,0))))+SUMPRODUCT((Inputs!$E$5:$E$230=$B24)*ISNUMBER(INDEX(Inputs!$K$5:$AJ$230,0,MATCH(Q$2,Inputs!$K$4:$AJ$4,0))))=0,NA(),SUMPRODUCT((Inputs!$A$5:$A$230=$B24)*Inputs!$B$5:$B$230*(((Inputs!$G$5:$G$230="moeda")+(Inputs!$G$5:$G$230="acoes"))*Inputs!$B$1+((Inputs!$G$5:$G$230&lt;&gt;"moeda")*(Inputs!$G$5:$G$230&lt;&gt;"acoes")))*INDEX(Inputs!$K$5:$AJ$230,0,MATCH(Q$2,Inputs!$K$4:$AJ$4,0)))+SUMPRODUCT((Inputs!$C$5:$C$230=$B24)*Inputs!$D$5:$D$230*(((Inputs!$G$5:$G$230="moeda")+(Inputs!$G$5:$G$230="acoes"))*Inputs!$B$1+((Inputs!$G$5:$G$230&lt;&gt;"moeda")*(Inputs!$G$5:$G$230&lt;&gt;"acoes")))*INDEX(Inputs!$K$5:$AJ$230,0,MATCH(Q$2,Inputs!$K$4:$AJ$4,0)))+SUMPRODUCT((Inputs!$E$5:$E$230=$B24)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24" s="3" t="e">
        <f>Q24</f>
        <v>#N/A</v>
      </c>
      <c r="S24" s="6" t="e">
        <f>IF(ISNA(MATCH(S$2,Inputs!$K$4:$AJ$4,0)),NA(),IF(SUMPRODUCT((Inputs!$A$5:$A$230=$B24)*ISNUMBER(INDEX(Inputs!$K$5:$AJ$230,0,MATCH(S$2,Inputs!$K$4:$AJ$4,0))))+SUMPRODUCT((Inputs!$C$5:$C$230=$B24)*ISNUMBER(INDEX(Inputs!$K$5:$AJ$230,0,MATCH(S$2,Inputs!$K$4:$AJ$4,0))))+SUMPRODUCT((Inputs!$E$5:$E$230=$B24)*ISNUMBER(INDEX(Inputs!$K$5:$AJ$230,0,MATCH(S$2,Inputs!$K$4:$AJ$4,0))))=0,NA(),SUMPRODUCT((Inputs!$A$5:$A$230=$B24)*Inputs!$B$5:$B$230*(((Inputs!$G$5:$G$230="moeda")+(Inputs!$G$5:$G$230="acoes"))*Inputs!$B$1+((Inputs!$G$5:$G$230&lt;&gt;"moeda")*(Inputs!$G$5:$G$230&lt;&gt;"acoes")))*INDEX(Inputs!$K$5:$AJ$230,0,MATCH(S$2,Inputs!$K$4:$AJ$4,0)))+SUMPRODUCT((Inputs!$C$5:$C$230=$B24)*Inputs!$D$5:$D$230*(((Inputs!$G$5:$G$230="moeda")+(Inputs!$G$5:$G$230="acoes"))*Inputs!$B$1+((Inputs!$G$5:$G$230&lt;&gt;"moeda")*(Inputs!$G$5:$G$230&lt;&gt;"acoes")))*INDEX(Inputs!$K$5:$AJ$230,0,MATCH(S$2,Inputs!$K$4:$AJ$4,0)))+SUMPRODUCT((Inputs!$E$5:$E$230=$B24)*Inputs!$F$5:$F$230*(((Inputs!$G$5:$G$230="moeda")+(Inputs!$G$5:$G$230="acoes"))*Inputs!$B$1+((Inputs!$G$5:$G$230&lt;&gt;"moeda")*(Inputs!$G$5:$G$230&lt;&gt;"acoes")))*INDEX(Inputs!$K$5:$AJ$230,0,MATCH(S$2,Inputs!$K$4:$AJ$4,0)))))</f>
        <v>#N/A</v>
      </c>
      <c r="T24" s="6" t="e">
        <f>IF(ISNA(MATCH(T$2,Inputs!$K$4:$AJ$4,0)),NA(),IF(SUMPRODUCT((Inputs!$A$5:$A$230=$B24)*ISNUMBER(INDEX(Inputs!$K$5:$AJ$230,0,MATCH(T$2,Inputs!$K$4:$AJ$4,0))))+SUMPRODUCT((Inputs!$C$5:$C$230=$B24)*ISNUMBER(INDEX(Inputs!$K$5:$AJ$230,0,MATCH(T$2,Inputs!$K$4:$AJ$4,0))))+SUMPRODUCT((Inputs!$E$5:$E$230=$B24)*ISNUMBER(INDEX(Inputs!$K$5:$AJ$230,0,MATCH(T$2,Inputs!$K$4:$AJ$4,0))))=0,NA(),SUMPRODUCT((Inputs!$A$5:$A$230=$B24)*Inputs!$B$5:$B$230*(((Inputs!$G$5:$G$230="moeda")+(Inputs!$G$5:$G$230="acoes"))*Inputs!$B$1+((Inputs!$G$5:$G$230&lt;&gt;"moeda")*(Inputs!$G$5:$G$230&lt;&gt;"acoes")))*INDEX(Inputs!$K$5:$AJ$230,0,MATCH(T$2,Inputs!$K$4:$AJ$4,0)))+SUMPRODUCT((Inputs!$C$5:$C$230=$B24)*Inputs!$D$5:$D$230*(((Inputs!$G$5:$G$230="moeda")+(Inputs!$G$5:$G$230="acoes"))*Inputs!$B$1+((Inputs!$G$5:$G$230&lt;&gt;"moeda")*(Inputs!$G$5:$G$230&lt;&gt;"acoes")))*INDEX(Inputs!$K$5:$AJ$230,0,MATCH(T$2,Inputs!$K$4:$AJ$4,0)))+SUMPRODUCT((Inputs!$E$5:$E$230=$B24)*Inputs!$F$5:$F$230*(((Inputs!$G$5:$G$230="moeda")+(Inputs!$G$5:$G$230="acoes"))*Inputs!$B$1+((Inputs!$G$5:$G$230&lt;&gt;"moeda")*(Inputs!$G$5:$G$230&lt;&gt;"acoes")))*INDEX(Inputs!$K$5:$AJ$230,0,MATCH(T$2,Inputs!$K$4:$AJ$4,0)))))</f>
        <v>#N/A</v>
      </c>
      <c r="U24" s="6" t="e">
        <f>IF(ISNA(MATCH(U$2,Inputs!$K$4:$AJ$4,0)),NA(),IF(SUMPRODUCT((Inputs!$A$5:$A$230=$B24)*ISNUMBER(INDEX(Inputs!$K$5:$AJ$230,0,MATCH(U$2,Inputs!$K$4:$AJ$4,0))))+SUMPRODUCT((Inputs!$C$5:$C$230=$B24)*ISNUMBER(INDEX(Inputs!$K$5:$AJ$230,0,MATCH(U$2,Inputs!$K$4:$AJ$4,0))))+SUMPRODUCT((Inputs!$E$5:$E$230=$B24)*ISNUMBER(INDEX(Inputs!$K$5:$AJ$230,0,MATCH(U$2,Inputs!$K$4:$AJ$4,0))))=0,NA(),SUMPRODUCT((Inputs!$A$5:$A$230=$B24)*Inputs!$B$5:$B$230*(((Inputs!$G$5:$G$230="moeda")+(Inputs!$G$5:$G$230="acoes"))*Inputs!$B$1+((Inputs!$G$5:$G$230&lt;&gt;"moeda")*(Inputs!$G$5:$G$230&lt;&gt;"acoes")))*INDEX(Inputs!$K$5:$AJ$230,0,MATCH(U$2,Inputs!$K$4:$AJ$4,0)))+SUMPRODUCT((Inputs!$C$5:$C$230=$B24)*Inputs!$D$5:$D$230*(((Inputs!$G$5:$G$230="moeda")+(Inputs!$G$5:$G$230="acoes"))*Inputs!$B$1+((Inputs!$G$5:$G$230&lt;&gt;"moeda")*(Inputs!$G$5:$G$230&lt;&gt;"acoes")))*INDEX(Inputs!$K$5:$AJ$230,0,MATCH(U$2,Inputs!$K$4:$AJ$4,0)))+SUMPRODUCT((Inputs!$E$5:$E$230=$B24)*Inputs!$F$5:$F$230*(((Inputs!$G$5:$G$230="moeda")+(Inputs!$G$5:$G$230="acoes"))*Inputs!$B$1+((Inputs!$G$5:$G$230&lt;&gt;"moeda")*(Inputs!$G$5:$G$230&lt;&gt;"acoes")))*INDEX(Inputs!$K$5:$AJ$230,0,MATCH(U$2,Inputs!$K$4:$AJ$4,0)))))</f>
        <v>#N/A</v>
      </c>
      <c r="V24" s="6" t="e">
        <f>IF(ISNA(MATCH(V$2,Inputs!$K$4:$AJ$4,0)),NA(),IF(SUMPRODUCT((Inputs!$A$5:$A$230=$B24)*ISNUMBER(INDEX(Inputs!$K$5:$AJ$230,0,MATCH(V$2,Inputs!$K$4:$AJ$4,0))))+SUMPRODUCT((Inputs!$C$5:$C$230=$B24)*ISNUMBER(INDEX(Inputs!$K$5:$AJ$230,0,MATCH(V$2,Inputs!$K$4:$AJ$4,0))))+SUMPRODUCT((Inputs!$E$5:$E$230=$B24)*ISNUMBER(INDEX(Inputs!$K$5:$AJ$230,0,MATCH(V$2,Inputs!$K$4:$AJ$4,0))))=0,NA(),SUMPRODUCT((Inputs!$A$5:$A$230=$B24)*Inputs!$B$5:$B$230*(((Inputs!$G$5:$G$230="moeda")+(Inputs!$G$5:$G$230="acoes"))*Inputs!$B$1+((Inputs!$G$5:$G$230&lt;&gt;"moeda")*(Inputs!$G$5:$G$230&lt;&gt;"acoes")))*INDEX(Inputs!$K$5:$AJ$230,0,MATCH(V$2,Inputs!$K$4:$AJ$4,0)))+SUMPRODUCT((Inputs!$C$5:$C$230=$B24)*Inputs!$D$5:$D$230*(((Inputs!$G$5:$G$230="moeda")+(Inputs!$G$5:$G$230="acoes"))*Inputs!$B$1+((Inputs!$G$5:$G$230&lt;&gt;"moeda")*(Inputs!$G$5:$G$230&lt;&gt;"acoes")))*INDEX(Inputs!$K$5:$AJ$230,0,MATCH(V$2,Inputs!$K$4:$AJ$4,0)))+SUMPRODUCT((Inputs!$E$5:$E$230=$B24)*Inputs!$F$5:$F$230*(((Inputs!$G$5:$G$230="moeda")+(Inputs!$G$5:$G$230="acoes"))*Inputs!$B$1+((Inputs!$G$5:$G$230&lt;&gt;"moeda")*(Inputs!$G$5:$G$230&lt;&gt;"acoes")))*INDEX(Inputs!$K$5:$AJ$230,0,MATCH(V$2,Inputs!$K$4:$AJ$4,0)))))</f>
        <v>#N/A</v>
      </c>
      <c r="W24" s="3" t="e">
        <f>V24</f>
        <v>#N/A</v>
      </c>
      <c r="X24" s="6" t="e">
        <f>IF(ISNA(MATCH(X$2,Inputs!$K$4:$AJ$4,0)),NA(),IF(SUMPRODUCT((Inputs!$A$5:$A$230=$B24)*ISNUMBER(INDEX(Inputs!$K$5:$AJ$230,0,MATCH(X$2,Inputs!$K$4:$AJ$4,0))))+SUMPRODUCT((Inputs!$C$5:$C$230=$B24)*ISNUMBER(INDEX(Inputs!$K$5:$AJ$230,0,MATCH(X$2,Inputs!$K$4:$AJ$4,0))))+SUMPRODUCT((Inputs!$E$5:$E$230=$B24)*ISNUMBER(INDEX(Inputs!$K$5:$AJ$230,0,MATCH(X$2,Inputs!$K$4:$AJ$4,0))))=0,NA(),SUMPRODUCT((Inputs!$A$5:$A$230=$B24)*Inputs!$B$5:$B$230*(((Inputs!$G$5:$G$230="moeda")+(Inputs!$G$5:$G$230="acoes"))*Inputs!$B$1+((Inputs!$G$5:$G$230&lt;&gt;"moeda")*(Inputs!$G$5:$G$230&lt;&gt;"acoes")))*INDEX(Inputs!$K$5:$AJ$230,0,MATCH(X$2,Inputs!$K$4:$AJ$4,0)))+SUMPRODUCT((Inputs!$C$5:$C$230=$B24)*Inputs!$D$5:$D$230*(((Inputs!$G$5:$G$230="moeda")+(Inputs!$G$5:$G$230="acoes"))*Inputs!$B$1+((Inputs!$G$5:$G$230&lt;&gt;"moeda")*(Inputs!$G$5:$G$230&lt;&gt;"acoes")))*INDEX(Inputs!$K$5:$AJ$230,0,MATCH(X$2,Inputs!$K$4:$AJ$4,0)))+SUMPRODUCT((Inputs!$E$5:$E$230=$B24)*Inputs!$F$5:$F$230*(((Inputs!$G$5:$G$230="moeda")+(Inputs!$G$5:$G$230="acoes"))*Inputs!$B$1+((Inputs!$G$5:$G$230&lt;&gt;"moeda")*(Inputs!$G$5:$G$230&lt;&gt;"acoes")))*INDEX(Inputs!$K$5:$AJ$230,0,MATCH(X$2,Inputs!$K$4:$AJ$4,0)))))</f>
        <v>#N/A</v>
      </c>
      <c r="Y24" s="6" t="e">
        <f>IF(ISNA(MATCH(Y$2,Inputs!$K$4:$AJ$4,0)),NA(),IF(SUMPRODUCT((Inputs!$A$5:$A$230=$B24)*ISNUMBER(INDEX(Inputs!$K$5:$AJ$230,0,MATCH(Y$2,Inputs!$K$4:$AJ$4,0))))+SUMPRODUCT((Inputs!$C$5:$C$230=$B24)*ISNUMBER(INDEX(Inputs!$K$5:$AJ$230,0,MATCH(Y$2,Inputs!$K$4:$AJ$4,0))))+SUMPRODUCT((Inputs!$E$5:$E$230=$B24)*ISNUMBER(INDEX(Inputs!$K$5:$AJ$230,0,MATCH(Y$2,Inputs!$K$4:$AJ$4,0))))=0,NA(),SUMPRODUCT((Inputs!$A$5:$A$230=$B24)*Inputs!$B$5:$B$230*(((Inputs!$G$5:$G$230="moeda")+(Inputs!$G$5:$G$230="acoes"))*Inputs!$B$1+((Inputs!$G$5:$G$230&lt;&gt;"moeda")*(Inputs!$G$5:$G$230&lt;&gt;"acoes")))*INDEX(Inputs!$K$5:$AJ$230,0,MATCH(Y$2,Inputs!$K$4:$AJ$4,0)))+SUMPRODUCT((Inputs!$C$5:$C$230=$B24)*Inputs!$D$5:$D$230*(((Inputs!$G$5:$G$230="moeda")+(Inputs!$G$5:$G$230="acoes"))*Inputs!$B$1+((Inputs!$G$5:$G$230&lt;&gt;"moeda")*(Inputs!$G$5:$G$230&lt;&gt;"acoes")))*INDEX(Inputs!$K$5:$AJ$230,0,MATCH(Y$2,Inputs!$K$4:$AJ$4,0)))+SUMPRODUCT((Inputs!$E$5:$E$230=$B24)*Inputs!$F$5:$F$230*(((Inputs!$G$5:$G$230="moeda")+(Inputs!$G$5:$G$230="acoes"))*Inputs!$B$1+((Inputs!$G$5:$G$230&lt;&gt;"moeda")*(Inputs!$G$5:$G$230&lt;&gt;"acoes")))*INDEX(Inputs!$K$5:$AJ$230,0,MATCH(Y$2,Inputs!$K$4:$AJ$4,0)))))</f>
        <v>#N/A</v>
      </c>
      <c r="Z24" s="6" t="e">
        <f>IF(ISNA(MATCH(Z$2,Inputs!$K$4:$AJ$4,0)),NA(),IF(SUMPRODUCT((Inputs!$A$5:$A$230=$B24)*ISNUMBER(INDEX(Inputs!$K$5:$AJ$230,0,MATCH(Z$2,Inputs!$K$4:$AJ$4,0))))+SUMPRODUCT((Inputs!$C$5:$C$230=$B24)*ISNUMBER(INDEX(Inputs!$K$5:$AJ$230,0,MATCH(Z$2,Inputs!$K$4:$AJ$4,0))))+SUMPRODUCT((Inputs!$E$5:$E$230=$B24)*ISNUMBER(INDEX(Inputs!$K$5:$AJ$230,0,MATCH(Z$2,Inputs!$K$4:$AJ$4,0))))=0,NA(),SUMPRODUCT((Inputs!$A$5:$A$230=$B24)*Inputs!$B$5:$B$230*(((Inputs!$G$5:$G$230="moeda")+(Inputs!$G$5:$G$230="acoes"))*Inputs!$B$1+((Inputs!$G$5:$G$230&lt;&gt;"moeda")*(Inputs!$G$5:$G$230&lt;&gt;"acoes")))*INDEX(Inputs!$K$5:$AJ$230,0,MATCH(Z$2,Inputs!$K$4:$AJ$4,0)))+SUMPRODUCT((Inputs!$C$5:$C$230=$B24)*Inputs!$D$5:$D$230*(((Inputs!$G$5:$G$230="moeda")+(Inputs!$G$5:$G$230="acoes"))*Inputs!$B$1+((Inputs!$G$5:$G$230&lt;&gt;"moeda")*(Inputs!$G$5:$G$230&lt;&gt;"acoes")))*INDEX(Inputs!$K$5:$AJ$230,0,MATCH(Z$2,Inputs!$K$4:$AJ$4,0)))+SUMPRODUCT((Inputs!$E$5:$E$230=$B24)*Inputs!$F$5:$F$230*(((Inputs!$G$5:$G$230="moeda")+(Inputs!$G$5:$G$230="acoes"))*Inputs!$B$1+((Inputs!$G$5:$G$230&lt;&gt;"moeda")*(Inputs!$G$5:$G$230&lt;&gt;"acoes")))*INDEX(Inputs!$K$5:$AJ$230,0,MATCH(Z$2,Inputs!$K$4:$AJ$4,0)))))</f>
        <v>#N/A</v>
      </c>
      <c r="AA24" s="6" t="e">
        <f>IF(ISNA(MATCH(AA$2,Inputs!$K$4:$AJ$4,0)),NA(),IF(SUMPRODUCT((Inputs!$A$5:$A$230=$B24)*ISNUMBER(INDEX(Inputs!$K$5:$AJ$230,0,MATCH(AA$2,Inputs!$K$4:$AJ$4,0))))+SUMPRODUCT((Inputs!$C$5:$C$230=$B24)*ISNUMBER(INDEX(Inputs!$K$5:$AJ$230,0,MATCH(AA$2,Inputs!$K$4:$AJ$4,0))))+SUMPRODUCT((Inputs!$E$5:$E$230=$B24)*ISNUMBER(INDEX(Inputs!$K$5:$AJ$230,0,MATCH(AA$2,Inputs!$K$4:$AJ$4,0))))=0,NA(),SUMPRODUCT((Inputs!$A$5:$A$230=$B24)*Inputs!$B$5:$B$230*(((Inputs!$G$5:$G$230="moeda")+(Inputs!$G$5:$G$230="acoes"))*Inputs!$B$1+((Inputs!$G$5:$G$230&lt;&gt;"moeda")*(Inputs!$G$5:$G$230&lt;&gt;"acoes")))*INDEX(Inputs!$K$5:$AJ$230,0,MATCH(AA$2,Inputs!$K$4:$AJ$4,0)))+SUMPRODUCT((Inputs!$C$5:$C$230=$B24)*Inputs!$D$5:$D$230*(((Inputs!$G$5:$G$230="moeda")+(Inputs!$G$5:$G$230="acoes"))*Inputs!$B$1+((Inputs!$G$5:$G$230&lt;&gt;"moeda")*(Inputs!$G$5:$G$230&lt;&gt;"acoes")))*INDEX(Inputs!$K$5:$AJ$230,0,MATCH(AA$2,Inputs!$K$4:$AJ$4,0)))+SUMPRODUCT((Inputs!$E$5:$E$230=$B24)*Inputs!$F$5:$F$230*(((Inputs!$G$5:$G$230="moeda")+(Inputs!$G$5:$G$230="acoes"))*Inputs!$B$1+((Inputs!$G$5:$G$230&lt;&gt;"moeda")*(Inputs!$G$5:$G$230&lt;&gt;"acoes")))*INDEX(Inputs!$K$5:$AJ$230,0,MATCH(AA$2,Inputs!$K$4:$AJ$4,0)))))</f>
        <v>#N/A</v>
      </c>
      <c r="AB24" s="3" t="e">
        <f>AA24</f>
        <v>#N/A</v>
      </c>
      <c r="AC24" s="6" t="e">
        <f>IF(ISNA(MATCH(AC$2,Inputs!$K$4:$AJ$4,0)),NA(),IF(SUMPRODUCT((Inputs!$A$5:$A$230=$B24)*ISNUMBER(INDEX(Inputs!$K$5:$AJ$230,0,MATCH(AC$2,Inputs!$K$4:$AJ$4,0))))+SUMPRODUCT((Inputs!$C$5:$C$230=$B24)*ISNUMBER(INDEX(Inputs!$K$5:$AJ$230,0,MATCH(AC$2,Inputs!$K$4:$AJ$4,0))))+SUMPRODUCT((Inputs!$E$5:$E$230=$B24)*ISNUMBER(INDEX(Inputs!$K$5:$AJ$230,0,MATCH(AC$2,Inputs!$K$4:$AJ$4,0))))=0,NA(),SUMPRODUCT((Inputs!$A$5:$A$230=$B24)*Inputs!$B$5:$B$230*(((Inputs!$G$5:$G$230="moeda")+(Inputs!$G$5:$G$230="acoes"))*Inputs!$B$1+((Inputs!$G$5:$G$230&lt;&gt;"moeda")*(Inputs!$G$5:$G$230&lt;&gt;"acoes")))*INDEX(Inputs!$K$5:$AJ$230,0,MATCH(AC$2,Inputs!$K$4:$AJ$4,0)))+SUMPRODUCT((Inputs!$C$5:$C$230=$B24)*Inputs!$D$5:$D$230*(((Inputs!$G$5:$G$230="moeda")+(Inputs!$G$5:$G$230="acoes"))*Inputs!$B$1+((Inputs!$G$5:$G$230&lt;&gt;"moeda")*(Inputs!$G$5:$G$230&lt;&gt;"acoes")))*INDEX(Inputs!$K$5:$AJ$230,0,MATCH(AC$2,Inputs!$K$4:$AJ$4,0)))+SUMPRODUCT((Inputs!$E$5:$E$230=$B24)*Inputs!$F$5:$F$230*(((Inputs!$G$5:$G$230="moeda")+(Inputs!$G$5:$G$230="acoes"))*Inputs!$B$1+((Inputs!$G$5:$G$230&lt;&gt;"moeda")*(Inputs!$G$5:$G$230&lt;&gt;"acoes")))*INDEX(Inputs!$K$5:$AJ$230,0,MATCH(AC$2,Inputs!$K$4:$AJ$4,0)))))</f>
        <v>#N/A</v>
      </c>
      <c r="AD24" s="6" t="e">
        <f>IF(ISNA(MATCH(AD$2,Inputs!$K$4:$AJ$4,0)),NA(),IF(SUMPRODUCT((Inputs!$A$5:$A$230=$B24)*ISNUMBER(INDEX(Inputs!$K$5:$AJ$230,0,MATCH(AD$2,Inputs!$K$4:$AJ$4,0))))+SUMPRODUCT((Inputs!$C$5:$C$230=$B24)*ISNUMBER(INDEX(Inputs!$K$5:$AJ$230,0,MATCH(AD$2,Inputs!$K$4:$AJ$4,0))))+SUMPRODUCT((Inputs!$E$5:$E$230=$B24)*ISNUMBER(INDEX(Inputs!$K$5:$AJ$230,0,MATCH(AD$2,Inputs!$K$4:$AJ$4,0))))=0,NA(),SUMPRODUCT((Inputs!$A$5:$A$230=$B24)*Inputs!$B$5:$B$230*(((Inputs!$G$5:$G$230="moeda")+(Inputs!$G$5:$G$230="acoes"))*Inputs!$B$1+((Inputs!$G$5:$G$230&lt;&gt;"moeda")*(Inputs!$G$5:$G$230&lt;&gt;"acoes")))*INDEX(Inputs!$K$5:$AJ$230,0,MATCH(AD$2,Inputs!$K$4:$AJ$4,0)))+SUMPRODUCT((Inputs!$C$5:$C$230=$B24)*Inputs!$D$5:$D$230*(((Inputs!$G$5:$G$230="moeda")+(Inputs!$G$5:$G$230="acoes"))*Inputs!$B$1+((Inputs!$G$5:$G$230&lt;&gt;"moeda")*(Inputs!$G$5:$G$230&lt;&gt;"acoes")))*INDEX(Inputs!$K$5:$AJ$230,0,MATCH(AD$2,Inputs!$K$4:$AJ$4,0)))+SUMPRODUCT((Inputs!$E$5:$E$230=$B24)*Inputs!$F$5:$F$230*(((Inputs!$G$5:$G$230="moeda")+(Inputs!$G$5:$G$230="acoes"))*Inputs!$B$1+((Inputs!$G$5:$G$230&lt;&gt;"moeda")*(Inputs!$G$5:$G$230&lt;&gt;"acoes")))*INDEX(Inputs!$K$5:$AJ$230,0,MATCH(AD$2,Inputs!$K$4:$AJ$4,0)))))</f>
        <v>#N/A</v>
      </c>
      <c r="AE24" s="6" t="e">
        <f>IF(ISNA(MATCH(AE$2,Inputs!$K$4:$AJ$4,0)),NA(),IF(SUMPRODUCT((Inputs!$A$5:$A$230=$B24)*ISNUMBER(INDEX(Inputs!$K$5:$AJ$230,0,MATCH(AE$2,Inputs!$K$4:$AJ$4,0))))+SUMPRODUCT((Inputs!$C$5:$C$230=$B24)*ISNUMBER(INDEX(Inputs!$K$5:$AJ$230,0,MATCH(AE$2,Inputs!$K$4:$AJ$4,0))))+SUMPRODUCT((Inputs!$E$5:$E$230=$B24)*ISNUMBER(INDEX(Inputs!$K$5:$AJ$230,0,MATCH(AE$2,Inputs!$K$4:$AJ$4,0))))=0,NA(),SUMPRODUCT((Inputs!$A$5:$A$230=$B24)*Inputs!$B$5:$B$230*(((Inputs!$G$5:$G$230="moeda")+(Inputs!$G$5:$G$230="acoes"))*Inputs!$B$1+((Inputs!$G$5:$G$230&lt;&gt;"moeda")*(Inputs!$G$5:$G$230&lt;&gt;"acoes")))*INDEX(Inputs!$K$5:$AJ$230,0,MATCH(AE$2,Inputs!$K$4:$AJ$4,0)))+SUMPRODUCT((Inputs!$C$5:$C$230=$B24)*Inputs!$D$5:$D$230*(((Inputs!$G$5:$G$230="moeda")+(Inputs!$G$5:$G$230="acoes"))*Inputs!$B$1+((Inputs!$G$5:$G$230&lt;&gt;"moeda")*(Inputs!$G$5:$G$230&lt;&gt;"acoes")))*INDEX(Inputs!$K$5:$AJ$230,0,MATCH(AE$2,Inputs!$K$4:$AJ$4,0)))+SUMPRODUCT((Inputs!$E$5:$E$230=$B24)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24" s="6" t="e">
        <f>IF(ISNA(MATCH(AF$2,Inputs!$K$4:$AJ$4,0)),NA(),IF(SUMPRODUCT((Inputs!$A$5:$A$230=$B24)*ISNUMBER(INDEX(Inputs!$K$5:$AJ$230,0,MATCH(AF$2,Inputs!$K$4:$AJ$4,0))))+SUMPRODUCT((Inputs!$C$5:$C$230=$B24)*ISNUMBER(INDEX(Inputs!$K$5:$AJ$230,0,MATCH(AF$2,Inputs!$K$4:$AJ$4,0))))+SUMPRODUCT((Inputs!$E$5:$E$230=$B24)*ISNUMBER(INDEX(Inputs!$K$5:$AJ$230,0,MATCH(AF$2,Inputs!$K$4:$AJ$4,0))))=0,NA(),SUMPRODUCT((Inputs!$A$5:$A$230=$B24)*Inputs!$B$5:$B$230*(((Inputs!$G$5:$G$230="moeda")+(Inputs!$G$5:$G$230="acoes"))*Inputs!$B$1+((Inputs!$G$5:$G$230&lt;&gt;"moeda")*(Inputs!$G$5:$G$230&lt;&gt;"acoes")))*INDEX(Inputs!$K$5:$AJ$230,0,MATCH(AF$2,Inputs!$K$4:$AJ$4,0)))+SUMPRODUCT((Inputs!$C$5:$C$230=$B24)*Inputs!$D$5:$D$230*(((Inputs!$G$5:$G$230="moeda")+(Inputs!$G$5:$G$230="acoes"))*Inputs!$B$1+((Inputs!$G$5:$G$230&lt;&gt;"moeda")*(Inputs!$G$5:$G$230&lt;&gt;"acoes")))*INDEX(Inputs!$K$5:$AJ$230,0,MATCH(AF$2,Inputs!$K$4:$AJ$4,0)))+SUMPRODUCT((Inputs!$E$5:$E$230=$B24)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24" s="3" t="e">
        <f>AF24</f>
        <v>#N/A</v>
      </c>
      <c r="AH24" s="6" t="e">
        <f>IF(ISNA(MATCH(AH$2,Inputs!$K$4:$AJ$4,0)),NA(),IF(SUMPRODUCT((Inputs!$A$5:$A$230=$B24)*ISNUMBER(INDEX(Inputs!$K$5:$AJ$230,0,MATCH(AH$2,Inputs!$K$4:$AJ$4,0))))+SUMPRODUCT((Inputs!$C$5:$C$230=$B24)*ISNUMBER(INDEX(Inputs!$K$5:$AJ$230,0,MATCH(AH$2,Inputs!$K$4:$AJ$4,0))))+SUMPRODUCT((Inputs!$E$5:$E$230=$B24)*ISNUMBER(INDEX(Inputs!$K$5:$AJ$230,0,MATCH(AH$2,Inputs!$K$4:$AJ$4,0))))=0,NA(),SUMPRODUCT((Inputs!$A$5:$A$230=$B24)*Inputs!$B$5:$B$230*(((Inputs!$G$5:$G$230="moeda")+(Inputs!$G$5:$G$230="acoes"))*Inputs!$B$1+((Inputs!$G$5:$G$230&lt;&gt;"moeda")*(Inputs!$G$5:$G$230&lt;&gt;"acoes")))*INDEX(Inputs!$K$5:$AJ$230,0,MATCH(AH$2,Inputs!$K$4:$AJ$4,0)))+SUMPRODUCT((Inputs!$C$5:$C$230=$B24)*Inputs!$D$5:$D$230*(((Inputs!$G$5:$G$230="moeda")+(Inputs!$G$5:$G$230="acoes"))*Inputs!$B$1+((Inputs!$G$5:$G$230&lt;&gt;"moeda")*(Inputs!$G$5:$G$230&lt;&gt;"acoes")))*INDEX(Inputs!$K$5:$AJ$230,0,MATCH(AH$2,Inputs!$K$4:$AJ$4,0)))+SUMPRODUCT((Inputs!$E$5:$E$230=$B24)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24" s="6" t="e">
        <f>IF(ISNA(MATCH(AI$2,Inputs!$K$4:$AJ$4,0)),NA(),IF(SUMPRODUCT((Inputs!$A$5:$A$230=$B24)*ISNUMBER(INDEX(Inputs!$K$5:$AJ$230,0,MATCH(AI$2,Inputs!$K$4:$AJ$4,0))))+SUMPRODUCT((Inputs!$C$5:$C$230=$B24)*ISNUMBER(INDEX(Inputs!$K$5:$AJ$230,0,MATCH(AI$2,Inputs!$K$4:$AJ$4,0))))+SUMPRODUCT((Inputs!$E$5:$E$230=$B24)*ISNUMBER(INDEX(Inputs!$K$5:$AJ$230,0,MATCH(AI$2,Inputs!$K$4:$AJ$4,0))))=0,NA(),SUMPRODUCT((Inputs!$A$5:$A$230=$B24)*Inputs!$B$5:$B$230*(((Inputs!$G$5:$G$230="moeda")+(Inputs!$G$5:$G$230="acoes"))*Inputs!$B$1+((Inputs!$G$5:$G$230&lt;&gt;"moeda")*(Inputs!$G$5:$G$230&lt;&gt;"acoes")))*INDEX(Inputs!$K$5:$AJ$230,0,MATCH(AI$2,Inputs!$K$4:$AJ$4,0)))+SUMPRODUCT((Inputs!$C$5:$C$230=$B24)*Inputs!$D$5:$D$230*(((Inputs!$G$5:$G$230="moeda")+(Inputs!$G$5:$G$230="acoes"))*Inputs!$B$1+((Inputs!$G$5:$G$230&lt;&gt;"moeda")*(Inputs!$G$5:$G$230&lt;&gt;"acoes")))*INDEX(Inputs!$K$5:$AJ$230,0,MATCH(AI$2,Inputs!$K$4:$AJ$4,0)))+SUMPRODUCT((Inputs!$E$5:$E$230=$B24)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24" s="6" t="e">
        <f>IF(ISNA(MATCH(AJ$2,Inputs!$K$4:$AJ$4,0)),NA(),IF(SUMPRODUCT((Inputs!$A$5:$A$230=$B24)*ISNUMBER(INDEX(Inputs!$K$5:$AJ$230,0,MATCH(AJ$2,Inputs!$K$4:$AJ$4,0))))+SUMPRODUCT((Inputs!$C$5:$C$230=$B24)*ISNUMBER(INDEX(Inputs!$K$5:$AJ$230,0,MATCH(AJ$2,Inputs!$K$4:$AJ$4,0))))+SUMPRODUCT((Inputs!$E$5:$E$230=$B24)*ISNUMBER(INDEX(Inputs!$K$5:$AJ$230,0,MATCH(AJ$2,Inputs!$K$4:$AJ$4,0))))=0,NA(),SUMPRODUCT((Inputs!$A$5:$A$230=$B24)*Inputs!$B$5:$B$230*(((Inputs!$G$5:$G$230="moeda")+(Inputs!$G$5:$G$230="acoes"))*Inputs!$B$1+((Inputs!$G$5:$G$230&lt;&gt;"moeda")*(Inputs!$G$5:$G$230&lt;&gt;"acoes")))*INDEX(Inputs!$K$5:$AJ$230,0,MATCH(AJ$2,Inputs!$K$4:$AJ$4,0)))+SUMPRODUCT((Inputs!$C$5:$C$230=$B24)*Inputs!$D$5:$D$230*(((Inputs!$G$5:$G$230="moeda")+(Inputs!$G$5:$G$230="acoes"))*Inputs!$B$1+((Inputs!$G$5:$G$230&lt;&gt;"moeda")*(Inputs!$G$5:$G$230&lt;&gt;"acoes")))*INDEX(Inputs!$K$5:$AJ$230,0,MATCH(AJ$2,Inputs!$K$4:$AJ$4,0)))+SUMPRODUCT((Inputs!$E$5:$E$230=$B24)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24" s="6" t="e">
        <f>IF(ISNA(MATCH(AK$2,Inputs!$K$4:$AJ$4,0)),NA(),IF(SUMPRODUCT((Inputs!$A$5:$A$230=$B24)*ISNUMBER(INDEX(Inputs!$K$5:$AJ$230,0,MATCH(AK$2,Inputs!$K$4:$AJ$4,0))))+SUMPRODUCT((Inputs!$C$5:$C$230=$B24)*ISNUMBER(INDEX(Inputs!$K$5:$AJ$230,0,MATCH(AK$2,Inputs!$K$4:$AJ$4,0))))+SUMPRODUCT((Inputs!$E$5:$E$230=$B24)*ISNUMBER(INDEX(Inputs!$K$5:$AJ$230,0,MATCH(AK$2,Inputs!$K$4:$AJ$4,0))))=0,NA(),SUMPRODUCT((Inputs!$A$5:$A$230=$B24)*Inputs!$B$5:$B$230*(((Inputs!$G$5:$G$230="moeda")+(Inputs!$G$5:$G$230="acoes"))*Inputs!$B$1+((Inputs!$G$5:$G$230&lt;&gt;"moeda")*(Inputs!$G$5:$G$230&lt;&gt;"acoes")))*INDEX(Inputs!$K$5:$AJ$230,0,MATCH(AK$2,Inputs!$K$4:$AJ$4,0)))+SUMPRODUCT((Inputs!$C$5:$C$230=$B24)*Inputs!$D$5:$D$230*(((Inputs!$G$5:$G$230="moeda")+(Inputs!$G$5:$G$230="acoes"))*Inputs!$B$1+((Inputs!$G$5:$G$230&lt;&gt;"moeda")*(Inputs!$G$5:$G$230&lt;&gt;"acoes")))*INDEX(Inputs!$K$5:$AJ$230,0,MATCH(AK$2,Inputs!$K$4:$AJ$4,0)))+SUMPRODUCT((Inputs!$E$5:$E$230=$B24)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24" s="3" t="e">
        <f>AK24</f>
        <v>#N/A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$230=$B25)*ISNUMBER(INDEX(Inputs!$K$5:$AJ$230,0,MATCH(D$2,Inputs!$K$4:$AJ$4,0))))+SUMPRODUCT((Inputs!$C$5:$C$230=$B25)*ISNUMBER(INDEX(Inputs!$K$5:$AJ$230,0,MATCH(D$2,Inputs!$K$4:$AJ$4,0))))+SUMPRODUCT((Inputs!$E$5:$E$230=$B25)*ISNUMBER(INDEX(Inputs!$K$5:$AJ$230,0,MATCH(D$2,Inputs!$K$4:$AJ$4,0))))=0,NA(),SUMPRODUCT((Inputs!$A$5:$A$230=$B25)*Inputs!$B$5:$B$230*(((Inputs!$G$5:$G$230="moeda")+(Inputs!$G$5:$G$230="acoes"))*Inputs!$B$1+((Inputs!$G$5:$G$230&lt;&gt;"moeda")*(Inputs!$G$5:$G$230&lt;&gt;"acoes")))*INDEX(Inputs!$K$5:$AJ$230,0,MATCH(D$2,Inputs!$K$4:$AJ$4,0)))+SUMPRODUCT((Inputs!$C$5:$C$230=$B25)*Inputs!$D$5:$D$230*(((Inputs!$G$5:$G$230="moeda")+(Inputs!$G$5:$G$230="acoes"))*Inputs!$B$1+((Inputs!$G$5:$G$230&lt;&gt;"moeda")*(Inputs!$G$5:$G$230&lt;&gt;"acoes")))*INDEX(Inputs!$K$5:$AJ$230,0,MATCH(D$2,Inputs!$K$4:$AJ$4,0)))+SUMPRODUCT((Inputs!$E$5:$E$230=$B25)*Inputs!$F$5:$F$230*(((Inputs!$G$5:$G$230="moeda")+(Inputs!$G$5:$G$230="acoes"))*Inputs!$B$1+((Inputs!$G$5:$G$230&lt;&gt;"moeda")*(Inputs!$G$5:$G$230&lt;&gt;"acoes")))*INDEX(Inputs!$K$5:$AJ$230,0,MATCH(D$2,Inputs!$K$4:$AJ$4,0)))))</f>
        <v>200.57</v>
      </c>
      <c r="E25" s="6">
        <f>IF(ISNA(MATCH(E$2,Inputs!$K$4:$AJ$4,0)),NA(),IF(SUMPRODUCT((Inputs!$A$5:$A$230=$B25)*ISNUMBER(INDEX(Inputs!$K$5:$AJ$230,0,MATCH(E$2,Inputs!$K$4:$AJ$4,0))))+SUMPRODUCT((Inputs!$C$5:$C$230=$B25)*ISNUMBER(INDEX(Inputs!$K$5:$AJ$230,0,MATCH(E$2,Inputs!$K$4:$AJ$4,0))))+SUMPRODUCT((Inputs!$E$5:$E$230=$B25)*ISNUMBER(INDEX(Inputs!$K$5:$AJ$230,0,MATCH(E$2,Inputs!$K$4:$AJ$4,0))))=0,NA(),SUMPRODUCT((Inputs!$A$5:$A$230=$B25)*Inputs!$B$5:$B$230*(((Inputs!$G$5:$G$230="moeda")+(Inputs!$G$5:$G$230="acoes"))*Inputs!$B$1+((Inputs!$G$5:$G$230&lt;&gt;"moeda")*(Inputs!$G$5:$G$230&lt;&gt;"acoes")))*INDEX(Inputs!$K$5:$AJ$230,0,MATCH(E$2,Inputs!$K$4:$AJ$4,0)))+SUMPRODUCT((Inputs!$C$5:$C$230=$B25)*Inputs!$D$5:$D$230*(((Inputs!$G$5:$G$230="moeda")+(Inputs!$G$5:$G$230="acoes"))*Inputs!$B$1+((Inputs!$G$5:$G$230&lt;&gt;"moeda")*(Inputs!$G$5:$G$230&lt;&gt;"acoes")))*INDEX(Inputs!$K$5:$AJ$230,0,MATCH(E$2,Inputs!$K$4:$AJ$4,0)))+SUMPRODUCT((Inputs!$E$5:$E$230=$B25)*Inputs!$F$5:$F$230*(((Inputs!$G$5:$G$230="moeda")+(Inputs!$G$5:$G$230="acoes"))*Inputs!$B$1+((Inputs!$G$5:$G$230&lt;&gt;"moeda")*(Inputs!$G$5:$G$230&lt;&gt;"acoes")))*INDEX(Inputs!$K$5:$AJ$230,0,MATCH(E$2,Inputs!$K$4:$AJ$4,0)))))</f>
        <v>197.429</v>
      </c>
      <c r="F25" s="6">
        <f>IF(ISNA(MATCH(F$2,Inputs!$K$4:$AJ$4,0)),NA(),IF(SUMPRODUCT((Inputs!$A$5:$A$230=$B25)*ISNUMBER(INDEX(Inputs!$K$5:$AJ$230,0,MATCH(F$2,Inputs!$K$4:$AJ$4,0))))+SUMPRODUCT((Inputs!$C$5:$C$230=$B25)*ISNUMBER(INDEX(Inputs!$K$5:$AJ$230,0,MATCH(F$2,Inputs!$K$4:$AJ$4,0))))+SUMPRODUCT((Inputs!$E$5:$E$230=$B25)*ISNUMBER(INDEX(Inputs!$K$5:$AJ$230,0,MATCH(F$2,Inputs!$K$4:$AJ$4,0))))=0,NA(),SUMPRODUCT((Inputs!$A$5:$A$230=$B25)*Inputs!$B$5:$B$230*(((Inputs!$G$5:$G$230="moeda")+(Inputs!$G$5:$G$230="acoes"))*Inputs!$B$1+((Inputs!$G$5:$G$230&lt;&gt;"moeda")*(Inputs!$G$5:$G$230&lt;&gt;"acoes")))*INDEX(Inputs!$K$5:$AJ$230,0,MATCH(F$2,Inputs!$K$4:$AJ$4,0)))+SUMPRODUCT((Inputs!$C$5:$C$230=$B25)*Inputs!$D$5:$D$230*(((Inputs!$G$5:$G$230="moeda")+(Inputs!$G$5:$G$230="acoes"))*Inputs!$B$1+((Inputs!$G$5:$G$230&lt;&gt;"moeda")*(Inputs!$G$5:$G$230&lt;&gt;"acoes")))*INDEX(Inputs!$K$5:$AJ$230,0,MATCH(F$2,Inputs!$K$4:$AJ$4,0)))+SUMPRODUCT((Inputs!$E$5:$E$230=$B25)*Inputs!$F$5:$F$230*(((Inputs!$G$5:$G$230="moeda")+(Inputs!$G$5:$G$230="acoes"))*Inputs!$B$1+((Inputs!$G$5:$G$230&lt;&gt;"moeda")*(Inputs!$G$5:$G$230&lt;&gt;"acoes")))*INDEX(Inputs!$K$5:$AJ$230,0,MATCH(F$2,Inputs!$K$4:$AJ$4,0)))))</f>
        <v>200.395</v>
      </c>
      <c r="G25" s="6">
        <f>IF(ISNA(MATCH(G$2,Inputs!$K$4:$AJ$4,0)),NA(),IF(SUMPRODUCT((Inputs!$A$5:$A$230=$B25)*ISNUMBER(INDEX(Inputs!$K$5:$AJ$230,0,MATCH(G$2,Inputs!$K$4:$AJ$4,0))))+SUMPRODUCT((Inputs!$C$5:$C$230=$B25)*ISNUMBER(INDEX(Inputs!$K$5:$AJ$230,0,MATCH(G$2,Inputs!$K$4:$AJ$4,0))))+SUMPRODUCT((Inputs!$E$5:$E$230=$B25)*ISNUMBER(INDEX(Inputs!$K$5:$AJ$230,0,MATCH(G$2,Inputs!$K$4:$AJ$4,0))))=0,NA(),SUMPRODUCT((Inputs!$A$5:$A$230=$B25)*Inputs!$B$5:$B$230*(((Inputs!$G$5:$G$230="moeda")+(Inputs!$G$5:$G$230="acoes"))*Inputs!$B$1+((Inputs!$G$5:$G$230&lt;&gt;"moeda")*(Inputs!$G$5:$G$230&lt;&gt;"acoes")))*INDEX(Inputs!$K$5:$AJ$230,0,MATCH(G$2,Inputs!$K$4:$AJ$4,0)))+SUMPRODUCT((Inputs!$C$5:$C$230=$B25)*Inputs!$D$5:$D$230*(((Inputs!$G$5:$G$230="moeda")+(Inputs!$G$5:$G$230="acoes"))*Inputs!$B$1+((Inputs!$G$5:$G$230&lt;&gt;"moeda")*(Inputs!$G$5:$G$230&lt;&gt;"acoes")))*INDEX(Inputs!$K$5:$AJ$230,0,MATCH(G$2,Inputs!$K$4:$AJ$4,0)))+SUMPRODUCT((Inputs!$E$5:$E$230=$B25)*Inputs!$F$5:$F$230*(((Inputs!$G$5:$G$230="moeda")+(Inputs!$G$5:$G$230="acoes"))*Inputs!$B$1+((Inputs!$G$5:$G$230&lt;&gt;"moeda")*(Inputs!$G$5:$G$230&lt;&gt;"acoes")))*INDEX(Inputs!$K$5:$AJ$230,0,MATCH(G$2,Inputs!$K$4:$AJ$4,0)))))</f>
        <v>281.564</v>
      </c>
      <c r="H25" s="3">
        <f>G25</f>
        <v>281.564</v>
      </c>
      <c r="I25" s="6">
        <f>IF(ISNA(MATCH(I$2,Inputs!$K$4:$AJ$4,0)),NA(),IF(SUMPRODUCT((Inputs!$A$5:$A$230=$B25)*ISNUMBER(INDEX(Inputs!$K$5:$AJ$230,0,MATCH(I$2,Inputs!$K$4:$AJ$4,0))))+SUMPRODUCT((Inputs!$C$5:$C$230=$B25)*ISNUMBER(INDEX(Inputs!$K$5:$AJ$230,0,MATCH(I$2,Inputs!$K$4:$AJ$4,0))))+SUMPRODUCT((Inputs!$E$5:$E$230=$B25)*ISNUMBER(INDEX(Inputs!$K$5:$AJ$230,0,MATCH(I$2,Inputs!$K$4:$AJ$4,0))))=0,NA(),SUMPRODUCT((Inputs!$A$5:$A$230=$B25)*Inputs!$B$5:$B$230*(((Inputs!$G$5:$G$230="moeda")+(Inputs!$G$5:$G$230="acoes"))*Inputs!$B$1+((Inputs!$G$5:$G$230&lt;&gt;"moeda")*(Inputs!$G$5:$G$230&lt;&gt;"acoes")))*INDEX(Inputs!$K$5:$AJ$230,0,MATCH(I$2,Inputs!$K$4:$AJ$4,0)))+SUMPRODUCT((Inputs!$C$5:$C$230=$B25)*Inputs!$D$5:$D$230*(((Inputs!$G$5:$G$230="moeda")+(Inputs!$G$5:$G$230="acoes"))*Inputs!$B$1+((Inputs!$G$5:$G$230&lt;&gt;"moeda")*(Inputs!$G$5:$G$230&lt;&gt;"acoes")))*INDEX(Inputs!$K$5:$AJ$230,0,MATCH(I$2,Inputs!$K$4:$AJ$4,0)))+SUMPRODUCT((Inputs!$E$5:$E$230=$B25)*Inputs!$F$5:$F$230*(((Inputs!$G$5:$G$230="moeda")+(Inputs!$G$5:$G$230="acoes"))*Inputs!$B$1+((Inputs!$G$5:$G$230&lt;&gt;"moeda")*(Inputs!$G$5:$G$230&lt;&gt;"acoes")))*INDEX(Inputs!$K$5:$AJ$230,0,MATCH(I$2,Inputs!$K$4:$AJ$4,0)))))</f>
        <v>277.134</v>
      </c>
      <c r="J25" s="6">
        <f>IF(ISNA(MATCH(J$2,Inputs!$K$4:$AJ$4,0)),NA(),IF(SUMPRODUCT((Inputs!$A$5:$A$230=$B25)*ISNUMBER(INDEX(Inputs!$K$5:$AJ$230,0,MATCH(J$2,Inputs!$K$4:$AJ$4,0))))+SUMPRODUCT((Inputs!$C$5:$C$230=$B25)*ISNUMBER(INDEX(Inputs!$K$5:$AJ$230,0,MATCH(J$2,Inputs!$K$4:$AJ$4,0))))+SUMPRODUCT((Inputs!$E$5:$E$230=$B25)*ISNUMBER(INDEX(Inputs!$K$5:$AJ$230,0,MATCH(J$2,Inputs!$K$4:$AJ$4,0))))=0,NA(),SUMPRODUCT((Inputs!$A$5:$A$230=$B25)*Inputs!$B$5:$B$230*(((Inputs!$G$5:$G$230="moeda")+(Inputs!$G$5:$G$230="acoes"))*Inputs!$B$1+((Inputs!$G$5:$G$230&lt;&gt;"moeda")*(Inputs!$G$5:$G$230&lt;&gt;"acoes")))*INDEX(Inputs!$K$5:$AJ$230,0,MATCH(J$2,Inputs!$K$4:$AJ$4,0)))+SUMPRODUCT((Inputs!$C$5:$C$230=$B25)*Inputs!$D$5:$D$230*(((Inputs!$G$5:$G$230="moeda")+(Inputs!$G$5:$G$230="acoes"))*Inputs!$B$1+((Inputs!$G$5:$G$230&lt;&gt;"moeda")*(Inputs!$G$5:$G$230&lt;&gt;"acoes")))*INDEX(Inputs!$K$5:$AJ$230,0,MATCH(J$2,Inputs!$K$4:$AJ$4,0)))+SUMPRODUCT((Inputs!$E$5:$E$230=$B25)*Inputs!$F$5:$F$230*(((Inputs!$G$5:$G$230="moeda")+(Inputs!$G$5:$G$230="acoes"))*Inputs!$B$1+((Inputs!$G$5:$G$230&lt;&gt;"moeda")*(Inputs!$G$5:$G$230&lt;&gt;"acoes")))*INDEX(Inputs!$K$5:$AJ$230,0,MATCH(J$2,Inputs!$K$4:$AJ$4,0)))))</f>
        <v>280.249</v>
      </c>
      <c r="K25" s="6">
        <f>IF(ISNA(MATCH(K$2,Inputs!$K$4:$AJ$4,0)),NA(),IF(SUMPRODUCT((Inputs!$A$5:$A$230=$B25)*ISNUMBER(INDEX(Inputs!$K$5:$AJ$230,0,MATCH(K$2,Inputs!$K$4:$AJ$4,0))))+SUMPRODUCT((Inputs!$C$5:$C$230=$B25)*ISNUMBER(INDEX(Inputs!$K$5:$AJ$230,0,MATCH(K$2,Inputs!$K$4:$AJ$4,0))))+SUMPRODUCT((Inputs!$E$5:$E$230=$B25)*ISNUMBER(INDEX(Inputs!$K$5:$AJ$230,0,MATCH(K$2,Inputs!$K$4:$AJ$4,0))))=0,NA(),SUMPRODUCT((Inputs!$A$5:$A$230=$B25)*Inputs!$B$5:$B$230*(((Inputs!$G$5:$G$230="moeda")+(Inputs!$G$5:$G$230="acoes"))*Inputs!$B$1+((Inputs!$G$5:$G$230&lt;&gt;"moeda")*(Inputs!$G$5:$G$230&lt;&gt;"acoes")))*INDEX(Inputs!$K$5:$AJ$230,0,MATCH(K$2,Inputs!$K$4:$AJ$4,0)))+SUMPRODUCT((Inputs!$C$5:$C$230=$B25)*Inputs!$D$5:$D$230*(((Inputs!$G$5:$G$230="moeda")+(Inputs!$G$5:$G$230="acoes"))*Inputs!$B$1+((Inputs!$G$5:$G$230&lt;&gt;"moeda")*(Inputs!$G$5:$G$230&lt;&gt;"acoes")))*INDEX(Inputs!$K$5:$AJ$230,0,MATCH(K$2,Inputs!$K$4:$AJ$4,0)))+SUMPRODUCT((Inputs!$E$5:$E$230=$B25)*Inputs!$F$5:$F$230*(((Inputs!$G$5:$G$230="moeda")+(Inputs!$G$5:$G$230="acoes"))*Inputs!$B$1+((Inputs!$G$5:$G$230&lt;&gt;"moeda")*(Inputs!$G$5:$G$230&lt;&gt;"acoes")))*INDEX(Inputs!$K$5:$AJ$230,0,MATCH(K$2,Inputs!$K$4:$AJ$4,0)))))</f>
        <v>277.968</v>
      </c>
      <c r="L25" s="6">
        <f>IF(ISNA(MATCH(L$2,Inputs!$K$4:$AJ$4,0)),NA(),IF(SUMPRODUCT((Inputs!$A$5:$A$230=$B25)*ISNUMBER(INDEX(Inputs!$K$5:$AJ$230,0,MATCH(L$2,Inputs!$K$4:$AJ$4,0))))+SUMPRODUCT((Inputs!$C$5:$C$230=$B25)*ISNUMBER(INDEX(Inputs!$K$5:$AJ$230,0,MATCH(L$2,Inputs!$K$4:$AJ$4,0))))+SUMPRODUCT((Inputs!$E$5:$E$230=$B25)*ISNUMBER(INDEX(Inputs!$K$5:$AJ$230,0,MATCH(L$2,Inputs!$K$4:$AJ$4,0))))=0,NA(),SUMPRODUCT((Inputs!$A$5:$A$230=$B25)*Inputs!$B$5:$B$230*(((Inputs!$G$5:$G$230="moeda")+(Inputs!$G$5:$G$230="acoes"))*Inputs!$B$1+((Inputs!$G$5:$G$230&lt;&gt;"moeda")*(Inputs!$G$5:$G$230&lt;&gt;"acoes")))*INDEX(Inputs!$K$5:$AJ$230,0,MATCH(L$2,Inputs!$K$4:$AJ$4,0)))+SUMPRODUCT((Inputs!$C$5:$C$230=$B25)*Inputs!$D$5:$D$230*(((Inputs!$G$5:$G$230="moeda")+(Inputs!$G$5:$G$230="acoes"))*Inputs!$B$1+((Inputs!$G$5:$G$230&lt;&gt;"moeda")*(Inputs!$G$5:$G$230&lt;&gt;"acoes")))*INDEX(Inputs!$K$5:$AJ$230,0,MATCH(L$2,Inputs!$K$4:$AJ$4,0)))+SUMPRODUCT((Inputs!$E$5:$E$230=$B25)*Inputs!$F$5:$F$230*(((Inputs!$G$5:$G$230="moeda")+(Inputs!$G$5:$G$230="acoes"))*Inputs!$B$1+((Inputs!$G$5:$G$230&lt;&gt;"moeda")*(Inputs!$G$5:$G$230&lt;&gt;"acoes")))*INDEX(Inputs!$K$5:$AJ$230,0,MATCH(L$2,Inputs!$K$4:$AJ$4,0)))))</f>
        <v>269.693</v>
      </c>
      <c r="M25" s="3">
        <f>L25</f>
        <v>269.693</v>
      </c>
      <c r="N25" s="6">
        <f>IF(ISNA(MATCH(N$2,Inputs!$K$4:$AJ$4,0)),NA(),IF(SUMPRODUCT((Inputs!$A$5:$A$230=$B25)*ISNUMBER(INDEX(Inputs!$K$5:$AJ$230,0,MATCH(N$2,Inputs!$K$4:$AJ$4,0))))+SUMPRODUCT((Inputs!$C$5:$C$230=$B25)*ISNUMBER(INDEX(Inputs!$K$5:$AJ$230,0,MATCH(N$2,Inputs!$K$4:$AJ$4,0))))+SUMPRODUCT((Inputs!$E$5:$E$230=$B25)*ISNUMBER(INDEX(Inputs!$K$5:$AJ$230,0,MATCH(N$2,Inputs!$K$4:$AJ$4,0))))=0,NA(),SUMPRODUCT((Inputs!$A$5:$A$230=$B25)*Inputs!$B$5:$B$230*(((Inputs!$G$5:$G$230="moeda")+(Inputs!$G$5:$G$230="acoes"))*Inputs!$B$1+((Inputs!$G$5:$G$230&lt;&gt;"moeda")*(Inputs!$G$5:$G$230&lt;&gt;"acoes")))*INDEX(Inputs!$K$5:$AJ$230,0,MATCH(N$2,Inputs!$K$4:$AJ$4,0)))+SUMPRODUCT((Inputs!$C$5:$C$230=$B25)*Inputs!$D$5:$D$230*(((Inputs!$G$5:$G$230="moeda")+(Inputs!$G$5:$G$230="acoes"))*Inputs!$B$1+((Inputs!$G$5:$G$230&lt;&gt;"moeda")*(Inputs!$G$5:$G$230&lt;&gt;"acoes")))*INDEX(Inputs!$K$5:$AJ$230,0,MATCH(N$2,Inputs!$K$4:$AJ$4,0)))+SUMPRODUCT((Inputs!$E$5:$E$230=$B25)*Inputs!$F$5:$F$230*(((Inputs!$G$5:$G$230="moeda")+(Inputs!$G$5:$G$230="acoes"))*Inputs!$B$1+((Inputs!$G$5:$G$230&lt;&gt;"moeda")*(Inputs!$G$5:$G$230&lt;&gt;"acoes")))*INDEX(Inputs!$K$5:$AJ$230,0,MATCH(N$2,Inputs!$K$4:$AJ$4,0)))))</f>
        <v>268.323</v>
      </c>
      <c r="O25" s="6">
        <f>IF(ISNA(MATCH(O$2,Inputs!$K$4:$AJ$4,0)),NA(),IF(SUMPRODUCT((Inputs!$A$5:$A$230=$B25)*ISNUMBER(INDEX(Inputs!$K$5:$AJ$230,0,MATCH(O$2,Inputs!$K$4:$AJ$4,0))))+SUMPRODUCT((Inputs!$C$5:$C$230=$B25)*ISNUMBER(INDEX(Inputs!$K$5:$AJ$230,0,MATCH(O$2,Inputs!$K$4:$AJ$4,0))))+SUMPRODUCT((Inputs!$E$5:$E$230=$B25)*ISNUMBER(INDEX(Inputs!$K$5:$AJ$230,0,MATCH(O$2,Inputs!$K$4:$AJ$4,0))))=0,NA(),SUMPRODUCT((Inputs!$A$5:$A$230=$B25)*Inputs!$B$5:$B$230*(((Inputs!$G$5:$G$230="moeda")+(Inputs!$G$5:$G$230="acoes"))*Inputs!$B$1+((Inputs!$G$5:$G$230&lt;&gt;"moeda")*(Inputs!$G$5:$G$230&lt;&gt;"acoes")))*INDEX(Inputs!$K$5:$AJ$230,0,MATCH(O$2,Inputs!$K$4:$AJ$4,0)))+SUMPRODUCT((Inputs!$C$5:$C$230=$B25)*Inputs!$D$5:$D$230*(((Inputs!$G$5:$G$230="moeda")+(Inputs!$G$5:$G$230="acoes"))*Inputs!$B$1+((Inputs!$G$5:$G$230&lt;&gt;"moeda")*(Inputs!$G$5:$G$230&lt;&gt;"acoes")))*INDEX(Inputs!$K$5:$AJ$230,0,MATCH(O$2,Inputs!$K$4:$AJ$4,0)))+SUMPRODUCT((Inputs!$E$5:$E$230=$B25)*Inputs!$F$5:$F$230*(((Inputs!$G$5:$G$230="moeda")+(Inputs!$G$5:$G$230="acoes"))*Inputs!$B$1+((Inputs!$G$5:$G$230&lt;&gt;"moeda")*(Inputs!$G$5:$G$230&lt;&gt;"acoes")))*INDEX(Inputs!$K$5:$AJ$230,0,MATCH(O$2,Inputs!$K$4:$AJ$4,0)))))</f>
        <v>266.404</v>
      </c>
      <c r="P25" s="6">
        <f>IF(ISNA(MATCH(P$2,Inputs!$K$4:$AJ$4,0)),NA(),IF(SUMPRODUCT((Inputs!$A$5:$A$230=$B25)*ISNUMBER(INDEX(Inputs!$K$5:$AJ$230,0,MATCH(P$2,Inputs!$K$4:$AJ$4,0))))+SUMPRODUCT((Inputs!$C$5:$C$230=$B25)*ISNUMBER(INDEX(Inputs!$K$5:$AJ$230,0,MATCH(P$2,Inputs!$K$4:$AJ$4,0))))+SUMPRODUCT((Inputs!$E$5:$E$230=$B25)*ISNUMBER(INDEX(Inputs!$K$5:$AJ$230,0,MATCH(P$2,Inputs!$K$4:$AJ$4,0))))=0,NA(),SUMPRODUCT((Inputs!$A$5:$A$230=$B25)*Inputs!$B$5:$B$230*(((Inputs!$G$5:$G$230="moeda")+(Inputs!$G$5:$G$230="acoes"))*Inputs!$B$1+((Inputs!$G$5:$G$230&lt;&gt;"moeda")*(Inputs!$G$5:$G$230&lt;&gt;"acoes")))*INDEX(Inputs!$K$5:$AJ$230,0,MATCH(P$2,Inputs!$K$4:$AJ$4,0)))+SUMPRODUCT((Inputs!$C$5:$C$230=$B25)*Inputs!$D$5:$D$230*(((Inputs!$G$5:$G$230="moeda")+(Inputs!$G$5:$G$230="acoes"))*Inputs!$B$1+((Inputs!$G$5:$G$230&lt;&gt;"moeda")*(Inputs!$G$5:$G$230&lt;&gt;"acoes")))*INDEX(Inputs!$K$5:$AJ$230,0,MATCH(P$2,Inputs!$K$4:$AJ$4,0)))+SUMPRODUCT((Inputs!$E$5:$E$230=$B25)*Inputs!$F$5:$F$230*(((Inputs!$G$5:$G$230="moeda")+(Inputs!$G$5:$G$230="acoes"))*Inputs!$B$1+((Inputs!$G$5:$G$230&lt;&gt;"moeda")*(Inputs!$G$5:$G$230&lt;&gt;"acoes")))*INDEX(Inputs!$K$5:$AJ$230,0,MATCH(P$2,Inputs!$K$4:$AJ$4,0)))))</f>
        <v>273.89</v>
      </c>
      <c r="Q25" s="6">
        <f>IF(ISNA(MATCH(Q$2,Inputs!$K$4:$AJ$4,0)),NA(),IF(SUMPRODUCT((Inputs!$A$5:$A$230=$B25)*ISNUMBER(INDEX(Inputs!$K$5:$AJ$230,0,MATCH(Q$2,Inputs!$K$4:$AJ$4,0))))+SUMPRODUCT((Inputs!$C$5:$C$230=$B25)*ISNUMBER(INDEX(Inputs!$K$5:$AJ$230,0,MATCH(Q$2,Inputs!$K$4:$AJ$4,0))))+SUMPRODUCT((Inputs!$E$5:$E$230=$B25)*ISNUMBER(INDEX(Inputs!$K$5:$AJ$230,0,MATCH(Q$2,Inputs!$K$4:$AJ$4,0))))=0,NA(),SUMPRODUCT((Inputs!$A$5:$A$230=$B25)*Inputs!$B$5:$B$230*(((Inputs!$G$5:$G$230="moeda")+(Inputs!$G$5:$G$230="acoes"))*Inputs!$B$1+((Inputs!$G$5:$G$230&lt;&gt;"moeda")*(Inputs!$G$5:$G$230&lt;&gt;"acoes")))*INDEX(Inputs!$K$5:$AJ$230,0,MATCH(Q$2,Inputs!$K$4:$AJ$4,0)))+SUMPRODUCT((Inputs!$C$5:$C$230=$B25)*Inputs!$D$5:$D$230*(((Inputs!$G$5:$G$230="moeda")+(Inputs!$G$5:$G$230="acoes"))*Inputs!$B$1+((Inputs!$G$5:$G$230&lt;&gt;"moeda")*(Inputs!$G$5:$G$230&lt;&gt;"acoes")))*INDEX(Inputs!$K$5:$AJ$230,0,MATCH(Q$2,Inputs!$K$4:$AJ$4,0)))+SUMPRODUCT((Inputs!$E$5:$E$230=$B25)*Inputs!$F$5:$F$230*(((Inputs!$G$5:$G$230="moeda")+(Inputs!$G$5:$G$230="acoes"))*Inputs!$B$1+((Inputs!$G$5:$G$230&lt;&gt;"moeda")*(Inputs!$G$5:$G$230&lt;&gt;"acoes")))*INDEX(Inputs!$K$5:$AJ$230,0,MATCH(Q$2,Inputs!$K$4:$AJ$4,0)))))</f>
        <v>268.011</v>
      </c>
      <c r="R25" s="3">
        <f>Q25</f>
        <v>268.011</v>
      </c>
      <c r="S25" s="6">
        <f>IF(ISNA(MATCH(S$2,Inputs!$K$4:$AJ$4,0)),NA(),IF(SUMPRODUCT((Inputs!$A$5:$A$230=$B25)*ISNUMBER(INDEX(Inputs!$K$5:$AJ$230,0,MATCH(S$2,Inputs!$K$4:$AJ$4,0))))+SUMPRODUCT((Inputs!$C$5:$C$230=$B25)*ISNUMBER(INDEX(Inputs!$K$5:$AJ$230,0,MATCH(S$2,Inputs!$K$4:$AJ$4,0))))+SUMPRODUCT((Inputs!$E$5:$E$230=$B25)*ISNUMBER(INDEX(Inputs!$K$5:$AJ$230,0,MATCH(S$2,Inputs!$K$4:$AJ$4,0))))=0,NA(),SUMPRODUCT((Inputs!$A$5:$A$230=$B25)*Inputs!$B$5:$B$230*(((Inputs!$G$5:$G$230="moeda")+(Inputs!$G$5:$G$230="acoes"))*Inputs!$B$1+((Inputs!$G$5:$G$230&lt;&gt;"moeda")*(Inputs!$G$5:$G$230&lt;&gt;"acoes")))*INDEX(Inputs!$K$5:$AJ$230,0,MATCH(S$2,Inputs!$K$4:$AJ$4,0)))+SUMPRODUCT((Inputs!$C$5:$C$230=$B25)*Inputs!$D$5:$D$230*(((Inputs!$G$5:$G$230="moeda")+(Inputs!$G$5:$G$230="acoes"))*Inputs!$B$1+((Inputs!$G$5:$G$230&lt;&gt;"moeda")*(Inputs!$G$5:$G$230&lt;&gt;"acoes")))*INDEX(Inputs!$K$5:$AJ$230,0,MATCH(S$2,Inputs!$K$4:$AJ$4,0)))+SUMPRODUCT((Inputs!$E$5:$E$230=$B25)*Inputs!$F$5:$F$230*(((Inputs!$G$5:$G$230="moeda")+(Inputs!$G$5:$G$230="acoes"))*Inputs!$B$1+((Inputs!$G$5:$G$230&lt;&gt;"moeda")*(Inputs!$G$5:$G$230&lt;&gt;"acoes")))*INDEX(Inputs!$K$5:$AJ$230,0,MATCH(S$2,Inputs!$K$4:$AJ$4,0)))))</f>
        <v>284.175</v>
      </c>
      <c r="T25" s="6">
        <f>IF(ISNA(MATCH(T$2,Inputs!$K$4:$AJ$4,0)),NA(),IF(SUMPRODUCT((Inputs!$A$5:$A$230=$B25)*ISNUMBER(INDEX(Inputs!$K$5:$AJ$230,0,MATCH(T$2,Inputs!$K$4:$AJ$4,0))))+SUMPRODUCT((Inputs!$C$5:$C$230=$B25)*ISNUMBER(INDEX(Inputs!$K$5:$AJ$230,0,MATCH(T$2,Inputs!$K$4:$AJ$4,0))))+SUMPRODUCT((Inputs!$E$5:$E$230=$B25)*ISNUMBER(INDEX(Inputs!$K$5:$AJ$230,0,MATCH(T$2,Inputs!$K$4:$AJ$4,0))))=0,NA(),SUMPRODUCT((Inputs!$A$5:$A$230=$B25)*Inputs!$B$5:$B$230*(((Inputs!$G$5:$G$230="moeda")+(Inputs!$G$5:$G$230="acoes"))*Inputs!$B$1+((Inputs!$G$5:$G$230&lt;&gt;"moeda")*(Inputs!$G$5:$G$230&lt;&gt;"acoes")))*INDEX(Inputs!$K$5:$AJ$230,0,MATCH(T$2,Inputs!$K$4:$AJ$4,0)))+SUMPRODUCT((Inputs!$C$5:$C$230=$B25)*Inputs!$D$5:$D$230*(((Inputs!$G$5:$G$230="moeda")+(Inputs!$G$5:$G$230="acoes"))*Inputs!$B$1+((Inputs!$G$5:$G$230&lt;&gt;"moeda")*(Inputs!$G$5:$G$230&lt;&gt;"acoes")))*INDEX(Inputs!$K$5:$AJ$230,0,MATCH(T$2,Inputs!$K$4:$AJ$4,0)))+SUMPRODUCT((Inputs!$E$5:$E$230=$B25)*Inputs!$F$5:$F$230*(((Inputs!$G$5:$G$230="moeda")+(Inputs!$G$5:$G$230="acoes"))*Inputs!$B$1+((Inputs!$G$5:$G$230&lt;&gt;"moeda")*(Inputs!$G$5:$G$230&lt;&gt;"acoes")))*INDEX(Inputs!$K$5:$AJ$230,0,MATCH(T$2,Inputs!$K$4:$AJ$4,0)))))</f>
        <v>291.913</v>
      </c>
      <c r="U25" s="6">
        <f>IF(ISNA(MATCH(U$2,Inputs!$K$4:$AJ$4,0)),NA(),IF(SUMPRODUCT((Inputs!$A$5:$A$230=$B25)*ISNUMBER(INDEX(Inputs!$K$5:$AJ$230,0,MATCH(U$2,Inputs!$K$4:$AJ$4,0))))+SUMPRODUCT((Inputs!$C$5:$C$230=$B25)*ISNUMBER(INDEX(Inputs!$K$5:$AJ$230,0,MATCH(U$2,Inputs!$K$4:$AJ$4,0))))+SUMPRODUCT((Inputs!$E$5:$E$230=$B25)*ISNUMBER(INDEX(Inputs!$K$5:$AJ$230,0,MATCH(U$2,Inputs!$K$4:$AJ$4,0))))=0,NA(),SUMPRODUCT((Inputs!$A$5:$A$230=$B25)*Inputs!$B$5:$B$230*(((Inputs!$G$5:$G$230="moeda")+(Inputs!$G$5:$G$230="acoes"))*Inputs!$B$1+((Inputs!$G$5:$G$230&lt;&gt;"moeda")*(Inputs!$G$5:$G$230&lt;&gt;"acoes")))*INDEX(Inputs!$K$5:$AJ$230,0,MATCH(U$2,Inputs!$K$4:$AJ$4,0)))+SUMPRODUCT((Inputs!$C$5:$C$230=$B25)*Inputs!$D$5:$D$230*(((Inputs!$G$5:$G$230="moeda")+(Inputs!$G$5:$G$230="acoes"))*Inputs!$B$1+((Inputs!$G$5:$G$230&lt;&gt;"moeda")*(Inputs!$G$5:$G$230&lt;&gt;"acoes")))*INDEX(Inputs!$K$5:$AJ$230,0,MATCH(U$2,Inputs!$K$4:$AJ$4,0)))+SUMPRODUCT((Inputs!$E$5:$E$230=$B25)*Inputs!$F$5:$F$230*(((Inputs!$G$5:$G$230="moeda")+(Inputs!$G$5:$G$230="acoes"))*Inputs!$B$1+((Inputs!$G$5:$G$230&lt;&gt;"moeda")*(Inputs!$G$5:$G$230&lt;&gt;"acoes")))*INDEX(Inputs!$K$5:$AJ$230,0,MATCH(U$2,Inputs!$K$4:$AJ$4,0)))))</f>
        <v>299.502</v>
      </c>
      <c r="V25" s="6">
        <f>IF(ISNA(MATCH(V$2,Inputs!$K$4:$AJ$4,0)),NA(),IF(SUMPRODUCT((Inputs!$A$5:$A$230=$B25)*ISNUMBER(INDEX(Inputs!$K$5:$AJ$230,0,MATCH(V$2,Inputs!$K$4:$AJ$4,0))))+SUMPRODUCT((Inputs!$C$5:$C$230=$B25)*ISNUMBER(INDEX(Inputs!$K$5:$AJ$230,0,MATCH(V$2,Inputs!$K$4:$AJ$4,0))))+SUMPRODUCT((Inputs!$E$5:$E$230=$B25)*ISNUMBER(INDEX(Inputs!$K$5:$AJ$230,0,MATCH(V$2,Inputs!$K$4:$AJ$4,0))))=0,NA(),SUMPRODUCT((Inputs!$A$5:$A$230=$B25)*Inputs!$B$5:$B$230*(((Inputs!$G$5:$G$230="moeda")+(Inputs!$G$5:$G$230="acoes"))*Inputs!$B$1+((Inputs!$G$5:$G$230&lt;&gt;"moeda")*(Inputs!$G$5:$G$230&lt;&gt;"acoes")))*INDEX(Inputs!$K$5:$AJ$230,0,MATCH(V$2,Inputs!$K$4:$AJ$4,0)))+SUMPRODUCT((Inputs!$C$5:$C$230=$B25)*Inputs!$D$5:$D$230*(((Inputs!$G$5:$G$230="moeda")+(Inputs!$G$5:$G$230="acoes"))*Inputs!$B$1+((Inputs!$G$5:$G$230&lt;&gt;"moeda")*(Inputs!$G$5:$G$230&lt;&gt;"acoes")))*INDEX(Inputs!$K$5:$AJ$230,0,MATCH(V$2,Inputs!$K$4:$AJ$4,0)))+SUMPRODUCT((Inputs!$E$5:$E$230=$B25)*Inputs!$F$5:$F$230*(((Inputs!$G$5:$G$230="moeda")+(Inputs!$G$5:$G$230="acoes"))*Inputs!$B$1+((Inputs!$G$5:$G$230&lt;&gt;"moeda")*(Inputs!$G$5:$G$230&lt;&gt;"acoes")))*INDEX(Inputs!$K$5:$AJ$230,0,MATCH(V$2,Inputs!$K$4:$AJ$4,0)))))</f>
        <v>364.832</v>
      </c>
      <c r="W25" s="3">
        <f>V25</f>
        <v>364.832</v>
      </c>
      <c r="X25" s="6">
        <f>IF(ISNA(MATCH(X$2,Inputs!$K$4:$AJ$4,0)),NA(),IF(SUMPRODUCT((Inputs!$A$5:$A$230=$B25)*ISNUMBER(INDEX(Inputs!$K$5:$AJ$230,0,MATCH(X$2,Inputs!$K$4:$AJ$4,0))))+SUMPRODUCT((Inputs!$C$5:$C$230=$B25)*ISNUMBER(INDEX(Inputs!$K$5:$AJ$230,0,MATCH(X$2,Inputs!$K$4:$AJ$4,0))))+SUMPRODUCT((Inputs!$E$5:$E$230=$B25)*ISNUMBER(INDEX(Inputs!$K$5:$AJ$230,0,MATCH(X$2,Inputs!$K$4:$AJ$4,0))))=0,NA(),SUMPRODUCT((Inputs!$A$5:$A$230=$B25)*Inputs!$B$5:$B$230*(((Inputs!$G$5:$G$230="moeda")+(Inputs!$G$5:$G$230="acoes"))*Inputs!$B$1+((Inputs!$G$5:$G$230&lt;&gt;"moeda")*(Inputs!$G$5:$G$230&lt;&gt;"acoes")))*INDEX(Inputs!$K$5:$AJ$230,0,MATCH(X$2,Inputs!$K$4:$AJ$4,0)))+SUMPRODUCT((Inputs!$C$5:$C$230=$B25)*Inputs!$D$5:$D$230*(((Inputs!$G$5:$G$230="moeda")+(Inputs!$G$5:$G$230="acoes"))*Inputs!$B$1+((Inputs!$G$5:$G$230&lt;&gt;"moeda")*(Inputs!$G$5:$G$230&lt;&gt;"acoes")))*INDEX(Inputs!$K$5:$AJ$230,0,MATCH(X$2,Inputs!$K$4:$AJ$4,0)))+SUMPRODUCT((Inputs!$E$5:$E$230=$B25)*Inputs!$F$5:$F$230*(((Inputs!$G$5:$G$230="moeda")+(Inputs!$G$5:$G$230="acoes"))*Inputs!$B$1+((Inputs!$G$5:$G$230&lt;&gt;"moeda")*(Inputs!$G$5:$G$230&lt;&gt;"acoes")))*INDEX(Inputs!$K$5:$AJ$230,0,MATCH(X$2,Inputs!$K$4:$AJ$4,0)))))</f>
        <v>354.539</v>
      </c>
      <c r="Y25" s="6">
        <f>IF(ISNA(MATCH(Y$2,Inputs!$K$4:$AJ$4,0)),NA(),IF(SUMPRODUCT((Inputs!$A$5:$A$230=$B25)*ISNUMBER(INDEX(Inputs!$K$5:$AJ$230,0,MATCH(Y$2,Inputs!$K$4:$AJ$4,0))))+SUMPRODUCT((Inputs!$C$5:$C$230=$B25)*ISNUMBER(INDEX(Inputs!$K$5:$AJ$230,0,MATCH(Y$2,Inputs!$K$4:$AJ$4,0))))+SUMPRODUCT((Inputs!$E$5:$E$230=$B25)*ISNUMBER(INDEX(Inputs!$K$5:$AJ$230,0,MATCH(Y$2,Inputs!$K$4:$AJ$4,0))))=0,NA(),SUMPRODUCT((Inputs!$A$5:$A$230=$B25)*Inputs!$B$5:$B$230*(((Inputs!$G$5:$G$230="moeda")+(Inputs!$G$5:$G$230="acoes"))*Inputs!$B$1+((Inputs!$G$5:$G$230&lt;&gt;"moeda")*(Inputs!$G$5:$G$230&lt;&gt;"acoes")))*INDEX(Inputs!$K$5:$AJ$230,0,MATCH(Y$2,Inputs!$K$4:$AJ$4,0)))+SUMPRODUCT((Inputs!$C$5:$C$230=$B25)*Inputs!$D$5:$D$230*(((Inputs!$G$5:$G$230="moeda")+(Inputs!$G$5:$G$230="acoes"))*Inputs!$B$1+((Inputs!$G$5:$G$230&lt;&gt;"moeda")*(Inputs!$G$5:$G$230&lt;&gt;"acoes")))*INDEX(Inputs!$K$5:$AJ$230,0,MATCH(Y$2,Inputs!$K$4:$AJ$4,0)))+SUMPRODUCT((Inputs!$E$5:$E$230=$B25)*Inputs!$F$5:$F$230*(((Inputs!$G$5:$G$230="moeda")+(Inputs!$G$5:$G$230="acoes"))*Inputs!$B$1+((Inputs!$G$5:$G$230&lt;&gt;"moeda")*(Inputs!$G$5:$G$230&lt;&gt;"acoes")))*INDEX(Inputs!$K$5:$AJ$230,0,MATCH(Y$2,Inputs!$K$4:$AJ$4,0)))))</f>
        <v>350.904</v>
      </c>
      <c r="Z25" s="6">
        <f>IF(ISNA(MATCH(Z$2,Inputs!$K$4:$AJ$4,0)),NA(),IF(SUMPRODUCT((Inputs!$A$5:$A$230=$B25)*ISNUMBER(INDEX(Inputs!$K$5:$AJ$230,0,MATCH(Z$2,Inputs!$K$4:$AJ$4,0))))+SUMPRODUCT((Inputs!$C$5:$C$230=$B25)*ISNUMBER(INDEX(Inputs!$K$5:$AJ$230,0,MATCH(Z$2,Inputs!$K$4:$AJ$4,0))))+SUMPRODUCT((Inputs!$E$5:$E$230=$B25)*ISNUMBER(INDEX(Inputs!$K$5:$AJ$230,0,MATCH(Z$2,Inputs!$K$4:$AJ$4,0))))=0,NA(),SUMPRODUCT((Inputs!$A$5:$A$230=$B25)*Inputs!$B$5:$B$230*(((Inputs!$G$5:$G$230="moeda")+(Inputs!$G$5:$G$230="acoes"))*Inputs!$B$1+((Inputs!$G$5:$G$230&lt;&gt;"moeda")*(Inputs!$G$5:$G$230&lt;&gt;"acoes")))*INDEX(Inputs!$K$5:$AJ$230,0,MATCH(Z$2,Inputs!$K$4:$AJ$4,0)))+SUMPRODUCT((Inputs!$C$5:$C$230=$B25)*Inputs!$D$5:$D$230*(((Inputs!$G$5:$G$230="moeda")+(Inputs!$G$5:$G$230="acoes"))*Inputs!$B$1+((Inputs!$G$5:$G$230&lt;&gt;"moeda")*(Inputs!$G$5:$G$230&lt;&gt;"acoes")))*INDEX(Inputs!$K$5:$AJ$230,0,MATCH(Z$2,Inputs!$K$4:$AJ$4,0)))+SUMPRODUCT((Inputs!$E$5:$E$230=$B25)*Inputs!$F$5:$F$230*(((Inputs!$G$5:$G$230="moeda")+(Inputs!$G$5:$G$230="acoes"))*Inputs!$B$1+((Inputs!$G$5:$G$230&lt;&gt;"moeda")*(Inputs!$G$5:$G$230&lt;&gt;"acoes")))*INDEX(Inputs!$K$5:$AJ$230,0,MATCH(Z$2,Inputs!$K$4:$AJ$4,0)))))</f>
        <v>374.853</v>
      </c>
      <c r="AA25" s="6">
        <f>IF(ISNA(MATCH(AA$2,Inputs!$K$4:$AJ$4,0)),NA(),IF(SUMPRODUCT((Inputs!$A$5:$A$230=$B25)*ISNUMBER(INDEX(Inputs!$K$5:$AJ$230,0,MATCH(AA$2,Inputs!$K$4:$AJ$4,0))))+SUMPRODUCT((Inputs!$C$5:$C$230=$B25)*ISNUMBER(INDEX(Inputs!$K$5:$AJ$230,0,MATCH(AA$2,Inputs!$K$4:$AJ$4,0))))+SUMPRODUCT((Inputs!$E$5:$E$230=$B25)*ISNUMBER(INDEX(Inputs!$K$5:$AJ$230,0,MATCH(AA$2,Inputs!$K$4:$AJ$4,0))))=0,NA(),SUMPRODUCT((Inputs!$A$5:$A$230=$B25)*Inputs!$B$5:$B$230*(((Inputs!$G$5:$G$230="moeda")+(Inputs!$G$5:$G$230="acoes"))*Inputs!$B$1+((Inputs!$G$5:$G$230&lt;&gt;"moeda")*(Inputs!$G$5:$G$230&lt;&gt;"acoes")))*INDEX(Inputs!$K$5:$AJ$230,0,MATCH(AA$2,Inputs!$K$4:$AJ$4,0)))+SUMPRODUCT((Inputs!$C$5:$C$230=$B25)*Inputs!$D$5:$D$230*(((Inputs!$G$5:$G$230="moeda")+(Inputs!$G$5:$G$230="acoes"))*Inputs!$B$1+((Inputs!$G$5:$G$230&lt;&gt;"moeda")*(Inputs!$G$5:$G$230&lt;&gt;"acoes")))*INDEX(Inputs!$K$5:$AJ$230,0,MATCH(AA$2,Inputs!$K$4:$AJ$4,0)))+SUMPRODUCT((Inputs!$E$5:$E$230=$B25)*Inputs!$F$5:$F$230*(((Inputs!$G$5:$G$230="moeda")+(Inputs!$G$5:$G$230="acoes"))*Inputs!$B$1+((Inputs!$G$5:$G$230&lt;&gt;"moeda")*(Inputs!$G$5:$G$230&lt;&gt;"acoes")))*INDEX(Inputs!$K$5:$AJ$230,0,MATCH(AA$2,Inputs!$K$4:$AJ$4,0)))))</f>
        <v>446.996</v>
      </c>
      <c r="AB25" s="3">
        <f>AA25</f>
        <v>446.996</v>
      </c>
      <c r="AC25" s="6">
        <f>IF(ISNA(MATCH(AC$2,Inputs!$K$4:$AJ$4,0)),NA(),IF(SUMPRODUCT((Inputs!$A$5:$A$230=$B25)*ISNUMBER(INDEX(Inputs!$K$5:$AJ$230,0,MATCH(AC$2,Inputs!$K$4:$AJ$4,0))))+SUMPRODUCT((Inputs!$C$5:$C$230=$B25)*ISNUMBER(INDEX(Inputs!$K$5:$AJ$230,0,MATCH(AC$2,Inputs!$K$4:$AJ$4,0))))+SUMPRODUCT((Inputs!$E$5:$E$230=$B25)*ISNUMBER(INDEX(Inputs!$K$5:$AJ$230,0,MATCH(AC$2,Inputs!$K$4:$AJ$4,0))))=0,NA(),SUMPRODUCT((Inputs!$A$5:$A$230=$B25)*Inputs!$B$5:$B$230*(((Inputs!$G$5:$G$230="moeda")+(Inputs!$G$5:$G$230="acoes"))*Inputs!$B$1+((Inputs!$G$5:$G$230&lt;&gt;"moeda")*(Inputs!$G$5:$G$230&lt;&gt;"acoes")))*INDEX(Inputs!$K$5:$AJ$230,0,MATCH(AC$2,Inputs!$K$4:$AJ$4,0)))+SUMPRODUCT((Inputs!$C$5:$C$230=$B25)*Inputs!$D$5:$D$230*(((Inputs!$G$5:$G$230="moeda")+(Inputs!$G$5:$G$230="acoes"))*Inputs!$B$1+((Inputs!$G$5:$G$230&lt;&gt;"moeda")*(Inputs!$G$5:$G$230&lt;&gt;"acoes")))*INDEX(Inputs!$K$5:$AJ$230,0,MATCH(AC$2,Inputs!$K$4:$AJ$4,0)))+SUMPRODUCT((Inputs!$E$5:$E$230=$B25)*Inputs!$F$5:$F$230*(((Inputs!$G$5:$G$230="moeda")+(Inputs!$G$5:$G$230="acoes"))*Inputs!$B$1+((Inputs!$G$5:$G$230&lt;&gt;"moeda")*(Inputs!$G$5:$G$230&lt;&gt;"acoes")))*INDEX(Inputs!$K$5:$AJ$230,0,MATCH(AC$2,Inputs!$K$4:$AJ$4,0)))))</f>
        <v>469.158</v>
      </c>
      <c r="AD25" s="6">
        <f>IF(ISNA(MATCH(AD$2,Inputs!$K$4:$AJ$4,0)),NA(),IF(SUMPRODUCT((Inputs!$A$5:$A$230=$B25)*ISNUMBER(INDEX(Inputs!$K$5:$AJ$230,0,MATCH(AD$2,Inputs!$K$4:$AJ$4,0))))+SUMPRODUCT((Inputs!$C$5:$C$230=$B25)*ISNUMBER(INDEX(Inputs!$K$5:$AJ$230,0,MATCH(AD$2,Inputs!$K$4:$AJ$4,0))))+SUMPRODUCT((Inputs!$E$5:$E$230=$B25)*ISNUMBER(INDEX(Inputs!$K$5:$AJ$230,0,MATCH(AD$2,Inputs!$K$4:$AJ$4,0))))=0,NA(),SUMPRODUCT((Inputs!$A$5:$A$230=$B25)*Inputs!$B$5:$B$230*(((Inputs!$G$5:$G$230="moeda")+(Inputs!$G$5:$G$230="acoes"))*Inputs!$B$1+((Inputs!$G$5:$G$230&lt;&gt;"moeda")*(Inputs!$G$5:$G$230&lt;&gt;"acoes")))*INDEX(Inputs!$K$5:$AJ$230,0,MATCH(AD$2,Inputs!$K$4:$AJ$4,0)))+SUMPRODUCT((Inputs!$C$5:$C$230=$B25)*Inputs!$D$5:$D$230*(((Inputs!$G$5:$G$230="moeda")+(Inputs!$G$5:$G$230="acoes"))*Inputs!$B$1+((Inputs!$G$5:$G$230&lt;&gt;"moeda")*(Inputs!$G$5:$G$230&lt;&gt;"acoes")))*INDEX(Inputs!$K$5:$AJ$230,0,MATCH(AD$2,Inputs!$K$4:$AJ$4,0)))+SUMPRODUCT((Inputs!$E$5:$E$230=$B25)*Inputs!$F$5:$F$230*(((Inputs!$G$5:$G$230="moeda")+(Inputs!$G$5:$G$230="acoes"))*Inputs!$B$1+((Inputs!$G$5:$G$230&lt;&gt;"moeda")*(Inputs!$G$5:$G$230&lt;&gt;"acoes")))*INDEX(Inputs!$K$5:$AJ$230,0,MATCH(AD$2,Inputs!$K$4:$AJ$4,0)))))</f>
        <v>593.425</v>
      </c>
      <c r="AE25" s="6" t="e">
        <f>IF(ISNA(MATCH(AE$2,Inputs!$K$4:$AJ$4,0)),NA(),IF(SUMPRODUCT((Inputs!$A$5:$A$230=$B25)*ISNUMBER(INDEX(Inputs!$K$5:$AJ$230,0,MATCH(AE$2,Inputs!$K$4:$AJ$4,0))))+SUMPRODUCT((Inputs!$C$5:$C$230=$B25)*ISNUMBER(INDEX(Inputs!$K$5:$AJ$230,0,MATCH(AE$2,Inputs!$K$4:$AJ$4,0))))+SUMPRODUCT((Inputs!$E$5:$E$230=$B25)*ISNUMBER(INDEX(Inputs!$K$5:$AJ$230,0,MATCH(AE$2,Inputs!$K$4:$AJ$4,0))))=0,NA(),SUMPRODUCT((Inputs!$A$5:$A$230=$B25)*Inputs!$B$5:$B$230*(((Inputs!$G$5:$G$230="moeda")+(Inputs!$G$5:$G$230="acoes"))*Inputs!$B$1+((Inputs!$G$5:$G$230&lt;&gt;"moeda")*(Inputs!$G$5:$G$230&lt;&gt;"acoes")))*INDEX(Inputs!$K$5:$AJ$230,0,MATCH(AE$2,Inputs!$K$4:$AJ$4,0)))+SUMPRODUCT((Inputs!$C$5:$C$230=$B25)*Inputs!$D$5:$D$230*(((Inputs!$G$5:$G$230="moeda")+(Inputs!$G$5:$G$230="acoes"))*Inputs!$B$1+((Inputs!$G$5:$G$230&lt;&gt;"moeda")*(Inputs!$G$5:$G$230&lt;&gt;"acoes")))*INDEX(Inputs!$K$5:$AJ$230,0,MATCH(AE$2,Inputs!$K$4:$AJ$4,0)))+SUMPRODUCT((Inputs!$E$5:$E$230=$B25)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25" s="6" t="e">
        <f>IF(ISNA(MATCH(AF$2,Inputs!$K$4:$AJ$4,0)),NA(),IF(SUMPRODUCT((Inputs!$A$5:$A$230=$B25)*ISNUMBER(INDEX(Inputs!$K$5:$AJ$230,0,MATCH(AF$2,Inputs!$K$4:$AJ$4,0))))+SUMPRODUCT((Inputs!$C$5:$C$230=$B25)*ISNUMBER(INDEX(Inputs!$K$5:$AJ$230,0,MATCH(AF$2,Inputs!$K$4:$AJ$4,0))))+SUMPRODUCT((Inputs!$E$5:$E$230=$B25)*ISNUMBER(INDEX(Inputs!$K$5:$AJ$230,0,MATCH(AF$2,Inputs!$K$4:$AJ$4,0))))=0,NA(),SUMPRODUCT((Inputs!$A$5:$A$230=$B25)*Inputs!$B$5:$B$230*(((Inputs!$G$5:$G$230="moeda")+(Inputs!$G$5:$G$230="acoes"))*Inputs!$B$1+((Inputs!$G$5:$G$230&lt;&gt;"moeda")*(Inputs!$G$5:$G$230&lt;&gt;"acoes")))*INDEX(Inputs!$K$5:$AJ$230,0,MATCH(AF$2,Inputs!$K$4:$AJ$4,0)))+SUMPRODUCT((Inputs!$C$5:$C$230=$B25)*Inputs!$D$5:$D$230*(((Inputs!$G$5:$G$230="moeda")+(Inputs!$G$5:$G$230="acoes"))*Inputs!$B$1+((Inputs!$G$5:$G$230&lt;&gt;"moeda")*(Inputs!$G$5:$G$230&lt;&gt;"acoes")))*INDEX(Inputs!$K$5:$AJ$230,0,MATCH(AF$2,Inputs!$K$4:$AJ$4,0)))+SUMPRODUCT((Inputs!$E$5:$E$230=$B25)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25" s="3" t="e">
        <f>AF25</f>
        <v>#N/A</v>
      </c>
      <c r="AH25" s="6">
        <f>IF(ISNA(MATCH(AH$2,Inputs!$K$4:$AJ$4,0)),NA(),IF(SUMPRODUCT((Inputs!$A$5:$A$230=$B25)*ISNUMBER(INDEX(Inputs!$K$5:$AJ$230,0,MATCH(AH$2,Inputs!$K$4:$AJ$4,0))))+SUMPRODUCT((Inputs!$C$5:$C$230=$B25)*ISNUMBER(INDEX(Inputs!$K$5:$AJ$230,0,MATCH(AH$2,Inputs!$K$4:$AJ$4,0))))+SUMPRODUCT((Inputs!$E$5:$E$230=$B25)*ISNUMBER(INDEX(Inputs!$K$5:$AJ$230,0,MATCH(AH$2,Inputs!$K$4:$AJ$4,0))))=0,NA(),SUMPRODUCT((Inputs!$A$5:$A$230=$B25)*Inputs!$B$5:$B$230*(((Inputs!$G$5:$G$230="moeda")+(Inputs!$G$5:$G$230="acoes"))*Inputs!$B$1+((Inputs!$G$5:$G$230&lt;&gt;"moeda")*(Inputs!$G$5:$G$230&lt;&gt;"acoes")))*INDEX(Inputs!$K$5:$AJ$230,0,MATCH(AH$2,Inputs!$K$4:$AJ$4,0)))+SUMPRODUCT((Inputs!$C$5:$C$230=$B25)*Inputs!$D$5:$D$230*(((Inputs!$G$5:$G$230="moeda")+(Inputs!$G$5:$G$230="acoes"))*Inputs!$B$1+((Inputs!$G$5:$G$230&lt;&gt;"moeda")*(Inputs!$G$5:$G$230&lt;&gt;"acoes")))*INDEX(Inputs!$K$5:$AJ$230,0,MATCH(AH$2,Inputs!$K$4:$AJ$4,0)))+SUMPRODUCT((Inputs!$E$5:$E$230=$B25)*Inputs!$F$5:$F$230*(((Inputs!$G$5:$G$230="moeda")+(Inputs!$G$5:$G$230="acoes"))*Inputs!$B$1+((Inputs!$G$5:$G$230&lt;&gt;"moeda")*(Inputs!$G$5:$G$230&lt;&gt;"acoes")))*INDEX(Inputs!$K$5:$AJ$230,0,MATCH(AH$2,Inputs!$K$4:$AJ$4,0)))))</f>
        <v>192.933</v>
      </c>
      <c r="AI25" s="6">
        <f>IF(ISNA(MATCH(AI$2,Inputs!$K$4:$AJ$4,0)),NA(),IF(SUMPRODUCT((Inputs!$A$5:$A$230=$B25)*ISNUMBER(INDEX(Inputs!$K$5:$AJ$230,0,MATCH(AI$2,Inputs!$K$4:$AJ$4,0))))+SUMPRODUCT((Inputs!$C$5:$C$230=$B25)*ISNUMBER(INDEX(Inputs!$K$5:$AJ$230,0,MATCH(AI$2,Inputs!$K$4:$AJ$4,0))))+SUMPRODUCT((Inputs!$E$5:$E$230=$B25)*ISNUMBER(INDEX(Inputs!$K$5:$AJ$230,0,MATCH(AI$2,Inputs!$K$4:$AJ$4,0))))=0,NA(),SUMPRODUCT((Inputs!$A$5:$A$230=$B25)*Inputs!$B$5:$B$230*(((Inputs!$G$5:$G$230="moeda")+(Inputs!$G$5:$G$230="acoes"))*Inputs!$B$1+((Inputs!$G$5:$G$230&lt;&gt;"moeda")*(Inputs!$G$5:$G$230&lt;&gt;"acoes")))*INDEX(Inputs!$K$5:$AJ$230,0,MATCH(AI$2,Inputs!$K$4:$AJ$4,0)))+SUMPRODUCT((Inputs!$C$5:$C$230=$B25)*Inputs!$D$5:$D$230*(((Inputs!$G$5:$G$230="moeda")+(Inputs!$G$5:$G$230="acoes"))*Inputs!$B$1+((Inputs!$G$5:$G$230&lt;&gt;"moeda")*(Inputs!$G$5:$G$230&lt;&gt;"acoes")))*INDEX(Inputs!$K$5:$AJ$230,0,MATCH(AI$2,Inputs!$K$4:$AJ$4,0)))+SUMPRODUCT((Inputs!$E$5:$E$230=$B25)*Inputs!$F$5:$F$230*(((Inputs!$G$5:$G$230="moeda")+(Inputs!$G$5:$G$230="acoes"))*Inputs!$B$1+((Inputs!$G$5:$G$230&lt;&gt;"moeda")*(Inputs!$G$5:$G$230&lt;&gt;"acoes")))*INDEX(Inputs!$K$5:$AJ$230,0,MATCH(AI$2,Inputs!$K$4:$AJ$4,0)))))</f>
        <v>179.517</v>
      </c>
      <c r="AJ25" s="6">
        <f>IF(ISNA(MATCH(AJ$2,Inputs!$K$4:$AJ$4,0)),NA(),IF(SUMPRODUCT((Inputs!$A$5:$A$230=$B25)*ISNUMBER(INDEX(Inputs!$K$5:$AJ$230,0,MATCH(AJ$2,Inputs!$K$4:$AJ$4,0))))+SUMPRODUCT((Inputs!$C$5:$C$230=$B25)*ISNUMBER(INDEX(Inputs!$K$5:$AJ$230,0,MATCH(AJ$2,Inputs!$K$4:$AJ$4,0))))+SUMPRODUCT((Inputs!$E$5:$E$230=$B25)*ISNUMBER(INDEX(Inputs!$K$5:$AJ$230,0,MATCH(AJ$2,Inputs!$K$4:$AJ$4,0))))=0,NA(),SUMPRODUCT((Inputs!$A$5:$A$230=$B25)*Inputs!$B$5:$B$230*(((Inputs!$G$5:$G$230="moeda")+(Inputs!$G$5:$G$230="acoes"))*Inputs!$B$1+((Inputs!$G$5:$G$230&lt;&gt;"moeda")*(Inputs!$G$5:$G$230&lt;&gt;"acoes")))*INDEX(Inputs!$K$5:$AJ$230,0,MATCH(AJ$2,Inputs!$K$4:$AJ$4,0)))+SUMPRODUCT((Inputs!$C$5:$C$230=$B25)*Inputs!$D$5:$D$230*(((Inputs!$G$5:$G$230="moeda")+(Inputs!$G$5:$G$230="acoes"))*Inputs!$B$1+((Inputs!$G$5:$G$230&lt;&gt;"moeda")*(Inputs!$G$5:$G$230&lt;&gt;"acoes")))*INDEX(Inputs!$K$5:$AJ$230,0,MATCH(AJ$2,Inputs!$K$4:$AJ$4,0)))+SUMPRODUCT((Inputs!$E$5:$E$230=$B25)*Inputs!$F$5:$F$230*(((Inputs!$G$5:$G$230="moeda")+(Inputs!$G$5:$G$230="acoes"))*Inputs!$B$1+((Inputs!$G$5:$G$230&lt;&gt;"moeda")*(Inputs!$G$5:$G$230&lt;&gt;"acoes")))*INDEX(Inputs!$K$5:$AJ$230,0,MATCH(AJ$2,Inputs!$K$4:$AJ$4,0)))))</f>
        <v>191.981</v>
      </c>
      <c r="AK25" s="6">
        <f>IF(ISNA(MATCH(AK$2,Inputs!$K$4:$AJ$4,0)),NA(),IF(SUMPRODUCT((Inputs!$A$5:$A$230=$B25)*ISNUMBER(INDEX(Inputs!$K$5:$AJ$230,0,MATCH(AK$2,Inputs!$K$4:$AJ$4,0))))+SUMPRODUCT((Inputs!$C$5:$C$230=$B25)*ISNUMBER(INDEX(Inputs!$K$5:$AJ$230,0,MATCH(AK$2,Inputs!$K$4:$AJ$4,0))))+SUMPRODUCT((Inputs!$E$5:$E$230=$B25)*ISNUMBER(INDEX(Inputs!$K$5:$AJ$230,0,MATCH(AK$2,Inputs!$K$4:$AJ$4,0))))=0,NA(),SUMPRODUCT((Inputs!$A$5:$A$230=$B25)*Inputs!$B$5:$B$230*(((Inputs!$G$5:$G$230="moeda")+(Inputs!$G$5:$G$230="acoes"))*Inputs!$B$1+((Inputs!$G$5:$G$230&lt;&gt;"moeda")*(Inputs!$G$5:$G$230&lt;&gt;"acoes")))*INDEX(Inputs!$K$5:$AJ$230,0,MATCH(AK$2,Inputs!$K$4:$AJ$4,0)))+SUMPRODUCT((Inputs!$C$5:$C$230=$B25)*Inputs!$D$5:$D$230*(((Inputs!$G$5:$G$230="moeda")+(Inputs!$G$5:$G$230="acoes"))*Inputs!$B$1+((Inputs!$G$5:$G$230&lt;&gt;"moeda")*(Inputs!$G$5:$G$230&lt;&gt;"acoes")))*INDEX(Inputs!$K$5:$AJ$230,0,MATCH(AK$2,Inputs!$K$4:$AJ$4,0)))+SUMPRODUCT((Inputs!$E$5:$E$230=$B25)*Inputs!$F$5:$F$230*(((Inputs!$G$5:$G$230="moeda")+(Inputs!$G$5:$G$230="acoes"))*Inputs!$B$1+((Inputs!$G$5:$G$230&lt;&gt;"moeda")*(Inputs!$G$5:$G$230&lt;&gt;"acoes")))*INDEX(Inputs!$K$5:$AJ$230,0,MATCH(AK$2,Inputs!$K$4:$AJ$4,0)))))</f>
        <v>198</v>
      </c>
      <c r="AL25" s="3">
        <f>AK25</f>
        <v>198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$230=$B26)*ISNUMBER(INDEX(Inputs!$K$5:$AJ$230,0,MATCH(D$2,Inputs!$K$4:$AJ$4,0))))+SUMPRODUCT((Inputs!$C$5:$C$230=$B26)*ISNUMBER(INDEX(Inputs!$K$5:$AJ$230,0,MATCH(D$2,Inputs!$K$4:$AJ$4,0))))+SUMPRODUCT((Inputs!$E$5:$E$230=$B26)*ISNUMBER(INDEX(Inputs!$K$5:$AJ$230,0,MATCH(D$2,Inputs!$K$4:$AJ$4,0))))=0,NA(),SUMPRODUCT((Inputs!$A$5:$A$230=$B26)*Inputs!$B$5:$B$230*(((Inputs!$G$5:$G$230="moeda")+(Inputs!$G$5:$G$230="acoes"))*Inputs!$B$1+((Inputs!$G$5:$G$230&lt;&gt;"moeda")*(Inputs!$G$5:$G$230&lt;&gt;"acoes")))*INDEX(Inputs!$K$5:$AJ$230,0,MATCH(D$2,Inputs!$K$4:$AJ$4,0)))+SUMPRODUCT((Inputs!$C$5:$C$230=$B26)*Inputs!$D$5:$D$230*(((Inputs!$G$5:$G$230="moeda")+(Inputs!$G$5:$G$230="acoes"))*Inputs!$B$1+((Inputs!$G$5:$G$230&lt;&gt;"moeda")*(Inputs!$G$5:$G$230&lt;&gt;"acoes")))*INDEX(Inputs!$K$5:$AJ$230,0,MATCH(D$2,Inputs!$K$4:$AJ$4,0)))+SUMPRODUCT((Inputs!$E$5:$E$230=$B26)*Inputs!$F$5:$F$230*(((Inputs!$G$5:$G$230="moeda")+(Inputs!$G$5:$G$230="acoes"))*Inputs!$B$1+((Inputs!$G$5:$G$230&lt;&gt;"moeda")*(Inputs!$G$5:$G$230&lt;&gt;"acoes")))*INDEX(Inputs!$K$5:$AJ$230,0,MATCH(D$2,Inputs!$K$4:$AJ$4,0)))))</f>
        <v>14405.248</v>
      </c>
      <c r="E26" s="6">
        <f>IF(ISNA(MATCH(E$2,Inputs!$K$4:$AJ$4,0)),NA(),IF(SUMPRODUCT((Inputs!$A$5:$A$230=$B26)*ISNUMBER(INDEX(Inputs!$K$5:$AJ$230,0,MATCH(E$2,Inputs!$K$4:$AJ$4,0))))+SUMPRODUCT((Inputs!$C$5:$C$230=$B26)*ISNUMBER(INDEX(Inputs!$K$5:$AJ$230,0,MATCH(E$2,Inputs!$K$4:$AJ$4,0))))+SUMPRODUCT((Inputs!$E$5:$E$230=$B26)*ISNUMBER(INDEX(Inputs!$K$5:$AJ$230,0,MATCH(E$2,Inputs!$K$4:$AJ$4,0))))=0,NA(),SUMPRODUCT((Inputs!$A$5:$A$230=$B26)*Inputs!$B$5:$B$230*(((Inputs!$G$5:$G$230="moeda")+(Inputs!$G$5:$G$230="acoes"))*Inputs!$B$1+((Inputs!$G$5:$G$230&lt;&gt;"moeda")*(Inputs!$G$5:$G$230&lt;&gt;"acoes")))*INDEX(Inputs!$K$5:$AJ$230,0,MATCH(E$2,Inputs!$K$4:$AJ$4,0)))+SUMPRODUCT((Inputs!$C$5:$C$230=$B26)*Inputs!$D$5:$D$230*(((Inputs!$G$5:$G$230="moeda")+(Inputs!$G$5:$G$230="acoes"))*Inputs!$B$1+((Inputs!$G$5:$G$230&lt;&gt;"moeda")*(Inputs!$G$5:$G$230&lt;&gt;"acoes")))*INDEX(Inputs!$K$5:$AJ$230,0,MATCH(E$2,Inputs!$K$4:$AJ$4,0)))+SUMPRODUCT((Inputs!$E$5:$E$230=$B26)*Inputs!$F$5:$F$230*(((Inputs!$G$5:$G$230="moeda")+(Inputs!$G$5:$G$230="acoes"))*Inputs!$B$1+((Inputs!$G$5:$G$230&lt;&gt;"moeda")*(Inputs!$G$5:$G$230&lt;&gt;"acoes")))*INDEX(Inputs!$K$5:$AJ$230,0,MATCH(E$2,Inputs!$K$4:$AJ$4,0)))))</f>
        <v>15219.481</v>
      </c>
      <c r="F26" s="6">
        <f>IF(ISNA(MATCH(F$2,Inputs!$K$4:$AJ$4,0)),NA(),IF(SUMPRODUCT((Inputs!$A$5:$A$230=$B26)*ISNUMBER(INDEX(Inputs!$K$5:$AJ$230,0,MATCH(F$2,Inputs!$K$4:$AJ$4,0))))+SUMPRODUCT((Inputs!$C$5:$C$230=$B26)*ISNUMBER(INDEX(Inputs!$K$5:$AJ$230,0,MATCH(F$2,Inputs!$K$4:$AJ$4,0))))+SUMPRODUCT((Inputs!$E$5:$E$230=$B26)*ISNUMBER(INDEX(Inputs!$K$5:$AJ$230,0,MATCH(F$2,Inputs!$K$4:$AJ$4,0))))=0,NA(),SUMPRODUCT((Inputs!$A$5:$A$230=$B26)*Inputs!$B$5:$B$230*(((Inputs!$G$5:$G$230="moeda")+(Inputs!$G$5:$G$230="acoes"))*Inputs!$B$1+((Inputs!$G$5:$G$230&lt;&gt;"moeda")*(Inputs!$G$5:$G$230&lt;&gt;"acoes")))*INDEX(Inputs!$K$5:$AJ$230,0,MATCH(F$2,Inputs!$K$4:$AJ$4,0)))+SUMPRODUCT((Inputs!$C$5:$C$230=$B26)*Inputs!$D$5:$D$230*(((Inputs!$G$5:$G$230="moeda")+(Inputs!$G$5:$G$230="acoes"))*Inputs!$B$1+((Inputs!$G$5:$G$230&lt;&gt;"moeda")*(Inputs!$G$5:$G$230&lt;&gt;"acoes")))*INDEX(Inputs!$K$5:$AJ$230,0,MATCH(F$2,Inputs!$K$4:$AJ$4,0)))+SUMPRODUCT((Inputs!$E$5:$E$230=$B26)*Inputs!$F$5:$F$230*(((Inputs!$G$5:$G$230="moeda")+(Inputs!$G$5:$G$230="acoes"))*Inputs!$B$1+((Inputs!$G$5:$G$230&lt;&gt;"moeda")*(Inputs!$G$5:$G$230&lt;&gt;"acoes")))*INDEX(Inputs!$K$5:$AJ$230,0,MATCH(F$2,Inputs!$K$4:$AJ$4,0)))))</f>
        <v>15747.961</v>
      </c>
      <c r="G26" s="6">
        <f>IF(ISNA(MATCH(G$2,Inputs!$K$4:$AJ$4,0)),NA(),IF(SUMPRODUCT((Inputs!$A$5:$A$230=$B26)*ISNUMBER(INDEX(Inputs!$K$5:$AJ$230,0,MATCH(G$2,Inputs!$K$4:$AJ$4,0))))+SUMPRODUCT((Inputs!$C$5:$C$230=$B26)*ISNUMBER(INDEX(Inputs!$K$5:$AJ$230,0,MATCH(G$2,Inputs!$K$4:$AJ$4,0))))+SUMPRODUCT((Inputs!$E$5:$E$230=$B26)*ISNUMBER(INDEX(Inputs!$K$5:$AJ$230,0,MATCH(G$2,Inputs!$K$4:$AJ$4,0))))=0,NA(),SUMPRODUCT((Inputs!$A$5:$A$230=$B26)*Inputs!$B$5:$B$230*(((Inputs!$G$5:$G$230="moeda")+(Inputs!$G$5:$G$230="acoes"))*Inputs!$B$1+((Inputs!$G$5:$G$230&lt;&gt;"moeda")*(Inputs!$G$5:$G$230&lt;&gt;"acoes")))*INDEX(Inputs!$K$5:$AJ$230,0,MATCH(G$2,Inputs!$K$4:$AJ$4,0)))+SUMPRODUCT((Inputs!$C$5:$C$230=$B26)*Inputs!$D$5:$D$230*(((Inputs!$G$5:$G$230="moeda")+(Inputs!$G$5:$G$230="acoes"))*Inputs!$B$1+((Inputs!$G$5:$G$230&lt;&gt;"moeda")*(Inputs!$G$5:$G$230&lt;&gt;"acoes")))*INDEX(Inputs!$K$5:$AJ$230,0,MATCH(G$2,Inputs!$K$4:$AJ$4,0)))+SUMPRODUCT((Inputs!$E$5:$E$230=$B26)*Inputs!$F$5:$F$230*(((Inputs!$G$5:$G$230="moeda")+(Inputs!$G$5:$G$230="acoes"))*Inputs!$B$1+((Inputs!$G$5:$G$230&lt;&gt;"moeda")*(Inputs!$G$5:$G$230&lt;&gt;"acoes")))*INDEX(Inputs!$K$5:$AJ$230,0,MATCH(G$2,Inputs!$K$4:$AJ$4,0)))))</f>
        <v>16182.846</v>
      </c>
      <c r="H26" s="3">
        <f>G26</f>
        <v>16182.846</v>
      </c>
      <c r="I26" s="6">
        <f>IF(ISNA(MATCH(I$2,Inputs!$K$4:$AJ$4,0)),NA(),IF(SUMPRODUCT((Inputs!$A$5:$A$230=$B26)*ISNUMBER(INDEX(Inputs!$K$5:$AJ$230,0,MATCH(I$2,Inputs!$K$4:$AJ$4,0))))+SUMPRODUCT((Inputs!$C$5:$C$230=$B26)*ISNUMBER(INDEX(Inputs!$K$5:$AJ$230,0,MATCH(I$2,Inputs!$K$4:$AJ$4,0))))+SUMPRODUCT((Inputs!$E$5:$E$230=$B26)*ISNUMBER(INDEX(Inputs!$K$5:$AJ$230,0,MATCH(I$2,Inputs!$K$4:$AJ$4,0))))=0,NA(),SUMPRODUCT((Inputs!$A$5:$A$230=$B26)*Inputs!$B$5:$B$230*(((Inputs!$G$5:$G$230="moeda")+(Inputs!$G$5:$G$230="acoes"))*Inputs!$B$1+((Inputs!$G$5:$G$230&lt;&gt;"moeda")*(Inputs!$G$5:$G$230&lt;&gt;"acoes")))*INDEX(Inputs!$K$5:$AJ$230,0,MATCH(I$2,Inputs!$K$4:$AJ$4,0)))+SUMPRODUCT((Inputs!$C$5:$C$230=$B26)*Inputs!$D$5:$D$230*(((Inputs!$G$5:$G$230="moeda")+(Inputs!$G$5:$G$230="acoes"))*Inputs!$B$1+((Inputs!$G$5:$G$230&lt;&gt;"moeda")*(Inputs!$G$5:$G$230&lt;&gt;"acoes")))*INDEX(Inputs!$K$5:$AJ$230,0,MATCH(I$2,Inputs!$K$4:$AJ$4,0)))+SUMPRODUCT((Inputs!$E$5:$E$230=$B26)*Inputs!$F$5:$F$230*(((Inputs!$G$5:$G$230="moeda")+(Inputs!$G$5:$G$230="acoes"))*Inputs!$B$1+((Inputs!$G$5:$G$230&lt;&gt;"moeda")*(Inputs!$G$5:$G$230&lt;&gt;"acoes")))*INDEX(Inputs!$K$5:$AJ$230,0,MATCH(I$2,Inputs!$K$4:$AJ$4,0)))))</f>
        <v>16599.594</v>
      </c>
      <c r="J26" s="6">
        <f>IF(ISNA(MATCH(J$2,Inputs!$K$4:$AJ$4,0)),NA(),IF(SUMPRODUCT((Inputs!$A$5:$A$230=$B26)*ISNUMBER(INDEX(Inputs!$K$5:$AJ$230,0,MATCH(J$2,Inputs!$K$4:$AJ$4,0))))+SUMPRODUCT((Inputs!$C$5:$C$230=$B26)*ISNUMBER(INDEX(Inputs!$K$5:$AJ$230,0,MATCH(J$2,Inputs!$K$4:$AJ$4,0))))+SUMPRODUCT((Inputs!$E$5:$E$230=$B26)*ISNUMBER(INDEX(Inputs!$K$5:$AJ$230,0,MATCH(J$2,Inputs!$K$4:$AJ$4,0))))=0,NA(),SUMPRODUCT((Inputs!$A$5:$A$230=$B26)*Inputs!$B$5:$B$230*(((Inputs!$G$5:$G$230="moeda")+(Inputs!$G$5:$G$230="acoes"))*Inputs!$B$1+((Inputs!$G$5:$G$230&lt;&gt;"moeda")*(Inputs!$G$5:$G$230&lt;&gt;"acoes")))*INDEX(Inputs!$K$5:$AJ$230,0,MATCH(J$2,Inputs!$K$4:$AJ$4,0)))+SUMPRODUCT((Inputs!$C$5:$C$230=$B26)*Inputs!$D$5:$D$230*(((Inputs!$G$5:$G$230="moeda")+(Inputs!$G$5:$G$230="acoes"))*Inputs!$B$1+((Inputs!$G$5:$G$230&lt;&gt;"moeda")*(Inputs!$G$5:$G$230&lt;&gt;"acoes")))*INDEX(Inputs!$K$5:$AJ$230,0,MATCH(J$2,Inputs!$K$4:$AJ$4,0)))+SUMPRODUCT((Inputs!$E$5:$E$230=$B26)*Inputs!$F$5:$F$230*(((Inputs!$G$5:$G$230="moeda")+(Inputs!$G$5:$G$230="acoes"))*Inputs!$B$1+((Inputs!$G$5:$G$230&lt;&gt;"moeda")*(Inputs!$G$5:$G$230&lt;&gt;"acoes")))*INDEX(Inputs!$K$5:$AJ$230,0,MATCH(J$2,Inputs!$K$4:$AJ$4,0)))))</f>
        <v>16882.567</v>
      </c>
      <c r="K26" s="6">
        <f>IF(ISNA(MATCH(K$2,Inputs!$K$4:$AJ$4,0)),NA(),IF(SUMPRODUCT((Inputs!$A$5:$A$230=$B26)*ISNUMBER(INDEX(Inputs!$K$5:$AJ$230,0,MATCH(K$2,Inputs!$K$4:$AJ$4,0))))+SUMPRODUCT((Inputs!$C$5:$C$230=$B26)*ISNUMBER(INDEX(Inputs!$K$5:$AJ$230,0,MATCH(K$2,Inputs!$K$4:$AJ$4,0))))+SUMPRODUCT((Inputs!$E$5:$E$230=$B26)*ISNUMBER(INDEX(Inputs!$K$5:$AJ$230,0,MATCH(K$2,Inputs!$K$4:$AJ$4,0))))=0,NA(),SUMPRODUCT((Inputs!$A$5:$A$230=$B26)*Inputs!$B$5:$B$230*(((Inputs!$G$5:$G$230="moeda")+(Inputs!$G$5:$G$230="acoes"))*Inputs!$B$1+((Inputs!$G$5:$G$230&lt;&gt;"moeda")*(Inputs!$G$5:$G$230&lt;&gt;"acoes")))*INDEX(Inputs!$K$5:$AJ$230,0,MATCH(K$2,Inputs!$K$4:$AJ$4,0)))+SUMPRODUCT((Inputs!$C$5:$C$230=$B26)*Inputs!$D$5:$D$230*(((Inputs!$G$5:$G$230="moeda")+(Inputs!$G$5:$G$230="acoes"))*Inputs!$B$1+((Inputs!$G$5:$G$230&lt;&gt;"moeda")*(Inputs!$G$5:$G$230&lt;&gt;"acoes")))*INDEX(Inputs!$K$5:$AJ$230,0,MATCH(K$2,Inputs!$K$4:$AJ$4,0)))+SUMPRODUCT((Inputs!$E$5:$E$230=$B26)*Inputs!$F$5:$F$230*(((Inputs!$G$5:$G$230="moeda")+(Inputs!$G$5:$G$230="acoes"))*Inputs!$B$1+((Inputs!$G$5:$G$230&lt;&gt;"moeda")*(Inputs!$G$5:$G$230&lt;&gt;"acoes")))*INDEX(Inputs!$K$5:$AJ$230,0,MATCH(K$2,Inputs!$K$4:$AJ$4,0)))))</f>
        <v>16769.339</v>
      </c>
      <c r="L26" s="6">
        <f>IF(ISNA(MATCH(L$2,Inputs!$K$4:$AJ$4,0)),NA(),IF(SUMPRODUCT((Inputs!$A$5:$A$230=$B26)*ISNUMBER(INDEX(Inputs!$K$5:$AJ$230,0,MATCH(L$2,Inputs!$K$4:$AJ$4,0))))+SUMPRODUCT((Inputs!$C$5:$C$230=$B26)*ISNUMBER(INDEX(Inputs!$K$5:$AJ$230,0,MATCH(L$2,Inputs!$K$4:$AJ$4,0))))+SUMPRODUCT((Inputs!$E$5:$E$230=$B26)*ISNUMBER(INDEX(Inputs!$K$5:$AJ$230,0,MATCH(L$2,Inputs!$K$4:$AJ$4,0))))=0,NA(),SUMPRODUCT((Inputs!$A$5:$A$230=$B26)*Inputs!$B$5:$B$230*(((Inputs!$G$5:$G$230="moeda")+(Inputs!$G$5:$G$230="acoes"))*Inputs!$B$1+((Inputs!$G$5:$G$230&lt;&gt;"moeda")*(Inputs!$G$5:$G$230&lt;&gt;"acoes")))*INDEX(Inputs!$K$5:$AJ$230,0,MATCH(L$2,Inputs!$K$4:$AJ$4,0)))+SUMPRODUCT((Inputs!$C$5:$C$230=$B26)*Inputs!$D$5:$D$230*(((Inputs!$G$5:$G$230="moeda")+(Inputs!$G$5:$G$230="acoes"))*Inputs!$B$1+((Inputs!$G$5:$G$230&lt;&gt;"moeda")*(Inputs!$G$5:$G$230&lt;&gt;"acoes")))*INDEX(Inputs!$K$5:$AJ$230,0,MATCH(L$2,Inputs!$K$4:$AJ$4,0)))+SUMPRODUCT((Inputs!$E$5:$E$230=$B26)*Inputs!$F$5:$F$230*(((Inputs!$G$5:$G$230="moeda")+(Inputs!$G$5:$G$230="acoes"))*Inputs!$B$1+((Inputs!$G$5:$G$230&lt;&gt;"moeda")*(Inputs!$G$5:$G$230&lt;&gt;"acoes")))*INDEX(Inputs!$K$5:$AJ$230,0,MATCH(L$2,Inputs!$K$4:$AJ$4,0)))))</f>
        <v>16736.871</v>
      </c>
      <c r="M26" s="3">
        <f>L26</f>
        <v>16736.871</v>
      </c>
      <c r="N26" s="6">
        <f>IF(ISNA(MATCH(N$2,Inputs!$K$4:$AJ$4,0)),NA(),IF(SUMPRODUCT((Inputs!$A$5:$A$230=$B26)*ISNUMBER(INDEX(Inputs!$K$5:$AJ$230,0,MATCH(N$2,Inputs!$K$4:$AJ$4,0))))+SUMPRODUCT((Inputs!$C$5:$C$230=$B26)*ISNUMBER(INDEX(Inputs!$K$5:$AJ$230,0,MATCH(N$2,Inputs!$K$4:$AJ$4,0))))+SUMPRODUCT((Inputs!$E$5:$E$230=$B26)*ISNUMBER(INDEX(Inputs!$K$5:$AJ$230,0,MATCH(N$2,Inputs!$K$4:$AJ$4,0))))=0,NA(),SUMPRODUCT((Inputs!$A$5:$A$230=$B26)*Inputs!$B$5:$B$230*(((Inputs!$G$5:$G$230="moeda")+(Inputs!$G$5:$G$230="acoes"))*Inputs!$B$1+((Inputs!$G$5:$G$230&lt;&gt;"moeda")*(Inputs!$G$5:$G$230&lt;&gt;"acoes")))*INDEX(Inputs!$K$5:$AJ$230,0,MATCH(N$2,Inputs!$K$4:$AJ$4,0)))+SUMPRODUCT((Inputs!$C$5:$C$230=$B26)*Inputs!$D$5:$D$230*(((Inputs!$G$5:$G$230="moeda")+(Inputs!$G$5:$G$230="acoes"))*Inputs!$B$1+((Inputs!$G$5:$G$230&lt;&gt;"moeda")*(Inputs!$G$5:$G$230&lt;&gt;"acoes")))*INDEX(Inputs!$K$5:$AJ$230,0,MATCH(N$2,Inputs!$K$4:$AJ$4,0)))+SUMPRODUCT((Inputs!$E$5:$E$230=$B26)*Inputs!$F$5:$F$230*(((Inputs!$G$5:$G$230="moeda")+(Inputs!$G$5:$G$230="acoes"))*Inputs!$B$1+((Inputs!$G$5:$G$230&lt;&gt;"moeda")*(Inputs!$G$5:$G$230&lt;&gt;"acoes")))*INDEX(Inputs!$K$5:$AJ$230,0,MATCH(N$2,Inputs!$K$4:$AJ$4,0)))))</f>
        <v>17126.225</v>
      </c>
      <c r="O26" s="6">
        <f>IF(ISNA(MATCH(O$2,Inputs!$K$4:$AJ$4,0)),NA(),IF(SUMPRODUCT((Inputs!$A$5:$A$230=$B26)*ISNUMBER(INDEX(Inputs!$K$5:$AJ$230,0,MATCH(O$2,Inputs!$K$4:$AJ$4,0))))+SUMPRODUCT((Inputs!$C$5:$C$230=$B26)*ISNUMBER(INDEX(Inputs!$K$5:$AJ$230,0,MATCH(O$2,Inputs!$K$4:$AJ$4,0))))+SUMPRODUCT((Inputs!$E$5:$E$230=$B26)*ISNUMBER(INDEX(Inputs!$K$5:$AJ$230,0,MATCH(O$2,Inputs!$K$4:$AJ$4,0))))=0,NA(),SUMPRODUCT((Inputs!$A$5:$A$230=$B26)*Inputs!$B$5:$B$230*(((Inputs!$G$5:$G$230="moeda")+(Inputs!$G$5:$G$230="acoes"))*Inputs!$B$1+((Inputs!$G$5:$G$230&lt;&gt;"moeda")*(Inputs!$G$5:$G$230&lt;&gt;"acoes")))*INDEX(Inputs!$K$5:$AJ$230,0,MATCH(O$2,Inputs!$K$4:$AJ$4,0)))+SUMPRODUCT((Inputs!$C$5:$C$230=$B26)*Inputs!$D$5:$D$230*(((Inputs!$G$5:$G$230="moeda")+(Inputs!$G$5:$G$230="acoes"))*Inputs!$B$1+((Inputs!$G$5:$G$230&lt;&gt;"moeda")*(Inputs!$G$5:$G$230&lt;&gt;"acoes")))*INDEX(Inputs!$K$5:$AJ$230,0,MATCH(O$2,Inputs!$K$4:$AJ$4,0)))+SUMPRODUCT((Inputs!$E$5:$E$230=$B26)*Inputs!$F$5:$F$230*(((Inputs!$G$5:$G$230="moeda")+(Inputs!$G$5:$G$230="acoes"))*Inputs!$B$1+((Inputs!$G$5:$G$230&lt;&gt;"moeda")*(Inputs!$G$5:$G$230&lt;&gt;"acoes")))*INDEX(Inputs!$K$5:$AJ$230,0,MATCH(O$2,Inputs!$K$4:$AJ$4,0)))))</f>
        <v>16935.847</v>
      </c>
      <c r="P26" s="6">
        <f>IF(ISNA(MATCH(P$2,Inputs!$K$4:$AJ$4,0)),NA(),IF(SUMPRODUCT((Inputs!$A$5:$A$230=$B26)*ISNUMBER(INDEX(Inputs!$K$5:$AJ$230,0,MATCH(P$2,Inputs!$K$4:$AJ$4,0))))+SUMPRODUCT((Inputs!$C$5:$C$230=$B26)*ISNUMBER(INDEX(Inputs!$K$5:$AJ$230,0,MATCH(P$2,Inputs!$K$4:$AJ$4,0))))+SUMPRODUCT((Inputs!$E$5:$E$230=$B26)*ISNUMBER(INDEX(Inputs!$K$5:$AJ$230,0,MATCH(P$2,Inputs!$K$4:$AJ$4,0))))=0,NA(),SUMPRODUCT((Inputs!$A$5:$A$230=$B26)*Inputs!$B$5:$B$230*(((Inputs!$G$5:$G$230="moeda")+(Inputs!$G$5:$G$230="acoes"))*Inputs!$B$1+((Inputs!$G$5:$G$230&lt;&gt;"moeda")*(Inputs!$G$5:$G$230&lt;&gt;"acoes")))*INDEX(Inputs!$K$5:$AJ$230,0,MATCH(P$2,Inputs!$K$4:$AJ$4,0)))+SUMPRODUCT((Inputs!$C$5:$C$230=$B26)*Inputs!$D$5:$D$230*(((Inputs!$G$5:$G$230="moeda")+(Inputs!$G$5:$G$230="acoes"))*Inputs!$B$1+((Inputs!$G$5:$G$230&lt;&gt;"moeda")*(Inputs!$G$5:$G$230&lt;&gt;"acoes")))*INDEX(Inputs!$K$5:$AJ$230,0,MATCH(P$2,Inputs!$K$4:$AJ$4,0)))+SUMPRODUCT((Inputs!$E$5:$E$230=$B26)*Inputs!$F$5:$F$230*(((Inputs!$G$5:$G$230="moeda")+(Inputs!$G$5:$G$230="acoes"))*Inputs!$B$1+((Inputs!$G$5:$G$230&lt;&gt;"moeda")*(Inputs!$G$5:$G$230&lt;&gt;"acoes")))*INDEX(Inputs!$K$5:$AJ$230,0,MATCH(P$2,Inputs!$K$4:$AJ$4,0)))))</f>
        <v>16811.576</v>
      </c>
      <c r="Q26" s="6">
        <f>IF(ISNA(MATCH(Q$2,Inputs!$K$4:$AJ$4,0)),NA(),IF(SUMPRODUCT((Inputs!$A$5:$A$230=$B26)*ISNUMBER(INDEX(Inputs!$K$5:$AJ$230,0,MATCH(Q$2,Inputs!$K$4:$AJ$4,0))))+SUMPRODUCT((Inputs!$C$5:$C$230=$B26)*ISNUMBER(INDEX(Inputs!$K$5:$AJ$230,0,MATCH(Q$2,Inputs!$K$4:$AJ$4,0))))+SUMPRODUCT((Inputs!$E$5:$E$230=$B26)*ISNUMBER(INDEX(Inputs!$K$5:$AJ$230,0,MATCH(Q$2,Inputs!$K$4:$AJ$4,0))))=0,NA(),SUMPRODUCT((Inputs!$A$5:$A$230=$B26)*Inputs!$B$5:$B$230*(((Inputs!$G$5:$G$230="moeda")+(Inputs!$G$5:$G$230="acoes"))*Inputs!$B$1+((Inputs!$G$5:$G$230&lt;&gt;"moeda")*(Inputs!$G$5:$G$230&lt;&gt;"acoes")))*INDEX(Inputs!$K$5:$AJ$230,0,MATCH(Q$2,Inputs!$K$4:$AJ$4,0)))+SUMPRODUCT((Inputs!$C$5:$C$230=$B26)*Inputs!$D$5:$D$230*(((Inputs!$G$5:$G$230="moeda")+(Inputs!$G$5:$G$230="acoes"))*Inputs!$B$1+((Inputs!$G$5:$G$230&lt;&gt;"moeda")*(Inputs!$G$5:$G$230&lt;&gt;"acoes")))*INDEX(Inputs!$K$5:$AJ$230,0,MATCH(Q$2,Inputs!$K$4:$AJ$4,0)))+SUMPRODUCT((Inputs!$E$5:$E$230=$B26)*Inputs!$F$5:$F$230*(((Inputs!$G$5:$G$230="moeda")+(Inputs!$G$5:$G$230="acoes"))*Inputs!$B$1+((Inputs!$G$5:$G$230&lt;&gt;"moeda")*(Inputs!$G$5:$G$230&lt;&gt;"acoes")))*INDEX(Inputs!$K$5:$AJ$230,0,MATCH(Q$2,Inputs!$K$4:$AJ$4,0)))))</f>
        <v>16867.443</v>
      </c>
      <c r="R26" s="3">
        <f>Q26</f>
        <v>16867.443</v>
      </c>
      <c r="S26" s="6">
        <f>IF(ISNA(MATCH(S$2,Inputs!$K$4:$AJ$4,0)),NA(),IF(SUMPRODUCT((Inputs!$A$5:$A$230=$B26)*ISNUMBER(INDEX(Inputs!$K$5:$AJ$230,0,MATCH(S$2,Inputs!$K$4:$AJ$4,0))))+SUMPRODUCT((Inputs!$C$5:$C$230=$B26)*ISNUMBER(INDEX(Inputs!$K$5:$AJ$230,0,MATCH(S$2,Inputs!$K$4:$AJ$4,0))))+SUMPRODUCT((Inputs!$E$5:$E$230=$B26)*ISNUMBER(INDEX(Inputs!$K$5:$AJ$230,0,MATCH(S$2,Inputs!$K$4:$AJ$4,0))))=0,NA(),SUMPRODUCT((Inputs!$A$5:$A$230=$B26)*Inputs!$B$5:$B$230*(((Inputs!$G$5:$G$230="moeda")+(Inputs!$G$5:$G$230="acoes"))*Inputs!$B$1+((Inputs!$G$5:$G$230&lt;&gt;"moeda")*(Inputs!$G$5:$G$230&lt;&gt;"acoes")))*INDEX(Inputs!$K$5:$AJ$230,0,MATCH(S$2,Inputs!$K$4:$AJ$4,0)))+SUMPRODUCT((Inputs!$C$5:$C$230=$B26)*Inputs!$D$5:$D$230*(((Inputs!$G$5:$G$230="moeda")+(Inputs!$G$5:$G$230="acoes"))*Inputs!$B$1+((Inputs!$G$5:$G$230&lt;&gt;"moeda")*(Inputs!$G$5:$G$230&lt;&gt;"acoes")))*INDEX(Inputs!$K$5:$AJ$230,0,MATCH(S$2,Inputs!$K$4:$AJ$4,0)))+SUMPRODUCT((Inputs!$E$5:$E$230=$B26)*Inputs!$F$5:$F$230*(((Inputs!$G$5:$G$230="moeda")+(Inputs!$G$5:$G$230="acoes"))*Inputs!$B$1+((Inputs!$G$5:$G$230&lt;&gt;"moeda")*(Inputs!$G$5:$G$230&lt;&gt;"acoes")))*INDEX(Inputs!$K$5:$AJ$230,0,MATCH(S$2,Inputs!$K$4:$AJ$4,0)))))</f>
        <v>17070.163</v>
      </c>
      <c r="T26" s="6">
        <f>IF(ISNA(MATCH(T$2,Inputs!$K$4:$AJ$4,0)),NA(),IF(SUMPRODUCT((Inputs!$A$5:$A$230=$B26)*ISNUMBER(INDEX(Inputs!$K$5:$AJ$230,0,MATCH(T$2,Inputs!$K$4:$AJ$4,0))))+SUMPRODUCT((Inputs!$C$5:$C$230=$B26)*ISNUMBER(INDEX(Inputs!$K$5:$AJ$230,0,MATCH(T$2,Inputs!$K$4:$AJ$4,0))))+SUMPRODUCT((Inputs!$E$5:$E$230=$B26)*ISNUMBER(INDEX(Inputs!$K$5:$AJ$230,0,MATCH(T$2,Inputs!$K$4:$AJ$4,0))))=0,NA(),SUMPRODUCT((Inputs!$A$5:$A$230=$B26)*Inputs!$B$5:$B$230*(((Inputs!$G$5:$G$230="moeda")+(Inputs!$G$5:$G$230="acoes"))*Inputs!$B$1+((Inputs!$G$5:$G$230&lt;&gt;"moeda")*(Inputs!$G$5:$G$230&lt;&gt;"acoes")))*INDEX(Inputs!$K$5:$AJ$230,0,MATCH(T$2,Inputs!$K$4:$AJ$4,0)))+SUMPRODUCT((Inputs!$C$5:$C$230=$B26)*Inputs!$D$5:$D$230*(((Inputs!$G$5:$G$230="moeda")+(Inputs!$G$5:$G$230="acoes"))*Inputs!$B$1+((Inputs!$G$5:$G$230&lt;&gt;"moeda")*(Inputs!$G$5:$G$230&lt;&gt;"acoes")))*INDEX(Inputs!$K$5:$AJ$230,0,MATCH(T$2,Inputs!$K$4:$AJ$4,0)))+SUMPRODUCT((Inputs!$E$5:$E$230=$B26)*Inputs!$F$5:$F$230*(((Inputs!$G$5:$G$230="moeda")+(Inputs!$G$5:$G$230="acoes"))*Inputs!$B$1+((Inputs!$G$5:$G$230&lt;&gt;"moeda")*(Inputs!$G$5:$G$230&lt;&gt;"acoes")))*INDEX(Inputs!$K$5:$AJ$230,0,MATCH(T$2,Inputs!$K$4:$AJ$4,0)))))</f>
        <v>17257.875</v>
      </c>
      <c r="U26" s="6">
        <f>IF(ISNA(MATCH(U$2,Inputs!$K$4:$AJ$4,0)),NA(),IF(SUMPRODUCT((Inputs!$A$5:$A$230=$B26)*ISNUMBER(INDEX(Inputs!$K$5:$AJ$230,0,MATCH(U$2,Inputs!$K$4:$AJ$4,0))))+SUMPRODUCT((Inputs!$C$5:$C$230=$B26)*ISNUMBER(INDEX(Inputs!$K$5:$AJ$230,0,MATCH(U$2,Inputs!$K$4:$AJ$4,0))))+SUMPRODUCT((Inputs!$E$5:$E$230=$B26)*ISNUMBER(INDEX(Inputs!$K$5:$AJ$230,0,MATCH(U$2,Inputs!$K$4:$AJ$4,0))))=0,NA(),SUMPRODUCT((Inputs!$A$5:$A$230=$B26)*Inputs!$B$5:$B$230*(((Inputs!$G$5:$G$230="moeda")+(Inputs!$G$5:$G$230="acoes"))*Inputs!$B$1+((Inputs!$G$5:$G$230&lt;&gt;"moeda")*(Inputs!$G$5:$G$230&lt;&gt;"acoes")))*INDEX(Inputs!$K$5:$AJ$230,0,MATCH(U$2,Inputs!$K$4:$AJ$4,0)))+SUMPRODUCT((Inputs!$C$5:$C$230=$B26)*Inputs!$D$5:$D$230*(((Inputs!$G$5:$G$230="moeda")+(Inputs!$G$5:$G$230="acoes"))*Inputs!$B$1+((Inputs!$G$5:$G$230&lt;&gt;"moeda")*(Inputs!$G$5:$G$230&lt;&gt;"acoes")))*INDEX(Inputs!$K$5:$AJ$230,0,MATCH(U$2,Inputs!$K$4:$AJ$4,0)))+SUMPRODUCT((Inputs!$E$5:$E$230=$B26)*Inputs!$F$5:$F$230*(((Inputs!$G$5:$G$230="moeda")+(Inputs!$G$5:$G$230="acoes"))*Inputs!$B$1+((Inputs!$G$5:$G$230&lt;&gt;"moeda")*(Inputs!$G$5:$G$230&lt;&gt;"acoes")))*INDEX(Inputs!$K$5:$AJ$230,0,MATCH(U$2,Inputs!$K$4:$AJ$4,0)))))</f>
        <v>17366.792</v>
      </c>
      <c r="V26" s="6">
        <f>IF(ISNA(MATCH(V$2,Inputs!$K$4:$AJ$4,0)),NA(),IF(SUMPRODUCT((Inputs!$A$5:$A$230=$B26)*ISNUMBER(INDEX(Inputs!$K$5:$AJ$230,0,MATCH(V$2,Inputs!$K$4:$AJ$4,0))))+SUMPRODUCT((Inputs!$C$5:$C$230=$B26)*ISNUMBER(INDEX(Inputs!$K$5:$AJ$230,0,MATCH(V$2,Inputs!$K$4:$AJ$4,0))))+SUMPRODUCT((Inputs!$E$5:$E$230=$B26)*ISNUMBER(INDEX(Inputs!$K$5:$AJ$230,0,MATCH(V$2,Inputs!$K$4:$AJ$4,0))))=0,NA(),SUMPRODUCT((Inputs!$A$5:$A$230=$B26)*Inputs!$B$5:$B$230*(((Inputs!$G$5:$G$230="moeda")+(Inputs!$G$5:$G$230="acoes"))*Inputs!$B$1+((Inputs!$G$5:$G$230&lt;&gt;"moeda")*(Inputs!$G$5:$G$230&lt;&gt;"acoes")))*INDEX(Inputs!$K$5:$AJ$230,0,MATCH(V$2,Inputs!$K$4:$AJ$4,0)))+SUMPRODUCT((Inputs!$C$5:$C$230=$B26)*Inputs!$D$5:$D$230*(((Inputs!$G$5:$G$230="moeda")+(Inputs!$G$5:$G$230="acoes"))*Inputs!$B$1+((Inputs!$G$5:$G$230&lt;&gt;"moeda")*(Inputs!$G$5:$G$230&lt;&gt;"acoes")))*INDEX(Inputs!$K$5:$AJ$230,0,MATCH(V$2,Inputs!$K$4:$AJ$4,0)))+SUMPRODUCT((Inputs!$E$5:$E$230=$B26)*Inputs!$F$5:$F$230*(((Inputs!$G$5:$G$230="moeda")+(Inputs!$G$5:$G$230="acoes"))*Inputs!$B$1+((Inputs!$G$5:$G$230&lt;&gt;"moeda")*(Inputs!$G$5:$G$230&lt;&gt;"acoes")))*INDEX(Inputs!$K$5:$AJ$230,0,MATCH(V$2,Inputs!$K$4:$AJ$4,0)))))</f>
        <v>17591.584</v>
      </c>
      <c r="W26" s="3">
        <f>V26</f>
        <v>17591.584</v>
      </c>
      <c r="X26" s="6">
        <f>IF(ISNA(MATCH(X$2,Inputs!$K$4:$AJ$4,0)),NA(),IF(SUMPRODUCT((Inputs!$A$5:$A$230=$B26)*ISNUMBER(INDEX(Inputs!$K$5:$AJ$230,0,MATCH(X$2,Inputs!$K$4:$AJ$4,0))))+SUMPRODUCT((Inputs!$C$5:$C$230=$B26)*ISNUMBER(INDEX(Inputs!$K$5:$AJ$230,0,MATCH(X$2,Inputs!$K$4:$AJ$4,0))))+SUMPRODUCT((Inputs!$E$5:$E$230=$B26)*ISNUMBER(INDEX(Inputs!$K$5:$AJ$230,0,MATCH(X$2,Inputs!$K$4:$AJ$4,0))))=0,NA(),SUMPRODUCT((Inputs!$A$5:$A$230=$B26)*Inputs!$B$5:$B$230*(((Inputs!$G$5:$G$230="moeda")+(Inputs!$G$5:$G$230="acoes"))*Inputs!$B$1+((Inputs!$G$5:$G$230&lt;&gt;"moeda")*(Inputs!$G$5:$G$230&lt;&gt;"acoes")))*INDEX(Inputs!$K$5:$AJ$230,0,MATCH(X$2,Inputs!$K$4:$AJ$4,0)))+SUMPRODUCT((Inputs!$C$5:$C$230=$B26)*Inputs!$D$5:$D$230*(((Inputs!$G$5:$G$230="moeda")+(Inputs!$G$5:$G$230="acoes"))*Inputs!$B$1+((Inputs!$G$5:$G$230&lt;&gt;"moeda")*(Inputs!$G$5:$G$230&lt;&gt;"acoes")))*INDEX(Inputs!$K$5:$AJ$230,0,MATCH(X$2,Inputs!$K$4:$AJ$4,0)))+SUMPRODUCT((Inputs!$E$5:$E$230=$B26)*Inputs!$F$5:$F$230*(((Inputs!$G$5:$G$230="moeda")+(Inputs!$G$5:$G$230="acoes"))*Inputs!$B$1+((Inputs!$G$5:$G$230&lt;&gt;"moeda")*(Inputs!$G$5:$G$230&lt;&gt;"acoes")))*INDEX(Inputs!$K$5:$AJ$230,0,MATCH(X$2,Inputs!$K$4:$AJ$4,0)))))</f>
        <v>17962.67</v>
      </c>
      <c r="Y26" s="6">
        <f>IF(ISNA(MATCH(Y$2,Inputs!$K$4:$AJ$4,0)),NA(),IF(SUMPRODUCT((Inputs!$A$5:$A$230=$B26)*ISNUMBER(INDEX(Inputs!$K$5:$AJ$230,0,MATCH(Y$2,Inputs!$K$4:$AJ$4,0))))+SUMPRODUCT((Inputs!$C$5:$C$230=$B26)*ISNUMBER(INDEX(Inputs!$K$5:$AJ$230,0,MATCH(Y$2,Inputs!$K$4:$AJ$4,0))))+SUMPRODUCT((Inputs!$E$5:$E$230=$B26)*ISNUMBER(INDEX(Inputs!$K$5:$AJ$230,0,MATCH(Y$2,Inputs!$K$4:$AJ$4,0))))=0,NA(),SUMPRODUCT((Inputs!$A$5:$A$230=$B26)*Inputs!$B$5:$B$230*(((Inputs!$G$5:$G$230="moeda")+(Inputs!$G$5:$G$230="acoes"))*Inputs!$B$1+((Inputs!$G$5:$G$230&lt;&gt;"moeda")*(Inputs!$G$5:$G$230&lt;&gt;"acoes")))*INDEX(Inputs!$K$5:$AJ$230,0,MATCH(Y$2,Inputs!$K$4:$AJ$4,0)))+SUMPRODUCT((Inputs!$C$5:$C$230=$B26)*Inputs!$D$5:$D$230*(((Inputs!$G$5:$G$230="moeda")+(Inputs!$G$5:$G$230="acoes"))*Inputs!$B$1+((Inputs!$G$5:$G$230&lt;&gt;"moeda")*(Inputs!$G$5:$G$230&lt;&gt;"acoes")))*INDEX(Inputs!$K$5:$AJ$230,0,MATCH(Y$2,Inputs!$K$4:$AJ$4,0)))+SUMPRODUCT((Inputs!$E$5:$E$230=$B26)*Inputs!$F$5:$F$230*(((Inputs!$G$5:$G$230="moeda")+(Inputs!$G$5:$G$230="acoes"))*Inputs!$B$1+((Inputs!$G$5:$G$230&lt;&gt;"moeda")*(Inputs!$G$5:$G$230&lt;&gt;"acoes")))*INDEX(Inputs!$K$5:$AJ$230,0,MATCH(Y$2,Inputs!$K$4:$AJ$4,0)))))</f>
        <v>18037.717</v>
      </c>
      <c r="Z26" s="6">
        <f>IF(ISNA(MATCH(Z$2,Inputs!$K$4:$AJ$4,0)),NA(),IF(SUMPRODUCT((Inputs!$A$5:$A$230=$B26)*ISNUMBER(INDEX(Inputs!$K$5:$AJ$230,0,MATCH(Z$2,Inputs!$K$4:$AJ$4,0))))+SUMPRODUCT((Inputs!$C$5:$C$230=$B26)*ISNUMBER(INDEX(Inputs!$K$5:$AJ$230,0,MATCH(Z$2,Inputs!$K$4:$AJ$4,0))))+SUMPRODUCT((Inputs!$E$5:$E$230=$B26)*ISNUMBER(INDEX(Inputs!$K$5:$AJ$230,0,MATCH(Z$2,Inputs!$K$4:$AJ$4,0))))=0,NA(),SUMPRODUCT((Inputs!$A$5:$A$230=$B26)*Inputs!$B$5:$B$230*(((Inputs!$G$5:$G$230="moeda")+(Inputs!$G$5:$G$230="acoes"))*Inputs!$B$1+((Inputs!$G$5:$G$230&lt;&gt;"moeda")*(Inputs!$G$5:$G$230&lt;&gt;"acoes")))*INDEX(Inputs!$K$5:$AJ$230,0,MATCH(Z$2,Inputs!$K$4:$AJ$4,0)))+SUMPRODUCT((Inputs!$C$5:$C$230=$B26)*Inputs!$D$5:$D$230*(((Inputs!$G$5:$G$230="moeda")+(Inputs!$G$5:$G$230="acoes"))*Inputs!$B$1+((Inputs!$G$5:$G$230&lt;&gt;"moeda")*(Inputs!$G$5:$G$230&lt;&gt;"acoes")))*INDEX(Inputs!$K$5:$AJ$230,0,MATCH(Z$2,Inputs!$K$4:$AJ$4,0)))+SUMPRODUCT((Inputs!$E$5:$E$230=$B26)*Inputs!$F$5:$F$230*(((Inputs!$G$5:$G$230="moeda")+(Inputs!$G$5:$G$230="acoes"))*Inputs!$B$1+((Inputs!$G$5:$G$230&lt;&gt;"moeda")*(Inputs!$G$5:$G$230&lt;&gt;"acoes")))*INDEX(Inputs!$K$5:$AJ$230,0,MATCH(Z$2,Inputs!$K$4:$AJ$4,0)))))</f>
        <v>18301.008</v>
      </c>
      <c r="AA26" s="6">
        <f>IF(ISNA(MATCH(AA$2,Inputs!$K$4:$AJ$4,0)),NA(),IF(SUMPRODUCT((Inputs!$A$5:$A$230=$B26)*ISNUMBER(INDEX(Inputs!$K$5:$AJ$230,0,MATCH(AA$2,Inputs!$K$4:$AJ$4,0))))+SUMPRODUCT((Inputs!$C$5:$C$230=$B26)*ISNUMBER(INDEX(Inputs!$K$5:$AJ$230,0,MATCH(AA$2,Inputs!$K$4:$AJ$4,0))))+SUMPRODUCT((Inputs!$E$5:$E$230=$B26)*ISNUMBER(INDEX(Inputs!$K$5:$AJ$230,0,MATCH(AA$2,Inputs!$K$4:$AJ$4,0))))=0,NA(),SUMPRODUCT((Inputs!$A$5:$A$230=$B26)*Inputs!$B$5:$B$230*(((Inputs!$G$5:$G$230="moeda")+(Inputs!$G$5:$G$230="acoes"))*Inputs!$B$1+((Inputs!$G$5:$G$230&lt;&gt;"moeda")*(Inputs!$G$5:$G$230&lt;&gt;"acoes")))*INDEX(Inputs!$K$5:$AJ$230,0,MATCH(AA$2,Inputs!$K$4:$AJ$4,0)))+SUMPRODUCT((Inputs!$C$5:$C$230=$B26)*Inputs!$D$5:$D$230*(((Inputs!$G$5:$G$230="moeda")+(Inputs!$G$5:$G$230="acoes"))*Inputs!$B$1+((Inputs!$G$5:$G$230&lt;&gt;"moeda")*(Inputs!$G$5:$G$230&lt;&gt;"acoes")))*INDEX(Inputs!$K$5:$AJ$230,0,MATCH(AA$2,Inputs!$K$4:$AJ$4,0)))+SUMPRODUCT((Inputs!$E$5:$E$230=$B26)*Inputs!$F$5:$F$230*(((Inputs!$G$5:$G$230="moeda")+(Inputs!$G$5:$G$230="acoes"))*Inputs!$B$1+((Inputs!$G$5:$G$230&lt;&gt;"moeda")*(Inputs!$G$5:$G$230&lt;&gt;"acoes")))*INDEX(Inputs!$K$5:$AJ$230,0,MATCH(AA$2,Inputs!$K$4:$AJ$4,0)))))</f>
        <v>18572.04</v>
      </c>
      <c r="AB26" s="3">
        <f>AA26</f>
        <v>18572.04</v>
      </c>
      <c r="AC26" s="6">
        <f>IF(ISNA(MATCH(AC$2,Inputs!$K$4:$AJ$4,0)),NA(),IF(SUMPRODUCT((Inputs!$A$5:$A$230=$B26)*ISNUMBER(INDEX(Inputs!$K$5:$AJ$230,0,MATCH(AC$2,Inputs!$K$4:$AJ$4,0))))+SUMPRODUCT((Inputs!$C$5:$C$230=$B26)*ISNUMBER(INDEX(Inputs!$K$5:$AJ$230,0,MATCH(AC$2,Inputs!$K$4:$AJ$4,0))))+SUMPRODUCT((Inputs!$E$5:$E$230=$B26)*ISNUMBER(INDEX(Inputs!$K$5:$AJ$230,0,MATCH(AC$2,Inputs!$K$4:$AJ$4,0))))=0,NA(),SUMPRODUCT((Inputs!$A$5:$A$230=$B26)*Inputs!$B$5:$B$230*(((Inputs!$G$5:$G$230="moeda")+(Inputs!$G$5:$G$230="acoes"))*Inputs!$B$1+((Inputs!$G$5:$G$230&lt;&gt;"moeda")*(Inputs!$G$5:$G$230&lt;&gt;"acoes")))*INDEX(Inputs!$K$5:$AJ$230,0,MATCH(AC$2,Inputs!$K$4:$AJ$4,0)))+SUMPRODUCT((Inputs!$C$5:$C$230=$B26)*Inputs!$D$5:$D$230*(((Inputs!$G$5:$G$230="moeda")+(Inputs!$G$5:$G$230="acoes"))*Inputs!$B$1+((Inputs!$G$5:$G$230&lt;&gt;"moeda")*(Inputs!$G$5:$G$230&lt;&gt;"acoes")))*INDEX(Inputs!$K$5:$AJ$230,0,MATCH(AC$2,Inputs!$K$4:$AJ$4,0)))+SUMPRODUCT((Inputs!$E$5:$E$230=$B26)*Inputs!$F$5:$F$230*(((Inputs!$G$5:$G$230="moeda")+(Inputs!$G$5:$G$230="acoes"))*Inputs!$B$1+((Inputs!$G$5:$G$230&lt;&gt;"moeda")*(Inputs!$G$5:$G$230&lt;&gt;"acoes")))*INDEX(Inputs!$K$5:$AJ$230,0,MATCH(AC$2,Inputs!$K$4:$AJ$4,0)))))</f>
        <v>18838.683</v>
      </c>
      <c r="AD26" s="6">
        <f>IF(ISNA(MATCH(AD$2,Inputs!$K$4:$AJ$4,0)),NA(),IF(SUMPRODUCT((Inputs!$A$5:$A$230=$B26)*ISNUMBER(INDEX(Inputs!$K$5:$AJ$230,0,MATCH(AD$2,Inputs!$K$4:$AJ$4,0))))+SUMPRODUCT((Inputs!$C$5:$C$230=$B26)*ISNUMBER(INDEX(Inputs!$K$5:$AJ$230,0,MATCH(AD$2,Inputs!$K$4:$AJ$4,0))))+SUMPRODUCT((Inputs!$E$5:$E$230=$B26)*ISNUMBER(INDEX(Inputs!$K$5:$AJ$230,0,MATCH(AD$2,Inputs!$K$4:$AJ$4,0))))=0,NA(),SUMPRODUCT((Inputs!$A$5:$A$230=$B26)*Inputs!$B$5:$B$230*(((Inputs!$G$5:$G$230="moeda")+(Inputs!$G$5:$G$230="acoes"))*Inputs!$B$1+((Inputs!$G$5:$G$230&lt;&gt;"moeda")*(Inputs!$G$5:$G$230&lt;&gt;"acoes")))*INDEX(Inputs!$K$5:$AJ$230,0,MATCH(AD$2,Inputs!$K$4:$AJ$4,0)))+SUMPRODUCT((Inputs!$C$5:$C$230=$B26)*Inputs!$D$5:$D$230*(((Inputs!$G$5:$G$230="moeda")+(Inputs!$G$5:$G$230="acoes"))*Inputs!$B$1+((Inputs!$G$5:$G$230&lt;&gt;"moeda")*(Inputs!$G$5:$G$230&lt;&gt;"acoes")))*INDEX(Inputs!$K$5:$AJ$230,0,MATCH(AD$2,Inputs!$K$4:$AJ$4,0)))+SUMPRODUCT((Inputs!$E$5:$E$230=$B26)*Inputs!$F$5:$F$230*(((Inputs!$G$5:$G$230="moeda")+(Inputs!$G$5:$G$230="acoes"))*Inputs!$B$1+((Inputs!$G$5:$G$230&lt;&gt;"moeda")*(Inputs!$G$5:$G$230&lt;&gt;"acoes")))*INDEX(Inputs!$K$5:$AJ$230,0,MATCH(AD$2,Inputs!$K$4:$AJ$4,0)))))</f>
        <v>19206.814</v>
      </c>
      <c r="AE26" s="6" t="e">
        <f>IF(ISNA(MATCH(AE$2,Inputs!$K$4:$AJ$4,0)),NA(),IF(SUMPRODUCT((Inputs!$A$5:$A$230=$B26)*ISNUMBER(INDEX(Inputs!$K$5:$AJ$230,0,MATCH(AE$2,Inputs!$K$4:$AJ$4,0))))+SUMPRODUCT((Inputs!$C$5:$C$230=$B26)*ISNUMBER(INDEX(Inputs!$K$5:$AJ$230,0,MATCH(AE$2,Inputs!$K$4:$AJ$4,0))))+SUMPRODUCT((Inputs!$E$5:$E$230=$B26)*ISNUMBER(INDEX(Inputs!$K$5:$AJ$230,0,MATCH(AE$2,Inputs!$K$4:$AJ$4,0))))=0,NA(),SUMPRODUCT((Inputs!$A$5:$A$230=$B26)*Inputs!$B$5:$B$230*(((Inputs!$G$5:$G$230="moeda")+(Inputs!$G$5:$G$230="acoes"))*Inputs!$B$1+((Inputs!$G$5:$G$230&lt;&gt;"moeda")*(Inputs!$G$5:$G$230&lt;&gt;"acoes")))*INDEX(Inputs!$K$5:$AJ$230,0,MATCH(AE$2,Inputs!$K$4:$AJ$4,0)))+SUMPRODUCT((Inputs!$C$5:$C$230=$B26)*Inputs!$D$5:$D$230*(((Inputs!$G$5:$G$230="moeda")+(Inputs!$G$5:$G$230="acoes"))*Inputs!$B$1+((Inputs!$G$5:$G$230&lt;&gt;"moeda")*(Inputs!$G$5:$G$230&lt;&gt;"acoes")))*INDEX(Inputs!$K$5:$AJ$230,0,MATCH(AE$2,Inputs!$K$4:$AJ$4,0)))+SUMPRODUCT((Inputs!$E$5:$E$230=$B26)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26" s="6" t="e">
        <f>IF(ISNA(MATCH(AF$2,Inputs!$K$4:$AJ$4,0)),NA(),IF(SUMPRODUCT((Inputs!$A$5:$A$230=$B26)*ISNUMBER(INDEX(Inputs!$K$5:$AJ$230,0,MATCH(AF$2,Inputs!$K$4:$AJ$4,0))))+SUMPRODUCT((Inputs!$C$5:$C$230=$B26)*ISNUMBER(INDEX(Inputs!$K$5:$AJ$230,0,MATCH(AF$2,Inputs!$K$4:$AJ$4,0))))+SUMPRODUCT((Inputs!$E$5:$E$230=$B26)*ISNUMBER(INDEX(Inputs!$K$5:$AJ$230,0,MATCH(AF$2,Inputs!$K$4:$AJ$4,0))))=0,NA(),SUMPRODUCT((Inputs!$A$5:$A$230=$B26)*Inputs!$B$5:$B$230*(((Inputs!$G$5:$G$230="moeda")+(Inputs!$G$5:$G$230="acoes"))*Inputs!$B$1+((Inputs!$G$5:$G$230&lt;&gt;"moeda")*(Inputs!$G$5:$G$230&lt;&gt;"acoes")))*INDEX(Inputs!$K$5:$AJ$230,0,MATCH(AF$2,Inputs!$K$4:$AJ$4,0)))+SUMPRODUCT((Inputs!$C$5:$C$230=$B26)*Inputs!$D$5:$D$230*(((Inputs!$G$5:$G$230="moeda")+(Inputs!$G$5:$G$230="acoes"))*Inputs!$B$1+((Inputs!$G$5:$G$230&lt;&gt;"moeda")*(Inputs!$G$5:$G$230&lt;&gt;"acoes")))*INDEX(Inputs!$K$5:$AJ$230,0,MATCH(AF$2,Inputs!$K$4:$AJ$4,0)))+SUMPRODUCT((Inputs!$E$5:$E$230=$B26)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26" s="3" t="e">
        <f>AF26</f>
        <v>#N/A</v>
      </c>
      <c r="AH26" s="6">
        <f>IF(ISNA(MATCH(AH$2,Inputs!$K$4:$AJ$4,0)),NA(),IF(SUMPRODUCT((Inputs!$A$5:$A$230=$B26)*ISNUMBER(INDEX(Inputs!$K$5:$AJ$230,0,MATCH(AH$2,Inputs!$K$4:$AJ$4,0))))+SUMPRODUCT((Inputs!$C$5:$C$230=$B26)*ISNUMBER(INDEX(Inputs!$K$5:$AJ$230,0,MATCH(AH$2,Inputs!$K$4:$AJ$4,0))))+SUMPRODUCT((Inputs!$E$5:$E$230=$B26)*ISNUMBER(INDEX(Inputs!$K$5:$AJ$230,0,MATCH(AH$2,Inputs!$K$4:$AJ$4,0))))=0,NA(),SUMPRODUCT((Inputs!$A$5:$A$230=$B26)*Inputs!$B$5:$B$230*(((Inputs!$G$5:$G$230="moeda")+(Inputs!$G$5:$G$230="acoes"))*Inputs!$B$1+((Inputs!$G$5:$G$230&lt;&gt;"moeda")*(Inputs!$G$5:$G$230&lt;&gt;"acoes")))*INDEX(Inputs!$K$5:$AJ$230,0,MATCH(AH$2,Inputs!$K$4:$AJ$4,0)))+SUMPRODUCT((Inputs!$C$5:$C$230=$B26)*Inputs!$D$5:$D$230*(((Inputs!$G$5:$G$230="moeda")+(Inputs!$G$5:$G$230="acoes"))*Inputs!$B$1+((Inputs!$G$5:$G$230&lt;&gt;"moeda")*(Inputs!$G$5:$G$230&lt;&gt;"acoes")))*INDEX(Inputs!$K$5:$AJ$230,0,MATCH(AH$2,Inputs!$K$4:$AJ$4,0)))+SUMPRODUCT((Inputs!$E$5:$E$230=$B26)*Inputs!$F$5:$F$230*(((Inputs!$G$5:$G$230="moeda")+(Inputs!$G$5:$G$230="acoes"))*Inputs!$B$1+((Inputs!$G$5:$G$230&lt;&gt;"moeda")*(Inputs!$G$5:$G$230&lt;&gt;"acoes")))*INDEX(Inputs!$K$5:$AJ$230,0,MATCH(AH$2,Inputs!$K$4:$AJ$4,0)))))</f>
        <v>9957.227</v>
      </c>
      <c r="AI26" s="6">
        <f>IF(ISNA(MATCH(AI$2,Inputs!$K$4:$AJ$4,0)),NA(),IF(SUMPRODUCT((Inputs!$A$5:$A$230=$B26)*ISNUMBER(INDEX(Inputs!$K$5:$AJ$230,0,MATCH(AI$2,Inputs!$K$4:$AJ$4,0))))+SUMPRODUCT((Inputs!$C$5:$C$230=$B26)*ISNUMBER(INDEX(Inputs!$K$5:$AJ$230,0,MATCH(AI$2,Inputs!$K$4:$AJ$4,0))))+SUMPRODUCT((Inputs!$E$5:$E$230=$B26)*ISNUMBER(INDEX(Inputs!$K$5:$AJ$230,0,MATCH(AI$2,Inputs!$K$4:$AJ$4,0))))=0,NA(),SUMPRODUCT((Inputs!$A$5:$A$230=$B26)*Inputs!$B$5:$B$230*(((Inputs!$G$5:$G$230="moeda")+(Inputs!$G$5:$G$230="acoes"))*Inputs!$B$1+((Inputs!$G$5:$G$230&lt;&gt;"moeda")*(Inputs!$G$5:$G$230&lt;&gt;"acoes")))*INDEX(Inputs!$K$5:$AJ$230,0,MATCH(AI$2,Inputs!$K$4:$AJ$4,0)))+SUMPRODUCT((Inputs!$C$5:$C$230=$B26)*Inputs!$D$5:$D$230*(((Inputs!$G$5:$G$230="moeda")+(Inputs!$G$5:$G$230="acoes"))*Inputs!$B$1+((Inputs!$G$5:$G$230&lt;&gt;"moeda")*(Inputs!$G$5:$G$230&lt;&gt;"acoes")))*INDEX(Inputs!$K$5:$AJ$230,0,MATCH(AI$2,Inputs!$K$4:$AJ$4,0)))+SUMPRODUCT((Inputs!$E$5:$E$230=$B26)*Inputs!$F$5:$F$230*(((Inputs!$G$5:$G$230="moeda")+(Inputs!$G$5:$G$230="acoes"))*Inputs!$B$1+((Inputs!$G$5:$G$230&lt;&gt;"moeda")*(Inputs!$G$5:$G$230&lt;&gt;"acoes")))*INDEX(Inputs!$K$5:$AJ$230,0,MATCH(AI$2,Inputs!$K$4:$AJ$4,0)))))</f>
        <v>10693.465</v>
      </c>
      <c r="AJ26" s="6">
        <f>IF(ISNA(MATCH(AJ$2,Inputs!$K$4:$AJ$4,0)),NA(),IF(SUMPRODUCT((Inputs!$A$5:$A$230=$B26)*ISNUMBER(INDEX(Inputs!$K$5:$AJ$230,0,MATCH(AJ$2,Inputs!$K$4:$AJ$4,0))))+SUMPRODUCT((Inputs!$C$5:$C$230=$B26)*ISNUMBER(INDEX(Inputs!$K$5:$AJ$230,0,MATCH(AJ$2,Inputs!$K$4:$AJ$4,0))))+SUMPRODUCT((Inputs!$E$5:$E$230=$B26)*ISNUMBER(INDEX(Inputs!$K$5:$AJ$230,0,MATCH(AJ$2,Inputs!$K$4:$AJ$4,0))))=0,NA(),SUMPRODUCT((Inputs!$A$5:$A$230=$B26)*Inputs!$B$5:$B$230*(((Inputs!$G$5:$G$230="moeda")+(Inputs!$G$5:$G$230="acoes"))*Inputs!$B$1+((Inputs!$G$5:$G$230&lt;&gt;"moeda")*(Inputs!$G$5:$G$230&lt;&gt;"acoes")))*INDEX(Inputs!$K$5:$AJ$230,0,MATCH(AJ$2,Inputs!$K$4:$AJ$4,0)))+SUMPRODUCT((Inputs!$C$5:$C$230=$B26)*Inputs!$D$5:$D$230*(((Inputs!$G$5:$G$230="moeda")+(Inputs!$G$5:$G$230="acoes"))*Inputs!$B$1+((Inputs!$G$5:$G$230&lt;&gt;"moeda")*(Inputs!$G$5:$G$230&lt;&gt;"acoes")))*INDEX(Inputs!$K$5:$AJ$230,0,MATCH(AJ$2,Inputs!$K$4:$AJ$4,0)))+SUMPRODUCT((Inputs!$E$5:$E$230=$B26)*Inputs!$F$5:$F$230*(((Inputs!$G$5:$G$230="moeda")+(Inputs!$G$5:$G$230="acoes"))*Inputs!$B$1+((Inputs!$G$5:$G$230&lt;&gt;"moeda")*(Inputs!$G$5:$G$230&lt;&gt;"acoes")))*INDEX(Inputs!$K$5:$AJ$230,0,MATCH(AJ$2,Inputs!$K$4:$AJ$4,0)))))</f>
        <v>11712.093</v>
      </c>
      <c r="AK26" s="6">
        <f>IF(ISNA(MATCH(AK$2,Inputs!$K$4:$AJ$4,0)),NA(),IF(SUMPRODUCT((Inputs!$A$5:$A$230=$B26)*ISNUMBER(INDEX(Inputs!$K$5:$AJ$230,0,MATCH(AK$2,Inputs!$K$4:$AJ$4,0))))+SUMPRODUCT((Inputs!$C$5:$C$230=$B26)*ISNUMBER(INDEX(Inputs!$K$5:$AJ$230,0,MATCH(AK$2,Inputs!$K$4:$AJ$4,0))))+SUMPRODUCT((Inputs!$E$5:$E$230=$B26)*ISNUMBER(INDEX(Inputs!$K$5:$AJ$230,0,MATCH(AK$2,Inputs!$K$4:$AJ$4,0))))=0,NA(),SUMPRODUCT((Inputs!$A$5:$A$230=$B26)*Inputs!$B$5:$B$230*(((Inputs!$G$5:$G$230="moeda")+(Inputs!$G$5:$G$230="acoes"))*Inputs!$B$1+((Inputs!$G$5:$G$230&lt;&gt;"moeda")*(Inputs!$G$5:$G$230&lt;&gt;"acoes")))*INDEX(Inputs!$K$5:$AJ$230,0,MATCH(AK$2,Inputs!$K$4:$AJ$4,0)))+SUMPRODUCT((Inputs!$C$5:$C$230=$B26)*Inputs!$D$5:$D$230*(((Inputs!$G$5:$G$230="moeda")+(Inputs!$G$5:$G$230="acoes"))*Inputs!$B$1+((Inputs!$G$5:$G$230&lt;&gt;"moeda")*(Inputs!$G$5:$G$230&lt;&gt;"acoes")))*INDEX(Inputs!$K$5:$AJ$230,0,MATCH(AK$2,Inputs!$K$4:$AJ$4,0)))+SUMPRODUCT((Inputs!$E$5:$E$230=$B26)*Inputs!$F$5:$F$230*(((Inputs!$G$5:$G$230="moeda")+(Inputs!$G$5:$G$230="acoes"))*Inputs!$B$1+((Inputs!$G$5:$G$230&lt;&gt;"moeda")*(Inputs!$G$5:$G$230&lt;&gt;"acoes")))*INDEX(Inputs!$K$5:$AJ$230,0,MATCH(AK$2,Inputs!$K$4:$AJ$4,0)))))</f>
        <v>13479.808</v>
      </c>
      <c r="AL26" s="3">
        <f>AK26</f>
        <v>13479.808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$230=$B28)*ISNUMBER(INDEX(Inputs!$K$5:$AJ$230,0,MATCH(D$2,Inputs!$K$4:$AJ$4,0))))+SUMPRODUCT((Inputs!$C$5:$C$230=$B28)*ISNUMBER(INDEX(Inputs!$K$5:$AJ$230,0,MATCH(D$2,Inputs!$K$4:$AJ$4,0))))+SUMPRODUCT((Inputs!$E$5:$E$230=$B28)*ISNUMBER(INDEX(Inputs!$K$5:$AJ$230,0,MATCH(D$2,Inputs!$K$4:$AJ$4,0))))=0,NA(),SUMPRODUCT((Inputs!$A$5:$A$230=$B28)*Inputs!$B$5:$B$230*(((Inputs!$G$5:$G$230="moeda")+(Inputs!$G$5:$G$230="acoes"))*Inputs!$B$1+((Inputs!$G$5:$G$230&lt;&gt;"moeda")*(Inputs!$G$5:$G$230&lt;&gt;"acoes")))*INDEX(Inputs!$K$5:$AJ$230,0,MATCH(D$2,Inputs!$K$4:$AJ$4,0)))+SUMPRODUCT((Inputs!$C$5:$C$230=$B28)*Inputs!$D$5:$D$230*(((Inputs!$G$5:$G$230="moeda")+(Inputs!$G$5:$G$230="acoes"))*Inputs!$B$1+((Inputs!$G$5:$G$230&lt;&gt;"moeda")*(Inputs!$G$5:$G$230&lt;&gt;"acoes")))*INDEX(Inputs!$K$5:$AJ$230,0,MATCH(D$2,Inputs!$K$4:$AJ$4,0)))+SUMPRODUCT((Inputs!$E$5:$E$230=$B28)*Inputs!$F$5:$F$230*(((Inputs!$G$5:$G$230="moeda")+(Inputs!$G$5:$G$230="acoes"))*Inputs!$B$1+((Inputs!$G$5:$G$230&lt;&gt;"moeda")*(Inputs!$G$5:$G$230&lt;&gt;"acoes")))*INDEX(Inputs!$K$5:$AJ$230,0,MATCH(D$2,Inputs!$K$4:$AJ$4,0)))))</f>
        <v>196.576</v>
      </c>
      <c r="E28" s="6">
        <f>IF(ISNA(MATCH(E$2,Inputs!$K$4:$AJ$4,0)),NA(),IF(SUMPRODUCT((Inputs!$A$5:$A$230=$B28)*ISNUMBER(INDEX(Inputs!$K$5:$AJ$230,0,MATCH(E$2,Inputs!$K$4:$AJ$4,0))))+SUMPRODUCT((Inputs!$C$5:$C$230=$B28)*ISNUMBER(INDEX(Inputs!$K$5:$AJ$230,0,MATCH(E$2,Inputs!$K$4:$AJ$4,0))))+SUMPRODUCT((Inputs!$E$5:$E$230=$B28)*ISNUMBER(INDEX(Inputs!$K$5:$AJ$230,0,MATCH(E$2,Inputs!$K$4:$AJ$4,0))))=0,NA(),SUMPRODUCT((Inputs!$A$5:$A$230=$B28)*Inputs!$B$5:$B$230*(((Inputs!$G$5:$G$230="moeda")+(Inputs!$G$5:$G$230="acoes"))*Inputs!$B$1+((Inputs!$G$5:$G$230&lt;&gt;"moeda")*(Inputs!$G$5:$G$230&lt;&gt;"acoes")))*INDEX(Inputs!$K$5:$AJ$230,0,MATCH(E$2,Inputs!$K$4:$AJ$4,0)))+SUMPRODUCT((Inputs!$C$5:$C$230=$B28)*Inputs!$D$5:$D$230*(((Inputs!$G$5:$G$230="moeda")+(Inputs!$G$5:$G$230="acoes"))*Inputs!$B$1+((Inputs!$G$5:$G$230&lt;&gt;"moeda")*(Inputs!$G$5:$G$230&lt;&gt;"acoes")))*INDEX(Inputs!$K$5:$AJ$230,0,MATCH(E$2,Inputs!$K$4:$AJ$4,0)))+SUMPRODUCT((Inputs!$E$5:$E$230=$B28)*Inputs!$F$5:$F$230*(((Inputs!$G$5:$G$230="moeda")+(Inputs!$G$5:$G$230="acoes"))*Inputs!$B$1+((Inputs!$G$5:$G$230&lt;&gt;"moeda")*(Inputs!$G$5:$G$230&lt;&gt;"acoes")))*INDEX(Inputs!$K$5:$AJ$230,0,MATCH(E$2,Inputs!$K$4:$AJ$4,0)))))</f>
        <v>245.687</v>
      </c>
      <c r="F28" s="6">
        <f>IF(ISNA(MATCH(F$2,Inputs!$K$4:$AJ$4,0)),NA(),IF(SUMPRODUCT((Inputs!$A$5:$A$230=$B28)*ISNUMBER(INDEX(Inputs!$K$5:$AJ$230,0,MATCH(F$2,Inputs!$K$4:$AJ$4,0))))+SUMPRODUCT((Inputs!$C$5:$C$230=$B28)*ISNUMBER(INDEX(Inputs!$K$5:$AJ$230,0,MATCH(F$2,Inputs!$K$4:$AJ$4,0))))+SUMPRODUCT((Inputs!$E$5:$E$230=$B28)*ISNUMBER(INDEX(Inputs!$K$5:$AJ$230,0,MATCH(F$2,Inputs!$K$4:$AJ$4,0))))=0,NA(),SUMPRODUCT((Inputs!$A$5:$A$230=$B28)*Inputs!$B$5:$B$230*(((Inputs!$G$5:$G$230="moeda")+(Inputs!$G$5:$G$230="acoes"))*Inputs!$B$1+((Inputs!$G$5:$G$230&lt;&gt;"moeda")*(Inputs!$G$5:$G$230&lt;&gt;"acoes")))*INDEX(Inputs!$K$5:$AJ$230,0,MATCH(F$2,Inputs!$K$4:$AJ$4,0)))+SUMPRODUCT((Inputs!$C$5:$C$230=$B28)*Inputs!$D$5:$D$230*(((Inputs!$G$5:$G$230="moeda")+(Inputs!$G$5:$G$230="acoes"))*Inputs!$B$1+((Inputs!$G$5:$G$230&lt;&gt;"moeda")*(Inputs!$G$5:$G$230&lt;&gt;"acoes")))*INDEX(Inputs!$K$5:$AJ$230,0,MATCH(F$2,Inputs!$K$4:$AJ$4,0)))+SUMPRODUCT((Inputs!$E$5:$E$230=$B28)*Inputs!$F$5:$F$230*(((Inputs!$G$5:$G$230="moeda")+(Inputs!$G$5:$G$230="acoes"))*Inputs!$B$1+((Inputs!$G$5:$G$230&lt;&gt;"moeda")*(Inputs!$G$5:$G$230&lt;&gt;"acoes")))*INDEX(Inputs!$K$5:$AJ$230,0,MATCH(F$2,Inputs!$K$4:$AJ$4,0)))))</f>
        <v>217.738</v>
      </c>
      <c r="G28" s="6">
        <f>IF(ISNA(MATCH(G$2,Inputs!$K$4:$AJ$4,0)),NA(),IF(SUMPRODUCT((Inputs!$A$5:$A$230=$B28)*ISNUMBER(INDEX(Inputs!$K$5:$AJ$230,0,MATCH(G$2,Inputs!$K$4:$AJ$4,0))))+SUMPRODUCT((Inputs!$C$5:$C$230=$B28)*ISNUMBER(INDEX(Inputs!$K$5:$AJ$230,0,MATCH(G$2,Inputs!$K$4:$AJ$4,0))))+SUMPRODUCT((Inputs!$E$5:$E$230=$B28)*ISNUMBER(INDEX(Inputs!$K$5:$AJ$230,0,MATCH(G$2,Inputs!$K$4:$AJ$4,0))))=0,NA(),SUMPRODUCT((Inputs!$A$5:$A$230=$B28)*Inputs!$B$5:$B$230*(((Inputs!$G$5:$G$230="moeda")+(Inputs!$G$5:$G$230="acoes"))*Inputs!$B$1+((Inputs!$G$5:$G$230&lt;&gt;"moeda")*(Inputs!$G$5:$G$230&lt;&gt;"acoes")))*INDEX(Inputs!$K$5:$AJ$230,0,MATCH(G$2,Inputs!$K$4:$AJ$4,0)))+SUMPRODUCT((Inputs!$C$5:$C$230=$B28)*Inputs!$D$5:$D$230*(((Inputs!$G$5:$G$230="moeda")+(Inputs!$G$5:$G$230="acoes"))*Inputs!$B$1+((Inputs!$G$5:$G$230&lt;&gt;"moeda")*(Inputs!$G$5:$G$230&lt;&gt;"acoes")))*INDEX(Inputs!$K$5:$AJ$230,0,MATCH(G$2,Inputs!$K$4:$AJ$4,0)))+SUMPRODUCT((Inputs!$E$5:$E$230=$B28)*Inputs!$F$5:$F$230*(((Inputs!$G$5:$G$230="moeda")+(Inputs!$G$5:$G$230="acoes"))*Inputs!$B$1+((Inputs!$G$5:$G$230&lt;&gt;"moeda")*(Inputs!$G$5:$G$230&lt;&gt;"acoes")))*INDEX(Inputs!$K$5:$AJ$230,0,MATCH(G$2,Inputs!$K$4:$AJ$4,0)))))</f>
        <v>203.987</v>
      </c>
      <c r="H28" s="3">
        <f>G28</f>
        <v>203.987</v>
      </c>
      <c r="I28" s="6">
        <f>IF(ISNA(MATCH(I$2,Inputs!$K$4:$AJ$4,0)),NA(),IF(SUMPRODUCT((Inputs!$A$5:$A$230=$B28)*ISNUMBER(INDEX(Inputs!$K$5:$AJ$230,0,MATCH(I$2,Inputs!$K$4:$AJ$4,0))))+SUMPRODUCT((Inputs!$C$5:$C$230=$B28)*ISNUMBER(INDEX(Inputs!$K$5:$AJ$230,0,MATCH(I$2,Inputs!$K$4:$AJ$4,0))))+SUMPRODUCT((Inputs!$E$5:$E$230=$B28)*ISNUMBER(INDEX(Inputs!$K$5:$AJ$230,0,MATCH(I$2,Inputs!$K$4:$AJ$4,0))))=0,NA(),SUMPRODUCT((Inputs!$A$5:$A$230=$B28)*Inputs!$B$5:$B$230*(((Inputs!$G$5:$G$230="moeda")+(Inputs!$G$5:$G$230="acoes"))*Inputs!$B$1+((Inputs!$G$5:$G$230&lt;&gt;"moeda")*(Inputs!$G$5:$G$230&lt;&gt;"acoes")))*INDEX(Inputs!$K$5:$AJ$230,0,MATCH(I$2,Inputs!$K$4:$AJ$4,0)))+SUMPRODUCT((Inputs!$C$5:$C$230=$B28)*Inputs!$D$5:$D$230*(((Inputs!$G$5:$G$230="moeda")+(Inputs!$G$5:$G$230="acoes"))*Inputs!$B$1+((Inputs!$G$5:$G$230&lt;&gt;"moeda")*(Inputs!$G$5:$G$230&lt;&gt;"acoes")))*INDEX(Inputs!$K$5:$AJ$230,0,MATCH(I$2,Inputs!$K$4:$AJ$4,0)))+SUMPRODUCT((Inputs!$E$5:$E$230=$B28)*Inputs!$F$5:$F$230*(((Inputs!$G$5:$G$230="moeda")+(Inputs!$G$5:$G$230="acoes"))*Inputs!$B$1+((Inputs!$G$5:$G$230&lt;&gt;"moeda")*(Inputs!$G$5:$G$230&lt;&gt;"acoes")))*INDEX(Inputs!$K$5:$AJ$230,0,MATCH(I$2,Inputs!$K$4:$AJ$4,0)))))</f>
        <v>460.822</v>
      </c>
      <c r="J28" s="6">
        <f>IF(ISNA(MATCH(J$2,Inputs!$K$4:$AJ$4,0)),NA(),IF(SUMPRODUCT((Inputs!$A$5:$A$230=$B28)*ISNUMBER(INDEX(Inputs!$K$5:$AJ$230,0,MATCH(J$2,Inputs!$K$4:$AJ$4,0))))+SUMPRODUCT((Inputs!$C$5:$C$230=$B28)*ISNUMBER(INDEX(Inputs!$K$5:$AJ$230,0,MATCH(J$2,Inputs!$K$4:$AJ$4,0))))+SUMPRODUCT((Inputs!$E$5:$E$230=$B28)*ISNUMBER(INDEX(Inputs!$K$5:$AJ$230,0,MATCH(J$2,Inputs!$K$4:$AJ$4,0))))=0,NA(),SUMPRODUCT((Inputs!$A$5:$A$230=$B28)*Inputs!$B$5:$B$230*(((Inputs!$G$5:$G$230="moeda")+(Inputs!$G$5:$G$230="acoes"))*Inputs!$B$1+((Inputs!$G$5:$G$230&lt;&gt;"moeda")*(Inputs!$G$5:$G$230&lt;&gt;"acoes")))*INDEX(Inputs!$K$5:$AJ$230,0,MATCH(J$2,Inputs!$K$4:$AJ$4,0)))+SUMPRODUCT((Inputs!$C$5:$C$230=$B28)*Inputs!$D$5:$D$230*(((Inputs!$G$5:$G$230="moeda")+(Inputs!$G$5:$G$230="acoes"))*Inputs!$B$1+((Inputs!$G$5:$G$230&lt;&gt;"moeda")*(Inputs!$G$5:$G$230&lt;&gt;"acoes")))*INDEX(Inputs!$K$5:$AJ$230,0,MATCH(J$2,Inputs!$K$4:$AJ$4,0)))+SUMPRODUCT((Inputs!$E$5:$E$230=$B28)*Inputs!$F$5:$F$230*(((Inputs!$G$5:$G$230="moeda")+(Inputs!$G$5:$G$230="acoes"))*Inputs!$B$1+((Inputs!$G$5:$G$230&lt;&gt;"moeda")*(Inputs!$G$5:$G$230&lt;&gt;"acoes")))*INDEX(Inputs!$K$5:$AJ$230,0,MATCH(J$2,Inputs!$K$4:$AJ$4,0)))))</f>
        <v>195.507</v>
      </c>
      <c r="K28" s="6">
        <f>IF(ISNA(MATCH(K$2,Inputs!$K$4:$AJ$4,0)),NA(),IF(SUMPRODUCT((Inputs!$A$5:$A$230=$B28)*ISNUMBER(INDEX(Inputs!$K$5:$AJ$230,0,MATCH(K$2,Inputs!$K$4:$AJ$4,0))))+SUMPRODUCT((Inputs!$C$5:$C$230=$B28)*ISNUMBER(INDEX(Inputs!$K$5:$AJ$230,0,MATCH(K$2,Inputs!$K$4:$AJ$4,0))))+SUMPRODUCT((Inputs!$E$5:$E$230=$B28)*ISNUMBER(INDEX(Inputs!$K$5:$AJ$230,0,MATCH(K$2,Inputs!$K$4:$AJ$4,0))))=0,NA(),SUMPRODUCT((Inputs!$A$5:$A$230=$B28)*Inputs!$B$5:$B$230*(((Inputs!$G$5:$G$230="moeda")+(Inputs!$G$5:$G$230="acoes"))*Inputs!$B$1+((Inputs!$G$5:$G$230&lt;&gt;"moeda")*(Inputs!$G$5:$G$230&lt;&gt;"acoes")))*INDEX(Inputs!$K$5:$AJ$230,0,MATCH(K$2,Inputs!$K$4:$AJ$4,0)))+SUMPRODUCT((Inputs!$C$5:$C$230=$B28)*Inputs!$D$5:$D$230*(((Inputs!$G$5:$G$230="moeda")+(Inputs!$G$5:$G$230="acoes"))*Inputs!$B$1+((Inputs!$G$5:$G$230&lt;&gt;"moeda")*(Inputs!$G$5:$G$230&lt;&gt;"acoes")))*INDEX(Inputs!$K$5:$AJ$230,0,MATCH(K$2,Inputs!$K$4:$AJ$4,0)))+SUMPRODUCT((Inputs!$E$5:$E$230=$B28)*Inputs!$F$5:$F$230*(((Inputs!$G$5:$G$230="moeda")+(Inputs!$G$5:$G$230="acoes"))*Inputs!$B$1+((Inputs!$G$5:$G$230&lt;&gt;"moeda")*(Inputs!$G$5:$G$230&lt;&gt;"acoes")))*INDEX(Inputs!$K$5:$AJ$230,0,MATCH(K$2,Inputs!$K$4:$AJ$4,0)))))</f>
        <v>299.81</v>
      </c>
      <c r="L28" s="6">
        <f>IF(ISNA(MATCH(L$2,Inputs!$K$4:$AJ$4,0)),NA(),IF(SUMPRODUCT((Inputs!$A$5:$A$230=$B28)*ISNUMBER(INDEX(Inputs!$K$5:$AJ$230,0,MATCH(L$2,Inputs!$K$4:$AJ$4,0))))+SUMPRODUCT((Inputs!$C$5:$C$230=$B28)*ISNUMBER(INDEX(Inputs!$K$5:$AJ$230,0,MATCH(L$2,Inputs!$K$4:$AJ$4,0))))+SUMPRODUCT((Inputs!$E$5:$E$230=$B28)*ISNUMBER(INDEX(Inputs!$K$5:$AJ$230,0,MATCH(L$2,Inputs!$K$4:$AJ$4,0))))=0,NA(),SUMPRODUCT((Inputs!$A$5:$A$230=$B28)*Inputs!$B$5:$B$230*(((Inputs!$G$5:$G$230="moeda")+(Inputs!$G$5:$G$230="acoes"))*Inputs!$B$1+((Inputs!$G$5:$G$230&lt;&gt;"moeda")*(Inputs!$G$5:$G$230&lt;&gt;"acoes")))*INDEX(Inputs!$K$5:$AJ$230,0,MATCH(L$2,Inputs!$K$4:$AJ$4,0)))+SUMPRODUCT((Inputs!$C$5:$C$230=$B28)*Inputs!$D$5:$D$230*(((Inputs!$G$5:$G$230="moeda")+(Inputs!$G$5:$G$230="acoes"))*Inputs!$B$1+((Inputs!$G$5:$G$230&lt;&gt;"moeda")*(Inputs!$G$5:$G$230&lt;&gt;"acoes")))*INDEX(Inputs!$K$5:$AJ$230,0,MATCH(L$2,Inputs!$K$4:$AJ$4,0)))+SUMPRODUCT((Inputs!$E$5:$E$230=$B28)*Inputs!$F$5:$F$230*(((Inputs!$G$5:$G$230="moeda")+(Inputs!$G$5:$G$230="acoes"))*Inputs!$B$1+((Inputs!$G$5:$G$230&lt;&gt;"moeda")*(Inputs!$G$5:$G$230&lt;&gt;"acoes")))*INDEX(Inputs!$K$5:$AJ$230,0,MATCH(L$2,Inputs!$K$4:$AJ$4,0)))))</f>
        <v>239.119</v>
      </c>
      <c r="M28" s="3">
        <f>L28</f>
        <v>239.119</v>
      </c>
      <c r="N28" s="6">
        <f>IF(ISNA(MATCH(N$2,Inputs!$K$4:$AJ$4,0)),NA(),IF(SUMPRODUCT((Inputs!$A$5:$A$230=$B28)*ISNUMBER(INDEX(Inputs!$K$5:$AJ$230,0,MATCH(N$2,Inputs!$K$4:$AJ$4,0))))+SUMPRODUCT((Inputs!$C$5:$C$230=$B28)*ISNUMBER(INDEX(Inputs!$K$5:$AJ$230,0,MATCH(N$2,Inputs!$K$4:$AJ$4,0))))+SUMPRODUCT((Inputs!$E$5:$E$230=$B28)*ISNUMBER(INDEX(Inputs!$K$5:$AJ$230,0,MATCH(N$2,Inputs!$K$4:$AJ$4,0))))=0,NA(),SUMPRODUCT((Inputs!$A$5:$A$230=$B28)*Inputs!$B$5:$B$230*(((Inputs!$G$5:$G$230="moeda")+(Inputs!$G$5:$G$230="acoes"))*Inputs!$B$1+((Inputs!$G$5:$G$230&lt;&gt;"moeda")*(Inputs!$G$5:$G$230&lt;&gt;"acoes")))*INDEX(Inputs!$K$5:$AJ$230,0,MATCH(N$2,Inputs!$K$4:$AJ$4,0)))+SUMPRODUCT((Inputs!$C$5:$C$230=$B28)*Inputs!$D$5:$D$230*(((Inputs!$G$5:$G$230="moeda")+(Inputs!$G$5:$G$230="acoes"))*Inputs!$B$1+((Inputs!$G$5:$G$230&lt;&gt;"moeda")*(Inputs!$G$5:$G$230&lt;&gt;"acoes")))*INDEX(Inputs!$K$5:$AJ$230,0,MATCH(N$2,Inputs!$K$4:$AJ$4,0)))+SUMPRODUCT((Inputs!$E$5:$E$230=$B28)*Inputs!$F$5:$F$230*(((Inputs!$G$5:$G$230="moeda")+(Inputs!$G$5:$G$230="acoes"))*Inputs!$B$1+((Inputs!$G$5:$G$230&lt;&gt;"moeda")*(Inputs!$G$5:$G$230&lt;&gt;"acoes")))*INDEX(Inputs!$K$5:$AJ$230,0,MATCH(N$2,Inputs!$K$4:$AJ$4,0)))))</f>
        <v>193.047</v>
      </c>
      <c r="O28" s="6">
        <f>IF(ISNA(MATCH(O$2,Inputs!$K$4:$AJ$4,0)),NA(),IF(SUMPRODUCT((Inputs!$A$5:$A$230=$B28)*ISNUMBER(INDEX(Inputs!$K$5:$AJ$230,0,MATCH(O$2,Inputs!$K$4:$AJ$4,0))))+SUMPRODUCT((Inputs!$C$5:$C$230=$B28)*ISNUMBER(INDEX(Inputs!$K$5:$AJ$230,0,MATCH(O$2,Inputs!$K$4:$AJ$4,0))))+SUMPRODUCT((Inputs!$E$5:$E$230=$B28)*ISNUMBER(INDEX(Inputs!$K$5:$AJ$230,0,MATCH(O$2,Inputs!$K$4:$AJ$4,0))))=0,NA(),SUMPRODUCT((Inputs!$A$5:$A$230=$B28)*Inputs!$B$5:$B$230*(((Inputs!$G$5:$G$230="moeda")+(Inputs!$G$5:$G$230="acoes"))*Inputs!$B$1+((Inputs!$G$5:$G$230&lt;&gt;"moeda")*(Inputs!$G$5:$G$230&lt;&gt;"acoes")))*INDEX(Inputs!$K$5:$AJ$230,0,MATCH(O$2,Inputs!$K$4:$AJ$4,0)))+SUMPRODUCT((Inputs!$C$5:$C$230=$B28)*Inputs!$D$5:$D$230*(((Inputs!$G$5:$G$230="moeda")+(Inputs!$G$5:$G$230="acoes"))*Inputs!$B$1+((Inputs!$G$5:$G$230&lt;&gt;"moeda")*(Inputs!$G$5:$G$230&lt;&gt;"acoes")))*INDEX(Inputs!$K$5:$AJ$230,0,MATCH(O$2,Inputs!$K$4:$AJ$4,0)))+SUMPRODUCT((Inputs!$E$5:$E$230=$B28)*Inputs!$F$5:$F$230*(((Inputs!$G$5:$G$230="moeda")+(Inputs!$G$5:$G$230="acoes"))*Inputs!$B$1+((Inputs!$G$5:$G$230&lt;&gt;"moeda")*(Inputs!$G$5:$G$230&lt;&gt;"acoes")))*INDEX(Inputs!$K$5:$AJ$230,0,MATCH(O$2,Inputs!$K$4:$AJ$4,0)))))</f>
        <v>183.047</v>
      </c>
      <c r="P28" s="6">
        <f>IF(ISNA(MATCH(P$2,Inputs!$K$4:$AJ$4,0)),NA(),IF(SUMPRODUCT((Inputs!$A$5:$A$230=$B28)*ISNUMBER(INDEX(Inputs!$K$5:$AJ$230,0,MATCH(P$2,Inputs!$K$4:$AJ$4,0))))+SUMPRODUCT((Inputs!$C$5:$C$230=$B28)*ISNUMBER(INDEX(Inputs!$K$5:$AJ$230,0,MATCH(P$2,Inputs!$K$4:$AJ$4,0))))+SUMPRODUCT((Inputs!$E$5:$E$230=$B28)*ISNUMBER(INDEX(Inputs!$K$5:$AJ$230,0,MATCH(P$2,Inputs!$K$4:$AJ$4,0))))=0,NA(),SUMPRODUCT((Inputs!$A$5:$A$230=$B28)*Inputs!$B$5:$B$230*(((Inputs!$G$5:$G$230="moeda")+(Inputs!$G$5:$G$230="acoes"))*Inputs!$B$1+((Inputs!$G$5:$G$230&lt;&gt;"moeda")*(Inputs!$G$5:$G$230&lt;&gt;"acoes")))*INDEX(Inputs!$K$5:$AJ$230,0,MATCH(P$2,Inputs!$K$4:$AJ$4,0)))+SUMPRODUCT((Inputs!$C$5:$C$230=$B28)*Inputs!$D$5:$D$230*(((Inputs!$G$5:$G$230="moeda")+(Inputs!$G$5:$G$230="acoes"))*Inputs!$B$1+((Inputs!$G$5:$G$230&lt;&gt;"moeda")*(Inputs!$G$5:$G$230&lt;&gt;"acoes")))*INDEX(Inputs!$K$5:$AJ$230,0,MATCH(P$2,Inputs!$K$4:$AJ$4,0)))+SUMPRODUCT((Inputs!$E$5:$E$230=$B28)*Inputs!$F$5:$F$230*(((Inputs!$G$5:$G$230="moeda")+(Inputs!$G$5:$G$230="acoes"))*Inputs!$B$1+((Inputs!$G$5:$G$230&lt;&gt;"moeda")*(Inputs!$G$5:$G$230&lt;&gt;"acoes")))*INDEX(Inputs!$K$5:$AJ$230,0,MATCH(P$2,Inputs!$K$4:$AJ$4,0)))))</f>
        <v>173.733</v>
      </c>
      <c r="Q28" s="6">
        <f>IF(ISNA(MATCH(Q$2,Inputs!$K$4:$AJ$4,0)),NA(),IF(SUMPRODUCT((Inputs!$A$5:$A$230=$B28)*ISNUMBER(INDEX(Inputs!$K$5:$AJ$230,0,MATCH(Q$2,Inputs!$K$4:$AJ$4,0))))+SUMPRODUCT((Inputs!$C$5:$C$230=$B28)*ISNUMBER(INDEX(Inputs!$K$5:$AJ$230,0,MATCH(Q$2,Inputs!$K$4:$AJ$4,0))))+SUMPRODUCT((Inputs!$E$5:$E$230=$B28)*ISNUMBER(INDEX(Inputs!$K$5:$AJ$230,0,MATCH(Q$2,Inputs!$K$4:$AJ$4,0))))=0,NA(),SUMPRODUCT((Inputs!$A$5:$A$230=$B28)*Inputs!$B$5:$B$230*(((Inputs!$G$5:$G$230="moeda")+(Inputs!$G$5:$G$230="acoes"))*Inputs!$B$1+((Inputs!$G$5:$G$230&lt;&gt;"moeda")*(Inputs!$G$5:$G$230&lt;&gt;"acoes")))*INDEX(Inputs!$K$5:$AJ$230,0,MATCH(Q$2,Inputs!$K$4:$AJ$4,0)))+SUMPRODUCT((Inputs!$C$5:$C$230=$B28)*Inputs!$D$5:$D$230*(((Inputs!$G$5:$G$230="moeda")+(Inputs!$G$5:$G$230="acoes"))*Inputs!$B$1+((Inputs!$G$5:$G$230&lt;&gt;"moeda")*(Inputs!$G$5:$G$230&lt;&gt;"acoes")))*INDEX(Inputs!$K$5:$AJ$230,0,MATCH(Q$2,Inputs!$K$4:$AJ$4,0)))+SUMPRODUCT((Inputs!$E$5:$E$230=$B28)*Inputs!$F$5:$F$230*(((Inputs!$G$5:$G$230="moeda")+(Inputs!$G$5:$G$230="acoes"))*Inputs!$B$1+((Inputs!$G$5:$G$230&lt;&gt;"moeda")*(Inputs!$G$5:$G$230&lt;&gt;"acoes")))*INDEX(Inputs!$K$5:$AJ$230,0,MATCH(Q$2,Inputs!$K$4:$AJ$4,0)))))</f>
        <v>191.62</v>
      </c>
      <c r="R28" s="3">
        <f>Q28</f>
        <v>191.62</v>
      </c>
      <c r="S28" s="6">
        <f>IF(ISNA(MATCH(S$2,Inputs!$K$4:$AJ$4,0)),NA(),IF(SUMPRODUCT((Inputs!$A$5:$A$230=$B28)*ISNUMBER(INDEX(Inputs!$K$5:$AJ$230,0,MATCH(S$2,Inputs!$K$4:$AJ$4,0))))+SUMPRODUCT((Inputs!$C$5:$C$230=$B28)*ISNUMBER(INDEX(Inputs!$K$5:$AJ$230,0,MATCH(S$2,Inputs!$K$4:$AJ$4,0))))+SUMPRODUCT((Inputs!$E$5:$E$230=$B28)*ISNUMBER(INDEX(Inputs!$K$5:$AJ$230,0,MATCH(S$2,Inputs!$K$4:$AJ$4,0))))=0,NA(),SUMPRODUCT((Inputs!$A$5:$A$230=$B28)*Inputs!$B$5:$B$230*(((Inputs!$G$5:$G$230="moeda")+(Inputs!$G$5:$G$230="acoes"))*Inputs!$B$1+((Inputs!$G$5:$G$230&lt;&gt;"moeda")*(Inputs!$G$5:$G$230&lt;&gt;"acoes")))*INDEX(Inputs!$K$5:$AJ$230,0,MATCH(S$2,Inputs!$K$4:$AJ$4,0)))+SUMPRODUCT((Inputs!$C$5:$C$230=$B28)*Inputs!$D$5:$D$230*(((Inputs!$G$5:$G$230="moeda")+(Inputs!$G$5:$G$230="acoes"))*Inputs!$B$1+((Inputs!$G$5:$G$230&lt;&gt;"moeda")*(Inputs!$G$5:$G$230&lt;&gt;"acoes")))*INDEX(Inputs!$K$5:$AJ$230,0,MATCH(S$2,Inputs!$K$4:$AJ$4,0)))+SUMPRODUCT((Inputs!$E$5:$E$230=$B28)*Inputs!$F$5:$F$230*(((Inputs!$G$5:$G$230="moeda")+(Inputs!$G$5:$G$230="acoes"))*Inputs!$B$1+((Inputs!$G$5:$G$230&lt;&gt;"moeda")*(Inputs!$G$5:$G$230&lt;&gt;"acoes")))*INDEX(Inputs!$K$5:$AJ$230,0,MATCH(S$2,Inputs!$K$4:$AJ$4,0)))))</f>
        <v>189.72</v>
      </c>
      <c r="T28" s="6">
        <f>IF(ISNA(MATCH(T$2,Inputs!$K$4:$AJ$4,0)),NA(),IF(SUMPRODUCT((Inputs!$A$5:$A$230=$B28)*ISNUMBER(INDEX(Inputs!$K$5:$AJ$230,0,MATCH(T$2,Inputs!$K$4:$AJ$4,0))))+SUMPRODUCT((Inputs!$C$5:$C$230=$B28)*ISNUMBER(INDEX(Inputs!$K$5:$AJ$230,0,MATCH(T$2,Inputs!$K$4:$AJ$4,0))))+SUMPRODUCT((Inputs!$E$5:$E$230=$B28)*ISNUMBER(INDEX(Inputs!$K$5:$AJ$230,0,MATCH(T$2,Inputs!$K$4:$AJ$4,0))))=0,NA(),SUMPRODUCT((Inputs!$A$5:$A$230=$B28)*Inputs!$B$5:$B$230*(((Inputs!$G$5:$G$230="moeda")+(Inputs!$G$5:$G$230="acoes"))*Inputs!$B$1+((Inputs!$G$5:$G$230&lt;&gt;"moeda")*(Inputs!$G$5:$G$230&lt;&gt;"acoes")))*INDEX(Inputs!$K$5:$AJ$230,0,MATCH(T$2,Inputs!$K$4:$AJ$4,0)))+SUMPRODUCT((Inputs!$C$5:$C$230=$B28)*Inputs!$D$5:$D$230*(((Inputs!$G$5:$G$230="moeda")+(Inputs!$G$5:$G$230="acoes"))*Inputs!$B$1+((Inputs!$G$5:$G$230&lt;&gt;"moeda")*(Inputs!$G$5:$G$230&lt;&gt;"acoes")))*INDEX(Inputs!$K$5:$AJ$230,0,MATCH(T$2,Inputs!$K$4:$AJ$4,0)))+SUMPRODUCT((Inputs!$E$5:$E$230=$B28)*Inputs!$F$5:$F$230*(((Inputs!$G$5:$G$230="moeda")+(Inputs!$G$5:$G$230="acoes"))*Inputs!$B$1+((Inputs!$G$5:$G$230&lt;&gt;"moeda")*(Inputs!$G$5:$G$230&lt;&gt;"acoes")))*INDEX(Inputs!$K$5:$AJ$230,0,MATCH(T$2,Inputs!$K$4:$AJ$4,0)))))</f>
        <v>185.821</v>
      </c>
      <c r="U28" s="6">
        <f>IF(ISNA(MATCH(U$2,Inputs!$K$4:$AJ$4,0)),NA(),IF(SUMPRODUCT((Inputs!$A$5:$A$230=$B28)*ISNUMBER(INDEX(Inputs!$K$5:$AJ$230,0,MATCH(U$2,Inputs!$K$4:$AJ$4,0))))+SUMPRODUCT((Inputs!$C$5:$C$230=$B28)*ISNUMBER(INDEX(Inputs!$K$5:$AJ$230,0,MATCH(U$2,Inputs!$K$4:$AJ$4,0))))+SUMPRODUCT((Inputs!$E$5:$E$230=$B28)*ISNUMBER(INDEX(Inputs!$K$5:$AJ$230,0,MATCH(U$2,Inputs!$K$4:$AJ$4,0))))=0,NA(),SUMPRODUCT((Inputs!$A$5:$A$230=$B28)*Inputs!$B$5:$B$230*(((Inputs!$G$5:$G$230="moeda")+(Inputs!$G$5:$G$230="acoes"))*Inputs!$B$1+((Inputs!$G$5:$G$230&lt;&gt;"moeda")*(Inputs!$G$5:$G$230&lt;&gt;"acoes")))*INDEX(Inputs!$K$5:$AJ$230,0,MATCH(U$2,Inputs!$K$4:$AJ$4,0)))+SUMPRODUCT((Inputs!$C$5:$C$230=$B28)*Inputs!$D$5:$D$230*(((Inputs!$G$5:$G$230="moeda")+(Inputs!$G$5:$G$230="acoes"))*Inputs!$B$1+((Inputs!$G$5:$G$230&lt;&gt;"moeda")*(Inputs!$G$5:$G$230&lt;&gt;"acoes")))*INDEX(Inputs!$K$5:$AJ$230,0,MATCH(U$2,Inputs!$K$4:$AJ$4,0)))+SUMPRODUCT((Inputs!$E$5:$E$230=$B28)*Inputs!$F$5:$F$230*(((Inputs!$G$5:$G$230="moeda")+(Inputs!$G$5:$G$230="acoes"))*Inputs!$B$1+((Inputs!$G$5:$G$230&lt;&gt;"moeda")*(Inputs!$G$5:$G$230&lt;&gt;"acoes")))*INDEX(Inputs!$K$5:$AJ$230,0,MATCH(U$2,Inputs!$K$4:$AJ$4,0)))))</f>
        <v>182.751</v>
      </c>
      <c r="V28" s="6">
        <f>IF(ISNA(MATCH(V$2,Inputs!$K$4:$AJ$4,0)),NA(),IF(SUMPRODUCT((Inputs!$A$5:$A$230=$B28)*ISNUMBER(INDEX(Inputs!$K$5:$AJ$230,0,MATCH(V$2,Inputs!$K$4:$AJ$4,0))))+SUMPRODUCT((Inputs!$C$5:$C$230=$B28)*ISNUMBER(INDEX(Inputs!$K$5:$AJ$230,0,MATCH(V$2,Inputs!$K$4:$AJ$4,0))))+SUMPRODUCT((Inputs!$E$5:$E$230=$B28)*ISNUMBER(INDEX(Inputs!$K$5:$AJ$230,0,MATCH(V$2,Inputs!$K$4:$AJ$4,0))))=0,NA(),SUMPRODUCT((Inputs!$A$5:$A$230=$B28)*Inputs!$B$5:$B$230*(((Inputs!$G$5:$G$230="moeda")+(Inputs!$G$5:$G$230="acoes"))*Inputs!$B$1+((Inputs!$G$5:$G$230&lt;&gt;"moeda")*(Inputs!$G$5:$G$230&lt;&gt;"acoes")))*INDEX(Inputs!$K$5:$AJ$230,0,MATCH(V$2,Inputs!$K$4:$AJ$4,0)))+SUMPRODUCT((Inputs!$C$5:$C$230=$B28)*Inputs!$D$5:$D$230*(((Inputs!$G$5:$G$230="moeda")+(Inputs!$G$5:$G$230="acoes"))*Inputs!$B$1+((Inputs!$G$5:$G$230&lt;&gt;"moeda")*(Inputs!$G$5:$G$230&lt;&gt;"acoes")))*INDEX(Inputs!$K$5:$AJ$230,0,MATCH(V$2,Inputs!$K$4:$AJ$4,0)))+SUMPRODUCT((Inputs!$E$5:$E$230=$B28)*Inputs!$F$5:$F$230*(((Inputs!$G$5:$G$230="moeda")+(Inputs!$G$5:$G$230="acoes"))*Inputs!$B$1+((Inputs!$G$5:$G$230&lt;&gt;"moeda")*(Inputs!$G$5:$G$230&lt;&gt;"acoes")))*INDEX(Inputs!$K$5:$AJ$230,0,MATCH(V$2,Inputs!$K$4:$AJ$4,0)))))</f>
        <v>195.371</v>
      </c>
      <c r="W28" s="3">
        <f>V28</f>
        <v>195.371</v>
      </c>
      <c r="X28" s="6">
        <f>IF(ISNA(MATCH(X$2,Inputs!$K$4:$AJ$4,0)),NA(),IF(SUMPRODUCT((Inputs!$A$5:$A$230=$B28)*ISNUMBER(INDEX(Inputs!$K$5:$AJ$230,0,MATCH(X$2,Inputs!$K$4:$AJ$4,0))))+SUMPRODUCT((Inputs!$C$5:$C$230=$B28)*ISNUMBER(INDEX(Inputs!$K$5:$AJ$230,0,MATCH(X$2,Inputs!$K$4:$AJ$4,0))))+SUMPRODUCT((Inputs!$E$5:$E$230=$B28)*ISNUMBER(INDEX(Inputs!$K$5:$AJ$230,0,MATCH(X$2,Inputs!$K$4:$AJ$4,0))))=0,NA(),SUMPRODUCT((Inputs!$A$5:$A$230=$B28)*Inputs!$B$5:$B$230*(((Inputs!$G$5:$G$230="moeda")+(Inputs!$G$5:$G$230="acoes"))*Inputs!$B$1+((Inputs!$G$5:$G$230&lt;&gt;"moeda")*(Inputs!$G$5:$G$230&lt;&gt;"acoes")))*INDEX(Inputs!$K$5:$AJ$230,0,MATCH(X$2,Inputs!$K$4:$AJ$4,0)))+SUMPRODUCT((Inputs!$C$5:$C$230=$B28)*Inputs!$D$5:$D$230*(((Inputs!$G$5:$G$230="moeda")+(Inputs!$G$5:$G$230="acoes"))*Inputs!$B$1+((Inputs!$G$5:$G$230&lt;&gt;"moeda")*(Inputs!$G$5:$G$230&lt;&gt;"acoes")))*INDEX(Inputs!$K$5:$AJ$230,0,MATCH(X$2,Inputs!$K$4:$AJ$4,0)))+SUMPRODUCT((Inputs!$E$5:$E$230=$B28)*Inputs!$F$5:$F$230*(((Inputs!$G$5:$G$230="moeda")+(Inputs!$G$5:$G$230="acoes"))*Inputs!$B$1+((Inputs!$G$5:$G$230&lt;&gt;"moeda")*(Inputs!$G$5:$G$230&lt;&gt;"acoes")))*INDEX(Inputs!$K$5:$AJ$230,0,MATCH(X$2,Inputs!$K$4:$AJ$4,0)))))</f>
        <v>219.347</v>
      </c>
      <c r="Y28" s="6">
        <f>IF(ISNA(MATCH(Y$2,Inputs!$K$4:$AJ$4,0)),NA(),IF(SUMPRODUCT((Inputs!$A$5:$A$230=$B28)*ISNUMBER(INDEX(Inputs!$K$5:$AJ$230,0,MATCH(Y$2,Inputs!$K$4:$AJ$4,0))))+SUMPRODUCT((Inputs!$C$5:$C$230=$B28)*ISNUMBER(INDEX(Inputs!$K$5:$AJ$230,0,MATCH(Y$2,Inputs!$K$4:$AJ$4,0))))+SUMPRODUCT((Inputs!$E$5:$E$230=$B28)*ISNUMBER(INDEX(Inputs!$K$5:$AJ$230,0,MATCH(Y$2,Inputs!$K$4:$AJ$4,0))))=0,NA(),SUMPRODUCT((Inputs!$A$5:$A$230=$B28)*Inputs!$B$5:$B$230*(((Inputs!$G$5:$G$230="moeda")+(Inputs!$G$5:$G$230="acoes"))*Inputs!$B$1+((Inputs!$G$5:$G$230&lt;&gt;"moeda")*(Inputs!$G$5:$G$230&lt;&gt;"acoes")))*INDEX(Inputs!$K$5:$AJ$230,0,MATCH(Y$2,Inputs!$K$4:$AJ$4,0)))+SUMPRODUCT((Inputs!$C$5:$C$230=$B28)*Inputs!$D$5:$D$230*(((Inputs!$G$5:$G$230="moeda")+(Inputs!$G$5:$G$230="acoes"))*Inputs!$B$1+((Inputs!$G$5:$G$230&lt;&gt;"moeda")*(Inputs!$G$5:$G$230&lt;&gt;"acoes")))*INDEX(Inputs!$K$5:$AJ$230,0,MATCH(Y$2,Inputs!$K$4:$AJ$4,0)))+SUMPRODUCT((Inputs!$E$5:$E$230=$B28)*Inputs!$F$5:$F$230*(((Inputs!$G$5:$G$230="moeda")+(Inputs!$G$5:$G$230="acoes"))*Inputs!$B$1+((Inputs!$G$5:$G$230&lt;&gt;"moeda")*(Inputs!$G$5:$G$230&lt;&gt;"acoes")))*INDEX(Inputs!$K$5:$AJ$230,0,MATCH(Y$2,Inputs!$K$4:$AJ$4,0)))))</f>
        <v>211.938</v>
      </c>
      <c r="Z28" s="6">
        <f>IF(ISNA(MATCH(Z$2,Inputs!$K$4:$AJ$4,0)),NA(),IF(SUMPRODUCT((Inputs!$A$5:$A$230=$B28)*ISNUMBER(INDEX(Inputs!$K$5:$AJ$230,0,MATCH(Z$2,Inputs!$K$4:$AJ$4,0))))+SUMPRODUCT((Inputs!$C$5:$C$230=$B28)*ISNUMBER(INDEX(Inputs!$K$5:$AJ$230,0,MATCH(Z$2,Inputs!$K$4:$AJ$4,0))))+SUMPRODUCT((Inputs!$E$5:$E$230=$B28)*ISNUMBER(INDEX(Inputs!$K$5:$AJ$230,0,MATCH(Z$2,Inputs!$K$4:$AJ$4,0))))=0,NA(),SUMPRODUCT((Inputs!$A$5:$A$230=$B28)*Inputs!$B$5:$B$230*(((Inputs!$G$5:$G$230="moeda")+(Inputs!$G$5:$G$230="acoes"))*Inputs!$B$1+((Inputs!$G$5:$G$230&lt;&gt;"moeda")*(Inputs!$G$5:$G$230&lt;&gt;"acoes")))*INDEX(Inputs!$K$5:$AJ$230,0,MATCH(Z$2,Inputs!$K$4:$AJ$4,0)))+SUMPRODUCT((Inputs!$C$5:$C$230=$B28)*Inputs!$D$5:$D$230*(((Inputs!$G$5:$G$230="moeda")+(Inputs!$G$5:$G$230="acoes"))*Inputs!$B$1+((Inputs!$G$5:$G$230&lt;&gt;"moeda")*(Inputs!$G$5:$G$230&lt;&gt;"acoes")))*INDEX(Inputs!$K$5:$AJ$230,0,MATCH(Z$2,Inputs!$K$4:$AJ$4,0)))+SUMPRODUCT((Inputs!$E$5:$E$230=$B28)*Inputs!$F$5:$F$230*(((Inputs!$G$5:$G$230="moeda")+(Inputs!$G$5:$G$230="acoes"))*Inputs!$B$1+((Inputs!$G$5:$G$230&lt;&gt;"moeda")*(Inputs!$G$5:$G$230&lt;&gt;"acoes")))*INDEX(Inputs!$K$5:$AJ$230,0,MATCH(Z$2,Inputs!$K$4:$AJ$4,0)))))</f>
        <v>157.703</v>
      </c>
      <c r="AA28" s="6">
        <f>IF(ISNA(MATCH(AA$2,Inputs!$K$4:$AJ$4,0)),NA(),IF(SUMPRODUCT((Inputs!$A$5:$A$230=$B28)*ISNUMBER(INDEX(Inputs!$K$5:$AJ$230,0,MATCH(AA$2,Inputs!$K$4:$AJ$4,0))))+SUMPRODUCT((Inputs!$C$5:$C$230=$B28)*ISNUMBER(INDEX(Inputs!$K$5:$AJ$230,0,MATCH(AA$2,Inputs!$K$4:$AJ$4,0))))+SUMPRODUCT((Inputs!$E$5:$E$230=$B28)*ISNUMBER(INDEX(Inputs!$K$5:$AJ$230,0,MATCH(AA$2,Inputs!$K$4:$AJ$4,0))))=0,NA(),SUMPRODUCT((Inputs!$A$5:$A$230=$B28)*Inputs!$B$5:$B$230*(((Inputs!$G$5:$G$230="moeda")+(Inputs!$G$5:$G$230="acoes"))*Inputs!$B$1+((Inputs!$G$5:$G$230&lt;&gt;"moeda")*(Inputs!$G$5:$G$230&lt;&gt;"acoes")))*INDEX(Inputs!$K$5:$AJ$230,0,MATCH(AA$2,Inputs!$K$4:$AJ$4,0)))+SUMPRODUCT((Inputs!$C$5:$C$230=$B28)*Inputs!$D$5:$D$230*(((Inputs!$G$5:$G$230="moeda")+(Inputs!$G$5:$G$230="acoes"))*Inputs!$B$1+((Inputs!$G$5:$G$230&lt;&gt;"moeda")*(Inputs!$G$5:$G$230&lt;&gt;"acoes")))*INDEX(Inputs!$K$5:$AJ$230,0,MATCH(AA$2,Inputs!$K$4:$AJ$4,0)))+SUMPRODUCT((Inputs!$E$5:$E$230=$B28)*Inputs!$F$5:$F$230*(((Inputs!$G$5:$G$230="moeda")+(Inputs!$G$5:$G$230="acoes"))*Inputs!$B$1+((Inputs!$G$5:$G$230&lt;&gt;"moeda")*(Inputs!$G$5:$G$230&lt;&gt;"acoes")))*INDEX(Inputs!$K$5:$AJ$230,0,MATCH(AA$2,Inputs!$K$4:$AJ$4,0)))))</f>
        <v>190.734</v>
      </c>
      <c r="AB28" s="3">
        <f>AA28</f>
        <v>190.734</v>
      </c>
      <c r="AC28" s="6">
        <f>IF(ISNA(MATCH(AC$2,Inputs!$K$4:$AJ$4,0)),NA(),IF(SUMPRODUCT((Inputs!$A$5:$A$230=$B28)*ISNUMBER(INDEX(Inputs!$K$5:$AJ$230,0,MATCH(AC$2,Inputs!$K$4:$AJ$4,0))))+SUMPRODUCT((Inputs!$C$5:$C$230=$B28)*ISNUMBER(INDEX(Inputs!$K$5:$AJ$230,0,MATCH(AC$2,Inputs!$K$4:$AJ$4,0))))+SUMPRODUCT((Inputs!$E$5:$E$230=$B28)*ISNUMBER(INDEX(Inputs!$K$5:$AJ$230,0,MATCH(AC$2,Inputs!$K$4:$AJ$4,0))))=0,NA(),SUMPRODUCT((Inputs!$A$5:$A$230=$B28)*Inputs!$B$5:$B$230*(((Inputs!$G$5:$G$230="moeda")+(Inputs!$G$5:$G$230="acoes"))*Inputs!$B$1+((Inputs!$G$5:$G$230&lt;&gt;"moeda")*(Inputs!$G$5:$G$230&lt;&gt;"acoes")))*INDEX(Inputs!$K$5:$AJ$230,0,MATCH(AC$2,Inputs!$K$4:$AJ$4,0)))+SUMPRODUCT((Inputs!$C$5:$C$230=$B28)*Inputs!$D$5:$D$230*(((Inputs!$G$5:$G$230="moeda")+(Inputs!$G$5:$G$230="acoes"))*Inputs!$B$1+((Inputs!$G$5:$G$230&lt;&gt;"moeda")*(Inputs!$G$5:$G$230&lt;&gt;"acoes")))*INDEX(Inputs!$K$5:$AJ$230,0,MATCH(AC$2,Inputs!$K$4:$AJ$4,0)))+SUMPRODUCT((Inputs!$E$5:$E$230=$B28)*Inputs!$F$5:$F$230*(((Inputs!$G$5:$G$230="moeda")+(Inputs!$G$5:$G$230="acoes"))*Inputs!$B$1+((Inputs!$G$5:$G$230&lt;&gt;"moeda")*(Inputs!$G$5:$G$230&lt;&gt;"acoes")))*INDEX(Inputs!$K$5:$AJ$230,0,MATCH(AC$2,Inputs!$K$4:$AJ$4,0)))))</f>
        <v>290.279</v>
      </c>
      <c r="AD28" s="6">
        <f>IF(ISNA(MATCH(AD$2,Inputs!$K$4:$AJ$4,0)),NA(),IF(SUMPRODUCT((Inputs!$A$5:$A$230=$B28)*ISNUMBER(INDEX(Inputs!$K$5:$AJ$230,0,MATCH(AD$2,Inputs!$K$4:$AJ$4,0))))+SUMPRODUCT((Inputs!$C$5:$C$230=$B28)*ISNUMBER(INDEX(Inputs!$K$5:$AJ$230,0,MATCH(AD$2,Inputs!$K$4:$AJ$4,0))))+SUMPRODUCT((Inputs!$E$5:$E$230=$B28)*ISNUMBER(INDEX(Inputs!$K$5:$AJ$230,0,MATCH(AD$2,Inputs!$K$4:$AJ$4,0))))=0,NA(),SUMPRODUCT((Inputs!$A$5:$A$230=$B28)*Inputs!$B$5:$B$230*(((Inputs!$G$5:$G$230="moeda")+(Inputs!$G$5:$G$230="acoes"))*Inputs!$B$1+((Inputs!$G$5:$G$230&lt;&gt;"moeda")*(Inputs!$G$5:$G$230&lt;&gt;"acoes")))*INDEX(Inputs!$K$5:$AJ$230,0,MATCH(AD$2,Inputs!$K$4:$AJ$4,0)))+SUMPRODUCT((Inputs!$C$5:$C$230=$B28)*Inputs!$D$5:$D$230*(((Inputs!$G$5:$G$230="moeda")+(Inputs!$G$5:$G$230="acoes"))*Inputs!$B$1+((Inputs!$G$5:$G$230&lt;&gt;"moeda")*(Inputs!$G$5:$G$230&lt;&gt;"acoes")))*INDEX(Inputs!$K$5:$AJ$230,0,MATCH(AD$2,Inputs!$K$4:$AJ$4,0)))+SUMPRODUCT((Inputs!$E$5:$E$230=$B28)*Inputs!$F$5:$F$230*(((Inputs!$G$5:$G$230="moeda")+(Inputs!$G$5:$G$230="acoes"))*Inputs!$B$1+((Inputs!$G$5:$G$230&lt;&gt;"moeda")*(Inputs!$G$5:$G$230&lt;&gt;"acoes")))*INDEX(Inputs!$K$5:$AJ$230,0,MATCH(AD$2,Inputs!$K$4:$AJ$4,0)))))</f>
        <v>306.514</v>
      </c>
      <c r="AE28" s="6" t="e">
        <f>IF(ISNA(MATCH(AE$2,Inputs!$K$4:$AJ$4,0)),NA(),IF(SUMPRODUCT((Inputs!$A$5:$A$230=$B28)*ISNUMBER(INDEX(Inputs!$K$5:$AJ$230,0,MATCH(AE$2,Inputs!$K$4:$AJ$4,0))))+SUMPRODUCT((Inputs!$C$5:$C$230=$B28)*ISNUMBER(INDEX(Inputs!$K$5:$AJ$230,0,MATCH(AE$2,Inputs!$K$4:$AJ$4,0))))+SUMPRODUCT((Inputs!$E$5:$E$230=$B28)*ISNUMBER(INDEX(Inputs!$K$5:$AJ$230,0,MATCH(AE$2,Inputs!$K$4:$AJ$4,0))))=0,NA(),SUMPRODUCT((Inputs!$A$5:$A$230=$B28)*Inputs!$B$5:$B$230*(((Inputs!$G$5:$G$230="moeda")+(Inputs!$G$5:$G$230="acoes"))*Inputs!$B$1+((Inputs!$G$5:$G$230&lt;&gt;"moeda")*(Inputs!$G$5:$G$230&lt;&gt;"acoes")))*INDEX(Inputs!$K$5:$AJ$230,0,MATCH(AE$2,Inputs!$K$4:$AJ$4,0)))+SUMPRODUCT((Inputs!$C$5:$C$230=$B28)*Inputs!$D$5:$D$230*(((Inputs!$G$5:$G$230="moeda")+(Inputs!$G$5:$G$230="acoes"))*Inputs!$B$1+((Inputs!$G$5:$G$230&lt;&gt;"moeda")*(Inputs!$G$5:$G$230&lt;&gt;"acoes")))*INDEX(Inputs!$K$5:$AJ$230,0,MATCH(AE$2,Inputs!$K$4:$AJ$4,0)))+SUMPRODUCT((Inputs!$E$5:$E$230=$B28)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28" s="6" t="e">
        <f>IF(ISNA(MATCH(AF$2,Inputs!$K$4:$AJ$4,0)),NA(),IF(SUMPRODUCT((Inputs!$A$5:$A$230=$B28)*ISNUMBER(INDEX(Inputs!$K$5:$AJ$230,0,MATCH(AF$2,Inputs!$K$4:$AJ$4,0))))+SUMPRODUCT((Inputs!$C$5:$C$230=$B28)*ISNUMBER(INDEX(Inputs!$K$5:$AJ$230,0,MATCH(AF$2,Inputs!$K$4:$AJ$4,0))))+SUMPRODUCT((Inputs!$E$5:$E$230=$B28)*ISNUMBER(INDEX(Inputs!$K$5:$AJ$230,0,MATCH(AF$2,Inputs!$K$4:$AJ$4,0))))=0,NA(),SUMPRODUCT((Inputs!$A$5:$A$230=$B28)*Inputs!$B$5:$B$230*(((Inputs!$G$5:$G$230="moeda")+(Inputs!$G$5:$G$230="acoes"))*Inputs!$B$1+((Inputs!$G$5:$G$230&lt;&gt;"moeda")*(Inputs!$G$5:$G$230&lt;&gt;"acoes")))*INDEX(Inputs!$K$5:$AJ$230,0,MATCH(AF$2,Inputs!$K$4:$AJ$4,0)))+SUMPRODUCT((Inputs!$C$5:$C$230=$B28)*Inputs!$D$5:$D$230*(((Inputs!$G$5:$G$230="moeda")+(Inputs!$G$5:$G$230="acoes"))*Inputs!$B$1+((Inputs!$G$5:$G$230&lt;&gt;"moeda")*(Inputs!$G$5:$G$230&lt;&gt;"acoes")))*INDEX(Inputs!$K$5:$AJ$230,0,MATCH(AF$2,Inputs!$K$4:$AJ$4,0)))+SUMPRODUCT((Inputs!$E$5:$E$230=$B28)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28" s="3" t="e">
        <f>AF28</f>
        <v>#N/A</v>
      </c>
      <c r="AH28" s="6">
        <f>IF(ISNA(MATCH(AH$2,Inputs!$K$4:$AJ$4,0)),NA(),IF(SUMPRODUCT((Inputs!$A$5:$A$230=$B28)*ISNUMBER(INDEX(Inputs!$K$5:$AJ$230,0,MATCH(AH$2,Inputs!$K$4:$AJ$4,0))))+SUMPRODUCT((Inputs!$C$5:$C$230=$B28)*ISNUMBER(INDEX(Inputs!$K$5:$AJ$230,0,MATCH(AH$2,Inputs!$K$4:$AJ$4,0))))+SUMPRODUCT((Inputs!$E$5:$E$230=$B28)*ISNUMBER(INDEX(Inputs!$K$5:$AJ$230,0,MATCH(AH$2,Inputs!$K$4:$AJ$4,0))))=0,NA(),SUMPRODUCT((Inputs!$A$5:$A$230=$B28)*Inputs!$B$5:$B$230*(((Inputs!$G$5:$G$230="moeda")+(Inputs!$G$5:$G$230="acoes"))*Inputs!$B$1+((Inputs!$G$5:$G$230&lt;&gt;"moeda")*(Inputs!$G$5:$G$230&lt;&gt;"acoes")))*INDEX(Inputs!$K$5:$AJ$230,0,MATCH(AH$2,Inputs!$K$4:$AJ$4,0)))+SUMPRODUCT((Inputs!$C$5:$C$230=$B28)*Inputs!$D$5:$D$230*(((Inputs!$G$5:$G$230="moeda")+(Inputs!$G$5:$G$230="acoes"))*Inputs!$B$1+((Inputs!$G$5:$G$230&lt;&gt;"moeda")*(Inputs!$G$5:$G$230&lt;&gt;"acoes")))*INDEX(Inputs!$K$5:$AJ$230,0,MATCH(AH$2,Inputs!$K$4:$AJ$4,0)))+SUMPRODUCT((Inputs!$E$5:$E$230=$B28)*Inputs!$F$5:$F$230*(((Inputs!$G$5:$G$230="moeda")+(Inputs!$G$5:$G$230="acoes"))*Inputs!$B$1+((Inputs!$G$5:$G$230&lt;&gt;"moeda")*(Inputs!$G$5:$G$230&lt;&gt;"acoes")))*INDEX(Inputs!$K$5:$AJ$230,0,MATCH(AH$2,Inputs!$K$4:$AJ$4,0)))))</f>
        <v>342.367</v>
      </c>
      <c r="AI28" s="6">
        <f>IF(ISNA(MATCH(AI$2,Inputs!$K$4:$AJ$4,0)),NA(),IF(SUMPRODUCT((Inputs!$A$5:$A$230=$B28)*ISNUMBER(INDEX(Inputs!$K$5:$AJ$230,0,MATCH(AI$2,Inputs!$K$4:$AJ$4,0))))+SUMPRODUCT((Inputs!$C$5:$C$230=$B28)*ISNUMBER(INDEX(Inputs!$K$5:$AJ$230,0,MATCH(AI$2,Inputs!$K$4:$AJ$4,0))))+SUMPRODUCT((Inputs!$E$5:$E$230=$B28)*ISNUMBER(INDEX(Inputs!$K$5:$AJ$230,0,MATCH(AI$2,Inputs!$K$4:$AJ$4,0))))=0,NA(),SUMPRODUCT((Inputs!$A$5:$A$230=$B28)*Inputs!$B$5:$B$230*(((Inputs!$G$5:$G$230="moeda")+(Inputs!$G$5:$G$230="acoes"))*Inputs!$B$1+((Inputs!$G$5:$G$230&lt;&gt;"moeda")*(Inputs!$G$5:$G$230&lt;&gt;"acoes")))*INDEX(Inputs!$K$5:$AJ$230,0,MATCH(AI$2,Inputs!$K$4:$AJ$4,0)))+SUMPRODUCT((Inputs!$C$5:$C$230=$B28)*Inputs!$D$5:$D$230*(((Inputs!$G$5:$G$230="moeda")+(Inputs!$G$5:$G$230="acoes"))*Inputs!$B$1+((Inputs!$G$5:$G$230&lt;&gt;"moeda")*(Inputs!$G$5:$G$230&lt;&gt;"acoes")))*INDEX(Inputs!$K$5:$AJ$230,0,MATCH(AI$2,Inputs!$K$4:$AJ$4,0)))+SUMPRODUCT((Inputs!$E$5:$E$230=$B28)*Inputs!$F$5:$F$230*(((Inputs!$G$5:$G$230="moeda")+(Inputs!$G$5:$G$230="acoes"))*Inputs!$B$1+((Inputs!$G$5:$G$230&lt;&gt;"moeda")*(Inputs!$G$5:$G$230&lt;&gt;"acoes")))*INDEX(Inputs!$K$5:$AJ$230,0,MATCH(AI$2,Inputs!$K$4:$AJ$4,0)))))</f>
        <v>360.587</v>
      </c>
      <c r="AJ28" s="6">
        <f>IF(ISNA(MATCH(AJ$2,Inputs!$K$4:$AJ$4,0)),NA(),IF(SUMPRODUCT((Inputs!$A$5:$A$230=$B28)*ISNUMBER(INDEX(Inputs!$K$5:$AJ$230,0,MATCH(AJ$2,Inputs!$K$4:$AJ$4,0))))+SUMPRODUCT((Inputs!$C$5:$C$230=$B28)*ISNUMBER(INDEX(Inputs!$K$5:$AJ$230,0,MATCH(AJ$2,Inputs!$K$4:$AJ$4,0))))+SUMPRODUCT((Inputs!$E$5:$E$230=$B28)*ISNUMBER(INDEX(Inputs!$K$5:$AJ$230,0,MATCH(AJ$2,Inputs!$K$4:$AJ$4,0))))=0,NA(),SUMPRODUCT((Inputs!$A$5:$A$230=$B28)*Inputs!$B$5:$B$230*(((Inputs!$G$5:$G$230="moeda")+(Inputs!$G$5:$G$230="acoes"))*Inputs!$B$1+((Inputs!$G$5:$G$230&lt;&gt;"moeda")*(Inputs!$G$5:$G$230&lt;&gt;"acoes")))*INDEX(Inputs!$K$5:$AJ$230,0,MATCH(AJ$2,Inputs!$K$4:$AJ$4,0)))+SUMPRODUCT((Inputs!$C$5:$C$230=$B28)*Inputs!$D$5:$D$230*(((Inputs!$G$5:$G$230="moeda")+(Inputs!$G$5:$G$230="acoes"))*Inputs!$B$1+((Inputs!$G$5:$G$230&lt;&gt;"moeda")*(Inputs!$G$5:$G$230&lt;&gt;"acoes")))*INDEX(Inputs!$K$5:$AJ$230,0,MATCH(AJ$2,Inputs!$K$4:$AJ$4,0)))+SUMPRODUCT((Inputs!$E$5:$E$230=$B28)*Inputs!$F$5:$F$230*(((Inputs!$G$5:$G$230="moeda")+(Inputs!$G$5:$G$230="acoes"))*Inputs!$B$1+((Inputs!$G$5:$G$230&lt;&gt;"moeda")*(Inputs!$G$5:$G$230&lt;&gt;"acoes")))*INDEX(Inputs!$K$5:$AJ$230,0,MATCH(AJ$2,Inputs!$K$4:$AJ$4,0)))))</f>
        <v>366.682</v>
      </c>
      <c r="AK28" s="6">
        <f>IF(ISNA(MATCH(AK$2,Inputs!$K$4:$AJ$4,0)),NA(),IF(SUMPRODUCT((Inputs!$A$5:$A$230=$B28)*ISNUMBER(INDEX(Inputs!$K$5:$AJ$230,0,MATCH(AK$2,Inputs!$K$4:$AJ$4,0))))+SUMPRODUCT((Inputs!$C$5:$C$230=$B28)*ISNUMBER(INDEX(Inputs!$K$5:$AJ$230,0,MATCH(AK$2,Inputs!$K$4:$AJ$4,0))))+SUMPRODUCT((Inputs!$E$5:$E$230=$B28)*ISNUMBER(INDEX(Inputs!$K$5:$AJ$230,0,MATCH(AK$2,Inputs!$K$4:$AJ$4,0))))=0,NA(),SUMPRODUCT((Inputs!$A$5:$A$230=$B28)*Inputs!$B$5:$B$230*(((Inputs!$G$5:$G$230="moeda")+(Inputs!$G$5:$G$230="acoes"))*Inputs!$B$1+((Inputs!$G$5:$G$230&lt;&gt;"moeda")*(Inputs!$G$5:$G$230&lt;&gt;"acoes")))*INDEX(Inputs!$K$5:$AJ$230,0,MATCH(AK$2,Inputs!$K$4:$AJ$4,0)))+SUMPRODUCT((Inputs!$C$5:$C$230=$B28)*Inputs!$D$5:$D$230*(((Inputs!$G$5:$G$230="moeda")+(Inputs!$G$5:$G$230="acoes"))*Inputs!$B$1+((Inputs!$G$5:$G$230&lt;&gt;"moeda")*(Inputs!$G$5:$G$230&lt;&gt;"acoes")))*INDEX(Inputs!$K$5:$AJ$230,0,MATCH(AK$2,Inputs!$K$4:$AJ$4,0)))+SUMPRODUCT((Inputs!$E$5:$E$230=$B28)*Inputs!$F$5:$F$230*(((Inputs!$G$5:$G$230="moeda")+(Inputs!$G$5:$G$230="acoes"))*Inputs!$B$1+((Inputs!$G$5:$G$230&lt;&gt;"moeda")*(Inputs!$G$5:$G$230&lt;&gt;"acoes")))*INDEX(Inputs!$K$5:$AJ$230,0,MATCH(AK$2,Inputs!$K$4:$AJ$4,0)))))</f>
        <v>385.127</v>
      </c>
      <c r="AL28" s="3">
        <f>AK28</f>
        <v>385.127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$230=$B29)*ISNUMBER(INDEX(Inputs!$K$5:$AJ$230,0,MATCH(D$2,Inputs!$K$4:$AJ$4,0))))+SUMPRODUCT((Inputs!$C$5:$C$230=$B29)*ISNUMBER(INDEX(Inputs!$K$5:$AJ$230,0,MATCH(D$2,Inputs!$K$4:$AJ$4,0))))+SUMPRODUCT((Inputs!$E$5:$E$230=$B29)*ISNUMBER(INDEX(Inputs!$K$5:$AJ$230,0,MATCH(D$2,Inputs!$K$4:$AJ$4,0))))=0,NA(),SUMPRODUCT((Inputs!$A$5:$A$230=$B29)*Inputs!$B$5:$B$230*(((Inputs!$G$5:$G$230="moeda")+(Inputs!$G$5:$G$230="acoes"))*Inputs!$B$1+((Inputs!$G$5:$G$230&lt;&gt;"moeda")*(Inputs!$G$5:$G$230&lt;&gt;"acoes")))*INDEX(Inputs!$K$5:$AJ$230,0,MATCH(D$2,Inputs!$K$4:$AJ$4,0)))+SUMPRODUCT((Inputs!$C$5:$C$230=$B29)*Inputs!$D$5:$D$230*(((Inputs!$G$5:$G$230="moeda")+(Inputs!$G$5:$G$230="acoes"))*Inputs!$B$1+((Inputs!$G$5:$G$230&lt;&gt;"moeda")*(Inputs!$G$5:$G$230&lt;&gt;"acoes")))*INDEX(Inputs!$K$5:$AJ$230,0,MATCH(D$2,Inputs!$K$4:$AJ$4,0)))+SUMPRODUCT((Inputs!$E$5:$E$230=$B29)*Inputs!$F$5:$F$230*(((Inputs!$G$5:$G$230="moeda")+(Inputs!$G$5:$G$230="acoes"))*Inputs!$B$1+((Inputs!$G$5:$G$230&lt;&gt;"moeda")*(Inputs!$G$5:$G$230&lt;&gt;"acoes")))*INDEX(Inputs!$K$5:$AJ$230,0,MATCH(D$2,Inputs!$K$4:$AJ$4,0)))))</f>
        <v>57.887</v>
      </c>
      <c r="E29" s="6">
        <f>IF(ISNA(MATCH(E$2,Inputs!$K$4:$AJ$4,0)),NA(),IF(SUMPRODUCT((Inputs!$A$5:$A$230=$B29)*ISNUMBER(INDEX(Inputs!$K$5:$AJ$230,0,MATCH(E$2,Inputs!$K$4:$AJ$4,0))))+SUMPRODUCT((Inputs!$C$5:$C$230=$B29)*ISNUMBER(INDEX(Inputs!$K$5:$AJ$230,0,MATCH(E$2,Inputs!$K$4:$AJ$4,0))))+SUMPRODUCT((Inputs!$E$5:$E$230=$B29)*ISNUMBER(INDEX(Inputs!$K$5:$AJ$230,0,MATCH(E$2,Inputs!$K$4:$AJ$4,0))))=0,NA(),SUMPRODUCT((Inputs!$A$5:$A$230=$B29)*Inputs!$B$5:$B$230*(((Inputs!$G$5:$G$230="moeda")+(Inputs!$G$5:$G$230="acoes"))*Inputs!$B$1+((Inputs!$G$5:$G$230&lt;&gt;"moeda")*(Inputs!$G$5:$G$230&lt;&gt;"acoes")))*INDEX(Inputs!$K$5:$AJ$230,0,MATCH(E$2,Inputs!$K$4:$AJ$4,0)))+SUMPRODUCT((Inputs!$C$5:$C$230=$B29)*Inputs!$D$5:$D$230*(((Inputs!$G$5:$G$230="moeda")+(Inputs!$G$5:$G$230="acoes"))*Inputs!$B$1+((Inputs!$G$5:$G$230&lt;&gt;"moeda")*(Inputs!$G$5:$G$230&lt;&gt;"acoes")))*INDEX(Inputs!$K$5:$AJ$230,0,MATCH(E$2,Inputs!$K$4:$AJ$4,0)))+SUMPRODUCT((Inputs!$E$5:$E$230=$B29)*Inputs!$F$5:$F$230*(((Inputs!$G$5:$G$230="moeda")+(Inputs!$G$5:$G$230="acoes"))*Inputs!$B$1+((Inputs!$G$5:$G$230&lt;&gt;"moeda")*(Inputs!$G$5:$G$230&lt;&gt;"acoes")))*INDEX(Inputs!$K$5:$AJ$230,0,MATCH(E$2,Inputs!$K$4:$AJ$4,0)))))</f>
        <v>33.676</v>
      </c>
      <c r="F29" s="6">
        <f>IF(ISNA(MATCH(F$2,Inputs!$K$4:$AJ$4,0)),NA(),IF(SUMPRODUCT((Inputs!$A$5:$A$230=$B29)*ISNUMBER(INDEX(Inputs!$K$5:$AJ$230,0,MATCH(F$2,Inputs!$K$4:$AJ$4,0))))+SUMPRODUCT((Inputs!$C$5:$C$230=$B29)*ISNUMBER(INDEX(Inputs!$K$5:$AJ$230,0,MATCH(F$2,Inputs!$K$4:$AJ$4,0))))+SUMPRODUCT((Inputs!$E$5:$E$230=$B29)*ISNUMBER(INDEX(Inputs!$K$5:$AJ$230,0,MATCH(F$2,Inputs!$K$4:$AJ$4,0))))=0,NA(),SUMPRODUCT((Inputs!$A$5:$A$230=$B29)*Inputs!$B$5:$B$230*(((Inputs!$G$5:$G$230="moeda")+(Inputs!$G$5:$G$230="acoes"))*Inputs!$B$1+((Inputs!$G$5:$G$230&lt;&gt;"moeda")*(Inputs!$G$5:$G$230&lt;&gt;"acoes")))*INDEX(Inputs!$K$5:$AJ$230,0,MATCH(F$2,Inputs!$K$4:$AJ$4,0)))+SUMPRODUCT((Inputs!$C$5:$C$230=$B29)*Inputs!$D$5:$D$230*(((Inputs!$G$5:$G$230="moeda")+(Inputs!$G$5:$G$230="acoes"))*Inputs!$B$1+((Inputs!$G$5:$G$230&lt;&gt;"moeda")*(Inputs!$G$5:$G$230&lt;&gt;"acoes")))*INDEX(Inputs!$K$5:$AJ$230,0,MATCH(F$2,Inputs!$K$4:$AJ$4,0)))+SUMPRODUCT((Inputs!$E$5:$E$230=$B29)*Inputs!$F$5:$F$230*(((Inputs!$G$5:$G$230="moeda")+(Inputs!$G$5:$G$230="acoes"))*Inputs!$B$1+((Inputs!$G$5:$G$230&lt;&gt;"moeda")*(Inputs!$G$5:$G$230&lt;&gt;"acoes")))*INDEX(Inputs!$K$5:$AJ$230,0,MATCH(F$2,Inputs!$K$4:$AJ$4,0)))))</f>
        <v>38.093</v>
      </c>
      <c r="G29" s="6">
        <f>IF(ISNA(MATCH(G$2,Inputs!$K$4:$AJ$4,0)),NA(),IF(SUMPRODUCT((Inputs!$A$5:$A$230=$B29)*ISNUMBER(INDEX(Inputs!$K$5:$AJ$230,0,MATCH(G$2,Inputs!$K$4:$AJ$4,0))))+SUMPRODUCT((Inputs!$C$5:$C$230=$B29)*ISNUMBER(INDEX(Inputs!$K$5:$AJ$230,0,MATCH(G$2,Inputs!$K$4:$AJ$4,0))))+SUMPRODUCT((Inputs!$E$5:$E$230=$B29)*ISNUMBER(INDEX(Inputs!$K$5:$AJ$230,0,MATCH(G$2,Inputs!$K$4:$AJ$4,0))))=0,NA(),SUMPRODUCT((Inputs!$A$5:$A$230=$B29)*Inputs!$B$5:$B$230*(((Inputs!$G$5:$G$230="moeda")+(Inputs!$G$5:$G$230="acoes"))*Inputs!$B$1+((Inputs!$G$5:$G$230&lt;&gt;"moeda")*(Inputs!$G$5:$G$230&lt;&gt;"acoes")))*INDEX(Inputs!$K$5:$AJ$230,0,MATCH(G$2,Inputs!$K$4:$AJ$4,0)))+SUMPRODUCT((Inputs!$C$5:$C$230=$B29)*Inputs!$D$5:$D$230*(((Inputs!$G$5:$G$230="moeda")+(Inputs!$G$5:$G$230="acoes"))*Inputs!$B$1+((Inputs!$G$5:$G$230&lt;&gt;"moeda")*(Inputs!$G$5:$G$230&lt;&gt;"acoes")))*INDEX(Inputs!$K$5:$AJ$230,0,MATCH(G$2,Inputs!$K$4:$AJ$4,0)))+SUMPRODUCT((Inputs!$E$5:$E$230=$B29)*Inputs!$F$5:$F$230*(((Inputs!$G$5:$G$230="moeda")+(Inputs!$G$5:$G$230="acoes"))*Inputs!$B$1+((Inputs!$G$5:$G$230&lt;&gt;"moeda")*(Inputs!$G$5:$G$230&lt;&gt;"acoes")))*INDEX(Inputs!$K$5:$AJ$230,0,MATCH(G$2,Inputs!$K$4:$AJ$4,0)))))</f>
        <v>44.866</v>
      </c>
      <c r="H29" s="3">
        <f>G29</f>
        <v>44.866</v>
      </c>
      <c r="I29" s="6">
        <f>IF(ISNA(MATCH(I$2,Inputs!$K$4:$AJ$4,0)),NA(),IF(SUMPRODUCT((Inputs!$A$5:$A$230=$B29)*ISNUMBER(INDEX(Inputs!$K$5:$AJ$230,0,MATCH(I$2,Inputs!$K$4:$AJ$4,0))))+SUMPRODUCT((Inputs!$C$5:$C$230=$B29)*ISNUMBER(INDEX(Inputs!$K$5:$AJ$230,0,MATCH(I$2,Inputs!$K$4:$AJ$4,0))))+SUMPRODUCT((Inputs!$E$5:$E$230=$B29)*ISNUMBER(INDEX(Inputs!$K$5:$AJ$230,0,MATCH(I$2,Inputs!$K$4:$AJ$4,0))))=0,NA(),SUMPRODUCT((Inputs!$A$5:$A$230=$B29)*Inputs!$B$5:$B$230*(((Inputs!$G$5:$G$230="moeda")+(Inputs!$G$5:$G$230="acoes"))*Inputs!$B$1+((Inputs!$G$5:$G$230&lt;&gt;"moeda")*(Inputs!$G$5:$G$230&lt;&gt;"acoes")))*INDEX(Inputs!$K$5:$AJ$230,0,MATCH(I$2,Inputs!$K$4:$AJ$4,0)))+SUMPRODUCT((Inputs!$C$5:$C$230=$B29)*Inputs!$D$5:$D$230*(((Inputs!$G$5:$G$230="moeda")+(Inputs!$G$5:$G$230="acoes"))*Inputs!$B$1+((Inputs!$G$5:$G$230&lt;&gt;"moeda")*(Inputs!$G$5:$G$230&lt;&gt;"acoes")))*INDEX(Inputs!$K$5:$AJ$230,0,MATCH(I$2,Inputs!$K$4:$AJ$4,0)))+SUMPRODUCT((Inputs!$E$5:$E$230=$B29)*Inputs!$F$5:$F$230*(((Inputs!$G$5:$G$230="moeda")+(Inputs!$G$5:$G$230="acoes"))*Inputs!$B$1+((Inputs!$G$5:$G$230&lt;&gt;"moeda")*(Inputs!$G$5:$G$230&lt;&gt;"acoes")))*INDEX(Inputs!$K$5:$AJ$230,0,MATCH(I$2,Inputs!$K$4:$AJ$4,0)))))</f>
        <v>49.435</v>
      </c>
      <c r="J29" s="6">
        <f>IF(ISNA(MATCH(J$2,Inputs!$K$4:$AJ$4,0)),NA(),IF(SUMPRODUCT((Inputs!$A$5:$A$230=$B29)*ISNUMBER(INDEX(Inputs!$K$5:$AJ$230,0,MATCH(J$2,Inputs!$K$4:$AJ$4,0))))+SUMPRODUCT((Inputs!$C$5:$C$230=$B29)*ISNUMBER(INDEX(Inputs!$K$5:$AJ$230,0,MATCH(J$2,Inputs!$K$4:$AJ$4,0))))+SUMPRODUCT((Inputs!$E$5:$E$230=$B29)*ISNUMBER(INDEX(Inputs!$K$5:$AJ$230,0,MATCH(J$2,Inputs!$K$4:$AJ$4,0))))=0,NA(),SUMPRODUCT((Inputs!$A$5:$A$230=$B29)*Inputs!$B$5:$B$230*(((Inputs!$G$5:$G$230="moeda")+(Inputs!$G$5:$G$230="acoes"))*Inputs!$B$1+((Inputs!$G$5:$G$230&lt;&gt;"moeda")*(Inputs!$G$5:$G$230&lt;&gt;"acoes")))*INDEX(Inputs!$K$5:$AJ$230,0,MATCH(J$2,Inputs!$K$4:$AJ$4,0)))+SUMPRODUCT((Inputs!$C$5:$C$230=$B29)*Inputs!$D$5:$D$230*(((Inputs!$G$5:$G$230="moeda")+(Inputs!$G$5:$G$230="acoes"))*Inputs!$B$1+((Inputs!$G$5:$G$230&lt;&gt;"moeda")*(Inputs!$G$5:$G$230&lt;&gt;"acoes")))*INDEX(Inputs!$K$5:$AJ$230,0,MATCH(J$2,Inputs!$K$4:$AJ$4,0)))+SUMPRODUCT((Inputs!$E$5:$E$230=$B29)*Inputs!$F$5:$F$230*(((Inputs!$G$5:$G$230="moeda")+(Inputs!$G$5:$G$230="acoes"))*Inputs!$B$1+((Inputs!$G$5:$G$230&lt;&gt;"moeda")*(Inputs!$G$5:$G$230&lt;&gt;"acoes")))*INDEX(Inputs!$K$5:$AJ$230,0,MATCH(J$2,Inputs!$K$4:$AJ$4,0)))))</f>
        <v>37.285</v>
      </c>
      <c r="K29" s="6">
        <f>IF(ISNA(MATCH(K$2,Inputs!$K$4:$AJ$4,0)),NA(),IF(SUMPRODUCT((Inputs!$A$5:$A$230=$B29)*ISNUMBER(INDEX(Inputs!$K$5:$AJ$230,0,MATCH(K$2,Inputs!$K$4:$AJ$4,0))))+SUMPRODUCT((Inputs!$C$5:$C$230=$B29)*ISNUMBER(INDEX(Inputs!$K$5:$AJ$230,0,MATCH(K$2,Inputs!$K$4:$AJ$4,0))))+SUMPRODUCT((Inputs!$E$5:$E$230=$B29)*ISNUMBER(INDEX(Inputs!$K$5:$AJ$230,0,MATCH(K$2,Inputs!$K$4:$AJ$4,0))))=0,NA(),SUMPRODUCT((Inputs!$A$5:$A$230=$B29)*Inputs!$B$5:$B$230*(((Inputs!$G$5:$G$230="moeda")+(Inputs!$G$5:$G$230="acoes"))*Inputs!$B$1+((Inputs!$G$5:$G$230&lt;&gt;"moeda")*(Inputs!$G$5:$G$230&lt;&gt;"acoes")))*INDEX(Inputs!$K$5:$AJ$230,0,MATCH(K$2,Inputs!$K$4:$AJ$4,0)))+SUMPRODUCT((Inputs!$C$5:$C$230=$B29)*Inputs!$D$5:$D$230*(((Inputs!$G$5:$G$230="moeda")+(Inputs!$G$5:$G$230="acoes"))*Inputs!$B$1+((Inputs!$G$5:$G$230&lt;&gt;"moeda")*(Inputs!$G$5:$G$230&lt;&gt;"acoes")))*INDEX(Inputs!$K$5:$AJ$230,0,MATCH(K$2,Inputs!$K$4:$AJ$4,0)))+SUMPRODUCT((Inputs!$E$5:$E$230=$B29)*Inputs!$F$5:$F$230*(((Inputs!$G$5:$G$230="moeda")+(Inputs!$G$5:$G$230="acoes"))*Inputs!$B$1+((Inputs!$G$5:$G$230&lt;&gt;"moeda")*(Inputs!$G$5:$G$230&lt;&gt;"acoes")))*INDEX(Inputs!$K$5:$AJ$230,0,MATCH(K$2,Inputs!$K$4:$AJ$4,0)))))</f>
        <v>40.193</v>
      </c>
      <c r="L29" s="6">
        <f>IF(ISNA(MATCH(L$2,Inputs!$K$4:$AJ$4,0)),NA(),IF(SUMPRODUCT((Inputs!$A$5:$A$230=$B29)*ISNUMBER(INDEX(Inputs!$K$5:$AJ$230,0,MATCH(L$2,Inputs!$K$4:$AJ$4,0))))+SUMPRODUCT((Inputs!$C$5:$C$230=$B29)*ISNUMBER(INDEX(Inputs!$K$5:$AJ$230,0,MATCH(L$2,Inputs!$K$4:$AJ$4,0))))+SUMPRODUCT((Inputs!$E$5:$E$230=$B29)*ISNUMBER(INDEX(Inputs!$K$5:$AJ$230,0,MATCH(L$2,Inputs!$K$4:$AJ$4,0))))=0,NA(),SUMPRODUCT((Inputs!$A$5:$A$230=$B29)*Inputs!$B$5:$B$230*(((Inputs!$G$5:$G$230="moeda")+(Inputs!$G$5:$G$230="acoes"))*Inputs!$B$1+((Inputs!$G$5:$G$230&lt;&gt;"moeda")*(Inputs!$G$5:$G$230&lt;&gt;"acoes")))*INDEX(Inputs!$K$5:$AJ$230,0,MATCH(L$2,Inputs!$K$4:$AJ$4,0)))+SUMPRODUCT((Inputs!$C$5:$C$230=$B29)*Inputs!$D$5:$D$230*(((Inputs!$G$5:$G$230="moeda")+(Inputs!$G$5:$G$230="acoes"))*Inputs!$B$1+((Inputs!$G$5:$G$230&lt;&gt;"moeda")*(Inputs!$G$5:$G$230&lt;&gt;"acoes")))*INDEX(Inputs!$K$5:$AJ$230,0,MATCH(L$2,Inputs!$K$4:$AJ$4,0)))+SUMPRODUCT((Inputs!$E$5:$E$230=$B29)*Inputs!$F$5:$F$230*(((Inputs!$G$5:$G$230="moeda")+(Inputs!$G$5:$G$230="acoes"))*Inputs!$B$1+((Inputs!$G$5:$G$230&lt;&gt;"moeda")*(Inputs!$G$5:$G$230&lt;&gt;"acoes")))*INDEX(Inputs!$K$5:$AJ$230,0,MATCH(L$2,Inputs!$K$4:$AJ$4,0)))))</f>
        <v>45.325</v>
      </c>
      <c r="M29" s="3">
        <f>L29</f>
        <v>45.325</v>
      </c>
      <c r="N29" s="6">
        <f>IF(ISNA(MATCH(N$2,Inputs!$K$4:$AJ$4,0)),NA(),IF(SUMPRODUCT((Inputs!$A$5:$A$230=$B29)*ISNUMBER(INDEX(Inputs!$K$5:$AJ$230,0,MATCH(N$2,Inputs!$K$4:$AJ$4,0))))+SUMPRODUCT((Inputs!$C$5:$C$230=$B29)*ISNUMBER(INDEX(Inputs!$K$5:$AJ$230,0,MATCH(N$2,Inputs!$K$4:$AJ$4,0))))+SUMPRODUCT((Inputs!$E$5:$E$230=$B29)*ISNUMBER(INDEX(Inputs!$K$5:$AJ$230,0,MATCH(N$2,Inputs!$K$4:$AJ$4,0))))=0,NA(),SUMPRODUCT((Inputs!$A$5:$A$230=$B29)*Inputs!$B$5:$B$230*(((Inputs!$G$5:$G$230="moeda")+(Inputs!$G$5:$G$230="acoes"))*Inputs!$B$1+((Inputs!$G$5:$G$230&lt;&gt;"moeda")*(Inputs!$G$5:$G$230&lt;&gt;"acoes")))*INDEX(Inputs!$K$5:$AJ$230,0,MATCH(N$2,Inputs!$K$4:$AJ$4,0)))+SUMPRODUCT((Inputs!$C$5:$C$230=$B29)*Inputs!$D$5:$D$230*(((Inputs!$G$5:$G$230="moeda")+(Inputs!$G$5:$G$230="acoes"))*Inputs!$B$1+((Inputs!$G$5:$G$230&lt;&gt;"moeda")*(Inputs!$G$5:$G$230&lt;&gt;"acoes")))*INDEX(Inputs!$K$5:$AJ$230,0,MATCH(N$2,Inputs!$K$4:$AJ$4,0)))+SUMPRODUCT((Inputs!$E$5:$E$230=$B29)*Inputs!$F$5:$F$230*(((Inputs!$G$5:$G$230="moeda")+(Inputs!$G$5:$G$230="acoes"))*Inputs!$B$1+((Inputs!$G$5:$G$230&lt;&gt;"moeda")*(Inputs!$G$5:$G$230&lt;&gt;"acoes")))*INDEX(Inputs!$K$5:$AJ$230,0,MATCH(N$2,Inputs!$K$4:$AJ$4,0)))))</f>
        <v>51.044</v>
      </c>
      <c r="O29" s="6">
        <f>IF(ISNA(MATCH(O$2,Inputs!$K$4:$AJ$4,0)),NA(),IF(SUMPRODUCT((Inputs!$A$5:$A$230=$B29)*ISNUMBER(INDEX(Inputs!$K$5:$AJ$230,0,MATCH(O$2,Inputs!$K$4:$AJ$4,0))))+SUMPRODUCT((Inputs!$C$5:$C$230=$B29)*ISNUMBER(INDEX(Inputs!$K$5:$AJ$230,0,MATCH(O$2,Inputs!$K$4:$AJ$4,0))))+SUMPRODUCT((Inputs!$E$5:$E$230=$B29)*ISNUMBER(INDEX(Inputs!$K$5:$AJ$230,0,MATCH(O$2,Inputs!$K$4:$AJ$4,0))))=0,NA(),SUMPRODUCT((Inputs!$A$5:$A$230=$B29)*Inputs!$B$5:$B$230*(((Inputs!$G$5:$G$230="moeda")+(Inputs!$G$5:$G$230="acoes"))*Inputs!$B$1+((Inputs!$G$5:$G$230&lt;&gt;"moeda")*(Inputs!$G$5:$G$230&lt;&gt;"acoes")))*INDEX(Inputs!$K$5:$AJ$230,0,MATCH(O$2,Inputs!$K$4:$AJ$4,0)))+SUMPRODUCT((Inputs!$C$5:$C$230=$B29)*Inputs!$D$5:$D$230*(((Inputs!$G$5:$G$230="moeda")+(Inputs!$G$5:$G$230="acoes"))*Inputs!$B$1+((Inputs!$G$5:$G$230&lt;&gt;"moeda")*(Inputs!$G$5:$G$230&lt;&gt;"acoes")))*INDEX(Inputs!$K$5:$AJ$230,0,MATCH(O$2,Inputs!$K$4:$AJ$4,0)))+SUMPRODUCT((Inputs!$E$5:$E$230=$B29)*Inputs!$F$5:$F$230*(((Inputs!$G$5:$G$230="moeda")+(Inputs!$G$5:$G$230="acoes"))*Inputs!$B$1+((Inputs!$G$5:$G$230&lt;&gt;"moeda")*(Inputs!$G$5:$G$230&lt;&gt;"acoes")))*INDEX(Inputs!$K$5:$AJ$230,0,MATCH(O$2,Inputs!$K$4:$AJ$4,0)))))</f>
        <v>38.889</v>
      </c>
      <c r="P29" s="6">
        <f>IF(ISNA(MATCH(P$2,Inputs!$K$4:$AJ$4,0)),NA(),IF(SUMPRODUCT((Inputs!$A$5:$A$230=$B29)*ISNUMBER(INDEX(Inputs!$K$5:$AJ$230,0,MATCH(P$2,Inputs!$K$4:$AJ$4,0))))+SUMPRODUCT((Inputs!$C$5:$C$230=$B29)*ISNUMBER(INDEX(Inputs!$K$5:$AJ$230,0,MATCH(P$2,Inputs!$K$4:$AJ$4,0))))+SUMPRODUCT((Inputs!$E$5:$E$230=$B29)*ISNUMBER(INDEX(Inputs!$K$5:$AJ$230,0,MATCH(P$2,Inputs!$K$4:$AJ$4,0))))=0,NA(),SUMPRODUCT((Inputs!$A$5:$A$230=$B29)*Inputs!$B$5:$B$230*(((Inputs!$G$5:$G$230="moeda")+(Inputs!$G$5:$G$230="acoes"))*Inputs!$B$1+((Inputs!$G$5:$G$230&lt;&gt;"moeda")*(Inputs!$G$5:$G$230&lt;&gt;"acoes")))*INDEX(Inputs!$K$5:$AJ$230,0,MATCH(P$2,Inputs!$K$4:$AJ$4,0)))+SUMPRODUCT((Inputs!$C$5:$C$230=$B29)*Inputs!$D$5:$D$230*(((Inputs!$G$5:$G$230="moeda")+(Inputs!$G$5:$G$230="acoes"))*Inputs!$B$1+((Inputs!$G$5:$G$230&lt;&gt;"moeda")*(Inputs!$G$5:$G$230&lt;&gt;"acoes")))*INDEX(Inputs!$K$5:$AJ$230,0,MATCH(P$2,Inputs!$K$4:$AJ$4,0)))+SUMPRODUCT((Inputs!$E$5:$E$230=$B29)*Inputs!$F$5:$F$230*(((Inputs!$G$5:$G$230="moeda")+(Inputs!$G$5:$G$230="acoes"))*Inputs!$B$1+((Inputs!$G$5:$G$230&lt;&gt;"moeda")*(Inputs!$G$5:$G$230&lt;&gt;"acoes")))*INDEX(Inputs!$K$5:$AJ$230,0,MATCH(P$2,Inputs!$K$4:$AJ$4,0)))))</f>
        <v>46.145</v>
      </c>
      <c r="Q29" s="6">
        <f>IF(ISNA(MATCH(Q$2,Inputs!$K$4:$AJ$4,0)),NA(),IF(SUMPRODUCT((Inputs!$A$5:$A$230=$B29)*ISNUMBER(INDEX(Inputs!$K$5:$AJ$230,0,MATCH(Q$2,Inputs!$K$4:$AJ$4,0))))+SUMPRODUCT((Inputs!$C$5:$C$230=$B29)*ISNUMBER(INDEX(Inputs!$K$5:$AJ$230,0,MATCH(Q$2,Inputs!$K$4:$AJ$4,0))))+SUMPRODUCT((Inputs!$E$5:$E$230=$B29)*ISNUMBER(INDEX(Inputs!$K$5:$AJ$230,0,MATCH(Q$2,Inputs!$K$4:$AJ$4,0))))=0,NA(),SUMPRODUCT((Inputs!$A$5:$A$230=$B29)*Inputs!$B$5:$B$230*(((Inputs!$G$5:$G$230="moeda")+(Inputs!$G$5:$G$230="acoes"))*Inputs!$B$1+((Inputs!$G$5:$G$230&lt;&gt;"moeda")*(Inputs!$G$5:$G$230&lt;&gt;"acoes")))*INDEX(Inputs!$K$5:$AJ$230,0,MATCH(Q$2,Inputs!$K$4:$AJ$4,0)))+SUMPRODUCT((Inputs!$C$5:$C$230=$B29)*Inputs!$D$5:$D$230*(((Inputs!$G$5:$G$230="moeda")+(Inputs!$G$5:$G$230="acoes"))*Inputs!$B$1+((Inputs!$G$5:$G$230&lt;&gt;"moeda")*(Inputs!$G$5:$G$230&lt;&gt;"acoes")))*INDEX(Inputs!$K$5:$AJ$230,0,MATCH(Q$2,Inputs!$K$4:$AJ$4,0)))+SUMPRODUCT((Inputs!$E$5:$E$230=$B29)*Inputs!$F$5:$F$230*(((Inputs!$G$5:$G$230="moeda")+(Inputs!$G$5:$G$230="acoes"))*Inputs!$B$1+((Inputs!$G$5:$G$230&lt;&gt;"moeda")*(Inputs!$G$5:$G$230&lt;&gt;"acoes")))*INDEX(Inputs!$K$5:$AJ$230,0,MATCH(Q$2,Inputs!$K$4:$AJ$4,0)))))</f>
        <v>45.654</v>
      </c>
      <c r="R29" s="3">
        <f>Q29</f>
        <v>45.654</v>
      </c>
      <c r="S29" s="6">
        <f>IF(ISNA(MATCH(S$2,Inputs!$K$4:$AJ$4,0)),NA(),IF(SUMPRODUCT((Inputs!$A$5:$A$230=$B29)*ISNUMBER(INDEX(Inputs!$K$5:$AJ$230,0,MATCH(S$2,Inputs!$K$4:$AJ$4,0))))+SUMPRODUCT((Inputs!$C$5:$C$230=$B29)*ISNUMBER(INDEX(Inputs!$K$5:$AJ$230,0,MATCH(S$2,Inputs!$K$4:$AJ$4,0))))+SUMPRODUCT((Inputs!$E$5:$E$230=$B29)*ISNUMBER(INDEX(Inputs!$K$5:$AJ$230,0,MATCH(S$2,Inputs!$K$4:$AJ$4,0))))=0,NA(),SUMPRODUCT((Inputs!$A$5:$A$230=$B29)*Inputs!$B$5:$B$230*(((Inputs!$G$5:$G$230="moeda")+(Inputs!$G$5:$G$230="acoes"))*Inputs!$B$1+((Inputs!$G$5:$G$230&lt;&gt;"moeda")*(Inputs!$G$5:$G$230&lt;&gt;"acoes")))*INDEX(Inputs!$K$5:$AJ$230,0,MATCH(S$2,Inputs!$K$4:$AJ$4,0)))+SUMPRODUCT((Inputs!$C$5:$C$230=$B29)*Inputs!$D$5:$D$230*(((Inputs!$G$5:$G$230="moeda")+(Inputs!$G$5:$G$230="acoes"))*Inputs!$B$1+((Inputs!$G$5:$G$230&lt;&gt;"moeda")*(Inputs!$G$5:$G$230&lt;&gt;"acoes")))*INDEX(Inputs!$K$5:$AJ$230,0,MATCH(S$2,Inputs!$K$4:$AJ$4,0)))+SUMPRODUCT((Inputs!$E$5:$E$230=$B29)*Inputs!$F$5:$F$230*(((Inputs!$G$5:$G$230="moeda")+(Inputs!$G$5:$G$230="acoes"))*Inputs!$B$1+((Inputs!$G$5:$G$230&lt;&gt;"moeda")*(Inputs!$G$5:$G$230&lt;&gt;"acoes")))*INDEX(Inputs!$K$5:$AJ$230,0,MATCH(S$2,Inputs!$K$4:$AJ$4,0)))))</f>
        <v>51.718</v>
      </c>
      <c r="T29" s="6">
        <f>IF(ISNA(MATCH(T$2,Inputs!$K$4:$AJ$4,0)),NA(),IF(SUMPRODUCT((Inputs!$A$5:$A$230=$B29)*ISNUMBER(INDEX(Inputs!$K$5:$AJ$230,0,MATCH(T$2,Inputs!$K$4:$AJ$4,0))))+SUMPRODUCT((Inputs!$C$5:$C$230=$B29)*ISNUMBER(INDEX(Inputs!$K$5:$AJ$230,0,MATCH(T$2,Inputs!$K$4:$AJ$4,0))))+SUMPRODUCT((Inputs!$E$5:$E$230=$B29)*ISNUMBER(INDEX(Inputs!$K$5:$AJ$230,0,MATCH(T$2,Inputs!$K$4:$AJ$4,0))))=0,NA(),SUMPRODUCT((Inputs!$A$5:$A$230=$B29)*Inputs!$B$5:$B$230*(((Inputs!$G$5:$G$230="moeda")+(Inputs!$G$5:$G$230="acoes"))*Inputs!$B$1+((Inputs!$G$5:$G$230&lt;&gt;"moeda")*(Inputs!$G$5:$G$230&lt;&gt;"acoes")))*INDEX(Inputs!$K$5:$AJ$230,0,MATCH(T$2,Inputs!$K$4:$AJ$4,0)))+SUMPRODUCT((Inputs!$C$5:$C$230=$B29)*Inputs!$D$5:$D$230*(((Inputs!$G$5:$G$230="moeda")+(Inputs!$G$5:$G$230="acoes"))*Inputs!$B$1+((Inputs!$G$5:$G$230&lt;&gt;"moeda")*(Inputs!$G$5:$G$230&lt;&gt;"acoes")))*INDEX(Inputs!$K$5:$AJ$230,0,MATCH(T$2,Inputs!$K$4:$AJ$4,0)))+SUMPRODUCT((Inputs!$E$5:$E$230=$B29)*Inputs!$F$5:$F$230*(((Inputs!$G$5:$G$230="moeda")+(Inputs!$G$5:$G$230="acoes"))*Inputs!$B$1+((Inputs!$G$5:$G$230&lt;&gt;"moeda")*(Inputs!$G$5:$G$230&lt;&gt;"acoes")))*INDEX(Inputs!$K$5:$AJ$230,0,MATCH(T$2,Inputs!$K$4:$AJ$4,0)))))</f>
        <v>40.977</v>
      </c>
      <c r="U29" s="6">
        <f>IF(ISNA(MATCH(U$2,Inputs!$K$4:$AJ$4,0)),NA(),IF(SUMPRODUCT((Inputs!$A$5:$A$230=$B29)*ISNUMBER(INDEX(Inputs!$K$5:$AJ$230,0,MATCH(U$2,Inputs!$K$4:$AJ$4,0))))+SUMPRODUCT((Inputs!$C$5:$C$230=$B29)*ISNUMBER(INDEX(Inputs!$K$5:$AJ$230,0,MATCH(U$2,Inputs!$K$4:$AJ$4,0))))+SUMPRODUCT((Inputs!$E$5:$E$230=$B29)*ISNUMBER(INDEX(Inputs!$K$5:$AJ$230,0,MATCH(U$2,Inputs!$K$4:$AJ$4,0))))=0,NA(),SUMPRODUCT((Inputs!$A$5:$A$230=$B29)*Inputs!$B$5:$B$230*(((Inputs!$G$5:$G$230="moeda")+(Inputs!$G$5:$G$230="acoes"))*Inputs!$B$1+((Inputs!$G$5:$G$230&lt;&gt;"moeda")*(Inputs!$G$5:$G$230&lt;&gt;"acoes")))*INDEX(Inputs!$K$5:$AJ$230,0,MATCH(U$2,Inputs!$K$4:$AJ$4,0)))+SUMPRODUCT((Inputs!$C$5:$C$230=$B29)*Inputs!$D$5:$D$230*(((Inputs!$G$5:$G$230="moeda")+(Inputs!$G$5:$G$230="acoes"))*Inputs!$B$1+((Inputs!$G$5:$G$230&lt;&gt;"moeda")*(Inputs!$G$5:$G$230&lt;&gt;"acoes")))*INDEX(Inputs!$K$5:$AJ$230,0,MATCH(U$2,Inputs!$K$4:$AJ$4,0)))+SUMPRODUCT((Inputs!$E$5:$E$230=$B29)*Inputs!$F$5:$F$230*(((Inputs!$G$5:$G$230="moeda")+(Inputs!$G$5:$G$230="acoes"))*Inputs!$B$1+((Inputs!$G$5:$G$230&lt;&gt;"moeda")*(Inputs!$G$5:$G$230&lt;&gt;"acoes")))*INDEX(Inputs!$K$5:$AJ$230,0,MATCH(U$2,Inputs!$K$4:$AJ$4,0)))))</f>
        <v>48.767</v>
      </c>
      <c r="V29" s="6">
        <f>IF(ISNA(MATCH(V$2,Inputs!$K$4:$AJ$4,0)),NA(),IF(SUMPRODUCT((Inputs!$A$5:$A$230=$B29)*ISNUMBER(INDEX(Inputs!$K$5:$AJ$230,0,MATCH(V$2,Inputs!$K$4:$AJ$4,0))))+SUMPRODUCT((Inputs!$C$5:$C$230=$B29)*ISNUMBER(INDEX(Inputs!$K$5:$AJ$230,0,MATCH(V$2,Inputs!$K$4:$AJ$4,0))))+SUMPRODUCT((Inputs!$E$5:$E$230=$B29)*ISNUMBER(INDEX(Inputs!$K$5:$AJ$230,0,MATCH(V$2,Inputs!$K$4:$AJ$4,0))))=0,NA(),SUMPRODUCT((Inputs!$A$5:$A$230=$B29)*Inputs!$B$5:$B$230*(((Inputs!$G$5:$G$230="moeda")+(Inputs!$G$5:$G$230="acoes"))*Inputs!$B$1+((Inputs!$G$5:$G$230&lt;&gt;"moeda")*(Inputs!$G$5:$G$230&lt;&gt;"acoes")))*INDEX(Inputs!$K$5:$AJ$230,0,MATCH(V$2,Inputs!$K$4:$AJ$4,0)))+SUMPRODUCT((Inputs!$C$5:$C$230=$B29)*Inputs!$D$5:$D$230*(((Inputs!$G$5:$G$230="moeda")+(Inputs!$G$5:$G$230="acoes"))*Inputs!$B$1+((Inputs!$G$5:$G$230&lt;&gt;"moeda")*(Inputs!$G$5:$G$230&lt;&gt;"acoes")))*INDEX(Inputs!$K$5:$AJ$230,0,MATCH(V$2,Inputs!$K$4:$AJ$4,0)))+SUMPRODUCT((Inputs!$E$5:$E$230=$B29)*Inputs!$F$5:$F$230*(((Inputs!$G$5:$G$230="moeda")+(Inputs!$G$5:$G$230="acoes"))*Inputs!$B$1+((Inputs!$G$5:$G$230&lt;&gt;"moeda")*(Inputs!$G$5:$G$230&lt;&gt;"acoes")))*INDEX(Inputs!$K$5:$AJ$230,0,MATCH(V$2,Inputs!$K$4:$AJ$4,0)))))</f>
        <v>47.338</v>
      </c>
      <c r="W29" s="3">
        <f>V29</f>
        <v>47.338</v>
      </c>
      <c r="X29" s="6">
        <f>IF(ISNA(MATCH(X$2,Inputs!$K$4:$AJ$4,0)),NA(),IF(SUMPRODUCT((Inputs!$A$5:$A$230=$B29)*ISNUMBER(INDEX(Inputs!$K$5:$AJ$230,0,MATCH(X$2,Inputs!$K$4:$AJ$4,0))))+SUMPRODUCT((Inputs!$C$5:$C$230=$B29)*ISNUMBER(INDEX(Inputs!$K$5:$AJ$230,0,MATCH(X$2,Inputs!$K$4:$AJ$4,0))))+SUMPRODUCT((Inputs!$E$5:$E$230=$B29)*ISNUMBER(INDEX(Inputs!$K$5:$AJ$230,0,MATCH(X$2,Inputs!$K$4:$AJ$4,0))))=0,NA(),SUMPRODUCT((Inputs!$A$5:$A$230=$B29)*Inputs!$B$5:$B$230*(((Inputs!$G$5:$G$230="moeda")+(Inputs!$G$5:$G$230="acoes"))*Inputs!$B$1+((Inputs!$G$5:$G$230&lt;&gt;"moeda")*(Inputs!$G$5:$G$230&lt;&gt;"acoes")))*INDEX(Inputs!$K$5:$AJ$230,0,MATCH(X$2,Inputs!$K$4:$AJ$4,0)))+SUMPRODUCT((Inputs!$C$5:$C$230=$B29)*Inputs!$D$5:$D$230*(((Inputs!$G$5:$G$230="moeda")+(Inputs!$G$5:$G$230="acoes"))*Inputs!$B$1+((Inputs!$G$5:$G$230&lt;&gt;"moeda")*(Inputs!$G$5:$G$230&lt;&gt;"acoes")))*INDEX(Inputs!$K$5:$AJ$230,0,MATCH(X$2,Inputs!$K$4:$AJ$4,0)))+SUMPRODUCT((Inputs!$E$5:$E$230=$B29)*Inputs!$F$5:$F$230*(((Inputs!$G$5:$G$230="moeda")+(Inputs!$G$5:$G$230="acoes"))*Inputs!$B$1+((Inputs!$G$5:$G$230&lt;&gt;"moeda")*(Inputs!$G$5:$G$230&lt;&gt;"acoes")))*INDEX(Inputs!$K$5:$AJ$230,0,MATCH(X$2,Inputs!$K$4:$AJ$4,0)))))</f>
        <v>53.835</v>
      </c>
      <c r="Y29" s="6">
        <f>IF(ISNA(MATCH(Y$2,Inputs!$K$4:$AJ$4,0)),NA(),IF(SUMPRODUCT((Inputs!$A$5:$A$230=$B29)*ISNUMBER(INDEX(Inputs!$K$5:$AJ$230,0,MATCH(Y$2,Inputs!$K$4:$AJ$4,0))))+SUMPRODUCT((Inputs!$C$5:$C$230=$B29)*ISNUMBER(INDEX(Inputs!$K$5:$AJ$230,0,MATCH(Y$2,Inputs!$K$4:$AJ$4,0))))+SUMPRODUCT((Inputs!$E$5:$E$230=$B29)*ISNUMBER(INDEX(Inputs!$K$5:$AJ$230,0,MATCH(Y$2,Inputs!$K$4:$AJ$4,0))))=0,NA(),SUMPRODUCT((Inputs!$A$5:$A$230=$B29)*Inputs!$B$5:$B$230*(((Inputs!$G$5:$G$230="moeda")+(Inputs!$G$5:$G$230="acoes"))*Inputs!$B$1+((Inputs!$G$5:$G$230&lt;&gt;"moeda")*(Inputs!$G$5:$G$230&lt;&gt;"acoes")))*INDEX(Inputs!$K$5:$AJ$230,0,MATCH(Y$2,Inputs!$K$4:$AJ$4,0)))+SUMPRODUCT((Inputs!$C$5:$C$230=$B29)*Inputs!$D$5:$D$230*(((Inputs!$G$5:$G$230="moeda")+(Inputs!$G$5:$G$230="acoes"))*Inputs!$B$1+((Inputs!$G$5:$G$230&lt;&gt;"moeda")*(Inputs!$G$5:$G$230&lt;&gt;"acoes")))*INDEX(Inputs!$K$5:$AJ$230,0,MATCH(Y$2,Inputs!$K$4:$AJ$4,0)))+SUMPRODUCT((Inputs!$E$5:$E$230=$B29)*Inputs!$F$5:$F$230*(((Inputs!$G$5:$G$230="moeda")+(Inputs!$G$5:$G$230="acoes"))*Inputs!$B$1+((Inputs!$G$5:$G$230&lt;&gt;"moeda")*(Inputs!$G$5:$G$230&lt;&gt;"acoes")))*INDEX(Inputs!$K$5:$AJ$230,0,MATCH(Y$2,Inputs!$K$4:$AJ$4,0)))))</f>
        <v>47.121</v>
      </c>
      <c r="Z29" s="6">
        <f>IF(ISNA(MATCH(Z$2,Inputs!$K$4:$AJ$4,0)),NA(),IF(SUMPRODUCT((Inputs!$A$5:$A$230=$B29)*ISNUMBER(INDEX(Inputs!$K$5:$AJ$230,0,MATCH(Z$2,Inputs!$K$4:$AJ$4,0))))+SUMPRODUCT((Inputs!$C$5:$C$230=$B29)*ISNUMBER(INDEX(Inputs!$K$5:$AJ$230,0,MATCH(Z$2,Inputs!$K$4:$AJ$4,0))))+SUMPRODUCT((Inputs!$E$5:$E$230=$B29)*ISNUMBER(INDEX(Inputs!$K$5:$AJ$230,0,MATCH(Z$2,Inputs!$K$4:$AJ$4,0))))=0,NA(),SUMPRODUCT((Inputs!$A$5:$A$230=$B29)*Inputs!$B$5:$B$230*(((Inputs!$G$5:$G$230="moeda")+(Inputs!$G$5:$G$230="acoes"))*Inputs!$B$1+((Inputs!$G$5:$G$230&lt;&gt;"moeda")*(Inputs!$G$5:$G$230&lt;&gt;"acoes")))*INDEX(Inputs!$K$5:$AJ$230,0,MATCH(Z$2,Inputs!$K$4:$AJ$4,0)))+SUMPRODUCT((Inputs!$C$5:$C$230=$B29)*Inputs!$D$5:$D$230*(((Inputs!$G$5:$G$230="moeda")+(Inputs!$G$5:$G$230="acoes"))*Inputs!$B$1+((Inputs!$G$5:$G$230&lt;&gt;"moeda")*(Inputs!$G$5:$G$230&lt;&gt;"acoes")))*INDEX(Inputs!$K$5:$AJ$230,0,MATCH(Z$2,Inputs!$K$4:$AJ$4,0)))+SUMPRODUCT((Inputs!$E$5:$E$230=$B29)*Inputs!$F$5:$F$230*(((Inputs!$G$5:$G$230="moeda")+(Inputs!$G$5:$G$230="acoes"))*Inputs!$B$1+((Inputs!$G$5:$G$230&lt;&gt;"moeda")*(Inputs!$G$5:$G$230&lt;&gt;"acoes")))*INDEX(Inputs!$K$5:$AJ$230,0,MATCH(Z$2,Inputs!$K$4:$AJ$4,0)))))</f>
        <v>51.61</v>
      </c>
      <c r="AA29" s="6">
        <f>IF(ISNA(MATCH(AA$2,Inputs!$K$4:$AJ$4,0)),NA(),IF(SUMPRODUCT((Inputs!$A$5:$A$230=$B29)*ISNUMBER(INDEX(Inputs!$K$5:$AJ$230,0,MATCH(AA$2,Inputs!$K$4:$AJ$4,0))))+SUMPRODUCT((Inputs!$C$5:$C$230=$B29)*ISNUMBER(INDEX(Inputs!$K$5:$AJ$230,0,MATCH(AA$2,Inputs!$K$4:$AJ$4,0))))+SUMPRODUCT((Inputs!$E$5:$E$230=$B29)*ISNUMBER(INDEX(Inputs!$K$5:$AJ$230,0,MATCH(AA$2,Inputs!$K$4:$AJ$4,0))))=0,NA(),SUMPRODUCT((Inputs!$A$5:$A$230=$B29)*Inputs!$B$5:$B$230*(((Inputs!$G$5:$G$230="moeda")+(Inputs!$G$5:$G$230="acoes"))*Inputs!$B$1+((Inputs!$G$5:$G$230&lt;&gt;"moeda")*(Inputs!$G$5:$G$230&lt;&gt;"acoes")))*INDEX(Inputs!$K$5:$AJ$230,0,MATCH(AA$2,Inputs!$K$4:$AJ$4,0)))+SUMPRODUCT((Inputs!$C$5:$C$230=$B29)*Inputs!$D$5:$D$230*(((Inputs!$G$5:$G$230="moeda")+(Inputs!$G$5:$G$230="acoes"))*Inputs!$B$1+((Inputs!$G$5:$G$230&lt;&gt;"moeda")*(Inputs!$G$5:$G$230&lt;&gt;"acoes")))*INDEX(Inputs!$K$5:$AJ$230,0,MATCH(AA$2,Inputs!$K$4:$AJ$4,0)))+SUMPRODUCT((Inputs!$E$5:$E$230=$B29)*Inputs!$F$5:$F$230*(((Inputs!$G$5:$G$230="moeda")+(Inputs!$G$5:$G$230="acoes"))*Inputs!$B$1+((Inputs!$G$5:$G$230&lt;&gt;"moeda")*(Inputs!$G$5:$G$230&lt;&gt;"acoes")))*INDEX(Inputs!$K$5:$AJ$230,0,MATCH(AA$2,Inputs!$K$4:$AJ$4,0)))))</f>
        <v>47.332</v>
      </c>
      <c r="AB29" s="3">
        <f>AA29</f>
        <v>47.332</v>
      </c>
      <c r="AC29" s="6">
        <f>IF(ISNA(MATCH(AC$2,Inputs!$K$4:$AJ$4,0)),NA(),IF(SUMPRODUCT((Inputs!$A$5:$A$230=$B29)*ISNUMBER(INDEX(Inputs!$K$5:$AJ$230,0,MATCH(AC$2,Inputs!$K$4:$AJ$4,0))))+SUMPRODUCT((Inputs!$C$5:$C$230=$B29)*ISNUMBER(INDEX(Inputs!$K$5:$AJ$230,0,MATCH(AC$2,Inputs!$K$4:$AJ$4,0))))+SUMPRODUCT((Inputs!$E$5:$E$230=$B29)*ISNUMBER(INDEX(Inputs!$K$5:$AJ$230,0,MATCH(AC$2,Inputs!$K$4:$AJ$4,0))))=0,NA(),SUMPRODUCT((Inputs!$A$5:$A$230=$B29)*Inputs!$B$5:$B$230*(((Inputs!$G$5:$G$230="moeda")+(Inputs!$G$5:$G$230="acoes"))*Inputs!$B$1+((Inputs!$G$5:$G$230&lt;&gt;"moeda")*(Inputs!$G$5:$G$230&lt;&gt;"acoes")))*INDEX(Inputs!$K$5:$AJ$230,0,MATCH(AC$2,Inputs!$K$4:$AJ$4,0)))+SUMPRODUCT((Inputs!$C$5:$C$230=$B29)*Inputs!$D$5:$D$230*(((Inputs!$G$5:$G$230="moeda")+(Inputs!$G$5:$G$230="acoes"))*Inputs!$B$1+((Inputs!$G$5:$G$230&lt;&gt;"moeda")*(Inputs!$G$5:$G$230&lt;&gt;"acoes")))*INDEX(Inputs!$K$5:$AJ$230,0,MATCH(AC$2,Inputs!$K$4:$AJ$4,0)))+SUMPRODUCT((Inputs!$E$5:$E$230=$B29)*Inputs!$F$5:$F$230*(((Inputs!$G$5:$G$230="moeda")+(Inputs!$G$5:$G$230="acoes"))*Inputs!$B$1+((Inputs!$G$5:$G$230&lt;&gt;"moeda")*(Inputs!$G$5:$G$230&lt;&gt;"acoes")))*INDEX(Inputs!$K$5:$AJ$230,0,MATCH(AC$2,Inputs!$K$4:$AJ$4,0)))))</f>
        <v>54.256</v>
      </c>
      <c r="AD29" s="6">
        <f>IF(ISNA(MATCH(AD$2,Inputs!$K$4:$AJ$4,0)),NA(),IF(SUMPRODUCT((Inputs!$A$5:$A$230=$B29)*ISNUMBER(INDEX(Inputs!$K$5:$AJ$230,0,MATCH(AD$2,Inputs!$K$4:$AJ$4,0))))+SUMPRODUCT((Inputs!$C$5:$C$230=$B29)*ISNUMBER(INDEX(Inputs!$K$5:$AJ$230,0,MATCH(AD$2,Inputs!$K$4:$AJ$4,0))))+SUMPRODUCT((Inputs!$E$5:$E$230=$B29)*ISNUMBER(INDEX(Inputs!$K$5:$AJ$230,0,MATCH(AD$2,Inputs!$K$4:$AJ$4,0))))=0,NA(),SUMPRODUCT((Inputs!$A$5:$A$230=$B29)*Inputs!$B$5:$B$230*(((Inputs!$G$5:$G$230="moeda")+(Inputs!$G$5:$G$230="acoes"))*Inputs!$B$1+((Inputs!$G$5:$G$230&lt;&gt;"moeda")*(Inputs!$G$5:$G$230&lt;&gt;"acoes")))*INDEX(Inputs!$K$5:$AJ$230,0,MATCH(AD$2,Inputs!$K$4:$AJ$4,0)))+SUMPRODUCT((Inputs!$C$5:$C$230=$B29)*Inputs!$D$5:$D$230*(((Inputs!$G$5:$G$230="moeda")+(Inputs!$G$5:$G$230="acoes"))*Inputs!$B$1+((Inputs!$G$5:$G$230&lt;&gt;"moeda")*(Inputs!$G$5:$G$230&lt;&gt;"acoes")))*INDEX(Inputs!$K$5:$AJ$230,0,MATCH(AD$2,Inputs!$K$4:$AJ$4,0)))+SUMPRODUCT((Inputs!$E$5:$E$230=$B29)*Inputs!$F$5:$F$230*(((Inputs!$G$5:$G$230="moeda")+(Inputs!$G$5:$G$230="acoes"))*Inputs!$B$1+((Inputs!$G$5:$G$230&lt;&gt;"moeda")*(Inputs!$G$5:$G$230&lt;&gt;"acoes")))*INDEX(Inputs!$K$5:$AJ$230,0,MATCH(AD$2,Inputs!$K$4:$AJ$4,0)))))</f>
        <v>47.161</v>
      </c>
      <c r="AE29" s="6" t="e">
        <f>IF(ISNA(MATCH(AE$2,Inputs!$K$4:$AJ$4,0)),NA(),IF(SUMPRODUCT((Inputs!$A$5:$A$230=$B29)*ISNUMBER(INDEX(Inputs!$K$5:$AJ$230,0,MATCH(AE$2,Inputs!$K$4:$AJ$4,0))))+SUMPRODUCT((Inputs!$C$5:$C$230=$B29)*ISNUMBER(INDEX(Inputs!$K$5:$AJ$230,0,MATCH(AE$2,Inputs!$K$4:$AJ$4,0))))+SUMPRODUCT((Inputs!$E$5:$E$230=$B29)*ISNUMBER(INDEX(Inputs!$K$5:$AJ$230,0,MATCH(AE$2,Inputs!$K$4:$AJ$4,0))))=0,NA(),SUMPRODUCT((Inputs!$A$5:$A$230=$B29)*Inputs!$B$5:$B$230*(((Inputs!$G$5:$G$230="moeda")+(Inputs!$G$5:$G$230="acoes"))*Inputs!$B$1+((Inputs!$G$5:$G$230&lt;&gt;"moeda")*(Inputs!$G$5:$G$230&lt;&gt;"acoes")))*INDEX(Inputs!$K$5:$AJ$230,0,MATCH(AE$2,Inputs!$K$4:$AJ$4,0)))+SUMPRODUCT((Inputs!$C$5:$C$230=$B29)*Inputs!$D$5:$D$230*(((Inputs!$G$5:$G$230="moeda")+(Inputs!$G$5:$G$230="acoes"))*Inputs!$B$1+((Inputs!$G$5:$G$230&lt;&gt;"moeda")*(Inputs!$G$5:$G$230&lt;&gt;"acoes")))*INDEX(Inputs!$K$5:$AJ$230,0,MATCH(AE$2,Inputs!$K$4:$AJ$4,0)))+SUMPRODUCT((Inputs!$E$5:$E$230=$B29)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29" s="6" t="e">
        <f>IF(ISNA(MATCH(AF$2,Inputs!$K$4:$AJ$4,0)),NA(),IF(SUMPRODUCT((Inputs!$A$5:$A$230=$B29)*ISNUMBER(INDEX(Inputs!$K$5:$AJ$230,0,MATCH(AF$2,Inputs!$K$4:$AJ$4,0))))+SUMPRODUCT((Inputs!$C$5:$C$230=$B29)*ISNUMBER(INDEX(Inputs!$K$5:$AJ$230,0,MATCH(AF$2,Inputs!$K$4:$AJ$4,0))))+SUMPRODUCT((Inputs!$E$5:$E$230=$B29)*ISNUMBER(INDEX(Inputs!$K$5:$AJ$230,0,MATCH(AF$2,Inputs!$K$4:$AJ$4,0))))=0,NA(),SUMPRODUCT((Inputs!$A$5:$A$230=$B29)*Inputs!$B$5:$B$230*(((Inputs!$G$5:$G$230="moeda")+(Inputs!$G$5:$G$230="acoes"))*Inputs!$B$1+((Inputs!$G$5:$G$230&lt;&gt;"moeda")*(Inputs!$G$5:$G$230&lt;&gt;"acoes")))*INDEX(Inputs!$K$5:$AJ$230,0,MATCH(AF$2,Inputs!$K$4:$AJ$4,0)))+SUMPRODUCT((Inputs!$C$5:$C$230=$B29)*Inputs!$D$5:$D$230*(((Inputs!$G$5:$G$230="moeda")+(Inputs!$G$5:$G$230="acoes"))*Inputs!$B$1+((Inputs!$G$5:$G$230&lt;&gt;"moeda")*(Inputs!$G$5:$G$230&lt;&gt;"acoes")))*INDEX(Inputs!$K$5:$AJ$230,0,MATCH(AF$2,Inputs!$K$4:$AJ$4,0)))+SUMPRODUCT((Inputs!$E$5:$E$230=$B29)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29" s="3" t="e">
        <f>AF29</f>
        <v>#N/A</v>
      </c>
      <c r="AH29" s="6">
        <f>IF(ISNA(MATCH(AH$2,Inputs!$K$4:$AJ$4,0)),NA(),IF(SUMPRODUCT((Inputs!$A$5:$A$230=$B29)*ISNUMBER(INDEX(Inputs!$K$5:$AJ$230,0,MATCH(AH$2,Inputs!$K$4:$AJ$4,0))))+SUMPRODUCT((Inputs!$C$5:$C$230=$B29)*ISNUMBER(INDEX(Inputs!$K$5:$AJ$230,0,MATCH(AH$2,Inputs!$K$4:$AJ$4,0))))+SUMPRODUCT((Inputs!$E$5:$E$230=$B29)*ISNUMBER(INDEX(Inputs!$K$5:$AJ$230,0,MATCH(AH$2,Inputs!$K$4:$AJ$4,0))))=0,NA(),SUMPRODUCT((Inputs!$A$5:$A$230=$B29)*Inputs!$B$5:$B$230*(((Inputs!$G$5:$G$230="moeda")+(Inputs!$G$5:$G$230="acoes"))*Inputs!$B$1+((Inputs!$G$5:$G$230&lt;&gt;"moeda")*(Inputs!$G$5:$G$230&lt;&gt;"acoes")))*INDEX(Inputs!$K$5:$AJ$230,0,MATCH(AH$2,Inputs!$K$4:$AJ$4,0)))+SUMPRODUCT((Inputs!$C$5:$C$230=$B29)*Inputs!$D$5:$D$230*(((Inputs!$G$5:$G$230="moeda")+(Inputs!$G$5:$G$230="acoes"))*Inputs!$B$1+((Inputs!$G$5:$G$230&lt;&gt;"moeda")*(Inputs!$G$5:$G$230&lt;&gt;"acoes")))*INDEX(Inputs!$K$5:$AJ$230,0,MATCH(AH$2,Inputs!$K$4:$AJ$4,0)))+SUMPRODUCT((Inputs!$E$5:$E$230=$B29)*Inputs!$F$5:$F$230*(((Inputs!$G$5:$G$230="moeda")+(Inputs!$G$5:$G$230="acoes"))*Inputs!$B$1+((Inputs!$G$5:$G$230&lt;&gt;"moeda")*(Inputs!$G$5:$G$230&lt;&gt;"acoes")))*INDEX(Inputs!$K$5:$AJ$230,0,MATCH(AH$2,Inputs!$K$4:$AJ$4,0)))))</f>
        <v>38.585</v>
      </c>
      <c r="AI29" s="6">
        <f>IF(ISNA(MATCH(AI$2,Inputs!$K$4:$AJ$4,0)),NA(),IF(SUMPRODUCT((Inputs!$A$5:$A$230=$B29)*ISNUMBER(INDEX(Inputs!$K$5:$AJ$230,0,MATCH(AI$2,Inputs!$K$4:$AJ$4,0))))+SUMPRODUCT((Inputs!$C$5:$C$230=$B29)*ISNUMBER(INDEX(Inputs!$K$5:$AJ$230,0,MATCH(AI$2,Inputs!$K$4:$AJ$4,0))))+SUMPRODUCT((Inputs!$E$5:$E$230=$B29)*ISNUMBER(INDEX(Inputs!$K$5:$AJ$230,0,MATCH(AI$2,Inputs!$K$4:$AJ$4,0))))=0,NA(),SUMPRODUCT((Inputs!$A$5:$A$230=$B29)*Inputs!$B$5:$B$230*(((Inputs!$G$5:$G$230="moeda")+(Inputs!$G$5:$G$230="acoes"))*Inputs!$B$1+((Inputs!$G$5:$G$230&lt;&gt;"moeda")*(Inputs!$G$5:$G$230&lt;&gt;"acoes")))*INDEX(Inputs!$K$5:$AJ$230,0,MATCH(AI$2,Inputs!$K$4:$AJ$4,0)))+SUMPRODUCT((Inputs!$C$5:$C$230=$B29)*Inputs!$D$5:$D$230*(((Inputs!$G$5:$G$230="moeda")+(Inputs!$G$5:$G$230="acoes"))*Inputs!$B$1+((Inputs!$G$5:$G$230&lt;&gt;"moeda")*(Inputs!$G$5:$G$230&lt;&gt;"acoes")))*INDEX(Inputs!$K$5:$AJ$230,0,MATCH(AI$2,Inputs!$K$4:$AJ$4,0)))+SUMPRODUCT((Inputs!$E$5:$E$230=$B29)*Inputs!$F$5:$F$230*(((Inputs!$G$5:$G$230="moeda")+(Inputs!$G$5:$G$230="acoes"))*Inputs!$B$1+((Inputs!$G$5:$G$230&lt;&gt;"moeda")*(Inputs!$G$5:$G$230&lt;&gt;"acoes")))*INDEX(Inputs!$K$5:$AJ$230,0,MATCH(AI$2,Inputs!$K$4:$AJ$4,0)))))</f>
        <v>30.365</v>
      </c>
      <c r="AJ29" s="6">
        <f>IF(ISNA(MATCH(AJ$2,Inputs!$K$4:$AJ$4,0)),NA(),IF(SUMPRODUCT((Inputs!$A$5:$A$230=$B29)*ISNUMBER(INDEX(Inputs!$K$5:$AJ$230,0,MATCH(AJ$2,Inputs!$K$4:$AJ$4,0))))+SUMPRODUCT((Inputs!$C$5:$C$230=$B29)*ISNUMBER(INDEX(Inputs!$K$5:$AJ$230,0,MATCH(AJ$2,Inputs!$K$4:$AJ$4,0))))+SUMPRODUCT((Inputs!$E$5:$E$230=$B29)*ISNUMBER(INDEX(Inputs!$K$5:$AJ$230,0,MATCH(AJ$2,Inputs!$K$4:$AJ$4,0))))=0,NA(),SUMPRODUCT((Inputs!$A$5:$A$230=$B29)*Inputs!$B$5:$B$230*(((Inputs!$G$5:$G$230="moeda")+(Inputs!$G$5:$G$230="acoes"))*Inputs!$B$1+((Inputs!$G$5:$G$230&lt;&gt;"moeda")*(Inputs!$G$5:$G$230&lt;&gt;"acoes")))*INDEX(Inputs!$K$5:$AJ$230,0,MATCH(AJ$2,Inputs!$K$4:$AJ$4,0)))+SUMPRODUCT((Inputs!$C$5:$C$230=$B29)*Inputs!$D$5:$D$230*(((Inputs!$G$5:$G$230="moeda")+(Inputs!$G$5:$G$230="acoes"))*Inputs!$B$1+((Inputs!$G$5:$G$230&lt;&gt;"moeda")*(Inputs!$G$5:$G$230&lt;&gt;"acoes")))*INDEX(Inputs!$K$5:$AJ$230,0,MATCH(AJ$2,Inputs!$K$4:$AJ$4,0)))+SUMPRODUCT((Inputs!$E$5:$E$230=$B29)*Inputs!$F$5:$F$230*(((Inputs!$G$5:$G$230="moeda")+(Inputs!$G$5:$G$230="acoes"))*Inputs!$B$1+((Inputs!$G$5:$G$230&lt;&gt;"moeda")*(Inputs!$G$5:$G$230&lt;&gt;"acoes")))*INDEX(Inputs!$K$5:$AJ$230,0,MATCH(AJ$2,Inputs!$K$4:$AJ$4,0)))))</f>
        <v>35.269</v>
      </c>
      <c r="AK29" s="6">
        <f>IF(ISNA(MATCH(AK$2,Inputs!$K$4:$AJ$4,0)),NA(),IF(SUMPRODUCT((Inputs!$A$5:$A$230=$B29)*ISNUMBER(INDEX(Inputs!$K$5:$AJ$230,0,MATCH(AK$2,Inputs!$K$4:$AJ$4,0))))+SUMPRODUCT((Inputs!$C$5:$C$230=$B29)*ISNUMBER(INDEX(Inputs!$K$5:$AJ$230,0,MATCH(AK$2,Inputs!$K$4:$AJ$4,0))))+SUMPRODUCT((Inputs!$E$5:$E$230=$B29)*ISNUMBER(INDEX(Inputs!$K$5:$AJ$230,0,MATCH(AK$2,Inputs!$K$4:$AJ$4,0))))=0,NA(),SUMPRODUCT((Inputs!$A$5:$A$230=$B29)*Inputs!$B$5:$B$230*(((Inputs!$G$5:$G$230="moeda")+(Inputs!$G$5:$G$230="acoes"))*Inputs!$B$1+((Inputs!$G$5:$G$230&lt;&gt;"moeda")*(Inputs!$G$5:$G$230&lt;&gt;"acoes")))*INDEX(Inputs!$K$5:$AJ$230,0,MATCH(AK$2,Inputs!$K$4:$AJ$4,0)))+SUMPRODUCT((Inputs!$C$5:$C$230=$B29)*Inputs!$D$5:$D$230*(((Inputs!$G$5:$G$230="moeda")+(Inputs!$G$5:$G$230="acoes"))*Inputs!$B$1+((Inputs!$G$5:$G$230&lt;&gt;"moeda")*(Inputs!$G$5:$G$230&lt;&gt;"acoes")))*INDEX(Inputs!$K$5:$AJ$230,0,MATCH(AK$2,Inputs!$K$4:$AJ$4,0)))+SUMPRODUCT((Inputs!$E$5:$E$230=$B29)*Inputs!$F$5:$F$230*(((Inputs!$G$5:$G$230="moeda")+(Inputs!$G$5:$G$230="acoes"))*Inputs!$B$1+((Inputs!$G$5:$G$230&lt;&gt;"moeda")*(Inputs!$G$5:$G$230&lt;&gt;"acoes")))*INDEX(Inputs!$K$5:$AJ$230,0,MATCH(AK$2,Inputs!$K$4:$AJ$4,0)))))</f>
        <v>57.783</v>
      </c>
      <c r="AL29" s="3">
        <f>AK29</f>
        <v>57.783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$230=$B30)*ISNUMBER(INDEX(Inputs!$K$5:$AJ$230,0,MATCH(D$2,Inputs!$K$4:$AJ$4,0))))+SUMPRODUCT((Inputs!$C$5:$C$230=$B30)*ISNUMBER(INDEX(Inputs!$K$5:$AJ$230,0,MATCH(D$2,Inputs!$K$4:$AJ$4,0))))+SUMPRODUCT((Inputs!$E$5:$E$230=$B30)*ISNUMBER(INDEX(Inputs!$K$5:$AJ$230,0,MATCH(D$2,Inputs!$K$4:$AJ$4,0))))=0,NA(),SUMPRODUCT((Inputs!$A$5:$A$230=$B30)*Inputs!$B$5:$B$230*(((Inputs!$G$5:$G$230="moeda")+(Inputs!$G$5:$G$230="acoes"))*Inputs!$B$1+((Inputs!$G$5:$G$230&lt;&gt;"moeda")*(Inputs!$G$5:$G$230&lt;&gt;"acoes")))*INDEX(Inputs!$K$5:$AJ$230,0,MATCH(D$2,Inputs!$K$4:$AJ$4,0)))+SUMPRODUCT((Inputs!$C$5:$C$230=$B30)*Inputs!$D$5:$D$230*(((Inputs!$G$5:$G$230="moeda")+(Inputs!$G$5:$G$230="acoes"))*Inputs!$B$1+((Inputs!$G$5:$G$230&lt;&gt;"moeda")*(Inputs!$G$5:$G$230&lt;&gt;"acoes")))*INDEX(Inputs!$K$5:$AJ$230,0,MATCH(D$2,Inputs!$K$4:$AJ$4,0)))+SUMPRODUCT((Inputs!$E$5:$E$230=$B30)*Inputs!$F$5:$F$230*(((Inputs!$G$5:$G$230="moeda")+(Inputs!$G$5:$G$230="acoes"))*Inputs!$B$1+((Inputs!$G$5:$G$230&lt;&gt;"moeda")*(Inputs!$G$5:$G$230&lt;&gt;"acoes")))*INDEX(Inputs!$K$5:$AJ$230,0,MATCH(D$2,Inputs!$K$4:$AJ$4,0)))))</f>
        <v>68.11</v>
      </c>
      <c r="E30" s="6">
        <f>IF(ISNA(MATCH(E$2,Inputs!$K$4:$AJ$4,0)),NA(),IF(SUMPRODUCT((Inputs!$A$5:$A$230=$B30)*ISNUMBER(INDEX(Inputs!$K$5:$AJ$230,0,MATCH(E$2,Inputs!$K$4:$AJ$4,0))))+SUMPRODUCT((Inputs!$C$5:$C$230=$B30)*ISNUMBER(INDEX(Inputs!$K$5:$AJ$230,0,MATCH(E$2,Inputs!$K$4:$AJ$4,0))))+SUMPRODUCT((Inputs!$E$5:$E$230=$B30)*ISNUMBER(INDEX(Inputs!$K$5:$AJ$230,0,MATCH(E$2,Inputs!$K$4:$AJ$4,0))))=0,NA(),SUMPRODUCT((Inputs!$A$5:$A$230=$B30)*Inputs!$B$5:$B$230*(((Inputs!$G$5:$G$230="moeda")+(Inputs!$G$5:$G$230="acoes"))*Inputs!$B$1+((Inputs!$G$5:$G$230&lt;&gt;"moeda")*(Inputs!$G$5:$G$230&lt;&gt;"acoes")))*INDEX(Inputs!$K$5:$AJ$230,0,MATCH(E$2,Inputs!$K$4:$AJ$4,0)))+SUMPRODUCT((Inputs!$C$5:$C$230=$B30)*Inputs!$D$5:$D$230*(((Inputs!$G$5:$G$230="moeda")+(Inputs!$G$5:$G$230="acoes"))*Inputs!$B$1+((Inputs!$G$5:$G$230&lt;&gt;"moeda")*(Inputs!$G$5:$G$230&lt;&gt;"acoes")))*INDEX(Inputs!$K$5:$AJ$230,0,MATCH(E$2,Inputs!$K$4:$AJ$4,0)))+SUMPRODUCT((Inputs!$E$5:$E$230=$B30)*Inputs!$F$5:$F$230*(((Inputs!$G$5:$G$230="moeda")+(Inputs!$G$5:$G$230="acoes"))*Inputs!$B$1+((Inputs!$G$5:$G$230&lt;&gt;"moeda")*(Inputs!$G$5:$G$230&lt;&gt;"acoes")))*INDEX(Inputs!$K$5:$AJ$230,0,MATCH(E$2,Inputs!$K$4:$AJ$4,0)))))</f>
        <v>87.52</v>
      </c>
      <c r="F30" s="6">
        <f>IF(ISNA(MATCH(F$2,Inputs!$K$4:$AJ$4,0)),NA(),IF(SUMPRODUCT((Inputs!$A$5:$A$230=$B30)*ISNUMBER(INDEX(Inputs!$K$5:$AJ$230,0,MATCH(F$2,Inputs!$K$4:$AJ$4,0))))+SUMPRODUCT((Inputs!$C$5:$C$230=$B30)*ISNUMBER(INDEX(Inputs!$K$5:$AJ$230,0,MATCH(F$2,Inputs!$K$4:$AJ$4,0))))+SUMPRODUCT((Inputs!$E$5:$E$230=$B30)*ISNUMBER(INDEX(Inputs!$K$5:$AJ$230,0,MATCH(F$2,Inputs!$K$4:$AJ$4,0))))=0,NA(),SUMPRODUCT((Inputs!$A$5:$A$230=$B30)*Inputs!$B$5:$B$230*(((Inputs!$G$5:$G$230="moeda")+(Inputs!$G$5:$G$230="acoes"))*Inputs!$B$1+((Inputs!$G$5:$G$230&lt;&gt;"moeda")*(Inputs!$G$5:$G$230&lt;&gt;"acoes")))*INDEX(Inputs!$K$5:$AJ$230,0,MATCH(F$2,Inputs!$K$4:$AJ$4,0)))+SUMPRODUCT((Inputs!$C$5:$C$230=$B30)*Inputs!$D$5:$D$230*(((Inputs!$G$5:$G$230="moeda")+(Inputs!$G$5:$G$230="acoes"))*Inputs!$B$1+((Inputs!$G$5:$G$230&lt;&gt;"moeda")*(Inputs!$G$5:$G$230&lt;&gt;"acoes")))*INDEX(Inputs!$K$5:$AJ$230,0,MATCH(F$2,Inputs!$K$4:$AJ$4,0)))+SUMPRODUCT((Inputs!$E$5:$E$230=$B30)*Inputs!$F$5:$F$230*(((Inputs!$G$5:$G$230="moeda")+(Inputs!$G$5:$G$230="acoes"))*Inputs!$B$1+((Inputs!$G$5:$G$230&lt;&gt;"moeda")*(Inputs!$G$5:$G$230&lt;&gt;"acoes")))*INDEX(Inputs!$K$5:$AJ$230,0,MATCH(F$2,Inputs!$K$4:$AJ$4,0)))))</f>
        <v>104.389</v>
      </c>
      <c r="G30" s="6">
        <f>IF(ISNA(MATCH(G$2,Inputs!$K$4:$AJ$4,0)),NA(),IF(SUMPRODUCT((Inputs!$A$5:$A$230=$B30)*ISNUMBER(INDEX(Inputs!$K$5:$AJ$230,0,MATCH(G$2,Inputs!$K$4:$AJ$4,0))))+SUMPRODUCT((Inputs!$C$5:$C$230=$B30)*ISNUMBER(INDEX(Inputs!$K$5:$AJ$230,0,MATCH(G$2,Inputs!$K$4:$AJ$4,0))))+SUMPRODUCT((Inputs!$E$5:$E$230=$B30)*ISNUMBER(INDEX(Inputs!$K$5:$AJ$230,0,MATCH(G$2,Inputs!$K$4:$AJ$4,0))))=0,NA(),SUMPRODUCT((Inputs!$A$5:$A$230=$B30)*Inputs!$B$5:$B$230*(((Inputs!$G$5:$G$230="moeda")+(Inputs!$G$5:$G$230="acoes"))*Inputs!$B$1+((Inputs!$G$5:$G$230&lt;&gt;"moeda")*(Inputs!$G$5:$G$230&lt;&gt;"acoes")))*INDEX(Inputs!$K$5:$AJ$230,0,MATCH(G$2,Inputs!$K$4:$AJ$4,0)))+SUMPRODUCT((Inputs!$C$5:$C$230=$B30)*Inputs!$D$5:$D$230*(((Inputs!$G$5:$G$230="moeda")+(Inputs!$G$5:$G$230="acoes"))*Inputs!$B$1+((Inputs!$G$5:$G$230&lt;&gt;"moeda")*(Inputs!$G$5:$G$230&lt;&gt;"acoes")))*INDEX(Inputs!$K$5:$AJ$230,0,MATCH(G$2,Inputs!$K$4:$AJ$4,0)))+SUMPRODUCT((Inputs!$E$5:$E$230=$B30)*Inputs!$F$5:$F$230*(((Inputs!$G$5:$G$230="moeda")+(Inputs!$G$5:$G$230="acoes"))*Inputs!$B$1+((Inputs!$G$5:$G$230&lt;&gt;"moeda")*(Inputs!$G$5:$G$230&lt;&gt;"acoes")))*INDEX(Inputs!$K$5:$AJ$230,0,MATCH(G$2,Inputs!$K$4:$AJ$4,0)))))</f>
        <v>115.952</v>
      </c>
      <c r="H30" s="3">
        <f>G30</f>
        <v>115.952</v>
      </c>
      <c r="I30" s="6">
        <f>IF(ISNA(MATCH(I$2,Inputs!$K$4:$AJ$4,0)),NA(),IF(SUMPRODUCT((Inputs!$A$5:$A$230=$B30)*ISNUMBER(INDEX(Inputs!$K$5:$AJ$230,0,MATCH(I$2,Inputs!$K$4:$AJ$4,0))))+SUMPRODUCT((Inputs!$C$5:$C$230=$B30)*ISNUMBER(INDEX(Inputs!$K$5:$AJ$230,0,MATCH(I$2,Inputs!$K$4:$AJ$4,0))))+SUMPRODUCT((Inputs!$E$5:$E$230=$B30)*ISNUMBER(INDEX(Inputs!$K$5:$AJ$230,0,MATCH(I$2,Inputs!$K$4:$AJ$4,0))))=0,NA(),SUMPRODUCT((Inputs!$A$5:$A$230=$B30)*Inputs!$B$5:$B$230*(((Inputs!$G$5:$G$230="moeda")+(Inputs!$G$5:$G$230="acoes"))*Inputs!$B$1+((Inputs!$G$5:$G$230&lt;&gt;"moeda")*(Inputs!$G$5:$G$230&lt;&gt;"acoes")))*INDEX(Inputs!$K$5:$AJ$230,0,MATCH(I$2,Inputs!$K$4:$AJ$4,0)))+SUMPRODUCT((Inputs!$C$5:$C$230=$B30)*Inputs!$D$5:$D$230*(((Inputs!$G$5:$G$230="moeda")+(Inputs!$G$5:$G$230="acoes"))*Inputs!$B$1+((Inputs!$G$5:$G$230&lt;&gt;"moeda")*(Inputs!$G$5:$G$230&lt;&gt;"acoes")))*INDEX(Inputs!$K$5:$AJ$230,0,MATCH(I$2,Inputs!$K$4:$AJ$4,0)))+SUMPRODUCT((Inputs!$E$5:$E$230=$B30)*Inputs!$F$5:$F$230*(((Inputs!$G$5:$G$230="moeda")+(Inputs!$G$5:$G$230="acoes"))*Inputs!$B$1+((Inputs!$G$5:$G$230&lt;&gt;"moeda")*(Inputs!$G$5:$G$230&lt;&gt;"acoes")))*INDEX(Inputs!$K$5:$AJ$230,0,MATCH(I$2,Inputs!$K$4:$AJ$4,0)))))</f>
        <v>89.648</v>
      </c>
      <c r="J30" s="6">
        <f>IF(ISNA(MATCH(J$2,Inputs!$K$4:$AJ$4,0)),NA(),IF(SUMPRODUCT((Inputs!$A$5:$A$230=$B30)*ISNUMBER(INDEX(Inputs!$K$5:$AJ$230,0,MATCH(J$2,Inputs!$K$4:$AJ$4,0))))+SUMPRODUCT((Inputs!$C$5:$C$230=$B30)*ISNUMBER(INDEX(Inputs!$K$5:$AJ$230,0,MATCH(J$2,Inputs!$K$4:$AJ$4,0))))+SUMPRODUCT((Inputs!$E$5:$E$230=$B30)*ISNUMBER(INDEX(Inputs!$K$5:$AJ$230,0,MATCH(J$2,Inputs!$K$4:$AJ$4,0))))=0,NA(),SUMPRODUCT((Inputs!$A$5:$A$230=$B30)*Inputs!$B$5:$B$230*(((Inputs!$G$5:$G$230="moeda")+(Inputs!$G$5:$G$230="acoes"))*Inputs!$B$1+((Inputs!$G$5:$G$230&lt;&gt;"moeda")*(Inputs!$G$5:$G$230&lt;&gt;"acoes")))*INDEX(Inputs!$K$5:$AJ$230,0,MATCH(J$2,Inputs!$K$4:$AJ$4,0)))+SUMPRODUCT((Inputs!$C$5:$C$230=$B30)*Inputs!$D$5:$D$230*(((Inputs!$G$5:$G$230="moeda")+(Inputs!$G$5:$G$230="acoes"))*Inputs!$B$1+((Inputs!$G$5:$G$230&lt;&gt;"moeda")*(Inputs!$G$5:$G$230&lt;&gt;"acoes")))*INDEX(Inputs!$K$5:$AJ$230,0,MATCH(J$2,Inputs!$K$4:$AJ$4,0)))+SUMPRODUCT((Inputs!$E$5:$E$230=$B30)*Inputs!$F$5:$F$230*(((Inputs!$G$5:$G$230="moeda")+(Inputs!$G$5:$G$230="acoes"))*Inputs!$B$1+((Inputs!$G$5:$G$230&lt;&gt;"moeda")*(Inputs!$G$5:$G$230&lt;&gt;"acoes")))*INDEX(Inputs!$K$5:$AJ$230,0,MATCH(J$2,Inputs!$K$4:$AJ$4,0)))))</f>
        <v>103.913</v>
      </c>
      <c r="K30" s="6">
        <f>IF(ISNA(MATCH(K$2,Inputs!$K$4:$AJ$4,0)),NA(),IF(SUMPRODUCT((Inputs!$A$5:$A$230=$B30)*ISNUMBER(INDEX(Inputs!$K$5:$AJ$230,0,MATCH(K$2,Inputs!$K$4:$AJ$4,0))))+SUMPRODUCT((Inputs!$C$5:$C$230=$B30)*ISNUMBER(INDEX(Inputs!$K$5:$AJ$230,0,MATCH(K$2,Inputs!$K$4:$AJ$4,0))))+SUMPRODUCT((Inputs!$E$5:$E$230=$B30)*ISNUMBER(INDEX(Inputs!$K$5:$AJ$230,0,MATCH(K$2,Inputs!$K$4:$AJ$4,0))))=0,NA(),SUMPRODUCT((Inputs!$A$5:$A$230=$B30)*Inputs!$B$5:$B$230*(((Inputs!$G$5:$G$230="moeda")+(Inputs!$G$5:$G$230="acoes"))*Inputs!$B$1+((Inputs!$G$5:$G$230&lt;&gt;"moeda")*(Inputs!$G$5:$G$230&lt;&gt;"acoes")))*INDEX(Inputs!$K$5:$AJ$230,0,MATCH(K$2,Inputs!$K$4:$AJ$4,0)))+SUMPRODUCT((Inputs!$C$5:$C$230=$B30)*Inputs!$D$5:$D$230*(((Inputs!$G$5:$G$230="moeda")+(Inputs!$G$5:$G$230="acoes"))*Inputs!$B$1+((Inputs!$G$5:$G$230&lt;&gt;"moeda")*(Inputs!$G$5:$G$230&lt;&gt;"acoes")))*INDEX(Inputs!$K$5:$AJ$230,0,MATCH(K$2,Inputs!$K$4:$AJ$4,0)))+SUMPRODUCT((Inputs!$E$5:$E$230=$B30)*Inputs!$F$5:$F$230*(((Inputs!$G$5:$G$230="moeda")+(Inputs!$G$5:$G$230="acoes"))*Inputs!$B$1+((Inputs!$G$5:$G$230&lt;&gt;"moeda")*(Inputs!$G$5:$G$230&lt;&gt;"acoes")))*INDEX(Inputs!$K$5:$AJ$230,0,MATCH(K$2,Inputs!$K$4:$AJ$4,0)))))</f>
        <v>147.667</v>
      </c>
      <c r="L30" s="6">
        <f>IF(ISNA(MATCH(L$2,Inputs!$K$4:$AJ$4,0)),NA(),IF(SUMPRODUCT((Inputs!$A$5:$A$230=$B30)*ISNUMBER(INDEX(Inputs!$K$5:$AJ$230,0,MATCH(L$2,Inputs!$K$4:$AJ$4,0))))+SUMPRODUCT((Inputs!$C$5:$C$230=$B30)*ISNUMBER(INDEX(Inputs!$K$5:$AJ$230,0,MATCH(L$2,Inputs!$K$4:$AJ$4,0))))+SUMPRODUCT((Inputs!$E$5:$E$230=$B30)*ISNUMBER(INDEX(Inputs!$K$5:$AJ$230,0,MATCH(L$2,Inputs!$K$4:$AJ$4,0))))=0,NA(),SUMPRODUCT((Inputs!$A$5:$A$230=$B30)*Inputs!$B$5:$B$230*(((Inputs!$G$5:$G$230="moeda")+(Inputs!$G$5:$G$230="acoes"))*Inputs!$B$1+((Inputs!$G$5:$G$230&lt;&gt;"moeda")*(Inputs!$G$5:$G$230&lt;&gt;"acoes")))*INDEX(Inputs!$K$5:$AJ$230,0,MATCH(L$2,Inputs!$K$4:$AJ$4,0)))+SUMPRODUCT((Inputs!$C$5:$C$230=$B30)*Inputs!$D$5:$D$230*(((Inputs!$G$5:$G$230="moeda")+(Inputs!$G$5:$G$230="acoes"))*Inputs!$B$1+((Inputs!$G$5:$G$230&lt;&gt;"moeda")*(Inputs!$G$5:$G$230&lt;&gt;"acoes")))*INDEX(Inputs!$K$5:$AJ$230,0,MATCH(L$2,Inputs!$K$4:$AJ$4,0)))+SUMPRODUCT((Inputs!$E$5:$E$230=$B30)*Inputs!$F$5:$F$230*(((Inputs!$G$5:$G$230="moeda")+(Inputs!$G$5:$G$230="acoes"))*Inputs!$B$1+((Inputs!$G$5:$G$230&lt;&gt;"moeda")*(Inputs!$G$5:$G$230&lt;&gt;"acoes")))*INDEX(Inputs!$K$5:$AJ$230,0,MATCH(L$2,Inputs!$K$4:$AJ$4,0)))))</f>
        <v>197.448</v>
      </c>
      <c r="M30" s="3">
        <f>L30</f>
        <v>197.448</v>
      </c>
      <c r="N30" s="6">
        <f>IF(ISNA(MATCH(N$2,Inputs!$K$4:$AJ$4,0)),NA(),IF(SUMPRODUCT((Inputs!$A$5:$A$230=$B30)*ISNUMBER(INDEX(Inputs!$K$5:$AJ$230,0,MATCH(N$2,Inputs!$K$4:$AJ$4,0))))+SUMPRODUCT((Inputs!$C$5:$C$230=$B30)*ISNUMBER(INDEX(Inputs!$K$5:$AJ$230,0,MATCH(N$2,Inputs!$K$4:$AJ$4,0))))+SUMPRODUCT((Inputs!$E$5:$E$230=$B30)*ISNUMBER(INDEX(Inputs!$K$5:$AJ$230,0,MATCH(N$2,Inputs!$K$4:$AJ$4,0))))=0,NA(),SUMPRODUCT((Inputs!$A$5:$A$230=$B30)*Inputs!$B$5:$B$230*(((Inputs!$G$5:$G$230="moeda")+(Inputs!$G$5:$G$230="acoes"))*Inputs!$B$1+((Inputs!$G$5:$G$230&lt;&gt;"moeda")*(Inputs!$G$5:$G$230&lt;&gt;"acoes")))*INDEX(Inputs!$K$5:$AJ$230,0,MATCH(N$2,Inputs!$K$4:$AJ$4,0)))+SUMPRODUCT((Inputs!$C$5:$C$230=$B30)*Inputs!$D$5:$D$230*(((Inputs!$G$5:$G$230="moeda")+(Inputs!$G$5:$G$230="acoes"))*Inputs!$B$1+((Inputs!$G$5:$G$230&lt;&gt;"moeda")*(Inputs!$G$5:$G$230&lt;&gt;"acoes")))*INDEX(Inputs!$K$5:$AJ$230,0,MATCH(N$2,Inputs!$K$4:$AJ$4,0)))+SUMPRODUCT((Inputs!$E$5:$E$230=$B30)*Inputs!$F$5:$F$230*(((Inputs!$G$5:$G$230="moeda")+(Inputs!$G$5:$G$230="acoes"))*Inputs!$B$1+((Inputs!$G$5:$G$230&lt;&gt;"moeda")*(Inputs!$G$5:$G$230&lt;&gt;"acoes")))*INDEX(Inputs!$K$5:$AJ$230,0,MATCH(N$2,Inputs!$K$4:$AJ$4,0)))))</f>
        <v>122.435</v>
      </c>
      <c r="O30" s="6">
        <f>IF(ISNA(MATCH(O$2,Inputs!$K$4:$AJ$4,0)),NA(),IF(SUMPRODUCT((Inputs!$A$5:$A$230=$B30)*ISNUMBER(INDEX(Inputs!$K$5:$AJ$230,0,MATCH(O$2,Inputs!$K$4:$AJ$4,0))))+SUMPRODUCT((Inputs!$C$5:$C$230=$B30)*ISNUMBER(INDEX(Inputs!$K$5:$AJ$230,0,MATCH(O$2,Inputs!$K$4:$AJ$4,0))))+SUMPRODUCT((Inputs!$E$5:$E$230=$B30)*ISNUMBER(INDEX(Inputs!$K$5:$AJ$230,0,MATCH(O$2,Inputs!$K$4:$AJ$4,0))))=0,NA(),SUMPRODUCT((Inputs!$A$5:$A$230=$B30)*Inputs!$B$5:$B$230*(((Inputs!$G$5:$G$230="moeda")+(Inputs!$G$5:$G$230="acoes"))*Inputs!$B$1+((Inputs!$G$5:$G$230&lt;&gt;"moeda")*(Inputs!$G$5:$G$230&lt;&gt;"acoes")))*INDEX(Inputs!$K$5:$AJ$230,0,MATCH(O$2,Inputs!$K$4:$AJ$4,0)))+SUMPRODUCT((Inputs!$C$5:$C$230=$B30)*Inputs!$D$5:$D$230*(((Inputs!$G$5:$G$230="moeda")+(Inputs!$G$5:$G$230="acoes"))*Inputs!$B$1+((Inputs!$G$5:$G$230&lt;&gt;"moeda")*(Inputs!$G$5:$G$230&lt;&gt;"acoes")))*INDEX(Inputs!$K$5:$AJ$230,0,MATCH(O$2,Inputs!$K$4:$AJ$4,0)))+SUMPRODUCT((Inputs!$E$5:$E$230=$B30)*Inputs!$F$5:$F$230*(((Inputs!$G$5:$G$230="moeda")+(Inputs!$G$5:$G$230="acoes"))*Inputs!$B$1+((Inputs!$G$5:$G$230&lt;&gt;"moeda")*(Inputs!$G$5:$G$230&lt;&gt;"acoes")))*INDEX(Inputs!$K$5:$AJ$230,0,MATCH(O$2,Inputs!$K$4:$AJ$4,0)))))</f>
        <v>155.508</v>
      </c>
      <c r="P30" s="6">
        <f>IF(ISNA(MATCH(P$2,Inputs!$K$4:$AJ$4,0)),NA(),IF(SUMPRODUCT((Inputs!$A$5:$A$230=$B30)*ISNUMBER(INDEX(Inputs!$K$5:$AJ$230,0,MATCH(P$2,Inputs!$K$4:$AJ$4,0))))+SUMPRODUCT((Inputs!$C$5:$C$230=$B30)*ISNUMBER(INDEX(Inputs!$K$5:$AJ$230,0,MATCH(P$2,Inputs!$K$4:$AJ$4,0))))+SUMPRODUCT((Inputs!$E$5:$E$230=$B30)*ISNUMBER(INDEX(Inputs!$K$5:$AJ$230,0,MATCH(P$2,Inputs!$K$4:$AJ$4,0))))=0,NA(),SUMPRODUCT((Inputs!$A$5:$A$230=$B30)*Inputs!$B$5:$B$230*(((Inputs!$G$5:$G$230="moeda")+(Inputs!$G$5:$G$230="acoes"))*Inputs!$B$1+((Inputs!$G$5:$G$230&lt;&gt;"moeda")*(Inputs!$G$5:$G$230&lt;&gt;"acoes")))*INDEX(Inputs!$K$5:$AJ$230,0,MATCH(P$2,Inputs!$K$4:$AJ$4,0)))+SUMPRODUCT((Inputs!$C$5:$C$230=$B30)*Inputs!$D$5:$D$230*(((Inputs!$G$5:$G$230="moeda")+(Inputs!$G$5:$G$230="acoes"))*Inputs!$B$1+((Inputs!$G$5:$G$230&lt;&gt;"moeda")*(Inputs!$G$5:$G$230&lt;&gt;"acoes")))*INDEX(Inputs!$K$5:$AJ$230,0,MATCH(P$2,Inputs!$K$4:$AJ$4,0)))+SUMPRODUCT((Inputs!$E$5:$E$230=$B30)*Inputs!$F$5:$F$230*(((Inputs!$G$5:$G$230="moeda")+(Inputs!$G$5:$G$230="acoes"))*Inputs!$B$1+((Inputs!$G$5:$G$230&lt;&gt;"moeda")*(Inputs!$G$5:$G$230&lt;&gt;"acoes")))*INDEX(Inputs!$K$5:$AJ$230,0,MATCH(P$2,Inputs!$K$4:$AJ$4,0)))))</f>
        <v>184.291</v>
      </c>
      <c r="Q30" s="6">
        <f>IF(ISNA(MATCH(Q$2,Inputs!$K$4:$AJ$4,0)),NA(),IF(SUMPRODUCT((Inputs!$A$5:$A$230=$B30)*ISNUMBER(INDEX(Inputs!$K$5:$AJ$230,0,MATCH(Q$2,Inputs!$K$4:$AJ$4,0))))+SUMPRODUCT((Inputs!$C$5:$C$230=$B30)*ISNUMBER(INDEX(Inputs!$K$5:$AJ$230,0,MATCH(Q$2,Inputs!$K$4:$AJ$4,0))))+SUMPRODUCT((Inputs!$E$5:$E$230=$B30)*ISNUMBER(INDEX(Inputs!$K$5:$AJ$230,0,MATCH(Q$2,Inputs!$K$4:$AJ$4,0))))=0,NA(),SUMPRODUCT((Inputs!$A$5:$A$230=$B30)*Inputs!$B$5:$B$230*(((Inputs!$G$5:$G$230="moeda")+(Inputs!$G$5:$G$230="acoes"))*Inputs!$B$1+((Inputs!$G$5:$G$230&lt;&gt;"moeda")*(Inputs!$G$5:$G$230&lt;&gt;"acoes")))*INDEX(Inputs!$K$5:$AJ$230,0,MATCH(Q$2,Inputs!$K$4:$AJ$4,0)))+SUMPRODUCT((Inputs!$C$5:$C$230=$B30)*Inputs!$D$5:$D$230*(((Inputs!$G$5:$G$230="moeda")+(Inputs!$G$5:$G$230="acoes"))*Inputs!$B$1+((Inputs!$G$5:$G$230&lt;&gt;"moeda")*(Inputs!$G$5:$G$230&lt;&gt;"acoes")))*INDEX(Inputs!$K$5:$AJ$230,0,MATCH(Q$2,Inputs!$K$4:$AJ$4,0)))+SUMPRODUCT((Inputs!$E$5:$E$230=$B30)*Inputs!$F$5:$F$230*(((Inputs!$G$5:$G$230="moeda")+(Inputs!$G$5:$G$230="acoes"))*Inputs!$B$1+((Inputs!$G$5:$G$230&lt;&gt;"moeda")*(Inputs!$G$5:$G$230&lt;&gt;"acoes")))*INDEX(Inputs!$K$5:$AJ$230,0,MATCH(Q$2,Inputs!$K$4:$AJ$4,0)))))</f>
        <v>161.876</v>
      </c>
      <c r="R30" s="3">
        <f>Q30</f>
        <v>161.876</v>
      </c>
      <c r="S30" s="6">
        <f>IF(ISNA(MATCH(S$2,Inputs!$K$4:$AJ$4,0)),NA(),IF(SUMPRODUCT((Inputs!$A$5:$A$230=$B30)*ISNUMBER(INDEX(Inputs!$K$5:$AJ$230,0,MATCH(S$2,Inputs!$K$4:$AJ$4,0))))+SUMPRODUCT((Inputs!$C$5:$C$230=$B30)*ISNUMBER(INDEX(Inputs!$K$5:$AJ$230,0,MATCH(S$2,Inputs!$K$4:$AJ$4,0))))+SUMPRODUCT((Inputs!$E$5:$E$230=$B30)*ISNUMBER(INDEX(Inputs!$K$5:$AJ$230,0,MATCH(S$2,Inputs!$K$4:$AJ$4,0))))=0,NA(),SUMPRODUCT((Inputs!$A$5:$A$230=$B30)*Inputs!$B$5:$B$230*(((Inputs!$G$5:$G$230="moeda")+(Inputs!$G$5:$G$230="acoes"))*Inputs!$B$1+((Inputs!$G$5:$G$230&lt;&gt;"moeda")*(Inputs!$G$5:$G$230&lt;&gt;"acoes")))*INDEX(Inputs!$K$5:$AJ$230,0,MATCH(S$2,Inputs!$K$4:$AJ$4,0)))+SUMPRODUCT((Inputs!$C$5:$C$230=$B30)*Inputs!$D$5:$D$230*(((Inputs!$G$5:$G$230="moeda")+(Inputs!$G$5:$G$230="acoes"))*Inputs!$B$1+((Inputs!$G$5:$G$230&lt;&gt;"moeda")*(Inputs!$G$5:$G$230&lt;&gt;"acoes")))*INDEX(Inputs!$K$5:$AJ$230,0,MATCH(S$2,Inputs!$K$4:$AJ$4,0)))+SUMPRODUCT((Inputs!$E$5:$E$230=$B30)*Inputs!$F$5:$F$230*(((Inputs!$G$5:$G$230="moeda")+(Inputs!$G$5:$G$230="acoes"))*Inputs!$B$1+((Inputs!$G$5:$G$230&lt;&gt;"moeda")*(Inputs!$G$5:$G$230&lt;&gt;"acoes")))*INDEX(Inputs!$K$5:$AJ$230,0,MATCH(S$2,Inputs!$K$4:$AJ$4,0)))))</f>
        <v>140.937</v>
      </c>
      <c r="T30" s="6">
        <f>IF(ISNA(MATCH(T$2,Inputs!$K$4:$AJ$4,0)),NA(),IF(SUMPRODUCT((Inputs!$A$5:$A$230=$B30)*ISNUMBER(INDEX(Inputs!$K$5:$AJ$230,0,MATCH(T$2,Inputs!$K$4:$AJ$4,0))))+SUMPRODUCT((Inputs!$C$5:$C$230=$B30)*ISNUMBER(INDEX(Inputs!$K$5:$AJ$230,0,MATCH(T$2,Inputs!$K$4:$AJ$4,0))))+SUMPRODUCT((Inputs!$E$5:$E$230=$B30)*ISNUMBER(INDEX(Inputs!$K$5:$AJ$230,0,MATCH(T$2,Inputs!$K$4:$AJ$4,0))))=0,NA(),SUMPRODUCT((Inputs!$A$5:$A$230=$B30)*Inputs!$B$5:$B$230*(((Inputs!$G$5:$G$230="moeda")+(Inputs!$G$5:$G$230="acoes"))*Inputs!$B$1+((Inputs!$G$5:$G$230&lt;&gt;"moeda")*(Inputs!$G$5:$G$230&lt;&gt;"acoes")))*INDEX(Inputs!$K$5:$AJ$230,0,MATCH(T$2,Inputs!$K$4:$AJ$4,0)))+SUMPRODUCT((Inputs!$C$5:$C$230=$B30)*Inputs!$D$5:$D$230*(((Inputs!$G$5:$G$230="moeda")+(Inputs!$G$5:$G$230="acoes"))*Inputs!$B$1+((Inputs!$G$5:$G$230&lt;&gt;"moeda")*(Inputs!$G$5:$G$230&lt;&gt;"acoes")))*INDEX(Inputs!$K$5:$AJ$230,0,MATCH(T$2,Inputs!$K$4:$AJ$4,0)))+SUMPRODUCT((Inputs!$E$5:$E$230=$B30)*Inputs!$F$5:$F$230*(((Inputs!$G$5:$G$230="moeda")+(Inputs!$G$5:$G$230="acoes"))*Inputs!$B$1+((Inputs!$G$5:$G$230&lt;&gt;"moeda")*(Inputs!$G$5:$G$230&lt;&gt;"acoes")))*INDEX(Inputs!$K$5:$AJ$230,0,MATCH(T$2,Inputs!$K$4:$AJ$4,0)))))</f>
        <v>166.263</v>
      </c>
      <c r="U30" s="6">
        <f>IF(ISNA(MATCH(U$2,Inputs!$K$4:$AJ$4,0)),NA(),IF(SUMPRODUCT((Inputs!$A$5:$A$230=$B30)*ISNUMBER(INDEX(Inputs!$K$5:$AJ$230,0,MATCH(U$2,Inputs!$K$4:$AJ$4,0))))+SUMPRODUCT((Inputs!$C$5:$C$230=$B30)*ISNUMBER(INDEX(Inputs!$K$5:$AJ$230,0,MATCH(U$2,Inputs!$K$4:$AJ$4,0))))+SUMPRODUCT((Inputs!$E$5:$E$230=$B30)*ISNUMBER(INDEX(Inputs!$K$5:$AJ$230,0,MATCH(U$2,Inputs!$K$4:$AJ$4,0))))=0,NA(),SUMPRODUCT((Inputs!$A$5:$A$230=$B30)*Inputs!$B$5:$B$230*(((Inputs!$G$5:$G$230="moeda")+(Inputs!$G$5:$G$230="acoes"))*Inputs!$B$1+((Inputs!$G$5:$G$230&lt;&gt;"moeda")*(Inputs!$G$5:$G$230&lt;&gt;"acoes")))*INDEX(Inputs!$K$5:$AJ$230,0,MATCH(U$2,Inputs!$K$4:$AJ$4,0)))+SUMPRODUCT((Inputs!$C$5:$C$230=$B30)*Inputs!$D$5:$D$230*(((Inputs!$G$5:$G$230="moeda")+(Inputs!$G$5:$G$230="acoes"))*Inputs!$B$1+((Inputs!$G$5:$G$230&lt;&gt;"moeda")*(Inputs!$G$5:$G$230&lt;&gt;"acoes")))*INDEX(Inputs!$K$5:$AJ$230,0,MATCH(U$2,Inputs!$K$4:$AJ$4,0)))+SUMPRODUCT((Inputs!$E$5:$E$230=$B30)*Inputs!$F$5:$F$230*(((Inputs!$G$5:$G$230="moeda")+(Inputs!$G$5:$G$230="acoes"))*Inputs!$B$1+((Inputs!$G$5:$G$230&lt;&gt;"moeda")*(Inputs!$G$5:$G$230&lt;&gt;"acoes")))*INDEX(Inputs!$K$5:$AJ$230,0,MATCH(U$2,Inputs!$K$4:$AJ$4,0)))))</f>
        <v>177.287</v>
      </c>
      <c r="V30" s="6">
        <f>IF(ISNA(MATCH(V$2,Inputs!$K$4:$AJ$4,0)),NA(),IF(SUMPRODUCT((Inputs!$A$5:$A$230=$B30)*ISNUMBER(INDEX(Inputs!$K$5:$AJ$230,0,MATCH(V$2,Inputs!$K$4:$AJ$4,0))))+SUMPRODUCT((Inputs!$C$5:$C$230=$B30)*ISNUMBER(INDEX(Inputs!$K$5:$AJ$230,0,MATCH(V$2,Inputs!$K$4:$AJ$4,0))))+SUMPRODUCT((Inputs!$E$5:$E$230=$B30)*ISNUMBER(INDEX(Inputs!$K$5:$AJ$230,0,MATCH(V$2,Inputs!$K$4:$AJ$4,0))))=0,NA(),SUMPRODUCT((Inputs!$A$5:$A$230=$B30)*Inputs!$B$5:$B$230*(((Inputs!$G$5:$G$230="moeda")+(Inputs!$G$5:$G$230="acoes"))*Inputs!$B$1+((Inputs!$G$5:$G$230&lt;&gt;"moeda")*(Inputs!$G$5:$G$230&lt;&gt;"acoes")))*INDEX(Inputs!$K$5:$AJ$230,0,MATCH(V$2,Inputs!$K$4:$AJ$4,0)))+SUMPRODUCT((Inputs!$C$5:$C$230=$B30)*Inputs!$D$5:$D$230*(((Inputs!$G$5:$G$230="moeda")+(Inputs!$G$5:$G$230="acoes"))*Inputs!$B$1+((Inputs!$G$5:$G$230&lt;&gt;"moeda")*(Inputs!$G$5:$G$230&lt;&gt;"acoes")))*INDEX(Inputs!$K$5:$AJ$230,0,MATCH(V$2,Inputs!$K$4:$AJ$4,0)))+SUMPRODUCT((Inputs!$E$5:$E$230=$B30)*Inputs!$F$5:$F$230*(((Inputs!$G$5:$G$230="moeda")+(Inputs!$G$5:$G$230="acoes"))*Inputs!$B$1+((Inputs!$G$5:$G$230&lt;&gt;"moeda")*(Inputs!$G$5:$G$230&lt;&gt;"acoes")))*INDEX(Inputs!$K$5:$AJ$230,0,MATCH(V$2,Inputs!$K$4:$AJ$4,0)))))</f>
        <v>158.95</v>
      </c>
      <c r="W30" s="3">
        <f>V30</f>
        <v>158.95</v>
      </c>
      <c r="X30" s="6">
        <f>IF(ISNA(MATCH(X$2,Inputs!$K$4:$AJ$4,0)),NA(),IF(SUMPRODUCT((Inputs!$A$5:$A$230=$B30)*ISNUMBER(INDEX(Inputs!$K$5:$AJ$230,0,MATCH(X$2,Inputs!$K$4:$AJ$4,0))))+SUMPRODUCT((Inputs!$C$5:$C$230=$B30)*ISNUMBER(INDEX(Inputs!$K$5:$AJ$230,0,MATCH(X$2,Inputs!$K$4:$AJ$4,0))))+SUMPRODUCT((Inputs!$E$5:$E$230=$B30)*ISNUMBER(INDEX(Inputs!$K$5:$AJ$230,0,MATCH(X$2,Inputs!$K$4:$AJ$4,0))))=0,NA(),SUMPRODUCT((Inputs!$A$5:$A$230=$B30)*Inputs!$B$5:$B$230*(((Inputs!$G$5:$G$230="moeda")+(Inputs!$G$5:$G$230="acoes"))*Inputs!$B$1+((Inputs!$G$5:$G$230&lt;&gt;"moeda")*(Inputs!$G$5:$G$230&lt;&gt;"acoes")))*INDEX(Inputs!$K$5:$AJ$230,0,MATCH(X$2,Inputs!$K$4:$AJ$4,0)))+SUMPRODUCT((Inputs!$C$5:$C$230=$B30)*Inputs!$D$5:$D$230*(((Inputs!$G$5:$G$230="moeda")+(Inputs!$G$5:$G$230="acoes"))*Inputs!$B$1+((Inputs!$G$5:$G$230&lt;&gt;"moeda")*(Inputs!$G$5:$G$230&lt;&gt;"acoes")))*INDEX(Inputs!$K$5:$AJ$230,0,MATCH(X$2,Inputs!$K$4:$AJ$4,0)))+SUMPRODUCT((Inputs!$E$5:$E$230=$B30)*Inputs!$F$5:$F$230*(((Inputs!$G$5:$G$230="moeda")+(Inputs!$G$5:$G$230="acoes"))*Inputs!$B$1+((Inputs!$G$5:$G$230&lt;&gt;"moeda")*(Inputs!$G$5:$G$230&lt;&gt;"acoes")))*INDEX(Inputs!$K$5:$AJ$230,0,MATCH(X$2,Inputs!$K$4:$AJ$4,0)))))</f>
        <v>128.376</v>
      </c>
      <c r="Y30" s="6">
        <f>IF(ISNA(MATCH(Y$2,Inputs!$K$4:$AJ$4,0)),NA(),IF(SUMPRODUCT((Inputs!$A$5:$A$230=$B30)*ISNUMBER(INDEX(Inputs!$K$5:$AJ$230,0,MATCH(Y$2,Inputs!$K$4:$AJ$4,0))))+SUMPRODUCT((Inputs!$C$5:$C$230=$B30)*ISNUMBER(INDEX(Inputs!$K$5:$AJ$230,0,MATCH(Y$2,Inputs!$K$4:$AJ$4,0))))+SUMPRODUCT((Inputs!$E$5:$E$230=$B30)*ISNUMBER(INDEX(Inputs!$K$5:$AJ$230,0,MATCH(Y$2,Inputs!$K$4:$AJ$4,0))))=0,NA(),SUMPRODUCT((Inputs!$A$5:$A$230=$B30)*Inputs!$B$5:$B$230*(((Inputs!$G$5:$G$230="moeda")+(Inputs!$G$5:$G$230="acoes"))*Inputs!$B$1+((Inputs!$G$5:$G$230&lt;&gt;"moeda")*(Inputs!$G$5:$G$230&lt;&gt;"acoes")))*INDEX(Inputs!$K$5:$AJ$230,0,MATCH(Y$2,Inputs!$K$4:$AJ$4,0)))+SUMPRODUCT((Inputs!$C$5:$C$230=$B30)*Inputs!$D$5:$D$230*(((Inputs!$G$5:$G$230="moeda")+(Inputs!$G$5:$G$230="acoes"))*Inputs!$B$1+((Inputs!$G$5:$G$230&lt;&gt;"moeda")*(Inputs!$G$5:$G$230&lt;&gt;"acoes")))*INDEX(Inputs!$K$5:$AJ$230,0,MATCH(Y$2,Inputs!$K$4:$AJ$4,0)))+SUMPRODUCT((Inputs!$E$5:$E$230=$B30)*Inputs!$F$5:$F$230*(((Inputs!$G$5:$G$230="moeda")+(Inputs!$G$5:$G$230="acoes"))*Inputs!$B$1+((Inputs!$G$5:$G$230&lt;&gt;"moeda")*(Inputs!$G$5:$G$230&lt;&gt;"acoes")))*INDEX(Inputs!$K$5:$AJ$230,0,MATCH(Y$2,Inputs!$K$4:$AJ$4,0)))))</f>
        <v>157.779</v>
      </c>
      <c r="Z30" s="6">
        <f>IF(ISNA(MATCH(Z$2,Inputs!$K$4:$AJ$4,0)),NA(),IF(SUMPRODUCT((Inputs!$A$5:$A$230=$B30)*ISNUMBER(INDEX(Inputs!$K$5:$AJ$230,0,MATCH(Z$2,Inputs!$K$4:$AJ$4,0))))+SUMPRODUCT((Inputs!$C$5:$C$230=$B30)*ISNUMBER(INDEX(Inputs!$K$5:$AJ$230,0,MATCH(Z$2,Inputs!$K$4:$AJ$4,0))))+SUMPRODUCT((Inputs!$E$5:$E$230=$B30)*ISNUMBER(INDEX(Inputs!$K$5:$AJ$230,0,MATCH(Z$2,Inputs!$K$4:$AJ$4,0))))=0,NA(),SUMPRODUCT((Inputs!$A$5:$A$230=$B30)*Inputs!$B$5:$B$230*(((Inputs!$G$5:$G$230="moeda")+(Inputs!$G$5:$G$230="acoes"))*Inputs!$B$1+((Inputs!$G$5:$G$230&lt;&gt;"moeda")*(Inputs!$G$5:$G$230&lt;&gt;"acoes")))*INDEX(Inputs!$K$5:$AJ$230,0,MATCH(Z$2,Inputs!$K$4:$AJ$4,0)))+SUMPRODUCT((Inputs!$C$5:$C$230=$B30)*Inputs!$D$5:$D$230*(((Inputs!$G$5:$G$230="moeda")+(Inputs!$G$5:$G$230="acoes"))*Inputs!$B$1+((Inputs!$G$5:$G$230&lt;&gt;"moeda")*(Inputs!$G$5:$G$230&lt;&gt;"acoes")))*INDEX(Inputs!$K$5:$AJ$230,0,MATCH(Z$2,Inputs!$K$4:$AJ$4,0)))+SUMPRODUCT((Inputs!$E$5:$E$230=$B30)*Inputs!$F$5:$F$230*(((Inputs!$G$5:$G$230="moeda")+(Inputs!$G$5:$G$230="acoes"))*Inputs!$B$1+((Inputs!$G$5:$G$230&lt;&gt;"moeda")*(Inputs!$G$5:$G$230&lt;&gt;"acoes")))*INDEX(Inputs!$K$5:$AJ$230,0,MATCH(Z$2,Inputs!$K$4:$AJ$4,0)))))</f>
        <v>185.597</v>
      </c>
      <c r="AA30" s="6">
        <f>IF(ISNA(MATCH(AA$2,Inputs!$K$4:$AJ$4,0)),NA(),IF(SUMPRODUCT((Inputs!$A$5:$A$230=$B30)*ISNUMBER(INDEX(Inputs!$K$5:$AJ$230,0,MATCH(AA$2,Inputs!$K$4:$AJ$4,0))))+SUMPRODUCT((Inputs!$C$5:$C$230=$B30)*ISNUMBER(INDEX(Inputs!$K$5:$AJ$230,0,MATCH(AA$2,Inputs!$K$4:$AJ$4,0))))+SUMPRODUCT((Inputs!$E$5:$E$230=$B30)*ISNUMBER(INDEX(Inputs!$K$5:$AJ$230,0,MATCH(AA$2,Inputs!$K$4:$AJ$4,0))))=0,NA(),SUMPRODUCT((Inputs!$A$5:$A$230=$B30)*Inputs!$B$5:$B$230*(((Inputs!$G$5:$G$230="moeda")+(Inputs!$G$5:$G$230="acoes"))*Inputs!$B$1+((Inputs!$G$5:$G$230&lt;&gt;"moeda")*(Inputs!$G$5:$G$230&lt;&gt;"acoes")))*INDEX(Inputs!$K$5:$AJ$230,0,MATCH(AA$2,Inputs!$K$4:$AJ$4,0)))+SUMPRODUCT((Inputs!$C$5:$C$230=$B30)*Inputs!$D$5:$D$230*(((Inputs!$G$5:$G$230="moeda")+(Inputs!$G$5:$G$230="acoes"))*Inputs!$B$1+((Inputs!$G$5:$G$230&lt;&gt;"moeda")*(Inputs!$G$5:$G$230&lt;&gt;"acoes")))*INDEX(Inputs!$K$5:$AJ$230,0,MATCH(AA$2,Inputs!$K$4:$AJ$4,0)))+SUMPRODUCT((Inputs!$E$5:$E$230=$B30)*Inputs!$F$5:$F$230*(((Inputs!$G$5:$G$230="moeda")+(Inputs!$G$5:$G$230="acoes"))*Inputs!$B$1+((Inputs!$G$5:$G$230&lt;&gt;"moeda")*(Inputs!$G$5:$G$230&lt;&gt;"acoes")))*INDEX(Inputs!$K$5:$AJ$230,0,MATCH(AA$2,Inputs!$K$4:$AJ$4,0)))))</f>
        <v>160.407</v>
      </c>
      <c r="AB30" s="3">
        <f>AA30</f>
        <v>160.407</v>
      </c>
      <c r="AC30" s="6">
        <f>IF(ISNA(MATCH(AC$2,Inputs!$K$4:$AJ$4,0)),NA(),IF(SUMPRODUCT((Inputs!$A$5:$A$230=$B30)*ISNUMBER(INDEX(Inputs!$K$5:$AJ$230,0,MATCH(AC$2,Inputs!$K$4:$AJ$4,0))))+SUMPRODUCT((Inputs!$C$5:$C$230=$B30)*ISNUMBER(INDEX(Inputs!$K$5:$AJ$230,0,MATCH(AC$2,Inputs!$K$4:$AJ$4,0))))+SUMPRODUCT((Inputs!$E$5:$E$230=$B30)*ISNUMBER(INDEX(Inputs!$K$5:$AJ$230,0,MATCH(AC$2,Inputs!$K$4:$AJ$4,0))))=0,NA(),SUMPRODUCT((Inputs!$A$5:$A$230=$B30)*Inputs!$B$5:$B$230*(((Inputs!$G$5:$G$230="moeda")+(Inputs!$G$5:$G$230="acoes"))*Inputs!$B$1+((Inputs!$G$5:$G$230&lt;&gt;"moeda")*(Inputs!$G$5:$G$230&lt;&gt;"acoes")))*INDEX(Inputs!$K$5:$AJ$230,0,MATCH(AC$2,Inputs!$K$4:$AJ$4,0)))+SUMPRODUCT((Inputs!$C$5:$C$230=$B30)*Inputs!$D$5:$D$230*(((Inputs!$G$5:$G$230="moeda")+(Inputs!$G$5:$G$230="acoes"))*Inputs!$B$1+((Inputs!$G$5:$G$230&lt;&gt;"moeda")*(Inputs!$G$5:$G$230&lt;&gt;"acoes")))*INDEX(Inputs!$K$5:$AJ$230,0,MATCH(AC$2,Inputs!$K$4:$AJ$4,0)))+SUMPRODUCT((Inputs!$E$5:$E$230=$B30)*Inputs!$F$5:$F$230*(((Inputs!$G$5:$G$230="moeda")+(Inputs!$G$5:$G$230="acoes"))*Inputs!$B$1+((Inputs!$G$5:$G$230&lt;&gt;"moeda")*(Inputs!$G$5:$G$230&lt;&gt;"acoes")))*INDEX(Inputs!$K$5:$AJ$230,0,MATCH(AC$2,Inputs!$K$4:$AJ$4,0)))))</f>
        <v>176.219</v>
      </c>
      <c r="AD30" s="6">
        <f>IF(ISNA(MATCH(AD$2,Inputs!$K$4:$AJ$4,0)),NA(),IF(SUMPRODUCT((Inputs!$A$5:$A$230=$B30)*ISNUMBER(INDEX(Inputs!$K$5:$AJ$230,0,MATCH(AD$2,Inputs!$K$4:$AJ$4,0))))+SUMPRODUCT((Inputs!$C$5:$C$230=$B30)*ISNUMBER(INDEX(Inputs!$K$5:$AJ$230,0,MATCH(AD$2,Inputs!$K$4:$AJ$4,0))))+SUMPRODUCT((Inputs!$E$5:$E$230=$B30)*ISNUMBER(INDEX(Inputs!$K$5:$AJ$230,0,MATCH(AD$2,Inputs!$K$4:$AJ$4,0))))=0,NA(),SUMPRODUCT((Inputs!$A$5:$A$230=$B30)*Inputs!$B$5:$B$230*(((Inputs!$G$5:$G$230="moeda")+(Inputs!$G$5:$G$230="acoes"))*Inputs!$B$1+((Inputs!$G$5:$G$230&lt;&gt;"moeda")*(Inputs!$G$5:$G$230&lt;&gt;"acoes")))*INDEX(Inputs!$K$5:$AJ$230,0,MATCH(AD$2,Inputs!$K$4:$AJ$4,0)))+SUMPRODUCT((Inputs!$C$5:$C$230=$B30)*Inputs!$D$5:$D$230*(((Inputs!$G$5:$G$230="moeda")+(Inputs!$G$5:$G$230="acoes"))*Inputs!$B$1+((Inputs!$G$5:$G$230&lt;&gt;"moeda")*(Inputs!$G$5:$G$230&lt;&gt;"acoes")))*INDEX(Inputs!$K$5:$AJ$230,0,MATCH(AD$2,Inputs!$K$4:$AJ$4,0)))+SUMPRODUCT((Inputs!$E$5:$E$230=$B30)*Inputs!$F$5:$F$230*(((Inputs!$G$5:$G$230="moeda")+(Inputs!$G$5:$G$230="acoes"))*Inputs!$B$1+((Inputs!$G$5:$G$230&lt;&gt;"moeda")*(Inputs!$G$5:$G$230&lt;&gt;"acoes")))*INDEX(Inputs!$K$5:$AJ$230,0,MATCH(AD$2,Inputs!$K$4:$AJ$4,0)))))</f>
        <v>208.403</v>
      </c>
      <c r="AE30" s="6" t="e">
        <f>IF(ISNA(MATCH(AE$2,Inputs!$K$4:$AJ$4,0)),NA(),IF(SUMPRODUCT((Inputs!$A$5:$A$230=$B30)*ISNUMBER(INDEX(Inputs!$K$5:$AJ$230,0,MATCH(AE$2,Inputs!$K$4:$AJ$4,0))))+SUMPRODUCT((Inputs!$C$5:$C$230=$B30)*ISNUMBER(INDEX(Inputs!$K$5:$AJ$230,0,MATCH(AE$2,Inputs!$K$4:$AJ$4,0))))+SUMPRODUCT((Inputs!$E$5:$E$230=$B30)*ISNUMBER(INDEX(Inputs!$K$5:$AJ$230,0,MATCH(AE$2,Inputs!$K$4:$AJ$4,0))))=0,NA(),SUMPRODUCT((Inputs!$A$5:$A$230=$B30)*Inputs!$B$5:$B$230*(((Inputs!$G$5:$G$230="moeda")+(Inputs!$G$5:$G$230="acoes"))*Inputs!$B$1+((Inputs!$G$5:$G$230&lt;&gt;"moeda")*(Inputs!$G$5:$G$230&lt;&gt;"acoes")))*INDEX(Inputs!$K$5:$AJ$230,0,MATCH(AE$2,Inputs!$K$4:$AJ$4,0)))+SUMPRODUCT((Inputs!$C$5:$C$230=$B30)*Inputs!$D$5:$D$230*(((Inputs!$G$5:$G$230="moeda")+(Inputs!$G$5:$G$230="acoes"))*Inputs!$B$1+((Inputs!$G$5:$G$230&lt;&gt;"moeda")*(Inputs!$G$5:$G$230&lt;&gt;"acoes")))*INDEX(Inputs!$K$5:$AJ$230,0,MATCH(AE$2,Inputs!$K$4:$AJ$4,0)))+SUMPRODUCT((Inputs!$E$5:$E$230=$B30)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30" s="6" t="e">
        <f>IF(ISNA(MATCH(AF$2,Inputs!$K$4:$AJ$4,0)),NA(),IF(SUMPRODUCT((Inputs!$A$5:$A$230=$B30)*ISNUMBER(INDEX(Inputs!$K$5:$AJ$230,0,MATCH(AF$2,Inputs!$K$4:$AJ$4,0))))+SUMPRODUCT((Inputs!$C$5:$C$230=$B30)*ISNUMBER(INDEX(Inputs!$K$5:$AJ$230,0,MATCH(AF$2,Inputs!$K$4:$AJ$4,0))))+SUMPRODUCT((Inputs!$E$5:$E$230=$B30)*ISNUMBER(INDEX(Inputs!$K$5:$AJ$230,0,MATCH(AF$2,Inputs!$K$4:$AJ$4,0))))=0,NA(),SUMPRODUCT((Inputs!$A$5:$A$230=$B30)*Inputs!$B$5:$B$230*(((Inputs!$G$5:$G$230="moeda")+(Inputs!$G$5:$G$230="acoes"))*Inputs!$B$1+((Inputs!$G$5:$G$230&lt;&gt;"moeda")*(Inputs!$G$5:$G$230&lt;&gt;"acoes")))*INDEX(Inputs!$K$5:$AJ$230,0,MATCH(AF$2,Inputs!$K$4:$AJ$4,0)))+SUMPRODUCT((Inputs!$C$5:$C$230=$B30)*Inputs!$D$5:$D$230*(((Inputs!$G$5:$G$230="moeda")+(Inputs!$G$5:$G$230="acoes"))*Inputs!$B$1+((Inputs!$G$5:$G$230&lt;&gt;"moeda")*(Inputs!$G$5:$G$230&lt;&gt;"acoes")))*INDEX(Inputs!$K$5:$AJ$230,0,MATCH(AF$2,Inputs!$K$4:$AJ$4,0)))+SUMPRODUCT((Inputs!$E$5:$E$230=$B30)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30" s="3" t="e">
        <f>AF30</f>
        <v>#N/A</v>
      </c>
      <c r="AH30" s="6">
        <f>IF(ISNA(MATCH(AH$2,Inputs!$K$4:$AJ$4,0)),NA(),IF(SUMPRODUCT((Inputs!$A$5:$A$230=$B30)*ISNUMBER(INDEX(Inputs!$K$5:$AJ$230,0,MATCH(AH$2,Inputs!$K$4:$AJ$4,0))))+SUMPRODUCT((Inputs!$C$5:$C$230=$B30)*ISNUMBER(INDEX(Inputs!$K$5:$AJ$230,0,MATCH(AH$2,Inputs!$K$4:$AJ$4,0))))+SUMPRODUCT((Inputs!$E$5:$E$230=$B30)*ISNUMBER(INDEX(Inputs!$K$5:$AJ$230,0,MATCH(AH$2,Inputs!$K$4:$AJ$4,0))))=0,NA(),SUMPRODUCT((Inputs!$A$5:$A$230=$B30)*Inputs!$B$5:$B$230*(((Inputs!$G$5:$G$230="moeda")+(Inputs!$G$5:$G$230="acoes"))*Inputs!$B$1+((Inputs!$G$5:$G$230&lt;&gt;"moeda")*(Inputs!$G$5:$G$230&lt;&gt;"acoes")))*INDEX(Inputs!$K$5:$AJ$230,0,MATCH(AH$2,Inputs!$K$4:$AJ$4,0)))+SUMPRODUCT((Inputs!$C$5:$C$230=$B30)*Inputs!$D$5:$D$230*(((Inputs!$G$5:$G$230="moeda")+(Inputs!$G$5:$G$230="acoes"))*Inputs!$B$1+((Inputs!$G$5:$G$230&lt;&gt;"moeda")*(Inputs!$G$5:$G$230&lt;&gt;"acoes")))*INDEX(Inputs!$K$5:$AJ$230,0,MATCH(AH$2,Inputs!$K$4:$AJ$4,0)))+SUMPRODUCT((Inputs!$E$5:$E$230=$B30)*Inputs!$F$5:$F$230*(((Inputs!$G$5:$G$230="moeda")+(Inputs!$G$5:$G$230="acoes"))*Inputs!$B$1+((Inputs!$G$5:$G$230&lt;&gt;"moeda")*(Inputs!$G$5:$G$230&lt;&gt;"acoes")))*INDEX(Inputs!$K$5:$AJ$230,0,MATCH(AH$2,Inputs!$K$4:$AJ$4,0)))))</f>
        <v>77.483</v>
      </c>
      <c r="AI30" s="6">
        <f>IF(ISNA(MATCH(AI$2,Inputs!$K$4:$AJ$4,0)),NA(),IF(SUMPRODUCT((Inputs!$A$5:$A$230=$B30)*ISNUMBER(INDEX(Inputs!$K$5:$AJ$230,0,MATCH(AI$2,Inputs!$K$4:$AJ$4,0))))+SUMPRODUCT((Inputs!$C$5:$C$230=$B30)*ISNUMBER(INDEX(Inputs!$K$5:$AJ$230,0,MATCH(AI$2,Inputs!$K$4:$AJ$4,0))))+SUMPRODUCT((Inputs!$E$5:$E$230=$B30)*ISNUMBER(INDEX(Inputs!$K$5:$AJ$230,0,MATCH(AI$2,Inputs!$K$4:$AJ$4,0))))=0,NA(),SUMPRODUCT((Inputs!$A$5:$A$230=$B30)*Inputs!$B$5:$B$230*(((Inputs!$G$5:$G$230="moeda")+(Inputs!$G$5:$G$230="acoes"))*Inputs!$B$1+((Inputs!$G$5:$G$230&lt;&gt;"moeda")*(Inputs!$G$5:$G$230&lt;&gt;"acoes")))*INDEX(Inputs!$K$5:$AJ$230,0,MATCH(AI$2,Inputs!$K$4:$AJ$4,0)))+SUMPRODUCT((Inputs!$C$5:$C$230=$B30)*Inputs!$D$5:$D$230*(((Inputs!$G$5:$G$230="moeda")+(Inputs!$G$5:$G$230="acoes"))*Inputs!$B$1+((Inputs!$G$5:$G$230&lt;&gt;"moeda")*(Inputs!$G$5:$G$230&lt;&gt;"acoes")))*INDEX(Inputs!$K$5:$AJ$230,0,MATCH(AI$2,Inputs!$K$4:$AJ$4,0)))+SUMPRODUCT((Inputs!$E$5:$E$230=$B30)*Inputs!$F$5:$F$230*(((Inputs!$G$5:$G$230="moeda")+(Inputs!$G$5:$G$230="acoes"))*Inputs!$B$1+((Inputs!$G$5:$G$230&lt;&gt;"moeda")*(Inputs!$G$5:$G$230&lt;&gt;"acoes")))*INDEX(Inputs!$K$5:$AJ$230,0,MATCH(AI$2,Inputs!$K$4:$AJ$4,0)))))</f>
        <v>112.208</v>
      </c>
      <c r="AJ30" s="6">
        <f>IF(ISNA(MATCH(AJ$2,Inputs!$K$4:$AJ$4,0)),NA(),IF(SUMPRODUCT((Inputs!$A$5:$A$230=$B30)*ISNUMBER(INDEX(Inputs!$K$5:$AJ$230,0,MATCH(AJ$2,Inputs!$K$4:$AJ$4,0))))+SUMPRODUCT((Inputs!$C$5:$C$230=$B30)*ISNUMBER(INDEX(Inputs!$K$5:$AJ$230,0,MATCH(AJ$2,Inputs!$K$4:$AJ$4,0))))+SUMPRODUCT((Inputs!$E$5:$E$230=$B30)*ISNUMBER(INDEX(Inputs!$K$5:$AJ$230,0,MATCH(AJ$2,Inputs!$K$4:$AJ$4,0))))=0,NA(),SUMPRODUCT((Inputs!$A$5:$A$230=$B30)*Inputs!$B$5:$B$230*(((Inputs!$G$5:$G$230="moeda")+(Inputs!$G$5:$G$230="acoes"))*Inputs!$B$1+((Inputs!$G$5:$G$230&lt;&gt;"moeda")*(Inputs!$G$5:$G$230&lt;&gt;"acoes")))*INDEX(Inputs!$K$5:$AJ$230,0,MATCH(AJ$2,Inputs!$K$4:$AJ$4,0)))+SUMPRODUCT((Inputs!$C$5:$C$230=$B30)*Inputs!$D$5:$D$230*(((Inputs!$G$5:$G$230="moeda")+(Inputs!$G$5:$G$230="acoes"))*Inputs!$B$1+((Inputs!$G$5:$G$230&lt;&gt;"moeda")*(Inputs!$G$5:$G$230&lt;&gt;"acoes")))*INDEX(Inputs!$K$5:$AJ$230,0,MATCH(AJ$2,Inputs!$K$4:$AJ$4,0)))+SUMPRODUCT((Inputs!$E$5:$E$230=$B30)*Inputs!$F$5:$F$230*(((Inputs!$G$5:$G$230="moeda")+(Inputs!$G$5:$G$230="acoes"))*Inputs!$B$1+((Inputs!$G$5:$G$230&lt;&gt;"moeda")*(Inputs!$G$5:$G$230&lt;&gt;"acoes")))*INDEX(Inputs!$K$5:$AJ$230,0,MATCH(AJ$2,Inputs!$K$4:$AJ$4,0)))))</f>
        <v>113.472</v>
      </c>
      <c r="AK30" s="6">
        <f>IF(ISNA(MATCH(AK$2,Inputs!$K$4:$AJ$4,0)),NA(),IF(SUMPRODUCT((Inputs!$A$5:$A$230=$B30)*ISNUMBER(INDEX(Inputs!$K$5:$AJ$230,0,MATCH(AK$2,Inputs!$K$4:$AJ$4,0))))+SUMPRODUCT((Inputs!$C$5:$C$230=$B30)*ISNUMBER(INDEX(Inputs!$K$5:$AJ$230,0,MATCH(AK$2,Inputs!$K$4:$AJ$4,0))))+SUMPRODUCT((Inputs!$E$5:$E$230=$B30)*ISNUMBER(INDEX(Inputs!$K$5:$AJ$230,0,MATCH(AK$2,Inputs!$K$4:$AJ$4,0))))=0,NA(),SUMPRODUCT((Inputs!$A$5:$A$230=$B30)*Inputs!$B$5:$B$230*(((Inputs!$G$5:$G$230="moeda")+(Inputs!$G$5:$G$230="acoes"))*Inputs!$B$1+((Inputs!$G$5:$G$230&lt;&gt;"moeda")*(Inputs!$G$5:$G$230&lt;&gt;"acoes")))*INDEX(Inputs!$K$5:$AJ$230,0,MATCH(AK$2,Inputs!$K$4:$AJ$4,0)))+SUMPRODUCT((Inputs!$C$5:$C$230=$B30)*Inputs!$D$5:$D$230*(((Inputs!$G$5:$G$230="moeda")+(Inputs!$G$5:$G$230="acoes"))*Inputs!$B$1+((Inputs!$G$5:$G$230&lt;&gt;"moeda")*(Inputs!$G$5:$G$230&lt;&gt;"acoes")))*INDEX(Inputs!$K$5:$AJ$230,0,MATCH(AK$2,Inputs!$K$4:$AJ$4,0)))+SUMPRODUCT((Inputs!$E$5:$E$230=$B30)*Inputs!$F$5:$F$230*(((Inputs!$G$5:$G$230="moeda")+(Inputs!$G$5:$G$230="acoes"))*Inputs!$B$1+((Inputs!$G$5:$G$230&lt;&gt;"moeda")*(Inputs!$G$5:$G$230&lt;&gt;"acoes")))*INDEX(Inputs!$K$5:$AJ$230,0,MATCH(AK$2,Inputs!$K$4:$AJ$4,0)))))</f>
        <v>112.916</v>
      </c>
      <c r="AL30" s="3">
        <f>AK30</f>
        <v>112.916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$230=$B31)*ISNUMBER(INDEX(Inputs!$K$5:$AJ$230,0,MATCH(D$2,Inputs!$K$4:$AJ$4,0))))+SUMPRODUCT((Inputs!$C$5:$C$230=$B31)*ISNUMBER(INDEX(Inputs!$K$5:$AJ$230,0,MATCH(D$2,Inputs!$K$4:$AJ$4,0))))+SUMPRODUCT((Inputs!$E$5:$E$230=$B31)*ISNUMBER(INDEX(Inputs!$K$5:$AJ$230,0,MATCH(D$2,Inputs!$K$4:$AJ$4,0))))=0,NA(),SUMPRODUCT((Inputs!$A$5:$A$230=$B31)*Inputs!$B$5:$B$230*(((Inputs!$G$5:$G$230="moeda")+(Inputs!$G$5:$G$230="acoes"))*Inputs!$B$1+((Inputs!$G$5:$G$230&lt;&gt;"moeda")*(Inputs!$G$5:$G$230&lt;&gt;"acoes")))*INDEX(Inputs!$K$5:$AJ$230,0,MATCH(D$2,Inputs!$K$4:$AJ$4,0)))+SUMPRODUCT((Inputs!$C$5:$C$230=$B31)*Inputs!$D$5:$D$230*(((Inputs!$G$5:$G$230="moeda")+(Inputs!$G$5:$G$230="acoes"))*Inputs!$B$1+((Inputs!$G$5:$G$230&lt;&gt;"moeda")*(Inputs!$G$5:$G$230&lt;&gt;"acoes")))*INDEX(Inputs!$K$5:$AJ$230,0,MATCH(D$2,Inputs!$K$4:$AJ$4,0)))+SUMPRODUCT((Inputs!$E$5:$E$230=$B31)*Inputs!$F$5:$F$230*(((Inputs!$G$5:$G$230="moeda")+(Inputs!$G$5:$G$230="acoes"))*Inputs!$B$1+((Inputs!$G$5:$G$230&lt;&gt;"moeda")*(Inputs!$G$5:$G$230&lt;&gt;"acoes")))*INDEX(Inputs!$K$5:$AJ$230,0,MATCH(D$2,Inputs!$K$4:$AJ$4,0)))))</f>
        <v>1017.521</v>
      </c>
      <c r="E31" s="6">
        <f>IF(ISNA(MATCH(E$2,Inputs!$K$4:$AJ$4,0)),NA(),IF(SUMPRODUCT((Inputs!$A$5:$A$230=$B31)*ISNUMBER(INDEX(Inputs!$K$5:$AJ$230,0,MATCH(E$2,Inputs!$K$4:$AJ$4,0))))+SUMPRODUCT((Inputs!$C$5:$C$230=$B31)*ISNUMBER(INDEX(Inputs!$K$5:$AJ$230,0,MATCH(E$2,Inputs!$K$4:$AJ$4,0))))+SUMPRODUCT((Inputs!$E$5:$E$230=$B31)*ISNUMBER(INDEX(Inputs!$K$5:$AJ$230,0,MATCH(E$2,Inputs!$K$4:$AJ$4,0))))=0,NA(),SUMPRODUCT((Inputs!$A$5:$A$230=$B31)*Inputs!$B$5:$B$230*(((Inputs!$G$5:$G$230="moeda")+(Inputs!$G$5:$G$230="acoes"))*Inputs!$B$1+((Inputs!$G$5:$G$230&lt;&gt;"moeda")*(Inputs!$G$5:$G$230&lt;&gt;"acoes")))*INDEX(Inputs!$K$5:$AJ$230,0,MATCH(E$2,Inputs!$K$4:$AJ$4,0)))+SUMPRODUCT((Inputs!$C$5:$C$230=$B31)*Inputs!$D$5:$D$230*(((Inputs!$G$5:$G$230="moeda")+(Inputs!$G$5:$G$230="acoes"))*Inputs!$B$1+((Inputs!$G$5:$G$230&lt;&gt;"moeda")*(Inputs!$G$5:$G$230&lt;&gt;"acoes")))*INDEX(Inputs!$K$5:$AJ$230,0,MATCH(E$2,Inputs!$K$4:$AJ$4,0)))+SUMPRODUCT((Inputs!$E$5:$E$230=$B31)*Inputs!$F$5:$F$230*(((Inputs!$G$5:$G$230="moeda")+(Inputs!$G$5:$G$230="acoes"))*Inputs!$B$1+((Inputs!$G$5:$G$230&lt;&gt;"moeda")*(Inputs!$G$5:$G$230&lt;&gt;"acoes")))*INDEX(Inputs!$K$5:$AJ$230,0,MATCH(E$2,Inputs!$K$4:$AJ$4,0)))))</f>
        <v>716.26</v>
      </c>
      <c r="F31" s="6">
        <f>IF(ISNA(MATCH(F$2,Inputs!$K$4:$AJ$4,0)),NA(),IF(SUMPRODUCT((Inputs!$A$5:$A$230=$B31)*ISNUMBER(INDEX(Inputs!$K$5:$AJ$230,0,MATCH(F$2,Inputs!$K$4:$AJ$4,0))))+SUMPRODUCT((Inputs!$C$5:$C$230=$B31)*ISNUMBER(INDEX(Inputs!$K$5:$AJ$230,0,MATCH(F$2,Inputs!$K$4:$AJ$4,0))))+SUMPRODUCT((Inputs!$E$5:$E$230=$B31)*ISNUMBER(INDEX(Inputs!$K$5:$AJ$230,0,MATCH(F$2,Inputs!$K$4:$AJ$4,0))))=0,NA(),SUMPRODUCT((Inputs!$A$5:$A$230=$B31)*Inputs!$B$5:$B$230*(((Inputs!$G$5:$G$230="moeda")+(Inputs!$G$5:$G$230="acoes"))*Inputs!$B$1+((Inputs!$G$5:$G$230&lt;&gt;"moeda")*(Inputs!$G$5:$G$230&lt;&gt;"acoes")))*INDEX(Inputs!$K$5:$AJ$230,0,MATCH(F$2,Inputs!$K$4:$AJ$4,0)))+SUMPRODUCT((Inputs!$C$5:$C$230=$B31)*Inputs!$D$5:$D$230*(((Inputs!$G$5:$G$230="moeda")+(Inputs!$G$5:$G$230="acoes"))*Inputs!$B$1+((Inputs!$G$5:$G$230&lt;&gt;"moeda")*(Inputs!$G$5:$G$230&lt;&gt;"acoes")))*INDEX(Inputs!$K$5:$AJ$230,0,MATCH(F$2,Inputs!$K$4:$AJ$4,0)))+SUMPRODUCT((Inputs!$E$5:$E$230=$B31)*Inputs!$F$5:$F$230*(((Inputs!$G$5:$G$230="moeda")+(Inputs!$G$5:$G$230="acoes"))*Inputs!$B$1+((Inputs!$G$5:$G$230&lt;&gt;"moeda")*(Inputs!$G$5:$G$230&lt;&gt;"acoes")))*INDEX(Inputs!$K$5:$AJ$230,0,MATCH(F$2,Inputs!$K$4:$AJ$4,0)))))</f>
        <v>553.321</v>
      </c>
      <c r="G31" s="6">
        <f>IF(ISNA(MATCH(G$2,Inputs!$K$4:$AJ$4,0)),NA(),IF(SUMPRODUCT((Inputs!$A$5:$A$230=$B31)*ISNUMBER(INDEX(Inputs!$K$5:$AJ$230,0,MATCH(G$2,Inputs!$K$4:$AJ$4,0))))+SUMPRODUCT((Inputs!$C$5:$C$230=$B31)*ISNUMBER(INDEX(Inputs!$K$5:$AJ$230,0,MATCH(G$2,Inputs!$K$4:$AJ$4,0))))+SUMPRODUCT((Inputs!$E$5:$E$230=$B31)*ISNUMBER(INDEX(Inputs!$K$5:$AJ$230,0,MATCH(G$2,Inputs!$K$4:$AJ$4,0))))=0,NA(),SUMPRODUCT((Inputs!$A$5:$A$230=$B31)*Inputs!$B$5:$B$230*(((Inputs!$G$5:$G$230="moeda")+(Inputs!$G$5:$G$230="acoes"))*Inputs!$B$1+((Inputs!$G$5:$G$230&lt;&gt;"moeda")*(Inputs!$G$5:$G$230&lt;&gt;"acoes")))*INDEX(Inputs!$K$5:$AJ$230,0,MATCH(G$2,Inputs!$K$4:$AJ$4,0)))+SUMPRODUCT((Inputs!$C$5:$C$230=$B31)*Inputs!$D$5:$D$230*(((Inputs!$G$5:$G$230="moeda")+(Inputs!$G$5:$G$230="acoes"))*Inputs!$B$1+((Inputs!$G$5:$G$230&lt;&gt;"moeda")*(Inputs!$G$5:$G$230&lt;&gt;"acoes")))*INDEX(Inputs!$K$5:$AJ$230,0,MATCH(G$2,Inputs!$K$4:$AJ$4,0)))+SUMPRODUCT((Inputs!$E$5:$E$230=$B31)*Inputs!$F$5:$F$230*(((Inputs!$G$5:$G$230="moeda")+(Inputs!$G$5:$G$230="acoes"))*Inputs!$B$1+((Inputs!$G$5:$G$230&lt;&gt;"moeda")*(Inputs!$G$5:$G$230&lt;&gt;"acoes")))*INDEX(Inputs!$K$5:$AJ$230,0,MATCH(G$2,Inputs!$K$4:$AJ$4,0)))))</f>
        <v>787.935</v>
      </c>
      <c r="H31" s="3">
        <f>G31</f>
        <v>787.935</v>
      </c>
      <c r="I31" s="6">
        <f>IF(ISNA(MATCH(I$2,Inputs!$K$4:$AJ$4,0)),NA(),IF(SUMPRODUCT((Inputs!$A$5:$A$230=$B31)*ISNUMBER(INDEX(Inputs!$K$5:$AJ$230,0,MATCH(I$2,Inputs!$K$4:$AJ$4,0))))+SUMPRODUCT((Inputs!$C$5:$C$230=$B31)*ISNUMBER(INDEX(Inputs!$K$5:$AJ$230,0,MATCH(I$2,Inputs!$K$4:$AJ$4,0))))+SUMPRODUCT((Inputs!$E$5:$E$230=$B31)*ISNUMBER(INDEX(Inputs!$K$5:$AJ$230,0,MATCH(I$2,Inputs!$K$4:$AJ$4,0))))=0,NA(),SUMPRODUCT((Inputs!$A$5:$A$230=$B31)*Inputs!$B$5:$B$230*(((Inputs!$G$5:$G$230="moeda")+(Inputs!$G$5:$G$230="acoes"))*Inputs!$B$1+((Inputs!$G$5:$G$230&lt;&gt;"moeda")*(Inputs!$G$5:$G$230&lt;&gt;"acoes")))*INDEX(Inputs!$K$5:$AJ$230,0,MATCH(I$2,Inputs!$K$4:$AJ$4,0)))+SUMPRODUCT((Inputs!$C$5:$C$230=$B31)*Inputs!$D$5:$D$230*(((Inputs!$G$5:$G$230="moeda")+(Inputs!$G$5:$G$230="acoes"))*Inputs!$B$1+((Inputs!$G$5:$G$230&lt;&gt;"moeda")*(Inputs!$G$5:$G$230&lt;&gt;"acoes")))*INDEX(Inputs!$K$5:$AJ$230,0,MATCH(I$2,Inputs!$K$4:$AJ$4,0)))+SUMPRODUCT((Inputs!$E$5:$E$230=$B31)*Inputs!$F$5:$F$230*(((Inputs!$G$5:$G$230="moeda")+(Inputs!$G$5:$G$230="acoes"))*Inputs!$B$1+((Inputs!$G$5:$G$230&lt;&gt;"moeda")*(Inputs!$G$5:$G$230&lt;&gt;"acoes")))*INDEX(Inputs!$K$5:$AJ$230,0,MATCH(I$2,Inputs!$K$4:$AJ$4,0)))))</f>
        <v>970.736</v>
      </c>
      <c r="J31" s="6">
        <f>IF(ISNA(MATCH(J$2,Inputs!$K$4:$AJ$4,0)),NA(),IF(SUMPRODUCT((Inputs!$A$5:$A$230=$B31)*ISNUMBER(INDEX(Inputs!$K$5:$AJ$230,0,MATCH(J$2,Inputs!$K$4:$AJ$4,0))))+SUMPRODUCT((Inputs!$C$5:$C$230=$B31)*ISNUMBER(INDEX(Inputs!$K$5:$AJ$230,0,MATCH(J$2,Inputs!$K$4:$AJ$4,0))))+SUMPRODUCT((Inputs!$E$5:$E$230=$B31)*ISNUMBER(INDEX(Inputs!$K$5:$AJ$230,0,MATCH(J$2,Inputs!$K$4:$AJ$4,0))))=0,NA(),SUMPRODUCT((Inputs!$A$5:$A$230=$B31)*Inputs!$B$5:$B$230*(((Inputs!$G$5:$G$230="moeda")+(Inputs!$G$5:$G$230="acoes"))*Inputs!$B$1+((Inputs!$G$5:$G$230&lt;&gt;"moeda")*(Inputs!$G$5:$G$230&lt;&gt;"acoes")))*INDEX(Inputs!$K$5:$AJ$230,0,MATCH(J$2,Inputs!$K$4:$AJ$4,0)))+SUMPRODUCT((Inputs!$C$5:$C$230=$B31)*Inputs!$D$5:$D$230*(((Inputs!$G$5:$G$230="moeda")+(Inputs!$G$5:$G$230="acoes"))*Inputs!$B$1+((Inputs!$G$5:$G$230&lt;&gt;"moeda")*(Inputs!$G$5:$G$230&lt;&gt;"acoes")))*INDEX(Inputs!$K$5:$AJ$230,0,MATCH(J$2,Inputs!$K$4:$AJ$4,0)))+SUMPRODUCT((Inputs!$E$5:$E$230=$B31)*Inputs!$F$5:$F$230*(((Inputs!$G$5:$G$230="moeda")+(Inputs!$G$5:$G$230="acoes"))*Inputs!$B$1+((Inputs!$G$5:$G$230&lt;&gt;"moeda")*(Inputs!$G$5:$G$230&lt;&gt;"acoes")))*INDEX(Inputs!$K$5:$AJ$230,0,MATCH(J$2,Inputs!$K$4:$AJ$4,0)))))</f>
        <v>684.156</v>
      </c>
      <c r="K31" s="6">
        <f>IF(ISNA(MATCH(K$2,Inputs!$K$4:$AJ$4,0)),NA(),IF(SUMPRODUCT((Inputs!$A$5:$A$230=$B31)*ISNUMBER(INDEX(Inputs!$K$5:$AJ$230,0,MATCH(K$2,Inputs!$K$4:$AJ$4,0))))+SUMPRODUCT((Inputs!$C$5:$C$230=$B31)*ISNUMBER(INDEX(Inputs!$K$5:$AJ$230,0,MATCH(K$2,Inputs!$K$4:$AJ$4,0))))+SUMPRODUCT((Inputs!$E$5:$E$230=$B31)*ISNUMBER(INDEX(Inputs!$K$5:$AJ$230,0,MATCH(K$2,Inputs!$K$4:$AJ$4,0))))=0,NA(),SUMPRODUCT((Inputs!$A$5:$A$230=$B31)*Inputs!$B$5:$B$230*(((Inputs!$G$5:$G$230="moeda")+(Inputs!$G$5:$G$230="acoes"))*Inputs!$B$1+((Inputs!$G$5:$G$230&lt;&gt;"moeda")*(Inputs!$G$5:$G$230&lt;&gt;"acoes")))*INDEX(Inputs!$K$5:$AJ$230,0,MATCH(K$2,Inputs!$K$4:$AJ$4,0)))+SUMPRODUCT((Inputs!$C$5:$C$230=$B31)*Inputs!$D$5:$D$230*(((Inputs!$G$5:$G$230="moeda")+(Inputs!$G$5:$G$230="acoes"))*Inputs!$B$1+((Inputs!$G$5:$G$230&lt;&gt;"moeda")*(Inputs!$G$5:$G$230&lt;&gt;"acoes")))*INDEX(Inputs!$K$5:$AJ$230,0,MATCH(K$2,Inputs!$K$4:$AJ$4,0)))+SUMPRODUCT((Inputs!$E$5:$E$230=$B31)*Inputs!$F$5:$F$230*(((Inputs!$G$5:$G$230="moeda")+(Inputs!$G$5:$G$230="acoes"))*Inputs!$B$1+((Inputs!$G$5:$G$230&lt;&gt;"moeda")*(Inputs!$G$5:$G$230&lt;&gt;"acoes")))*INDEX(Inputs!$K$5:$AJ$230,0,MATCH(K$2,Inputs!$K$4:$AJ$4,0)))))</f>
        <v>645.214</v>
      </c>
      <c r="L31" s="6">
        <f>IF(ISNA(MATCH(L$2,Inputs!$K$4:$AJ$4,0)),NA(),IF(SUMPRODUCT((Inputs!$A$5:$A$230=$B31)*ISNUMBER(INDEX(Inputs!$K$5:$AJ$230,0,MATCH(L$2,Inputs!$K$4:$AJ$4,0))))+SUMPRODUCT((Inputs!$C$5:$C$230=$B31)*ISNUMBER(INDEX(Inputs!$K$5:$AJ$230,0,MATCH(L$2,Inputs!$K$4:$AJ$4,0))))+SUMPRODUCT((Inputs!$E$5:$E$230=$B31)*ISNUMBER(INDEX(Inputs!$K$5:$AJ$230,0,MATCH(L$2,Inputs!$K$4:$AJ$4,0))))=0,NA(),SUMPRODUCT((Inputs!$A$5:$A$230=$B31)*Inputs!$B$5:$B$230*(((Inputs!$G$5:$G$230="moeda")+(Inputs!$G$5:$G$230="acoes"))*Inputs!$B$1+((Inputs!$G$5:$G$230&lt;&gt;"moeda")*(Inputs!$G$5:$G$230&lt;&gt;"acoes")))*INDEX(Inputs!$K$5:$AJ$230,0,MATCH(L$2,Inputs!$K$4:$AJ$4,0)))+SUMPRODUCT((Inputs!$C$5:$C$230=$B31)*Inputs!$D$5:$D$230*(((Inputs!$G$5:$G$230="moeda")+(Inputs!$G$5:$G$230="acoes"))*Inputs!$B$1+((Inputs!$G$5:$G$230&lt;&gt;"moeda")*(Inputs!$G$5:$G$230&lt;&gt;"acoes")))*INDEX(Inputs!$K$5:$AJ$230,0,MATCH(L$2,Inputs!$K$4:$AJ$4,0)))+SUMPRODUCT((Inputs!$E$5:$E$230=$B31)*Inputs!$F$5:$F$230*(((Inputs!$G$5:$G$230="moeda")+(Inputs!$G$5:$G$230="acoes"))*Inputs!$B$1+((Inputs!$G$5:$G$230&lt;&gt;"moeda")*(Inputs!$G$5:$G$230&lt;&gt;"acoes")))*INDEX(Inputs!$K$5:$AJ$230,0,MATCH(L$2,Inputs!$K$4:$AJ$4,0)))))</f>
        <v>916.743</v>
      </c>
      <c r="M31" s="3">
        <f>L31</f>
        <v>916.743</v>
      </c>
      <c r="N31" s="6">
        <f>IF(ISNA(MATCH(N$2,Inputs!$K$4:$AJ$4,0)),NA(),IF(SUMPRODUCT((Inputs!$A$5:$A$230=$B31)*ISNUMBER(INDEX(Inputs!$K$5:$AJ$230,0,MATCH(N$2,Inputs!$K$4:$AJ$4,0))))+SUMPRODUCT((Inputs!$C$5:$C$230=$B31)*ISNUMBER(INDEX(Inputs!$K$5:$AJ$230,0,MATCH(N$2,Inputs!$K$4:$AJ$4,0))))+SUMPRODUCT((Inputs!$E$5:$E$230=$B31)*ISNUMBER(INDEX(Inputs!$K$5:$AJ$230,0,MATCH(N$2,Inputs!$K$4:$AJ$4,0))))=0,NA(),SUMPRODUCT((Inputs!$A$5:$A$230=$B31)*Inputs!$B$5:$B$230*(((Inputs!$G$5:$G$230="moeda")+(Inputs!$G$5:$G$230="acoes"))*Inputs!$B$1+((Inputs!$G$5:$G$230&lt;&gt;"moeda")*(Inputs!$G$5:$G$230&lt;&gt;"acoes")))*INDEX(Inputs!$K$5:$AJ$230,0,MATCH(N$2,Inputs!$K$4:$AJ$4,0)))+SUMPRODUCT((Inputs!$C$5:$C$230=$B31)*Inputs!$D$5:$D$230*(((Inputs!$G$5:$G$230="moeda")+(Inputs!$G$5:$G$230="acoes"))*Inputs!$B$1+((Inputs!$G$5:$G$230&lt;&gt;"moeda")*(Inputs!$G$5:$G$230&lt;&gt;"acoes")))*INDEX(Inputs!$K$5:$AJ$230,0,MATCH(N$2,Inputs!$K$4:$AJ$4,0)))+SUMPRODUCT((Inputs!$E$5:$E$230=$B31)*Inputs!$F$5:$F$230*(((Inputs!$G$5:$G$230="moeda")+(Inputs!$G$5:$G$230="acoes"))*Inputs!$B$1+((Inputs!$G$5:$G$230&lt;&gt;"moeda")*(Inputs!$G$5:$G$230&lt;&gt;"acoes")))*INDEX(Inputs!$K$5:$AJ$230,0,MATCH(N$2,Inputs!$K$4:$AJ$4,0)))))</f>
        <v>968.045</v>
      </c>
      <c r="O31" s="6">
        <f>IF(ISNA(MATCH(O$2,Inputs!$K$4:$AJ$4,0)),NA(),IF(SUMPRODUCT((Inputs!$A$5:$A$230=$B31)*ISNUMBER(INDEX(Inputs!$K$5:$AJ$230,0,MATCH(O$2,Inputs!$K$4:$AJ$4,0))))+SUMPRODUCT((Inputs!$C$5:$C$230=$B31)*ISNUMBER(INDEX(Inputs!$K$5:$AJ$230,0,MATCH(O$2,Inputs!$K$4:$AJ$4,0))))+SUMPRODUCT((Inputs!$E$5:$E$230=$B31)*ISNUMBER(INDEX(Inputs!$K$5:$AJ$230,0,MATCH(O$2,Inputs!$K$4:$AJ$4,0))))=0,NA(),SUMPRODUCT((Inputs!$A$5:$A$230=$B31)*Inputs!$B$5:$B$230*(((Inputs!$G$5:$G$230="moeda")+(Inputs!$G$5:$G$230="acoes"))*Inputs!$B$1+((Inputs!$G$5:$G$230&lt;&gt;"moeda")*(Inputs!$G$5:$G$230&lt;&gt;"acoes")))*INDEX(Inputs!$K$5:$AJ$230,0,MATCH(O$2,Inputs!$K$4:$AJ$4,0)))+SUMPRODUCT((Inputs!$C$5:$C$230=$B31)*Inputs!$D$5:$D$230*(((Inputs!$G$5:$G$230="moeda")+(Inputs!$G$5:$G$230="acoes"))*Inputs!$B$1+((Inputs!$G$5:$G$230&lt;&gt;"moeda")*(Inputs!$G$5:$G$230&lt;&gt;"acoes")))*INDEX(Inputs!$K$5:$AJ$230,0,MATCH(O$2,Inputs!$K$4:$AJ$4,0)))+SUMPRODUCT((Inputs!$E$5:$E$230=$B31)*Inputs!$F$5:$F$230*(((Inputs!$G$5:$G$230="moeda")+(Inputs!$G$5:$G$230="acoes"))*Inputs!$B$1+((Inputs!$G$5:$G$230&lt;&gt;"moeda")*(Inputs!$G$5:$G$230&lt;&gt;"acoes")))*INDEX(Inputs!$K$5:$AJ$230,0,MATCH(O$2,Inputs!$K$4:$AJ$4,0)))))</f>
        <v>482.15</v>
      </c>
      <c r="P31" s="6">
        <f>IF(ISNA(MATCH(P$2,Inputs!$K$4:$AJ$4,0)),NA(),IF(SUMPRODUCT((Inputs!$A$5:$A$230=$B31)*ISNUMBER(INDEX(Inputs!$K$5:$AJ$230,0,MATCH(P$2,Inputs!$K$4:$AJ$4,0))))+SUMPRODUCT((Inputs!$C$5:$C$230=$B31)*ISNUMBER(INDEX(Inputs!$K$5:$AJ$230,0,MATCH(P$2,Inputs!$K$4:$AJ$4,0))))+SUMPRODUCT((Inputs!$E$5:$E$230=$B31)*ISNUMBER(INDEX(Inputs!$K$5:$AJ$230,0,MATCH(P$2,Inputs!$K$4:$AJ$4,0))))=0,NA(),SUMPRODUCT((Inputs!$A$5:$A$230=$B31)*Inputs!$B$5:$B$230*(((Inputs!$G$5:$G$230="moeda")+(Inputs!$G$5:$G$230="acoes"))*Inputs!$B$1+((Inputs!$G$5:$G$230&lt;&gt;"moeda")*(Inputs!$G$5:$G$230&lt;&gt;"acoes")))*INDEX(Inputs!$K$5:$AJ$230,0,MATCH(P$2,Inputs!$K$4:$AJ$4,0)))+SUMPRODUCT((Inputs!$C$5:$C$230=$B31)*Inputs!$D$5:$D$230*(((Inputs!$G$5:$G$230="moeda")+(Inputs!$G$5:$G$230="acoes"))*Inputs!$B$1+((Inputs!$G$5:$G$230&lt;&gt;"moeda")*(Inputs!$G$5:$G$230&lt;&gt;"acoes")))*INDEX(Inputs!$K$5:$AJ$230,0,MATCH(P$2,Inputs!$K$4:$AJ$4,0)))+SUMPRODUCT((Inputs!$E$5:$E$230=$B31)*Inputs!$F$5:$F$230*(((Inputs!$G$5:$G$230="moeda")+(Inputs!$G$5:$G$230="acoes"))*Inputs!$B$1+((Inputs!$G$5:$G$230&lt;&gt;"moeda")*(Inputs!$G$5:$G$230&lt;&gt;"acoes")))*INDEX(Inputs!$K$5:$AJ$230,0,MATCH(P$2,Inputs!$K$4:$AJ$4,0)))))</f>
        <v>612.618</v>
      </c>
      <c r="Q31" s="6">
        <f>IF(ISNA(MATCH(Q$2,Inputs!$K$4:$AJ$4,0)),NA(),IF(SUMPRODUCT((Inputs!$A$5:$A$230=$B31)*ISNUMBER(INDEX(Inputs!$K$5:$AJ$230,0,MATCH(Q$2,Inputs!$K$4:$AJ$4,0))))+SUMPRODUCT((Inputs!$C$5:$C$230=$B31)*ISNUMBER(INDEX(Inputs!$K$5:$AJ$230,0,MATCH(Q$2,Inputs!$K$4:$AJ$4,0))))+SUMPRODUCT((Inputs!$E$5:$E$230=$B31)*ISNUMBER(INDEX(Inputs!$K$5:$AJ$230,0,MATCH(Q$2,Inputs!$K$4:$AJ$4,0))))=0,NA(),SUMPRODUCT((Inputs!$A$5:$A$230=$B31)*Inputs!$B$5:$B$230*(((Inputs!$G$5:$G$230="moeda")+(Inputs!$G$5:$G$230="acoes"))*Inputs!$B$1+((Inputs!$G$5:$G$230&lt;&gt;"moeda")*(Inputs!$G$5:$G$230&lt;&gt;"acoes")))*INDEX(Inputs!$K$5:$AJ$230,0,MATCH(Q$2,Inputs!$K$4:$AJ$4,0)))+SUMPRODUCT((Inputs!$C$5:$C$230=$B31)*Inputs!$D$5:$D$230*(((Inputs!$G$5:$G$230="moeda")+(Inputs!$G$5:$G$230="acoes"))*Inputs!$B$1+((Inputs!$G$5:$G$230&lt;&gt;"moeda")*(Inputs!$G$5:$G$230&lt;&gt;"acoes")))*INDEX(Inputs!$K$5:$AJ$230,0,MATCH(Q$2,Inputs!$K$4:$AJ$4,0)))+SUMPRODUCT((Inputs!$E$5:$E$230=$B31)*Inputs!$F$5:$F$230*(((Inputs!$G$5:$G$230="moeda")+(Inputs!$G$5:$G$230="acoes"))*Inputs!$B$1+((Inputs!$G$5:$G$230&lt;&gt;"moeda")*(Inputs!$G$5:$G$230&lt;&gt;"acoes")))*INDEX(Inputs!$K$5:$AJ$230,0,MATCH(Q$2,Inputs!$K$4:$AJ$4,0)))))</f>
        <v>705.936</v>
      </c>
      <c r="R31" s="3">
        <f>Q31</f>
        <v>705.936</v>
      </c>
      <c r="S31" s="6">
        <f>IF(ISNA(MATCH(S$2,Inputs!$K$4:$AJ$4,0)),NA(),IF(SUMPRODUCT((Inputs!$A$5:$A$230=$B31)*ISNUMBER(INDEX(Inputs!$K$5:$AJ$230,0,MATCH(S$2,Inputs!$K$4:$AJ$4,0))))+SUMPRODUCT((Inputs!$C$5:$C$230=$B31)*ISNUMBER(INDEX(Inputs!$K$5:$AJ$230,0,MATCH(S$2,Inputs!$K$4:$AJ$4,0))))+SUMPRODUCT((Inputs!$E$5:$E$230=$B31)*ISNUMBER(INDEX(Inputs!$K$5:$AJ$230,0,MATCH(S$2,Inputs!$K$4:$AJ$4,0))))=0,NA(),SUMPRODUCT((Inputs!$A$5:$A$230=$B31)*Inputs!$B$5:$B$230*(((Inputs!$G$5:$G$230="moeda")+(Inputs!$G$5:$G$230="acoes"))*Inputs!$B$1+((Inputs!$G$5:$G$230&lt;&gt;"moeda")*(Inputs!$G$5:$G$230&lt;&gt;"acoes")))*INDEX(Inputs!$K$5:$AJ$230,0,MATCH(S$2,Inputs!$K$4:$AJ$4,0)))+SUMPRODUCT((Inputs!$C$5:$C$230=$B31)*Inputs!$D$5:$D$230*(((Inputs!$G$5:$G$230="moeda")+(Inputs!$G$5:$G$230="acoes"))*Inputs!$B$1+((Inputs!$G$5:$G$230&lt;&gt;"moeda")*(Inputs!$G$5:$G$230&lt;&gt;"acoes")))*INDEX(Inputs!$K$5:$AJ$230,0,MATCH(S$2,Inputs!$K$4:$AJ$4,0)))+SUMPRODUCT((Inputs!$E$5:$E$230=$B31)*Inputs!$F$5:$F$230*(((Inputs!$G$5:$G$230="moeda")+(Inputs!$G$5:$G$230="acoes"))*Inputs!$B$1+((Inputs!$G$5:$G$230&lt;&gt;"moeda")*(Inputs!$G$5:$G$230&lt;&gt;"acoes")))*INDEX(Inputs!$K$5:$AJ$230,0,MATCH(S$2,Inputs!$K$4:$AJ$4,0)))))</f>
        <v>675.698</v>
      </c>
      <c r="T31" s="6">
        <f>IF(ISNA(MATCH(T$2,Inputs!$K$4:$AJ$4,0)),NA(),IF(SUMPRODUCT((Inputs!$A$5:$A$230=$B31)*ISNUMBER(INDEX(Inputs!$K$5:$AJ$230,0,MATCH(T$2,Inputs!$K$4:$AJ$4,0))))+SUMPRODUCT((Inputs!$C$5:$C$230=$B31)*ISNUMBER(INDEX(Inputs!$K$5:$AJ$230,0,MATCH(T$2,Inputs!$K$4:$AJ$4,0))))+SUMPRODUCT((Inputs!$E$5:$E$230=$B31)*ISNUMBER(INDEX(Inputs!$K$5:$AJ$230,0,MATCH(T$2,Inputs!$K$4:$AJ$4,0))))=0,NA(),SUMPRODUCT((Inputs!$A$5:$A$230=$B31)*Inputs!$B$5:$B$230*(((Inputs!$G$5:$G$230="moeda")+(Inputs!$G$5:$G$230="acoes"))*Inputs!$B$1+((Inputs!$G$5:$G$230&lt;&gt;"moeda")*(Inputs!$G$5:$G$230&lt;&gt;"acoes")))*INDEX(Inputs!$K$5:$AJ$230,0,MATCH(T$2,Inputs!$K$4:$AJ$4,0)))+SUMPRODUCT((Inputs!$C$5:$C$230=$B31)*Inputs!$D$5:$D$230*(((Inputs!$G$5:$G$230="moeda")+(Inputs!$G$5:$G$230="acoes"))*Inputs!$B$1+((Inputs!$G$5:$G$230&lt;&gt;"moeda")*(Inputs!$G$5:$G$230&lt;&gt;"acoes")))*INDEX(Inputs!$K$5:$AJ$230,0,MATCH(T$2,Inputs!$K$4:$AJ$4,0)))+SUMPRODUCT((Inputs!$E$5:$E$230=$B31)*Inputs!$F$5:$F$230*(((Inputs!$G$5:$G$230="moeda")+(Inputs!$G$5:$G$230="acoes"))*Inputs!$B$1+((Inputs!$G$5:$G$230&lt;&gt;"moeda")*(Inputs!$G$5:$G$230&lt;&gt;"acoes")))*INDEX(Inputs!$K$5:$AJ$230,0,MATCH(T$2,Inputs!$K$4:$AJ$4,0)))))</f>
        <v>773.89</v>
      </c>
      <c r="U31" s="6">
        <f>IF(ISNA(MATCH(U$2,Inputs!$K$4:$AJ$4,0)),NA(),IF(SUMPRODUCT((Inputs!$A$5:$A$230=$B31)*ISNUMBER(INDEX(Inputs!$K$5:$AJ$230,0,MATCH(U$2,Inputs!$K$4:$AJ$4,0))))+SUMPRODUCT((Inputs!$C$5:$C$230=$B31)*ISNUMBER(INDEX(Inputs!$K$5:$AJ$230,0,MATCH(U$2,Inputs!$K$4:$AJ$4,0))))+SUMPRODUCT((Inputs!$E$5:$E$230=$B31)*ISNUMBER(INDEX(Inputs!$K$5:$AJ$230,0,MATCH(U$2,Inputs!$K$4:$AJ$4,0))))=0,NA(),SUMPRODUCT((Inputs!$A$5:$A$230=$B31)*Inputs!$B$5:$B$230*(((Inputs!$G$5:$G$230="moeda")+(Inputs!$G$5:$G$230="acoes"))*Inputs!$B$1+((Inputs!$G$5:$G$230&lt;&gt;"moeda")*(Inputs!$G$5:$G$230&lt;&gt;"acoes")))*INDEX(Inputs!$K$5:$AJ$230,0,MATCH(U$2,Inputs!$K$4:$AJ$4,0)))+SUMPRODUCT((Inputs!$C$5:$C$230=$B31)*Inputs!$D$5:$D$230*(((Inputs!$G$5:$G$230="moeda")+(Inputs!$G$5:$G$230="acoes"))*Inputs!$B$1+((Inputs!$G$5:$G$230&lt;&gt;"moeda")*(Inputs!$G$5:$G$230&lt;&gt;"acoes")))*INDEX(Inputs!$K$5:$AJ$230,0,MATCH(U$2,Inputs!$K$4:$AJ$4,0)))+SUMPRODUCT((Inputs!$E$5:$E$230=$B31)*Inputs!$F$5:$F$230*(((Inputs!$G$5:$G$230="moeda")+(Inputs!$G$5:$G$230="acoes"))*Inputs!$B$1+((Inputs!$G$5:$G$230&lt;&gt;"moeda")*(Inputs!$G$5:$G$230&lt;&gt;"acoes")))*INDEX(Inputs!$K$5:$AJ$230,0,MATCH(U$2,Inputs!$K$4:$AJ$4,0)))))</f>
        <v>465.243</v>
      </c>
      <c r="V31" s="6">
        <f>IF(ISNA(MATCH(V$2,Inputs!$K$4:$AJ$4,0)),NA(),IF(SUMPRODUCT((Inputs!$A$5:$A$230=$B31)*ISNUMBER(INDEX(Inputs!$K$5:$AJ$230,0,MATCH(V$2,Inputs!$K$4:$AJ$4,0))))+SUMPRODUCT((Inputs!$C$5:$C$230=$B31)*ISNUMBER(INDEX(Inputs!$K$5:$AJ$230,0,MATCH(V$2,Inputs!$K$4:$AJ$4,0))))+SUMPRODUCT((Inputs!$E$5:$E$230=$B31)*ISNUMBER(INDEX(Inputs!$K$5:$AJ$230,0,MATCH(V$2,Inputs!$K$4:$AJ$4,0))))=0,NA(),SUMPRODUCT((Inputs!$A$5:$A$230=$B31)*Inputs!$B$5:$B$230*(((Inputs!$G$5:$G$230="moeda")+(Inputs!$G$5:$G$230="acoes"))*Inputs!$B$1+((Inputs!$G$5:$G$230&lt;&gt;"moeda")*(Inputs!$G$5:$G$230&lt;&gt;"acoes")))*INDEX(Inputs!$K$5:$AJ$230,0,MATCH(V$2,Inputs!$K$4:$AJ$4,0)))+SUMPRODUCT((Inputs!$C$5:$C$230=$B31)*Inputs!$D$5:$D$230*(((Inputs!$G$5:$G$230="moeda")+(Inputs!$G$5:$G$230="acoes"))*Inputs!$B$1+((Inputs!$G$5:$G$230&lt;&gt;"moeda")*(Inputs!$G$5:$G$230&lt;&gt;"acoes")))*INDEX(Inputs!$K$5:$AJ$230,0,MATCH(V$2,Inputs!$K$4:$AJ$4,0)))+SUMPRODUCT((Inputs!$E$5:$E$230=$B31)*Inputs!$F$5:$F$230*(((Inputs!$G$5:$G$230="moeda")+(Inputs!$G$5:$G$230="acoes"))*Inputs!$B$1+((Inputs!$G$5:$G$230&lt;&gt;"moeda")*(Inputs!$G$5:$G$230&lt;&gt;"acoes")))*INDEX(Inputs!$K$5:$AJ$230,0,MATCH(V$2,Inputs!$K$4:$AJ$4,0)))))</f>
        <v>673.866</v>
      </c>
      <c r="W31" s="3">
        <f>V31</f>
        <v>673.866</v>
      </c>
      <c r="X31" s="6">
        <f>IF(ISNA(MATCH(X$2,Inputs!$K$4:$AJ$4,0)),NA(),IF(SUMPRODUCT((Inputs!$A$5:$A$230=$B31)*ISNUMBER(INDEX(Inputs!$K$5:$AJ$230,0,MATCH(X$2,Inputs!$K$4:$AJ$4,0))))+SUMPRODUCT((Inputs!$C$5:$C$230=$B31)*ISNUMBER(INDEX(Inputs!$K$5:$AJ$230,0,MATCH(X$2,Inputs!$K$4:$AJ$4,0))))+SUMPRODUCT((Inputs!$E$5:$E$230=$B31)*ISNUMBER(INDEX(Inputs!$K$5:$AJ$230,0,MATCH(X$2,Inputs!$K$4:$AJ$4,0))))=0,NA(),SUMPRODUCT((Inputs!$A$5:$A$230=$B31)*Inputs!$B$5:$B$230*(((Inputs!$G$5:$G$230="moeda")+(Inputs!$G$5:$G$230="acoes"))*Inputs!$B$1+((Inputs!$G$5:$G$230&lt;&gt;"moeda")*(Inputs!$G$5:$G$230&lt;&gt;"acoes")))*INDEX(Inputs!$K$5:$AJ$230,0,MATCH(X$2,Inputs!$K$4:$AJ$4,0)))+SUMPRODUCT((Inputs!$C$5:$C$230=$B31)*Inputs!$D$5:$D$230*(((Inputs!$G$5:$G$230="moeda")+(Inputs!$G$5:$G$230="acoes"))*Inputs!$B$1+((Inputs!$G$5:$G$230&lt;&gt;"moeda")*(Inputs!$G$5:$G$230&lt;&gt;"acoes")))*INDEX(Inputs!$K$5:$AJ$230,0,MATCH(X$2,Inputs!$K$4:$AJ$4,0)))+SUMPRODUCT((Inputs!$E$5:$E$230=$B31)*Inputs!$F$5:$F$230*(((Inputs!$G$5:$G$230="moeda")+(Inputs!$G$5:$G$230="acoes"))*Inputs!$B$1+((Inputs!$G$5:$G$230&lt;&gt;"moeda")*(Inputs!$G$5:$G$230&lt;&gt;"acoes")))*INDEX(Inputs!$K$5:$AJ$230,0,MATCH(X$2,Inputs!$K$4:$AJ$4,0)))))</f>
        <v>611.404</v>
      </c>
      <c r="Y31" s="6">
        <f>IF(ISNA(MATCH(Y$2,Inputs!$K$4:$AJ$4,0)),NA(),IF(SUMPRODUCT((Inputs!$A$5:$A$230=$B31)*ISNUMBER(INDEX(Inputs!$K$5:$AJ$230,0,MATCH(Y$2,Inputs!$K$4:$AJ$4,0))))+SUMPRODUCT((Inputs!$C$5:$C$230=$B31)*ISNUMBER(INDEX(Inputs!$K$5:$AJ$230,0,MATCH(Y$2,Inputs!$K$4:$AJ$4,0))))+SUMPRODUCT((Inputs!$E$5:$E$230=$B31)*ISNUMBER(INDEX(Inputs!$K$5:$AJ$230,0,MATCH(Y$2,Inputs!$K$4:$AJ$4,0))))=0,NA(),SUMPRODUCT((Inputs!$A$5:$A$230=$B31)*Inputs!$B$5:$B$230*(((Inputs!$G$5:$G$230="moeda")+(Inputs!$G$5:$G$230="acoes"))*Inputs!$B$1+((Inputs!$G$5:$G$230&lt;&gt;"moeda")*(Inputs!$G$5:$G$230&lt;&gt;"acoes")))*INDEX(Inputs!$K$5:$AJ$230,0,MATCH(Y$2,Inputs!$K$4:$AJ$4,0)))+SUMPRODUCT((Inputs!$C$5:$C$230=$B31)*Inputs!$D$5:$D$230*(((Inputs!$G$5:$G$230="moeda")+(Inputs!$G$5:$G$230="acoes"))*Inputs!$B$1+((Inputs!$G$5:$G$230&lt;&gt;"moeda")*(Inputs!$G$5:$G$230&lt;&gt;"acoes")))*INDEX(Inputs!$K$5:$AJ$230,0,MATCH(Y$2,Inputs!$K$4:$AJ$4,0)))+SUMPRODUCT((Inputs!$E$5:$E$230=$B31)*Inputs!$F$5:$F$230*(((Inputs!$G$5:$G$230="moeda")+(Inputs!$G$5:$G$230="acoes"))*Inputs!$B$1+((Inputs!$G$5:$G$230&lt;&gt;"moeda")*(Inputs!$G$5:$G$230&lt;&gt;"acoes")))*INDEX(Inputs!$K$5:$AJ$230,0,MATCH(Y$2,Inputs!$K$4:$AJ$4,0)))))</f>
        <v>660.151</v>
      </c>
      <c r="Z31" s="6">
        <f>IF(ISNA(MATCH(Z$2,Inputs!$K$4:$AJ$4,0)),NA(),IF(SUMPRODUCT((Inputs!$A$5:$A$230=$B31)*ISNUMBER(INDEX(Inputs!$K$5:$AJ$230,0,MATCH(Z$2,Inputs!$K$4:$AJ$4,0))))+SUMPRODUCT((Inputs!$C$5:$C$230=$B31)*ISNUMBER(INDEX(Inputs!$K$5:$AJ$230,0,MATCH(Z$2,Inputs!$K$4:$AJ$4,0))))+SUMPRODUCT((Inputs!$E$5:$E$230=$B31)*ISNUMBER(INDEX(Inputs!$K$5:$AJ$230,0,MATCH(Z$2,Inputs!$K$4:$AJ$4,0))))=0,NA(),SUMPRODUCT((Inputs!$A$5:$A$230=$B31)*Inputs!$B$5:$B$230*(((Inputs!$G$5:$G$230="moeda")+(Inputs!$G$5:$G$230="acoes"))*Inputs!$B$1+((Inputs!$G$5:$G$230&lt;&gt;"moeda")*(Inputs!$G$5:$G$230&lt;&gt;"acoes")))*INDEX(Inputs!$K$5:$AJ$230,0,MATCH(Z$2,Inputs!$K$4:$AJ$4,0)))+SUMPRODUCT((Inputs!$C$5:$C$230=$B31)*Inputs!$D$5:$D$230*(((Inputs!$G$5:$G$230="moeda")+(Inputs!$G$5:$G$230="acoes"))*Inputs!$B$1+((Inputs!$G$5:$G$230&lt;&gt;"moeda")*(Inputs!$G$5:$G$230&lt;&gt;"acoes")))*INDEX(Inputs!$K$5:$AJ$230,0,MATCH(Z$2,Inputs!$K$4:$AJ$4,0)))+SUMPRODUCT((Inputs!$E$5:$E$230=$B31)*Inputs!$F$5:$F$230*(((Inputs!$G$5:$G$230="moeda")+(Inputs!$G$5:$G$230="acoes"))*Inputs!$B$1+((Inputs!$G$5:$G$230&lt;&gt;"moeda")*(Inputs!$G$5:$G$230&lt;&gt;"acoes")))*INDEX(Inputs!$K$5:$AJ$230,0,MATCH(Z$2,Inputs!$K$4:$AJ$4,0)))))</f>
        <v>565.596</v>
      </c>
      <c r="AA31" s="6">
        <f>IF(ISNA(MATCH(AA$2,Inputs!$K$4:$AJ$4,0)),NA(),IF(SUMPRODUCT((Inputs!$A$5:$A$230=$B31)*ISNUMBER(INDEX(Inputs!$K$5:$AJ$230,0,MATCH(AA$2,Inputs!$K$4:$AJ$4,0))))+SUMPRODUCT((Inputs!$C$5:$C$230=$B31)*ISNUMBER(INDEX(Inputs!$K$5:$AJ$230,0,MATCH(AA$2,Inputs!$K$4:$AJ$4,0))))+SUMPRODUCT((Inputs!$E$5:$E$230=$B31)*ISNUMBER(INDEX(Inputs!$K$5:$AJ$230,0,MATCH(AA$2,Inputs!$K$4:$AJ$4,0))))=0,NA(),SUMPRODUCT((Inputs!$A$5:$A$230=$B31)*Inputs!$B$5:$B$230*(((Inputs!$G$5:$G$230="moeda")+(Inputs!$G$5:$G$230="acoes"))*Inputs!$B$1+((Inputs!$G$5:$G$230&lt;&gt;"moeda")*(Inputs!$G$5:$G$230&lt;&gt;"acoes")))*INDEX(Inputs!$K$5:$AJ$230,0,MATCH(AA$2,Inputs!$K$4:$AJ$4,0)))+SUMPRODUCT((Inputs!$C$5:$C$230=$B31)*Inputs!$D$5:$D$230*(((Inputs!$G$5:$G$230="moeda")+(Inputs!$G$5:$G$230="acoes"))*Inputs!$B$1+((Inputs!$G$5:$G$230&lt;&gt;"moeda")*(Inputs!$G$5:$G$230&lt;&gt;"acoes")))*INDEX(Inputs!$K$5:$AJ$230,0,MATCH(AA$2,Inputs!$K$4:$AJ$4,0)))+SUMPRODUCT((Inputs!$E$5:$E$230=$B31)*Inputs!$F$5:$F$230*(((Inputs!$G$5:$G$230="moeda")+(Inputs!$G$5:$G$230="acoes"))*Inputs!$B$1+((Inputs!$G$5:$G$230&lt;&gt;"moeda")*(Inputs!$G$5:$G$230&lt;&gt;"acoes")))*INDEX(Inputs!$K$5:$AJ$230,0,MATCH(AA$2,Inputs!$K$4:$AJ$4,0)))))</f>
        <v>695.248</v>
      </c>
      <c r="AB31" s="3">
        <f>AA31</f>
        <v>695.248</v>
      </c>
      <c r="AC31" s="6">
        <f>IF(ISNA(MATCH(AC$2,Inputs!$K$4:$AJ$4,0)),NA(),IF(SUMPRODUCT((Inputs!$A$5:$A$230=$B31)*ISNUMBER(INDEX(Inputs!$K$5:$AJ$230,0,MATCH(AC$2,Inputs!$K$4:$AJ$4,0))))+SUMPRODUCT((Inputs!$C$5:$C$230=$B31)*ISNUMBER(INDEX(Inputs!$K$5:$AJ$230,0,MATCH(AC$2,Inputs!$K$4:$AJ$4,0))))+SUMPRODUCT((Inputs!$E$5:$E$230=$B31)*ISNUMBER(INDEX(Inputs!$K$5:$AJ$230,0,MATCH(AC$2,Inputs!$K$4:$AJ$4,0))))=0,NA(),SUMPRODUCT((Inputs!$A$5:$A$230=$B31)*Inputs!$B$5:$B$230*(((Inputs!$G$5:$G$230="moeda")+(Inputs!$G$5:$G$230="acoes"))*Inputs!$B$1+((Inputs!$G$5:$G$230&lt;&gt;"moeda")*(Inputs!$G$5:$G$230&lt;&gt;"acoes")))*INDEX(Inputs!$K$5:$AJ$230,0,MATCH(AC$2,Inputs!$K$4:$AJ$4,0)))+SUMPRODUCT((Inputs!$C$5:$C$230=$B31)*Inputs!$D$5:$D$230*(((Inputs!$G$5:$G$230="moeda")+(Inputs!$G$5:$G$230="acoes"))*Inputs!$B$1+((Inputs!$G$5:$G$230&lt;&gt;"moeda")*(Inputs!$G$5:$G$230&lt;&gt;"acoes")))*INDEX(Inputs!$K$5:$AJ$230,0,MATCH(AC$2,Inputs!$K$4:$AJ$4,0)))+SUMPRODUCT((Inputs!$E$5:$E$230=$B31)*Inputs!$F$5:$F$230*(((Inputs!$G$5:$G$230="moeda")+(Inputs!$G$5:$G$230="acoes"))*Inputs!$B$1+((Inputs!$G$5:$G$230&lt;&gt;"moeda")*(Inputs!$G$5:$G$230&lt;&gt;"acoes")))*INDEX(Inputs!$K$5:$AJ$230,0,MATCH(AC$2,Inputs!$K$4:$AJ$4,0)))))</f>
        <v>498.104</v>
      </c>
      <c r="AD31" s="6">
        <f>IF(ISNA(MATCH(AD$2,Inputs!$K$4:$AJ$4,0)),NA(),IF(SUMPRODUCT((Inputs!$A$5:$A$230=$B31)*ISNUMBER(INDEX(Inputs!$K$5:$AJ$230,0,MATCH(AD$2,Inputs!$K$4:$AJ$4,0))))+SUMPRODUCT((Inputs!$C$5:$C$230=$B31)*ISNUMBER(INDEX(Inputs!$K$5:$AJ$230,0,MATCH(AD$2,Inputs!$K$4:$AJ$4,0))))+SUMPRODUCT((Inputs!$E$5:$E$230=$B31)*ISNUMBER(INDEX(Inputs!$K$5:$AJ$230,0,MATCH(AD$2,Inputs!$K$4:$AJ$4,0))))=0,NA(),SUMPRODUCT((Inputs!$A$5:$A$230=$B31)*Inputs!$B$5:$B$230*(((Inputs!$G$5:$G$230="moeda")+(Inputs!$G$5:$G$230="acoes"))*Inputs!$B$1+((Inputs!$G$5:$G$230&lt;&gt;"moeda")*(Inputs!$G$5:$G$230&lt;&gt;"acoes")))*INDEX(Inputs!$K$5:$AJ$230,0,MATCH(AD$2,Inputs!$K$4:$AJ$4,0)))+SUMPRODUCT((Inputs!$C$5:$C$230=$B31)*Inputs!$D$5:$D$230*(((Inputs!$G$5:$G$230="moeda")+(Inputs!$G$5:$G$230="acoes"))*Inputs!$B$1+((Inputs!$G$5:$G$230&lt;&gt;"moeda")*(Inputs!$G$5:$G$230&lt;&gt;"acoes")))*INDEX(Inputs!$K$5:$AJ$230,0,MATCH(AD$2,Inputs!$K$4:$AJ$4,0)))+SUMPRODUCT((Inputs!$E$5:$E$230=$B31)*Inputs!$F$5:$F$230*(((Inputs!$G$5:$G$230="moeda")+(Inputs!$G$5:$G$230="acoes"))*Inputs!$B$1+((Inputs!$G$5:$G$230&lt;&gt;"moeda")*(Inputs!$G$5:$G$230&lt;&gt;"acoes")))*INDEX(Inputs!$K$5:$AJ$230,0,MATCH(AD$2,Inputs!$K$4:$AJ$4,0)))))</f>
        <v>596.083</v>
      </c>
      <c r="AE31" s="6" t="e">
        <f>IF(ISNA(MATCH(AE$2,Inputs!$K$4:$AJ$4,0)),NA(),IF(SUMPRODUCT((Inputs!$A$5:$A$230=$B31)*ISNUMBER(INDEX(Inputs!$K$5:$AJ$230,0,MATCH(AE$2,Inputs!$K$4:$AJ$4,0))))+SUMPRODUCT((Inputs!$C$5:$C$230=$B31)*ISNUMBER(INDEX(Inputs!$K$5:$AJ$230,0,MATCH(AE$2,Inputs!$K$4:$AJ$4,0))))+SUMPRODUCT((Inputs!$E$5:$E$230=$B31)*ISNUMBER(INDEX(Inputs!$K$5:$AJ$230,0,MATCH(AE$2,Inputs!$K$4:$AJ$4,0))))=0,NA(),SUMPRODUCT((Inputs!$A$5:$A$230=$B31)*Inputs!$B$5:$B$230*(((Inputs!$G$5:$G$230="moeda")+(Inputs!$G$5:$G$230="acoes"))*Inputs!$B$1+((Inputs!$G$5:$G$230&lt;&gt;"moeda")*(Inputs!$G$5:$G$230&lt;&gt;"acoes")))*INDEX(Inputs!$K$5:$AJ$230,0,MATCH(AE$2,Inputs!$K$4:$AJ$4,0)))+SUMPRODUCT((Inputs!$C$5:$C$230=$B31)*Inputs!$D$5:$D$230*(((Inputs!$G$5:$G$230="moeda")+(Inputs!$G$5:$G$230="acoes"))*Inputs!$B$1+((Inputs!$G$5:$G$230&lt;&gt;"moeda")*(Inputs!$G$5:$G$230&lt;&gt;"acoes")))*INDEX(Inputs!$K$5:$AJ$230,0,MATCH(AE$2,Inputs!$K$4:$AJ$4,0)))+SUMPRODUCT((Inputs!$E$5:$E$230=$B31)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31" s="6" t="e">
        <f>IF(ISNA(MATCH(AF$2,Inputs!$K$4:$AJ$4,0)),NA(),IF(SUMPRODUCT((Inputs!$A$5:$A$230=$B31)*ISNUMBER(INDEX(Inputs!$K$5:$AJ$230,0,MATCH(AF$2,Inputs!$K$4:$AJ$4,0))))+SUMPRODUCT((Inputs!$C$5:$C$230=$B31)*ISNUMBER(INDEX(Inputs!$K$5:$AJ$230,0,MATCH(AF$2,Inputs!$K$4:$AJ$4,0))))+SUMPRODUCT((Inputs!$E$5:$E$230=$B31)*ISNUMBER(INDEX(Inputs!$K$5:$AJ$230,0,MATCH(AF$2,Inputs!$K$4:$AJ$4,0))))=0,NA(),SUMPRODUCT((Inputs!$A$5:$A$230=$B31)*Inputs!$B$5:$B$230*(((Inputs!$G$5:$G$230="moeda")+(Inputs!$G$5:$G$230="acoes"))*Inputs!$B$1+((Inputs!$G$5:$G$230&lt;&gt;"moeda")*(Inputs!$G$5:$G$230&lt;&gt;"acoes")))*INDEX(Inputs!$K$5:$AJ$230,0,MATCH(AF$2,Inputs!$K$4:$AJ$4,0)))+SUMPRODUCT((Inputs!$C$5:$C$230=$B31)*Inputs!$D$5:$D$230*(((Inputs!$G$5:$G$230="moeda")+(Inputs!$G$5:$G$230="acoes"))*Inputs!$B$1+((Inputs!$G$5:$G$230&lt;&gt;"moeda")*(Inputs!$G$5:$G$230&lt;&gt;"acoes")))*INDEX(Inputs!$K$5:$AJ$230,0,MATCH(AF$2,Inputs!$K$4:$AJ$4,0)))+SUMPRODUCT((Inputs!$E$5:$E$230=$B31)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31" s="3" t="e">
        <f>AF31</f>
        <v>#N/A</v>
      </c>
      <c r="AH31" s="6">
        <f>IF(ISNA(MATCH(AH$2,Inputs!$K$4:$AJ$4,0)),NA(),IF(SUMPRODUCT((Inputs!$A$5:$A$230=$B31)*ISNUMBER(INDEX(Inputs!$K$5:$AJ$230,0,MATCH(AH$2,Inputs!$K$4:$AJ$4,0))))+SUMPRODUCT((Inputs!$C$5:$C$230=$B31)*ISNUMBER(INDEX(Inputs!$K$5:$AJ$230,0,MATCH(AH$2,Inputs!$K$4:$AJ$4,0))))+SUMPRODUCT((Inputs!$E$5:$E$230=$B31)*ISNUMBER(INDEX(Inputs!$K$5:$AJ$230,0,MATCH(AH$2,Inputs!$K$4:$AJ$4,0))))=0,NA(),SUMPRODUCT((Inputs!$A$5:$A$230=$B31)*Inputs!$B$5:$B$230*(((Inputs!$G$5:$G$230="moeda")+(Inputs!$G$5:$G$230="acoes"))*Inputs!$B$1+((Inputs!$G$5:$G$230&lt;&gt;"moeda")*(Inputs!$G$5:$G$230&lt;&gt;"acoes")))*INDEX(Inputs!$K$5:$AJ$230,0,MATCH(AH$2,Inputs!$K$4:$AJ$4,0)))+SUMPRODUCT((Inputs!$C$5:$C$230=$B31)*Inputs!$D$5:$D$230*(((Inputs!$G$5:$G$230="moeda")+(Inputs!$G$5:$G$230="acoes"))*Inputs!$B$1+((Inputs!$G$5:$G$230&lt;&gt;"moeda")*(Inputs!$G$5:$G$230&lt;&gt;"acoes")))*INDEX(Inputs!$K$5:$AJ$230,0,MATCH(AH$2,Inputs!$K$4:$AJ$4,0)))+SUMPRODUCT((Inputs!$E$5:$E$230=$B31)*Inputs!$F$5:$F$230*(((Inputs!$G$5:$G$230="moeda")+(Inputs!$G$5:$G$230="acoes"))*Inputs!$B$1+((Inputs!$G$5:$G$230&lt;&gt;"moeda")*(Inputs!$G$5:$G$230&lt;&gt;"acoes")))*INDEX(Inputs!$K$5:$AJ$230,0,MATCH(AH$2,Inputs!$K$4:$AJ$4,0)))))</f>
        <v>767.923</v>
      </c>
      <c r="AI31" s="6">
        <f>IF(ISNA(MATCH(AI$2,Inputs!$K$4:$AJ$4,0)),NA(),IF(SUMPRODUCT((Inputs!$A$5:$A$230=$B31)*ISNUMBER(INDEX(Inputs!$K$5:$AJ$230,0,MATCH(AI$2,Inputs!$K$4:$AJ$4,0))))+SUMPRODUCT((Inputs!$C$5:$C$230=$B31)*ISNUMBER(INDEX(Inputs!$K$5:$AJ$230,0,MATCH(AI$2,Inputs!$K$4:$AJ$4,0))))+SUMPRODUCT((Inputs!$E$5:$E$230=$B31)*ISNUMBER(INDEX(Inputs!$K$5:$AJ$230,0,MATCH(AI$2,Inputs!$K$4:$AJ$4,0))))=0,NA(),SUMPRODUCT((Inputs!$A$5:$A$230=$B31)*Inputs!$B$5:$B$230*(((Inputs!$G$5:$G$230="moeda")+(Inputs!$G$5:$G$230="acoes"))*Inputs!$B$1+((Inputs!$G$5:$G$230&lt;&gt;"moeda")*(Inputs!$G$5:$G$230&lt;&gt;"acoes")))*INDEX(Inputs!$K$5:$AJ$230,0,MATCH(AI$2,Inputs!$K$4:$AJ$4,0)))+SUMPRODUCT((Inputs!$C$5:$C$230=$B31)*Inputs!$D$5:$D$230*(((Inputs!$G$5:$G$230="moeda")+(Inputs!$G$5:$G$230="acoes"))*Inputs!$B$1+((Inputs!$G$5:$G$230&lt;&gt;"moeda")*(Inputs!$G$5:$G$230&lt;&gt;"acoes")))*INDEX(Inputs!$K$5:$AJ$230,0,MATCH(AI$2,Inputs!$K$4:$AJ$4,0)))+SUMPRODUCT((Inputs!$E$5:$E$230=$B31)*Inputs!$F$5:$F$230*(((Inputs!$G$5:$G$230="moeda")+(Inputs!$G$5:$G$230="acoes"))*Inputs!$B$1+((Inputs!$G$5:$G$230&lt;&gt;"moeda")*(Inputs!$G$5:$G$230&lt;&gt;"acoes")))*INDEX(Inputs!$K$5:$AJ$230,0,MATCH(AI$2,Inputs!$K$4:$AJ$4,0)))))</f>
        <v>611.117</v>
      </c>
      <c r="AJ31" s="6">
        <f>IF(ISNA(MATCH(AJ$2,Inputs!$K$4:$AJ$4,0)),NA(),IF(SUMPRODUCT((Inputs!$A$5:$A$230=$B31)*ISNUMBER(INDEX(Inputs!$K$5:$AJ$230,0,MATCH(AJ$2,Inputs!$K$4:$AJ$4,0))))+SUMPRODUCT((Inputs!$C$5:$C$230=$B31)*ISNUMBER(INDEX(Inputs!$K$5:$AJ$230,0,MATCH(AJ$2,Inputs!$K$4:$AJ$4,0))))+SUMPRODUCT((Inputs!$E$5:$E$230=$B31)*ISNUMBER(INDEX(Inputs!$K$5:$AJ$230,0,MATCH(AJ$2,Inputs!$K$4:$AJ$4,0))))=0,NA(),SUMPRODUCT((Inputs!$A$5:$A$230=$B31)*Inputs!$B$5:$B$230*(((Inputs!$G$5:$G$230="moeda")+(Inputs!$G$5:$G$230="acoes"))*Inputs!$B$1+((Inputs!$G$5:$G$230&lt;&gt;"moeda")*(Inputs!$G$5:$G$230&lt;&gt;"acoes")))*INDEX(Inputs!$K$5:$AJ$230,0,MATCH(AJ$2,Inputs!$K$4:$AJ$4,0)))+SUMPRODUCT((Inputs!$C$5:$C$230=$B31)*Inputs!$D$5:$D$230*(((Inputs!$G$5:$G$230="moeda")+(Inputs!$G$5:$G$230="acoes"))*Inputs!$B$1+((Inputs!$G$5:$G$230&lt;&gt;"moeda")*(Inputs!$G$5:$G$230&lt;&gt;"acoes")))*INDEX(Inputs!$K$5:$AJ$230,0,MATCH(AJ$2,Inputs!$K$4:$AJ$4,0)))+SUMPRODUCT((Inputs!$E$5:$E$230=$B31)*Inputs!$F$5:$F$230*(((Inputs!$G$5:$G$230="moeda")+(Inputs!$G$5:$G$230="acoes"))*Inputs!$B$1+((Inputs!$G$5:$G$230&lt;&gt;"moeda")*(Inputs!$G$5:$G$230&lt;&gt;"acoes")))*INDEX(Inputs!$K$5:$AJ$230,0,MATCH(AJ$2,Inputs!$K$4:$AJ$4,0)))))</f>
        <v>526.291</v>
      </c>
      <c r="AK31" s="6">
        <f>IF(ISNA(MATCH(AK$2,Inputs!$K$4:$AJ$4,0)),NA(),IF(SUMPRODUCT((Inputs!$A$5:$A$230=$B31)*ISNUMBER(INDEX(Inputs!$K$5:$AJ$230,0,MATCH(AK$2,Inputs!$K$4:$AJ$4,0))))+SUMPRODUCT((Inputs!$C$5:$C$230=$B31)*ISNUMBER(INDEX(Inputs!$K$5:$AJ$230,0,MATCH(AK$2,Inputs!$K$4:$AJ$4,0))))+SUMPRODUCT((Inputs!$E$5:$E$230=$B31)*ISNUMBER(INDEX(Inputs!$K$5:$AJ$230,0,MATCH(AK$2,Inputs!$K$4:$AJ$4,0))))=0,NA(),SUMPRODUCT((Inputs!$A$5:$A$230=$B31)*Inputs!$B$5:$B$230*(((Inputs!$G$5:$G$230="moeda")+(Inputs!$G$5:$G$230="acoes"))*Inputs!$B$1+((Inputs!$G$5:$G$230&lt;&gt;"moeda")*(Inputs!$G$5:$G$230&lt;&gt;"acoes")))*INDEX(Inputs!$K$5:$AJ$230,0,MATCH(AK$2,Inputs!$K$4:$AJ$4,0)))+SUMPRODUCT((Inputs!$C$5:$C$230=$B31)*Inputs!$D$5:$D$230*(((Inputs!$G$5:$G$230="moeda")+(Inputs!$G$5:$G$230="acoes"))*Inputs!$B$1+((Inputs!$G$5:$G$230&lt;&gt;"moeda")*(Inputs!$G$5:$G$230&lt;&gt;"acoes")))*INDEX(Inputs!$K$5:$AJ$230,0,MATCH(AK$2,Inputs!$K$4:$AJ$4,0)))+SUMPRODUCT((Inputs!$E$5:$E$230=$B31)*Inputs!$F$5:$F$230*(((Inputs!$G$5:$G$230="moeda")+(Inputs!$G$5:$G$230="acoes"))*Inputs!$B$1+((Inputs!$G$5:$G$230&lt;&gt;"moeda")*(Inputs!$G$5:$G$230&lt;&gt;"acoes")))*INDEX(Inputs!$K$5:$AJ$230,0,MATCH(AK$2,Inputs!$K$4:$AJ$4,0)))))</f>
        <v>903.318</v>
      </c>
      <c r="AL31" s="3">
        <f>AK31</f>
        <v>903.318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$230=$B32)*ISNUMBER(INDEX(Inputs!$K$5:$AJ$230,0,MATCH(D$2,Inputs!$K$4:$AJ$4,0))))+SUMPRODUCT((Inputs!$C$5:$C$230=$B32)*ISNUMBER(INDEX(Inputs!$K$5:$AJ$230,0,MATCH(D$2,Inputs!$K$4:$AJ$4,0))))+SUMPRODUCT((Inputs!$E$5:$E$230=$B32)*ISNUMBER(INDEX(Inputs!$K$5:$AJ$230,0,MATCH(D$2,Inputs!$K$4:$AJ$4,0))))=0,NA(),SUMPRODUCT((Inputs!$A$5:$A$230=$B32)*Inputs!$B$5:$B$230*(((Inputs!$G$5:$G$230="moeda")+(Inputs!$G$5:$G$230="acoes"))*Inputs!$B$1+((Inputs!$G$5:$G$230&lt;&gt;"moeda")*(Inputs!$G$5:$G$230&lt;&gt;"acoes")))*INDEX(Inputs!$K$5:$AJ$230,0,MATCH(D$2,Inputs!$K$4:$AJ$4,0)))+SUMPRODUCT((Inputs!$C$5:$C$230=$B32)*Inputs!$D$5:$D$230*(((Inputs!$G$5:$G$230="moeda")+(Inputs!$G$5:$G$230="acoes"))*Inputs!$B$1+((Inputs!$G$5:$G$230&lt;&gt;"moeda")*(Inputs!$G$5:$G$230&lt;&gt;"acoes")))*INDEX(Inputs!$K$5:$AJ$230,0,MATCH(D$2,Inputs!$K$4:$AJ$4,0)))+SUMPRODUCT((Inputs!$E$5:$E$230=$B32)*Inputs!$F$5:$F$230*(((Inputs!$G$5:$G$230="moeda")+(Inputs!$G$5:$G$230="acoes"))*Inputs!$B$1+((Inputs!$G$5:$G$230&lt;&gt;"moeda")*(Inputs!$G$5:$G$230&lt;&gt;"acoes")))*INDEX(Inputs!$K$5:$AJ$230,0,MATCH(D$2,Inputs!$K$4:$AJ$4,0)))))</f>
        <v>1010.158</v>
      </c>
      <c r="E32" s="6">
        <f>IF(ISNA(MATCH(E$2,Inputs!$K$4:$AJ$4,0)),NA(),IF(SUMPRODUCT((Inputs!$A$5:$A$230=$B32)*ISNUMBER(INDEX(Inputs!$K$5:$AJ$230,0,MATCH(E$2,Inputs!$K$4:$AJ$4,0))))+SUMPRODUCT((Inputs!$C$5:$C$230=$B32)*ISNUMBER(INDEX(Inputs!$K$5:$AJ$230,0,MATCH(E$2,Inputs!$K$4:$AJ$4,0))))+SUMPRODUCT((Inputs!$E$5:$E$230=$B32)*ISNUMBER(INDEX(Inputs!$K$5:$AJ$230,0,MATCH(E$2,Inputs!$K$4:$AJ$4,0))))=0,NA(),SUMPRODUCT((Inputs!$A$5:$A$230=$B32)*Inputs!$B$5:$B$230*(((Inputs!$G$5:$G$230="moeda")+(Inputs!$G$5:$G$230="acoes"))*Inputs!$B$1+((Inputs!$G$5:$G$230&lt;&gt;"moeda")*(Inputs!$G$5:$G$230&lt;&gt;"acoes")))*INDEX(Inputs!$K$5:$AJ$230,0,MATCH(E$2,Inputs!$K$4:$AJ$4,0)))+SUMPRODUCT((Inputs!$C$5:$C$230=$B32)*Inputs!$D$5:$D$230*(((Inputs!$G$5:$G$230="moeda")+(Inputs!$G$5:$G$230="acoes"))*Inputs!$B$1+((Inputs!$G$5:$G$230&lt;&gt;"moeda")*(Inputs!$G$5:$G$230&lt;&gt;"acoes")))*INDEX(Inputs!$K$5:$AJ$230,0,MATCH(E$2,Inputs!$K$4:$AJ$4,0)))+SUMPRODUCT((Inputs!$E$5:$E$230=$B32)*Inputs!$F$5:$F$230*(((Inputs!$G$5:$G$230="moeda")+(Inputs!$G$5:$G$230="acoes"))*Inputs!$B$1+((Inputs!$G$5:$G$230&lt;&gt;"moeda")*(Inputs!$G$5:$G$230&lt;&gt;"acoes")))*INDEX(Inputs!$K$5:$AJ$230,0,MATCH(E$2,Inputs!$K$4:$AJ$4,0)))))</f>
        <v>1125.477</v>
      </c>
      <c r="F32" s="6">
        <f>IF(ISNA(MATCH(F$2,Inputs!$K$4:$AJ$4,0)),NA(),IF(SUMPRODUCT((Inputs!$A$5:$A$230=$B32)*ISNUMBER(INDEX(Inputs!$K$5:$AJ$230,0,MATCH(F$2,Inputs!$K$4:$AJ$4,0))))+SUMPRODUCT((Inputs!$C$5:$C$230=$B32)*ISNUMBER(INDEX(Inputs!$K$5:$AJ$230,0,MATCH(F$2,Inputs!$K$4:$AJ$4,0))))+SUMPRODUCT((Inputs!$E$5:$E$230=$B32)*ISNUMBER(INDEX(Inputs!$K$5:$AJ$230,0,MATCH(F$2,Inputs!$K$4:$AJ$4,0))))=0,NA(),SUMPRODUCT((Inputs!$A$5:$A$230=$B32)*Inputs!$B$5:$B$230*(((Inputs!$G$5:$G$230="moeda")+(Inputs!$G$5:$G$230="acoes"))*Inputs!$B$1+((Inputs!$G$5:$G$230&lt;&gt;"moeda")*(Inputs!$G$5:$G$230&lt;&gt;"acoes")))*INDEX(Inputs!$K$5:$AJ$230,0,MATCH(F$2,Inputs!$K$4:$AJ$4,0)))+SUMPRODUCT((Inputs!$C$5:$C$230=$B32)*Inputs!$D$5:$D$230*(((Inputs!$G$5:$G$230="moeda")+(Inputs!$G$5:$G$230="acoes"))*Inputs!$B$1+((Inputs!$G$5:$G$230&lt;&gt;"moeda")*(Inputs!$G$5:$G$230&lt;&gt;"acoes")))*INDEX(Inputs!$K$5:$AJ$230,0,MATCH(F$2,Inputs!$K$4:$AJ$4,0)))+SUMPRODUCT((Inputs!$E$5:$E$230=$B32)*Inputs!$F$5:$F$230*(((Inputs!$G$5:$G$230="moeda")+(Inputs!$G$5:$G$230="acoes"))*Inputs!$B$1+((Inputs!$G$5:$G$230&lt;&gt;"moeda")*(Inputs!$G$5:$G$230&lt;&gt;"acoes")))*INDEX(Inputs!$K$5:$AJ$230,0,MATCH(F$2,Inputs!$K$4:$AJ$4,0)))))</f>
        <v>1113.817</v>
      </c>
      <c r="G32" s="6">
        <f>IF(ISNA(MATCH(G$2,Inputs!$K$4:$AJ$4,0)),NA(),IF(SUMPRODUCT((Inputs!$A$5:$A$230=$B32)*ISNUMBER(INDEX(Inputs!$K$5:$AJ$230,0,MATCH(G$2,Inputs!$K$4:$AJ$4,0))))+SUMPRODUCT((Inputs!$C$5:$C$230=$B32)*ISNUMBER(INDEX(Inputs!$K$5:$AJ$230,0,MATCH(G$2,Inputs!$K$4:$AJ$4,0))))+SUMPRODUCT((Inputs!$E$5:$E$230=$B32)*ISNUMBER(INDEX(Inputs!$K$5:$AJ$230,0,MATCH(G$2,Inputs!$K$4:$AJ$4,0))))=0,NA(),SUMPRODUCT((Inputs!$A$5:$A$230=$B32)*Inputs!$B$5:$B$230*(((Inputs!$G$5:$G$230="moeda")+(Inputs!$G$5:$G$230="acoes"))*Inputs!$B$1+((Inputs!$G$5:$G$230&lt;&gt;"moeda")*(Inputs!$G$5:$G$230&lt;&gt;"acoes")))*INDEX(Inputs!$K$5:$AJ$230,0,MATCH(G$2,Inputs!$K$4:$AJ$4,0)))+SUMPRODUCT((Inputs!$C$5:$C$230=$B32)*Inputs!$D$5:$D$230*(((Inputs!$G$5:$G$230="moeda")+(Inputs!$G$5:$G$230="acoes"))*Inputs!$B$1+((Inputs!$G$5:$G$230&lt;&gt;"moeda")*(Inputs!$G$5:$G$230&lt;&gt;"acoes")))*INDEX(Inputs!$K$5:$AJ$230,0,MATCH(G$2,Inputs!$K$4:$AJ$4,0)))+SUMPRODUCT((Inputs!$E$5:$E$230=$B32)*Inputs!$F$5:$F$230*(((Inputs!$G$5:$G$230="moeda")+(Inputs!$G$5:$G$230="acoes"))*Inputs!$B$1+((Inputs!$G$5:$G$230&lt;&gt;"moeda")*(Inputs!$G$5:$G$230&lt;&gt;"acoes")))*INDEX(Inputs!$K$5:$AJ$230,0,MATCH(G$2,Inputs!$K$4:$AJ$4,0)))))</f>
        <v>951.193</v>
      </c>
      <c r="H32" s="3">
        <f>G32</f>
        <v>951.193</v>
      </c>
      <c r="I32" s="6">
        <f>IF(ISNA(MATCH(I$2,Inputs!$K$4:$AJ$4,0)),NA(),IF(SUMPRODUCT((Inputs!$A$5:$A$230=$B32)*ISNUMBER(INDEX(Inputs!$K$5:$AJ$230,0,MATCH(I$2,Inputs!$K$4:$AJ$4,0))))+SUMPRODUCT((Inputs!$C$5:$C$230=$B32)*ISNUMBER(INDEX(Inputs!$K$5:$AJ$230,0,MATCH(I$2,Inputs!$K$4:$AJ$4,0))))+SUMPRODUCT((Inputs!$E$5:$E$230=$B32)*ISNUMBER(INDEX(Inputs!$K$5:$AJ$230,0,MATCH(I$2,Inputs!$K$4:$AJ$4,0))))=0,NA(),SUMPRODUCT((Inputs!$A$5:$A$230=$B32)*Inputs!$B$5:$B$230*(((Inputs!$G$5:$G$230="moeda")+(Inputs!$G$5:$G$230="acoes"))*Inputs!$B$1+((Inputs!$G$5:$G$230&lt;&gt;"moeda")*(Inputs!$G$5:$G$230&lt;&gt;"acoes")))*INDEX(Inputs!$K$5:$AJ$230,0,MATCH(I$2,Inputs!$K$4:$AJ$4,0)))+SUMPRODUCT((Inputs!$C$5:$C$230=$B32)*Inputs!$D$5:$D$230*(((Inputs!$G$5:$G$230="moeda")+(Inputs!$G$5:$G$230="acoes"))*Inputs!$B$1+((Inputs!$G$5:$G$230&lt;&gt;"moeda")*(Inputs!$G$5:$G$230&lt;&gt;"acoes")))*INDEX(Inputs!$K$5:$AJ$230,0,MATCH(I$2,Inputs!$K$4:$AJ$4,0)))+SUMPRODUCT((Inputs!$E$5:$E$230=$B32)*Inputs!$F$5:$F$230*(((Inputs!$G$5:$G$230="moeda")+(Inputs!$G$5:$G$230="acoes"))*Inputs!$B$1+((Inputs!$G$5:$G$230&lt;&gt;"moeda")*(Inputs!$G$5:$G$230&lt;&gt;"acoes")))*INDEX(Inputs!$K$5:$AJ$230,0,MATCH(I$2,Inputs!$K$4:$AJ$4,0)))))</f>
        <v>941.629</v>
      </c>
      <c r="J32" s="6">
        <f>IF(ISNA(MATCH(J$2,Inputs!$K$4:$AJ$4,0)),NA(),IF(SUMPRODUCT((Inputs!$A$5:$A$230=$B32)*ISNUMBER(INDEX(Inputs!$K$5:$AJ$230,0,MATCH(J$2,Inputs!$K$4:$AJ$4,0))))+SUMPRODUCT((Inputs!$C$5:$C$230=$B32)*ISNUMBER(INDEX(Inputs!$K$5:$AJ$230,0,MATCH(J$2,Inputs!$K$4:$AJ$4,0))))+SUMPRODUCT((Inputs!$E$5:$E$230=$B32)*ISNUMBER(INDEX(Inputs!$K$5:$AJ$230,0,MATCH(J$2,Inputs!$K$4:$AJ$4,0))))=0,NA(),SUMPRODUCT((Inputs!$A$5:$A$230=$B32)*Inputs!$B$5:$B$230*(((Inputs!$G$5:$G$230="moeda")+(Inputs!$G$5:$G$230="acoes"))*Inputs!$B$1+((Inputs!$G$5:$G$230&lt;&gt;"moeda")*(Inputs!$G$5:$G$230&lt;&gt;"acoes")))*INDEX(Inputs!$K$5:$AJ$230,0,MATCH(J$2,Inputs!$K$4:$AJ$4,0)))+SUMPRODUCT((Inputs!$C$5:$C$230=$B32)*Inputs!$D$5:$D$230*(((Inputs!$G$5:$G$230="moeda")+(Inputs!$G$5:$G$230="acoes"))*Inputs!$B$1+((Inputs!$G$5:$G$230&lt;&gt;"moeda")*(Inputs!$G$5:$G$230&lt;&gt;"acoes")))*INDEX(Inputs!$K$5:$AJ$230,0,MATCH(J$2,Inputs!$K$4:$AJ$4,0)))+SUMPRODUCT((Inputs!$E$5:$E$230=$B32)*Inputs!$F$5:$F$230*(((Inputs!$G$5:$G$230="moeda")+(Inputs!$G$5:$G$230="acoes"))*Inputs!$B$1+((Inputs!$G$5:$G$230&lt;&gt;"moeda")*(Inputs!$G$5:$G$230&lt;&gt;"acoes")))*INDEX(Inputs!$K$5:$AJ$230,0,MATCH(J$2,Inputs!$K$4:$AJ$4,0)))))</f>
        <v>767.039</v>
      </c>
      <c r="K32" s="6">
        <f>IF(ISNA(MATCH(K$2,Inputs!$K$4:$AJ$4,0)),NA(),IF(SUMPRODUCT((Inputs!$A$5:$A$230=$B32)*ISNUMBER(INDEX(Inputs!$K$5:$AJ$230,0,MATCH(K$2,Inputs!$K$4:$AJ$4,0))))+SUMPRODUCT((Inputs!$C$5:$C$230=$B32)*ISNUMBER(INDEX(Inputs!$K$5:$AJ$230,0,MATCH(K$2,Inputs!$K$4:$AJ$4,0))))+SUMPRODUCT((Inputs!$E$5:$E$230=$B32)*ISNUMBER(INDEX(Inputs!$K$5:$AJ$230,0,MATCH(K$2,Inputs!$K$4:$AJ$4,0))))=0,NA(),SUMPRODUCT((Inputs!$A$5:$A$230=$B32)*Inputs!$B$5:$B$230*(((Inputs!$G$5:$G$230="moeda")+(Inputs!$G$5:$G$230="acoes"))*Inputs!$B$1+((Inputs!$G$5:$G$230&lt;&gt;"moeda")*(Inputs!$G$5:$G$230&lt;&gt;"acoes")))*INDEX(Inputs!$K$5:$AJ$230,0,MATCH(K$2,Inputs!$K$4:$AJ$4,0)))+SUMPRODUCT((Inputs!$C$5:$C$230=$B32)*Inputs!$D$5:$D$230*(((Inputs!$G$5:$G$230="moeda")+(Inputs!$G$5:$G$230="acoes"))*Inputs!$B$1+((Inputs!$G$5:$G$230&lt;&gt;"moeda")*(Inputs!$G$5:$G$230&lt;&gt;"acoes")))*INDEX(Inputs!$K$5:$AJ$230,0,MATCH(K$2,Inputs!$K$4:$AJ$4,0)))+SUMPRODUCT((Inputs!$E$5:$E$230=$B32)*Inputs!$F$5:$F$230*(((Inputs!$G$5:$G$230="moeda")+(Inputs!$G$5:$G$230="acoes"))*Inputs!$B$1+((Inputs!$G$5:$G$230&lt;&gt;"moeda")*(Inputs!$G$5:$G$230&lt;&gt;"acoes")))*INDEX(Inputs!$K$5:$AJ$230,0,MATCH(K$2,Inputs!$K$4:$AJ$4,0)))))</f>
        <v>618.058</v>
      </c>
      <c r="L32" s="6">
        <f>IF(ISNA(MATCH(L$2,Inputs!$K$4:$AJ$4,0)),NA(),IF(SUMPRODUCT((Inputs!$A$5:$A$230=$B32)*ISNUMBER(INDEX(Inputs!$K$5:$AJ$230,0,MATCH(L$2,Inputs!$K$4:$AJ$4,0))))+SUMPRODUCT((Inputs!$C$5:$C$230=$B32)*ISNUMBER(INDEX(Inputs!$K$5:$AJ$230,0,MATCH(L$2,Inputs!$K$4:$AJ$4,0))))+SUMPRODUCT((Inputs!$E$5:$E$230=$B32)*ISNUMBER(INDEX(Inputs!$K$5:$AJ$230,0,MATCH(L$2,Inputs!$K$4:$AJ$4,0))))=0,NA(),SUMPRODUCT((Inputs!$A$5:$A$230=$B32)*Inputs!$B$5:$B$230*(((Inputs!$G$5:$G$230="moeda")+(Inputs!$G$5:$G$230="acoes"))*Inputs!$B$1+((Inputs!$G$5:$G$230&lt;&gt;"moeda")*(Inputs!$G$5:$G$230&lt;&gt;"acoes")))*INDEX(Inputs!$K$5:$AJ$230,0,MATCH(L$2,Inputs!$K$4:$AJ$4,0)))+SUMPRODUCT((Inputs!$C$5:$C$230=$B32)*Inputs!$D$5:$D$230*(((Inputs!$G$5:$G$230="moeda")+(Inputs!$G$5:$G$230="acoes"))*Inputs!$B$1+((Inputs!$G$5:$G$230&lt;&gt;"moeda")*(Inputs!$G$5:$G$230&lt;&gt;"acoes")))*INDEX(Inputs!$K$5:$AJ$230,0,MATCH(L$2,Inputs!$K$4:$AJ$4,0)))+SUMPRODUCT((Inputs!$E$5:$E$230=$B32)*Inputs!$F$5:$F$230*(((Inputs!$G$5:$G$230="moeda")+(Inputs!$G$5:$G$230="acoes"))*Inputs!$B$1+((Inputs!$G$5:$G$230&lt;&gt;"moeda")*(Inputs!$G$5:$G$230&lt;&gt;"acoes")))*INDEX(Inputs!$K$5:$AJ$230,0,MATCH(L$2,Inputs!$K$4:$AJ$4,0)))))</f>
        <v>1151.029</v>
      </c>
      <c r="M32" s="3">
        <f>L32</f>
        <v>1151.029</v>
      </c>
      <c r="N32" s="6">
        <f>IF(ISNA(MATCH(N$2,Inputs!$K$4:$AJ$4,0)),NA(),IF(SUMPRODUCT((Inputs!$A$5:$A$230=$B32)*ISNUMBER(INDEX(Inputs!$K$5:$AJ$230,0,MATCH(N$2,Inputs!$K$4:$AJ$4,0))))+SUMPRODUCT((Inputs!$C$5:$C$230=$B32)*ISNUMBER(INDEX(Inputs!$K$5:$AJ$230,0,MATCH(N$2,Inputs!$K$4:$AJ$4,0))))+SUMPRODUCT((Inputs!$E$5:$E$230=$B32)*ISNUMBER(INDEX(Inputs!$K$5:$AJ$230,0,MATCH(N$2,Inputs!$K$4:$AJ$4,0))))=0,NA(),SUMPRODUCT((Inputs!$A$5:$A$230=$B32)*Inputs!$B$5:$B$230*(((Inputs!$G$5:$G$230="moeda")+(Inputs!$G$5:$G$230="acoes"))*Inputs!$B$1+((Inputs!$G$5:$G$230&lt;&gt;"moeda")*(Inputs!$G$5:$G$230&lt;&gt;"acoes")))*INDEX(Inputs!$K$5:$AJ$230,0,MATCH(N$2,Inputs!$K$4:$AJ$4,0)))+SUMPRODUCT((Inputs!$C$5:$C$230=$B32)*Inputs!$D$5:$D$230*(((Inputs!$G$5:$G$230="moeda")+(Inputs!$G$5:$G$230="acoes"))*Inputs!$B$1+((Inputs!$G$5:$G$230&lt;&gt;"moeda")*(Inputs!$G$5:$G$230&lt;&gt;"acoes")))*INDEX(Inputs!$K$5:$AJ$230,0,MATCH(N$2,Inputs!$K$4:$AJ$4,0)))+SUMPRODUCT((Inputs!$E$5:$E$230=$B32)*Inputs!$F$5:$F$230*(((Inputs!$G$5:$G$230="moeda")+(Inputs!$G$5:$G$230="acoes"))*Inputs!$B$1+((Inputs!$G$5:$G$230&lt;&gt;"moeda")*(Inputs!$G$5:$G$230&lt;&gt;"acoes")))*INDEX(Inputs!$K$5:$AJ$230,0,MATCH(N$2,Inputs!$K$4:$AJ$4,0)))))</f>
        <v>1267.52</v>
      </c>
      <c r="O32" s="6">
        <f>IF(ISNA(MATCH(O$2,Inputs!$K$4:$AJ$4,0)),NA(),IF(SUMPRODUCT((Inputs!$A$5:$A$230=$B32)*ISNUMBER(INDEX(Inputs!$K$5:$AJ$230,0,MATCH(O$2,Inputs!$K$4:$AJ$4,0))))+SUMPRODUCT((Inputs!$C$5:$C$230=$B32)*ISNUMBER(INDEX(Inputs!$K$5:$AJ$230,0,MATCH(O$2,Inputs!$K$4:$AJ$4,0))))+SUMPRODUCT((Inputs!$E$5:$E$230=$B32)*ISNUMBER(INDEX(Inputs!$K$5:$AJ$230,0,MATCH(O$2,Inputs!$K$4:$AJ$4,0))))=0,NA(),SUMPRODUCT((Inputs!$A$5:$A$230=$B32)*Inputs!$B$5:$B$230*(((Inputs!$G$5:$G$230="moeda")+(Inputs!$G$5:$G$230="acoes"))*Inputs!$B$1+((Inputs!$G$5:$G$230&lt;&gt;"moeda")*(Inputs!$G$5:$G$230&lt;&gt;"acoes")))*INDEX(Inputs!$K$5:$AJ$230,0,MATCH(O$2,Inputs!$K$4:$AJ$4,0)))+SUMPRODUCT((Inputs!$C$5:$C$230=$B32)*Inputs!$D$5:$D$230*(((Inputs!$G$5:$G$230="moeda")+(Inputs!$G$5:$G$230="acoes"))*Inputs!$B$1+((Inputs!$G$5:$G$230&lt;&gt;"moeda")*(Inputs!$G$5:$G$230&lt;&gt;"acoes")))*INDEX(Inputs!$K$5:$AJ$230,0,MATCH(O$2,Inputs!$K$4:$AJ$4,0)))+SUMPRODUCT((Inputs!$E$5:$E$230=$B32)*Inputs!$F$5:$F$230*(((Inputs!$G$5:$G$230="moeda")+(Inputs!$G$5:$G$230="acoes"))*Inputs!$B$1+((Inputs!$G$5:$G$230&lt;&gt;"moeda")*(Inputs!$G$5:$G$230&lt;&gt;"acoes")))*INDEX(Inputs!$K$5:$AJ$230,0,MATCH(O$2,Inputs!$K$4:$AJ$4,0)))))</f>
        <v>1274.878</v>
      </c>
      <c r="P32" s="6">
        <f>IF(ISNA(MATCH(P$2,Inputs!$K$4:$AJ$4,0)),NA(),IF(SUMPRODUCT((Inputs!$A$5:$A$230=$B32)*ISNUMBER(INDEX(Inputs!$K$5:$AJ$230,0,MATCH(P$2,Inputs!$K$4:$AJ$4,0))))+SUMPRODUCT((Inputs!$C$5:$C$230=$B32)*ISNUMBER(INDEX(Inputs!$K$5:$AJ$230,0,MATCH(P$2,Inputs!$K$4:$AJ$4,0))))+SUMPRODUCT((Inputs!$E$5:$E$230=$B32)*ISNUMBER(INDEX(Inputs!$K$5:$AJ$230,0,MATCH(P$2,Inputs!$K$4:$AJ$4,0))))=0,NA(),SUMPRODUCT((Inputs!$A$5:$A$230=$B32)*Inputs!$B$5:$B$230*(((Inputs!$G$5:$G$230="moeda")+(Inputs!$G$5:$G$230="acoes"))*Inputs!$B$1+((Inputs!$G$5:$G$230&lt;&gt;"moeda")*(Inputs!$G$5:$G$230&lt;&gt;"acoes")))*INDEX(Inputs!$K$5:$AJ$230,0,MATCH(P$2,Inputs!$K$4:$AJ$4,0)))+SUMPRODUCT((Inputs!$C$5:$C$230=$B32)*Inputs!$D$5:$D$230*(((Inputs!$G$5:$G$230="moeda")+(Inputs!$G$5:$G$230="acoes"))*Inputs!$B$1+((Inputs!$G$5:$G$230&lt;&gt;"moeda")*(Inputs!$G$5:$G$230&lt;&gt;"acoes")))*INDEX(Inputs!$K$5:$AJ$230,0,MATCH(P$2,Inputs!$K$4:$AJ$4,0)))+SUMPRODUCT((Inputs!$E$5:$E$230=$B32)*Inputs!$F$5:$F$230*(((Inputs!$G$5:$G$230="moeda")+(Inputs!$G$5:$G$230="acoes"))*Inputs!$B$1+((Inputs!$G$5:$G$230&lt;&gt;"moeda")*(Inputs!$G$5:$G$230&lt;&gt;"acoes")))*INDEX(Inputs!$K$5:$AJ$230,0,MATCH(P$2,Inputs!$K$4:$AJ$4,0)))))</f>
        <v>1818.034</v>
      </c>
      <c r="Q32" s="6">
        <f>IF(ISNA(MATCH(Q$2,Inputs!$K$4:$AJ$4,0)),NA(),IF(SUMPRODUCT((Inputs!$A$5:$A$230=$B32)*ISNUMBER(INDEX(Inputs!$K$5:$AJ$230,0,MATCH(Q$2,Inputs!$K$4:$AJ$4,0))))+SUMPRODUCT((Inputs!$C$5:$C$230=$B32)*ISNUMBER(INDEX(Inputs!$K$5:$AJ$230,0,MATCH(Q$2,Inputs!$K$4:$AJ$4,0))))+SUMPRODUCT((Inputs!$E$5:$E$230=$B32)*ISNUMBER(INDEX(Inputs!$K$5:$AJ$230,0,MATCH(Q$2,Inputs!$K$4:$AJ$4,0))))=0,NA(),SUMPRODUCT((Inputs!$A$5:$A$230=$B32)*Inputs!$B$5:$B$230*(((Inputs!$G$5:$G$230="moeda")+(Inputs!$G$5:$G$230="acoes"))*Inputs!$B$1+((Inputs!$G$5:$G$230&lt;&gt;"moeda")*(Inputs!$G$5:$G$230&lt;&gt;"acoes")))*INDEX(Inputs!$K$5:$AJ$230,0,MATCH(Q$2,Inputs!$K$4:$AJ$4,0)))+SUMPRODUCT((Inputs!$C$5:$C$230=$B32)*Inputs!$D$5:$D$230*(((Inputs!$G$5:$G$230="moeda")+(Inputs!$G$5:$G$230="acoes"))*Inputs!$B$1+((Inputs!$G$5:$G$230&lt;&gt;"moeda")*(Inputs!$G$5:$G$230&lt;&gt;"acoes")))*INDEX(Inputs!$K$5:$AJ$230,0,MATCH(Q$2,Inputs!$K$4:$AJ$4,0)))+SUMPRODUCT((Inputs!$E$5:$E$230=$B32)*Inputs!$F$5:$F$230*(((Inputs!$G$5:$G$230="moeda")+(Inputs!$G$5:$G$230="acoes"))*Inputs!$B$1+((Inputs!$G$5:$G$230&lt;&gt;"moeda")*(Inputs!$G$5:$G$230&lt;&gt;"acoes")))*INDEX(Inputs!$K$5:$AJ$230,0,MATCH(Q$2,Inputs!$K$4:$AJ$4,0)))))</f>
        <v>2135.557</v>
      </c>
      <c r="R32" s="3">
        <f>Q32</f>
        <v>2135.557</v>
      </c>
      <c r="S32" s="6">
        <f>IF(ISNA(MATCH(S$2,Inputs!$K$4:$AJ$4,0)),NA(),IF(SUMPRODUCT((Inputs!$A$5:$A$230=$B32)*ISNUMBER(INDEX(Inputs!$K$5:$AJ$230,0,MATCH(S$2,Inputs!$K$4:$AJ$4,0))))+SUMPRODUCT((Inputs!$C$5:$C$230=$B32)*ISNUMBER(INDEX(Inputs!$K$5:$AJ$230,0,MATCH(S$2,Inputs!$K$4:$AJ$4,0))))+SUMPRODUCT((Inputs!$E$5:$E$230=$B32)*ISNUMBER(INDEX(Inputs!$K$5:$AJ$230,0,MATCH(S$2,Inputs!$K$4:$AJ$4,0))))=0,NA(),SUMPRODUCT((Inputs!$A$5:$A$230=$B32)*Inputs!$B$5:$B$230*(((Inputs!$G$5:$G$230="moeda")+(Inputs!$G$5:$G$230="acoes"))*Inputs!$B$1+((Inputs!$G$5:$G$230&lt;&gt;"moeda")*(Inputs!$G$5:$G$230&lt;&gt;"acoes")))*INDEX(Inputs!$K$5:$AJ$230,0,MATCH(S$2,Inputs!$K$4:$AJ$4,0)))+SUMPRODUCT((Inputs!$C$5:$C$230=$B32)*Inputs!$D$5:$D$230*(((Inputs!$G$5:$G$230="moeda")+(Inputs!$G$5:$G$230="acoes"))*Inputs!$B$1+((Inputs!$G$5:$G$230&lt;&gt;"moeda")*(Inputs!$G$5:$G$230&lt;&gt;"acoes")))*INDEX(Inputs!$K$5:$AJ$230,0,MATCH(S$2,Inputs!$K$4:$AJ$4,0)))+SUMPRODUCT((Inputs!$E$5:$E$230=$B32)*Inputs!$F$5:$F$230*(((Inputs!$G$5:$G$230="moeda")+(Inputs!$G$5:$G$230="acoes"))*Inputs!$B$1+((Inputs!$G$5:$G$230&lt;&gt;"moeda")*(Inputs!$G$5:$G$230&lt;&gt;"acoes")))*INDEX(Inputs!$K$5:$AJ$230,0,MATCH(S$2,Inputs!$K$4:$AJ$4,0)))))</f>
        <v>2273.316</v>
      </c>
      <c r="T32" s="6">
        <f>IF(ISNA(MATCH(T$2,Inputs!$K$4:$AJ$4,0)),NA(),IF(SUMPRODUCT((Inputs!$A$5:$A$230=$B32)*ISNUMBER(INDEX(Inputs!$K$5:$AJ$230,0,MATCH(T$2,Inputs!$K$4:$AJ$4,0))))+SUMPRODUCT((Inputs!$C$5:$C$230=$B32)*ISNUMBER(INDEX(Inputs!$K$5:$AJ$230,0,MATCH(T$2,Inputs!$K$4:$AJ$4,0))))+SUMPRODUCT((Inputs!$E$5:$E$230=$B32)*ISNUMBER(INDEX(Inputs!$K$5:$AJ$230,0,MATCH(T$2,Inputs!$K$4:$AJ$4,0))))=0,NA(),SUMPRODUCT((Inputs!$A$5:$A$230=$B32)*Inputs!$B$5:$B$230*(((Inputs!$G$5:$G$230="moeda")+(Inputs!$G$5:$G$230="acoes"))*Inputs!$B$1+((Inputs!$G$5:$G$230&lt;&gt;"moeda")*(Inputs!$G$5:$G$230&lt;&gt;"acoes")))*INDEX(Inputs!$K$5:$AJ$230,0,MATCH(T$2,Inputs!$K$4:$AJ$4,0)))+SUMPRODUCT((Inputs!$C$5:$C$230=$B32)*Inputs!$D$5:$D$230*(((Inputs!$G$5:$G$230="moeda")+(Inputs!$G$5:$G$230="acoes"))*Inputs!$B$1+((Inputs!$G$5:$G$230&lt;&gt;"moeda")*(Inputs!$G$5:$G$230&lt;&gt;"acoes")))*INDEX(Inputs!$K$5:$AJ$230,0,MATCH(T$2,Inputs!$K$4:$AJ$4,0)))+SUMPRODUCT((Inputs!$E$5:$E$230=$B32)*Inputs!$F$5:$F$230*(((Inputs!$G$5:$G$230="moeda")+(Inputs!$G$5:$G$230="acoes"))*Inputs!$B$1+((Inputs!$G$5:$G$230&lt;&gt;"moeda")*(Inputs!$G$5:$G$230&lt;&gt;"acoes")))*INDEX(Inputs!$K$5:$AJ$230,0,MATCH(T$2,Inputs!$K$4:$AJ$4,0)))))</f>
        <v>2841.633</v>
      </c>
      <c r="U32" s="6">
        <f>IF(ISNA(MATCH(U$2,Inputs!$K$4:$AJ$4,0)),NA(),IF(SUMPRODUCT((Inputs!$A$5:$A$230=$B32)*ISNUMBER(INDEX(Inputs!$K$5:$AJ$230,0,MATCH(U$2,Inputs!$K$4:$AJ$4,0))))+SUMPRODUCT((Inputs!$C$5:$C$230=$B32)*ISNUMBER(INDEX(Inputs!$K$5:$AJ$230,0,MATCH(U$2,Inputs!$K$4:$AJ$4,0))))+SUMPRODUCT((Inputs!$E$5:$E$230=$B32)*ISNUMBER(INDEX(Inputs!$K$5:$AJ$230,0,MATCH(U$2,Inputs!$K$4:$AJ$4,0))))=0,NA(),SUMPRODUCT((Inputs!$A$5:$A$230=$B32)*Inputs!$B$5:$B$230*(((Inputs!$G$5:$G$230="moeda")+(Inputs!$G$5:$G$230="acoes"))*Inputs!$B$1+((Inputs!$G$5:$G$230&lt;&gt;"moeda")*(Inputs!$G$5:$G$230&lt;&gt;"acoes")))*INDEX(Inputs!$K$5:$AJ$230,0,MATCH(U$2,Inputs!$K$4:$AJ$4,0)))+SUMPRODUCT((Inputs!$C$5:$C$230=$B32)*Inputs!$D$5:$D$230*(((Inputs!$G$5:$G$230="moeda")+(Inputs!$G$5:$G$230="acoes"))*Inputs!$B$1+((Inputs!$G$5:$G$230&lt;&gt;"moeda")*(Inputs!$G$5:$G$230&lt;&gt;"acoes")))*INDEX(Inputs!$K$5:$AJ$230,0,MATCH(U$2,Inputs!$K$4:$AJ$4,0)))+SUMPRODUCT((Inputs!$E$5:$E$230=$B32)*Inputs!$F$5:$F$230*(((Inputs!$G$5:$G$230="moeda")+(Inputs!$G$5:$G$230="acoes"))*Inputs!$B$1+((Inputs!$G$5:$G$230&lt;&gt;"moeda")*(Inputs!$G$5:$G$230&lt;&gt;"acoes")))*INDEX(Inputs!$K$5:$AJ$230,0,MATCH(U$2,Inputs!$K$4:$AJ$4,0)))))</f>
        <v>2378.841</v>
      </c>
      <c r="V32" s="6">
        <f>IF(ISNA(MATCH(V$2,Inputs!$K$4:$AJ$4,0)),NA(),IF(SUMPRODUCT((Inputs!$A$5:$A$230=$B32)*ISNUMBER(INDEX(Inputs!$K$5:$AJ$230,0,MATCH(V$2,Inputs!$K$4:$AJ$4,0))))+SUMPRODUCT((Inputs!$C$5:$C$230=$B32)*ISNUMBER(INDEX(Inputs!$K$5:$AJ$230,0,MATCH(V$2,Inputs!$K$4:$AJ$4,0))))+SUMPRODUCT((Inputs!$E$5:$E$230=$B32)*ISNUMBER(INDEX(Inputs!$K$5:$AJ$230,0,MATCH(V$2,Inputs!$K$4:$AJ$4,0))))=0,NA(),SUMPRODUCT((Inputs!$A$5:$A$230=$B32)*Inputs!$B$5:$B$230*(((Inputs!$G$5:$G$230="moeda")+(Inputs!$G$5:$G$230="acoes"))*Inputs!$B$1+((Inputs!$G$5:$G$230&lt;&gt;"moeda")*(Inputs!$G$5:$G$230&lt;&gt;"acoes")))*INDEX(Inputs!$K$5:$AJ$230,0,MATCH(V$2,Inputs!$K$4:$AJ$4,0)))+SUMPRODUCT((Inputs!$C$5:$C$230=$B32)*Inputs!$D$5:$D$230*(((Inputs!$G$5:$G$230="moeda")+(Inputs!$G$5:$G$230="acoes"))*Inputs!$B$1+((Inputs!$G$5:$G$230&lt;&gt;"moeda")*(Inputs!$G$5:$G$230&lt;&gt;"acoes")))*INDEX(Inputs!$K$5:$AJ$230,0,MATCH(V$2,Inputs!$K$4:$AJ$4,0)))+SUMPRODUCT((Inputs!$E$5:$E$230=$B32)*Inputs!$F$5:$F$230*(((Inputs!$G$5:$G$230="moeda")+(Inputs!$G$5:$G$230="acoes"))*Inputs!$B$1+((Inputs!$G$5:$G$230&lt;&gt;"moeda")*(Inputs!$G$5:$G$230&lt;&gt;"acoes")))*INDEX(Inputs!$K$5:$AJ$230,0,MATCH(V$2,Inputs!$K$4:$AJ$4,0)))))</f>
        <v>1969.051</v>
      </c>
      <c r="W32" s="3">
        <f>V32</f>
        <v>1969.051</v>
      </c>
      <c r="X32" s="6">
        <f>IF(ISNA(MATCH(X$2,Inputs!$K$4:$AJ$4,0)),NA(),IF(SUMPRODUCT((Inputs!$A$5:$A$230=$B32)*ISNUMBER(INDEX(Inputs!$K$5:$AJ$230,0,MATCH(X$2,Inputs!$K$4:$AJ$4,0))))+SUMPRODUCT((Inputs!$C$5:$C$230=$B32)*ISNUMBER(INDEX(Inputs!$K$5:$AJ$230,0,MATCH(X$2,Inputs!$K$4:$AJ$4,0))))+SUMPRODUCT((Inputs!$E$5:$E$230=$B32)*ISNUMBER(INDEX(Inputs!$K$5:$AJ$230,0,MATCH(X$2,Inputs!$K$4:$AJ$4,0))))=0,NA(),SUMPRODUCT((Inputs!$A$5:$A$230=$B32)*Inputs!$B$5:$B$230*(((Inputs!$G$5:$G$230="moeda")+(Inputs!$G$5:$G$230="acoes"))*Inputs!$B$1+((Inputs!$G$5:$G$230&lt;&gt;"moeda")*(Inputs!$G$5:$G$230&lt;&gt;"acoes")))*INDEX(Inputs!$K$5:$AJ$230,0,MATCH(X$2,Inputs!$K$4:$AJ$4,0)))+SUMPRODUCT((Inputs!$C$5:$C$230=$B32)*Inputs!$D$5:$D$230*(((Inputs!$G$5:$G$230="moeda")+(Inputs!$G$5:$G$230="acoes"))*Inputs!$B$1+((Inputs!$G$5:$G$230&lt;&gt;"moeda")*(Inputs!$G$5:$G$230&lt;&gt;"acoes")))*INDEX(Inputs!$K$5:$AJ$230,0,MATCH(X$2,Inputs!$K$4:$AJ$4,0)))+SUMPRODUCT((Inputs!$E$5:$E$230=$B32)*Inputs!$F$5:$F$230*(((Inputs!$G$5:$G$230="moeda")+(Inputs!$G$5:$G$230="acoes"))*Inputs!$B$1+((Inputs!$G$5:$G$230&lt;&gt;"moeda")*(Inputs!$G$5:$G$230&lt;&gt;"acoes")))*INDEX(Inputs!$K$5:$AJ$230,0,MATCH(X$2,Inputs!$K$4:$AJ$4,0)))))</f>
        <v>1962.814</v>
      </c>
      <c r="Y32" s="6">
        <f>IF(ISNA(MATCH(Y$2,Inputs!$K$4:$AJ$4,0)),NA(),IF(SUMPRODUCT((Inputs!$A$5:$A$230=$B32)*ISNUMBER(INDEX(Inputs!$K$5:$AJ$230,0,MATCH(Y$2,Inputs!$K$4:$AJ$4,0))))+SUMPRODUCT((Inputs!$C$5:$C$230=$B32)*ISNUMBER(INDEX(Inputs!$K$5:$AJ$230,0,MATCH(Y$2,Inputs!$K$4:$AJ$4,0))))+SUMPRODUCT((Inputs!$E$5:$E$230=$B32)*ISNUMBER(INDEX(Inputs!$K$5:$AJ$230,0,MATCH(Y$2,Inputs!$K$4:$AJ$4,0))))=0,NA(),SUMPRODUCT((Inputs!$A$5:$A$230=$B32)*Inputs!$B$5:$B$230*(((Inputs!$G$5:$G$230="moeda")+(Inputs!$G$5:$G$230="acoes"))*Inputs!$B$1+((Inputs!$G$5:$G$230&lt;&gt;"moeda")*(Inputs!$G$5:$G$230&lt;&gt;"acoes")))*INDEX(Inputs!$K$5:$AJ$230,0,MATCH(Y$2,Inputs!$K$4:$AJ$4,0)))+SUMPRODUCT((Inputs!$C$5:$C$230=$B32)*Inputs!$D$5:$D$230*(((Inputs!$G$5:$G$230="moeda")+(Inputs!$G$5:$G$230="acoes"))*Inputs!$B$1+((Inputs!$G$5:$G$230&lt;&gt;"moeda")*(Inputs!$G$5:$G$230&lt;&gt;"acoes")))*INDEX(Inputs!$K$5:$AJ$230,0,MATCH(Y$2,Inputs!$K$4:$AJ$4,0)))+SUMPRODUCT((Inputs!$E$5:$E$230=$B32)*Inputs!$F$5:$F$230*(((Inputs!$G$5:$G$230="moeda")+(Inputs!$G$5:$G$230="acoes"))*Inputs!$B$1+((Inputs!$G$5:$G$230&lt;&gt;"moeda")*(Inputs!$G$5:$G$230&lt;&gt;"acoes")))*INDEX(Inputs!$K$5:$AJ$230,0,MATCH(Y$2,Inputs!$K$4:$AJ$4,0)))))</f>
        <v>1988.785</v>
      </c>
      <c r="Z32" s="6">
        <f>IF(ISNA(MATCH(Z$2,Inputs!$K$4:$AJ$4,0)),NA(),IF(SUMPRODUCT((Inputs!$A$5:$A$230=$B32)*ISNUMBER(INDEX(Inputs!$K$5:$AJ$230,0,MATCH(Z$2,Inputs!$K$4:$AJ$4,0))))+SUMPRODUCT((Inputs!$C$5:$C$230=$B32)*ISNUMBER(INDEX(Inputs!$K$5:$AJ$230,0,MATCH(Z$2,Inputs!$K$4:$AJ$4,0))))+SUMPRODUCT((Inputs!$E$5:$E$230=$B32)*ISNUMBER(INDEX(Inputs!$K$5:$AJ$230,0,MATCH(Z$2,Inputs!$K$4:$AJ$4,0))))=0,NA(),SUMPRODUCT((Inputs!$A$5:$A$230=$B32)*Inputs!$B$5:$B$230*(((Inputs!$G$5:$G$230="moeda")+(Inputs!$G$5:$G$230="acoes"))*Inputs!$B$1+((Inputs!$G$5:$G$230&lt;&gt;"moeda")*(Inputs!$G$5:$G$230&lt;&gt;"acoes")))*INDEX(Inputs!$K$5:$AJ$230,0,MATCH(Z$2,Inputs!$K$4:$AJ$4,0)))+SUMPRODUCT((Inputs!$C$5:$C$230=$B32)*Inputs!$D$5:$D$230*(((Inputs!$G$5:$G$230="moeda")+(Inputs!$G$5:$G$230="acoes"))*Inputs!$B$1+((Inputs!$G$5:$G$230&lt;&gt;"moeda")*(Inputs!$G$5:$G$230&lt;&gt;"acoes")))*INDEX(Inputs!$K$5:$AJ$230,0,MATCH(Z$2,Inputs!$K$4:$AJ$4,0)))+SUMPRODUCT((Inputs!$E$5:$E$230=$B32)*Inputs!$F$5:$F$230*(((Inputs!$G$5:$G$230="moeda")+(Inputs!$G$5:$G$230="acoes"))*Inputs!$B$1+((Inputs!$G$5:$G$230&lt;&gt;"moeda")*(Inputs!$G$5:$G$230&lt;&gt;"acoes")))*INDEX(Inputs!$K$5:$AJ$230,0,MATCH(Z$2,Inputs!$K$4:$AJ$4,0)))))</f>
        <v>1419.605</v>
      </c>
      <c r="AA32" s="6">
        <f>IF(ISNA(MATCH(AA$2,Inputs!$K$4:$AJ$4,0)),NA(),IF(SUMPRODUCT((Inputs!$A$5:$A$230=$B32)*ISNUMBER(INDEX(Inputs!$K$5:$AJ$230,0,MATCH(AA$2,Inputs!$K$4:$AJ$4,0))))+SUMPRODUCT((Inputs!$C$5:$C$230=$B32)*ISNUMBER(INDEX(Inputs!$K$5:$AJ$230,0,MATCH(AA$2,Inputs!$K$4:$AJ$4,0))))+SUMPRODUCT((Inputs!$E$5:$E$230=$B32)*ISNUMBER(INDEX(Inputs!$K$5:$AJ$230,0,MATCH(AA$2,Inputs!$K$4:$AJ$4,0))))=0,NA(),SUMPRODUCT((Inputs!$A$5:$A$230=$B32)*Inputs!$B$5:$B$230*(((Inputs!$G$5:$G$230="moeda")+(Inputs!$G$5:$G$230="acoes"))*Inputs!$B$1+((Inputs!$G$5:$G$230&lt;&gt;"moeda")*(Inputs!$G$5:$G$230&lt;&gt;"acoes")))*INDEX(Inputs!$K$5:$AJ$230,0,MATCH(AA$2,Inputs!$K$4:$AJ$4,0)))+SUMPRODUCT((Inputs!$C$5:$C$230=$B32)*Inputs!$D$5:$D$230*(((Inputs!$G$5:$G$230="moeda")+(Inputs!$G$5:$G$230="acoes"))*Inputs!$B$1+((Inputs!$G$5:$G$230&lt;&gt;"moeda")*(Inputs!$G$5:$G$230&lt;&gt;"acoes")))*INDEX(Inputs!$K$5:$AJ$230,0,MATCH(AA$2,Inputs!$K$4:$AJ$4,0)))+SUMPRODUCT((Inputs!$E$5:$E$230=$B32)*Inputs!$F$5:$F$230*(((Inputs!$G$5:$G$230="moeda")+(Inputs!$G$5:$G$230="acoes"))*Inputs!$B$1+((Inputs!$G$5:$G$230&lt;&gt;"moeda")*(Inputs!$G$5:$G$230&lt;&gt;"acoes")))*INDEX(Inputs!$K$5:$AJ$230,0,MATCH(AA$2,Inputs!$K$4:$AJ$4,0)))))</f>
        <v>1444.647</v>
      </c>
      <c r="AB32" s="3">
        <f>AA32</f>
        <v>1444.647</v>
      </c>
      <c r="AC32" s="6">
        <f>IF(ISNA(MATCH(AC$2,Inputs!$K$4:$AJ$4,0)),NA(),IF(SUMPRODUCT((Inputs!$A$5:$A$230=$B32)*ISNUMBER(INDEX(Inputs!$K$5:$AJ$230,0,MATCH(AC$2,Inputs!$K$4:$AJ$4,0))))+SUMPRODUCT((Inputs!$C$5:$C$230=$B32)*ISNUMBER(INDEX(Inputs!$K$5:$AJ$230,0,MATCH(AC$2,Inputs!$K$4:$AJ$4,0))))+SUMPRODUCT((Inputs!$E$5:$E$230=$B32)*ISNUMBER(INDEX(Inputs!$K$5:$AJ$230,0,MATCH(AC$2,Inputs!$K$4:$AJ$4,0))))=0,NA(),SUMPRODUCT((Inputs!$A$5:$A$230=$B32)*Inputs!$B$5:$B$230*(((Inputs!$G$5:$G$230="moeda")+(Inputs!$G$5:$G$230="acoes"))*Inputs!$B$1+((Inputs!$G$5:$G$230&lt;&gt;"moeda")*(Inputs!$G$5:$G$230&lt;&gt;"acoes")))*INDEX(Inputs!$K$5:$AJ$230,0,MATCH(AC$2,Inputs!$K$4:$AJ$4,0)))+SUMPRODUCT((Inputs!$C$5:$C$230=$B32)*Inputs!$D$5:$D$230*(((Inputs!$G$5:$G$230="moeda")+(Inputs!$G$5:$G$230="acoes"))*Inputs!$B$1+((Inputs!$G$5:$G$230&lt;&gt;"moeda")*(Inputs!$G$5:$G$230&lt;&gt;"acoes")))*INDEX(Inputs!$K$5:$AJ$230,0,MATCH(AC$2,Inputs!$K$4:$AJ$4,0)))+SUMPRODUCT((Inputs!$E$5:$E$230=$B32)*Inputs!$F$5:$F$230*(((Inputs!$G$5:$G$230="moeda")+(Inputs!$G$5:$G$230="acoes"))*Inputs!$B$1+((Inputs!$G$5:$G$230&lt;&gt;"moeda")*(Inputs!$G$5:$G$230&lt;&gt;"acoes")))*INDEX(Inputs!$K$5:$AJ$230,0,MATCH(AC$2,Inputs!$K$4:$AJ$4,0)))))</f>
        <v>1492.978</v>
      </c>
      <c r="AD32" s="6">
        <f>IF(ISNA(MATCH(AD$2,Inputs!$K$4:$AJ$4,0)),NA(),IF(SUMPRODUCT((Inputs!$A$5:$A$230=$B32)*ISNUMBER(INDEX(Inputs!$K$5:$AJ$230,0,MATCH(AD$2,Inputs!$K$4:$AJ$4,0))))+SUMPRODUCT((Inputs!$C$5:$C$230=$B32)*ISNUMBER(INDEX(Inputs!$K$5:$AJ$230,0,MATCH(AD$2,Inputs!$K$4:$AJ$4,0))))+SUMPRODUCT((Inputs!$E$5:$E$230=$B32)*ISNUMBER(INDEX(Inputs!$K$5:$AJ$230,0,MATCH(AD$2,Inputs!$K$4:$AJ$4,0))))=0,NA(),SUMPRODUCT((Inputs!$A$5:$A$230=$B32)*Inputs!$B$5:$B$230*(((Inputs!$G$5:$G$230="moeda")+(Inputs!$G$5:$G$230="acoes"))*Inputs!$B$1+((Inputs!$G$5:$G$230&lt;&gt;"moeda")*(Inputs!$G$5:$G$230&lt;&gt;"acoes")))*INDEX(Inputs!$K$5:$AJ$230,0,MATCH(AD$2,Inputs!$K$4:$AJ$4,0)))+SUMPRODUCT((Inputs!$C$5:$C$230=$B32)*Inputs!$D$5:$D$230*(((Inputs!$G$5:$G$230="moeda")+(Inputs!$G$5:$G$230="acoes"))*Inputs!$B$1+((Inputs!$G$5:$G$230&lt;&gt;"moeda")*(Inputs!$G$5:$G$230&lt;&gt;"acoes")))*INDEX(Inputs!$K$5:$AJ$230,0,MATCH(AD$2,Inputs!$K$4:$AJ$4,0)))+SUMPRODUCT((Inputs!$E$5:$E$230=$B32)*Inputs!$F$5:$F$230*(((Inputs!$G$5:$G$230="moeda")+(Inputs!$G$5:$G$230="acoes"))*Inputs!$B$1+((Inputs!$G$5:$G$230&lt;&gt;"moeda")*(Inputs!$G$5:$G$230&lt;&gt;"acoes")))*INDEX(Inputs!$K$5:$AJ$230,0,MATCH(AD$2,Inputs!$K$4:$AJ$4,0)))))</f>
        <v>1610.14</v>
      </c>
      <c r="AE32" s="6" t="e">
        <f>IF(ISNA(MATCH(AE$2,Inputs!$K$4:$AJ$4,0)),NA(),IF(SUMPRODUCT((Inputs!$A$5:$A$230=$B32)*ISNUMBER(INDEX(Inputs!$K$5:$AJ$230,0,MATCH(AE$2,Inputs!$K$4:$AJ$4,0))))+SUMPRODUCT((Inputs!$C$5:$C$230=$B32)*ISNUMBER(INDEX(Inputs!$K$5:$AJ$230,0,MATCH(AE$2,Inputs!$K$4:$AJ$4,0))))+SUMPRODUCT((Inputs!$E$5:$E$230=$B32)*ISNUMBER(INDEX(Inputs!$K$5:$AJ$230,0,MATCH(AE$2,Inputs!$K$4:$AJ$4,0))))=0,NA(),SUMPRODUCT((Inputs!$A$5:$A$230=$B32)*Inputs!$B$5:$B$230*(((Inputs!$G$5:$G$230="moeda")+(Inputs!$G$5:$G$230="acoes"))*Inputs!$B$1+((Inputs!$G$5:$G$230&lt;&gt;"moeda")*(Inputs!$G$5:$G$230&lt;&gt;"acoes")))*INDEX(Inputs!$K$5:$AJ$230,0,MATCH(AE$2,Inputs!$K$4:$AJ$4,0)))+SUMPRODUCT((Inputs!$C$5:$C$230=$B32)*Inputs!$D$5:$D$230*(((Inputs!$G$5:$G$230="moeda")+(Inputs!$G$5:$G$230="acoes"))*Inputs!$B$1+((Inputs!$G$5:$G$230&lt;&gt;"moeda")*(Inputs!$G$5:$G$230&lt;&gt;"acoes")))*INDEX(Inputs!$K$5:$AJ$230,0,MATCH(AE$2,Inputs!$K$4:$AJ$4,0)))+SUMPRODUCT((Inputs!$E$5:$E$230=$B32)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32" s="6" t="e">
        <f>IF(ISNA(MATCH(AF$2,Inputs!$K$4:$AJ$4,0)),NA(),IF(SUMPRODUCT((Inputs!$A$5:$A$230=$B32)*ISNUMBER(INDEX(Inputs!$K$5:$AJ$230,0,MATCH(AF$2,Inputs!$K$4:$AJ$4,0))))+SUMPRODUCT((Inputs!$C$5:$C$230=$B32)*ISNUMBER(INDEX(Inputs!$K$5:$AJ$230,0,MATCH(AF$2,Inputs!$K$4:$AJ$4,0))))+SUMPRODUCT((Inputs!$E$5:$E$230=$B32)*ISNUMBER(INDEX(Inputs!$K$5:$AJ$230,0,MATCH(AF$2,Inputs!$K$4:$AJ$4,0))))=0,NA(),SUMPRODUCT((Inputs!$A$5:$A$230=$B32)*Inputs!$B$5:$B$230*(((Inputs!$G$5:$G$230="moeda")+(Inputs!$G$5:$G$230="acoes"))*Inputs!$B$1+((Inputs!$G$5:$G$230&lt;&gt;"moeda")*(Inputs!$G$5:$G$230&lt;&gt;"acoes")))*INDEX(Inputs!$K$5:$AJ$230,0,MATCH(AF$2,Inputs!$K$4:$AJ$4,0)))+SUMPRODUCT((Inputs!$C$5:$C$230=$B32)*Inputs!$D$5:$D$230*(((Inputs!$G$5:$G$230="moeda")+(Inputs!$G$5:$G$230="acoes"))*Inputs!$B$1+((Inputs!$G$5:$G$230&lt;&gt;"moeda")*(Inputs!$G$5:$G$230&lt;&gt;"acoes")))*INDEX(Inputs!$K$5:$AJ$230,0,MATCH(AF$2,Inputs!$K$4:$AJ$4,0)))+SUMPRODUCT((Inputs!$E$5:$E$230=$B32)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32" s="3" t="e">
        <f>AF32</f>
        <v>#N/A</v>
      </c>
      <c r="AH32" s="6">
        <f>IF(ISNA(MATCH(AH$2,Inputs!$K$4:$AJ$4,0)),NA(),IF(SUMPRODUCT((Inputs!$A$5:$A$230=$B32)*ISNUMBER(INDEX(Inputs!$K$5:$AJ$230,0,MATCH(AH$2,Inputs!$K$4:$AJ$4,0))))+SUMPRODUCT((Inputs!$C$5:$C$230=$B32)*ISNUMBER(INDEX(Inputs!$K$5:$AJ$230,0,MATCH(AH$2,Inputs!$K$4:$AJ$4,0))))+SUMPRODUCT((Inputs!$E$5:$E$230=$B32)*ISNUMBER(INDEX(Inputs!$K$5:$AJ$230,0,MATCH(AH$2,Inputs!$K$4:$AJ$4,0))))=0,NA(),SUMPRODUCT((Inputs!$A$5:$A$230=$B32)*Inputs!$B$5:$B$230*(((Inputs!$G$5:$G$230="moeda")+(Inputs!$G$5:$G$230="acoes"))*Inputs!$B$1+((Inputs!$G$5:$G$230&lt;&gt;"moeda")*(Inputs!$G$5:$G$230&lt;&gt;"acoes")))*INDEX(Inputs!$K$5:$AJ$230,0,MATCH(AH$2,Inputs!$K$4:$AJ$4,0)))+SUMPRODUCT((Inputs!$C$5:$C$230=$B32)*Inputs!$D$5:$D$230*(((Inputs!$G$5:$G$230="moeda")+(Inputs!$G$5:$G$230="acoes"))*Inputs!$B$1+((Inputs!$G$5:$G$230&lt;&gt;"moeda")*(Inputs!$G$5:$G$230&lt;&gt;"acoes")))*INDEX(Inputs!$K$5:$AJ$230,0,MATCH(AH$2,Inputs!$K$4:$AJ$4,0)))+SUMPRODUCT((Inputs!$E$5:$E$230=$B32)*Inputs!$F$5:$F$230*(((Inputs!$G$5:$G$230="moeda")+(Inputs!$G$5:$G$230="acoes"))*Inputs!$B$1+((Inputs!$G$5:$G$230&lt;&gt;"moeda")*(Inputs!$G$5:$G$230&lt;&gt;"acoes")))*INDEX(Inputs!$K$5:$AJ$230,0,MATCH(AH$2,Inputs!$K$4:$AJ$4,0)))))</f>
        <v>816.006</v>
      </c>
      <c r="AI32" s="6">
        <f>IF(ISNA(MATCH(AI$2,Inputs!$K$4:$AJ$4,0)),NA(),IF(SUMPRODUCT((Inputs!$A$5:$A$230=$B32)*ISNUMBER(INDEX(Inputs!$K$5:$AJ$230,0,MATCH(AI$2,Inputs!$K$4:$AJ$4,0))))+SUMPRODUCT((Inputs!$C$5:$C$230=$B32)*ISNUMBER(INDEX(Inputs!$K$5:$AJ$230,0,MATCH(AI$2,Inputs!$K$4:$AJ$4,0))))+SUMPRODUCT((Inputs!$E$5:$E$230=$B32)*ISNUMBER(INDEX(Inputs!$K$5:$AJ$230,0,MATCH(AI$2,Inputs!$K$4:$AJ$4,0))))=0,NA(),SUMPRODUCT((Inputs!$A$5:$A$230=$B32)*Inputs!$B$5:$B$230*(((Inputs!$G$5:$G$230="moeda")+(Inputs!$G$5:$G$230="acoes"))*Inputs!$B$1+((Inputs!$G$5:$G$230&lt;&gt;"moeda")*(Inputs!$G$5:$G$230&lt;&gt;"acoes")))*INDEX(Inputs!$K$5:$AJ$230,0,MATCH(AI$2,Inputs!$K$4:$AJ$4,0)))+SUMPRODUCT((Inputs!$C$5:$C$230=$B32)*Inputs!$D$5:$D$230*(((Inputs!$G$5:$G$230="moeda")+(Inputs!$G$5:$G$230="acoes"))*Inputs!$B$1+((Inputs!$G$5:$G$230&lt;&gt;"moeda")*(Inputs!$G$5:$G$230&lt;&gt;"acoes")))*INDEX(Inputs!$K$5:$AJ$230,0,MATCH(AI$2,Inputs!$K$4:$AJ$4,0)))+SUMPRODUCT((Inputs!$E$5:$E$230=$B32)*Inputs!$F$5:$F$230*(((Inputs!$G$5:$G$230="moeda")+(Inputs!$G$5:$G$230="acoes"))*Inputs!$B$1+((Inputs!$G$5:$G$230&lt;&gt;"moeda")*(Inputs!$G$5:$G$230&lt;&gt;"acoes")))*INDEX(Inputs!$K$5:$AJ$230,0,MATCH(AI$2,Inputs!$K$4:$AJ$4,0)))))</f>
        <v>855.684</v>
      </c>
      <c r="AJ32" s="6">
        <f>IF(ISNA(MATCH(AJ$2,Inputs!$K$4:$AJ$4,0)),NA(),IF(SUMPRODUCT((Inputs!$A$5:$A$230=$B32)*ISNUMBER(INDEX(Inputs!$K$5:$AJ$230,0,MATCH(AJ$2,Inputs!$K$4:$AJ$4,0))))+SUMPRODUCT((Inputs!$C$5:$C$230=$B32)*ISNUMBER(INDEX(Inputs!$K$5:$AJ$230,0,MATCH(AJ$2,Inputs!$K$4:$AJ$4,0))))+SUMPRODUCT((Inputs!$E$5:$E$230=$B32)*ISNUMBER(INDEX(Inputs!$K$5:$AJ$230,0,MATCH(AJ$2,Inputs!$K$4:$AJ$4,0))))=0,NA(),SUMPRODUCT((Inputs!$A$5:$A$230=$B32)*Inputs!$B$5:$B$230*(((Inputs!$G$5:$G$230="moeda")+(Inputs!$G$5:$G$230="acoes"))*Inputs!$B$1+((Inputs!$G$5:$G$230&lt;&gt;"moeda")*(Inputs!$G$5:$G$230&lt;&gt;"acoes")))*INDEX(Inputs!$K$5:$AJ$230,0,MATCH(AJ$2,Inputs!$K$4:$AJ$4,0)))+SUMPRODUCT((Inputs!$C$5:$C$230=$B32)*Inputs!$D$5:$D$230*(((Inputs!$G$5:$G$230="moeda")+(Inputs!$G$5:$G$230="acoes"))*Inputs!$B$1+((Inputs!$G$5:$G$230&lt;&gt;"moeda")*(Inputs!$G$5:$G$230&lt;&gt;"acoes")))*INDEX(Inputs!$K$5:$AJ$230,0,MATCH(AJ$2,Inputs!$K$4:$AJ$4,0)))+SUMPRODUCT((Inputs!$E$5:$E$230=$B32)*Inputs!$F$5:$F$230*(((Inputs!$G$5:$G$230="moeda")+(Inputs!$G$5:$G$230="acoes"))*Inputs!$B$1+((Inputs!$G$5:$G$230&lt;&gt;"moeda")*(Inputs!$G$5:$G$230&lt;&gt;"acoes")))*INDEX(Inputs!$K$5:$AJ$230,0,MATCH(AJ$2,Inputs!$K$4:$AJ$4,0)))))</f>
        <v>882.729</v>
      </c>
      <c r="AK32" s="6">
        <f>IF(ISNA(MATCH(AK$2,Inputs!$K$4:$AJ$4,0)),NA(),IF(SUMPRODUCT((Inputs!$A$5:$A$230=$B32)*ISNUMBER(INDEX(Inputs!$K$5:$AJ$230,0,MATCH(AK$2,Inputs!$K$4:$AJ$4,0))))+SUMPRODUCT((Inputs!$C$5:$C$230=$B32)*ISNUMBER(INDEX(Inputs!$K$5:$AJ$230,0,MATCH(AK$2,Inputs!$K$4:$AJ$4,0))))+SUMPRODUCT((Inputs!$E$5:$E$230=$B32)*ISNUMBER(INDEX(Inputs!$K$5:$AJ$230,0,MATCH(AK$2,Inputs!$K$4:$AJ$4,0))))=0,NA(),SUMPRODUCT((Inputs!$A$5:$A$230=$B32)*Inputs!$B$5:$B$230*(((Inputs!$G$5:$G$230="moeda")+(Inputs!$G$5:$G$230="acoes"))*Inputs!$B$1+((Inputs!$G$5:$G$230&lt;&gt;"moeda")*(Inputs!$G$5:$G$230&lt;&gt;"acoes")))*INDEX(Inputs!$K$5:$AJ$230,0,MATCH(AK$2,Inputs!$K$4:$AJ$4,0)))+SUMPRODUCT((Inputs!$C$5:$C$230=$B32)*Inputs!$D$5:$D$230*(((Inputs!$G$5:$G$230="moeda")+(Inputs!$G$5:$G$230="acoes"))*Inputs!$B$1+((Inputs!$G$5:$G$230&lt;&gt;"moeda")*(Inputs!$G$5:$G$230&lt;&gt;"acoes")))*INDEX(Inputs!$K$5:$AJ$230,0,MATCH(AK$2,Inputs!$K$4:$AJ$4,0)))+SUMPRODUCT((Inputs!$E$5:$E$230=$B32)*Inputs!$F$5:$F$230*(((Inputs!$G$5:$G$230="moeda")+(Inputs!$G$5:$G$230="acoes"))*Inputs!$B$1+((Inputs!$G$5:$G$230&lt;&gt;"moeda")*(Inputs!$G$5:$G$230&lt;&gt;"acoes")))*INDEX(Inputs!$K$5:$AJ$230,0,MATCH(AK$2,Inputs!$K$4:$AJ$4,0)))))</f>
        <v>823.619</v>
      </c>
      <c r="AL32" s="3">
        <f>AK32</f>
        <v>823.619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$230=$B33)*ISNUMBER(INDEX(Inputs!$K$5:$AJ$230,0,MATCH(D$2,Inputs!$K$4:$AJ$4,0))))+SUMPRODUCT((Inputs!$C$5:$C$230=$B33)*ISNUMBER(INDEX(Inputs!$K$5:$AJ$230,0,MATCH(D$2,Inputs!$K$4:$AJ$4,0))))+SUMPRODUCT((Inputs!$E$5:$E$230=$B33)*ISNUMBER(INDEX(Inputs!$K$5:$AJ$230,0,MATCH(D$2,Inputs!$K$4:$AJ$4,0))))=0,NA(),SUMPRODUCT((Inputs!$A$5:$A$230=$B33)*Inputs!$B$5:$B$230*(((Inputs!$G$5:$G$230="moeda")+(Inputs!$G$5:$G$230="acoes"))*Inputs!$B$1+((Inputs!$G$5:$G$230&lt;&gt;"moeda")*(Inputs!$G$5:$G$230&lt;&gt;"acoes")))*INDEX(Inputs!$K$5:$AJ$230,0,MATCH(D$2,Inputs!$K$4:$AJ$4,0)))+SUMPRODUCT((Inputs!$C$5:$C$230=$B33)*Inputs!$D$5:$D$230*(((Inputs!$G$5:$G$230="moeda")+(Inputs!$G$5:$G$230="acoes"))*Inputs!$B$1+((Inputs!$G$5:$G$230&lt;&gt;"moeda")*(Inputs!$G$5:$G$230&lt;&gt;"acoes")))*INDEX(Inputs!$K$5:$AJ$230,0,MATCH(D$2,Inputs!$K$4:$AJ$4,0)))+SUMPRODUCT((Inputs!$E$5:$E$230=$B33)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33" s="6" t="e">
        <f>IF(ISNA(MATCH(E$2,Inputs!$K$4:$AJ$4,0)),NA(),IF(SUMPRODUCT((Inputs!$A$5:$A$230=$B33)*ISNUMBER(INDEX(Inputs!$K$5:$AJ$230,0,MATCH(E$2,Inputs!$K$4:$AJ$4,0))))+SUMPRODUCT((Inputs!$C$5:$C$230=$B33)*ISNUMBER(INDEX(Inputs!$K$5:$AJ$230,0,MATCH(E$2,Inputs!$K$4:$AJ$4,0))))+SUMPRODUCT((Inputs!$E$5:$E$230=$B33)*ISNUMBER(INDEX(Inputs!$K$5:$AJ$230,0,MATCH(E$2,Inputs!$K$4:$AJ$4,0))))=0,NA(),SUMPRODUCT((Inputs!$A$5:$A$230=$B33)*Inputs!$B$5:$B$230*(((Inputs!$G$5:$G$230="moeda")+(Inputs!$G$5:$G$230="acoes"))*Inputs!$B$1+((Inputs!$G$5:$G$230&lt;&gt;"moeda")*(Inputs!$G$5:$G$230&lt;&gt;"acoes")))*INDEX(Inputs!$K$5:$AJ$230,0,MATCH(E$2,Inputs!$K$4:$AJ$4,0)))+SUMPRODUCT((Inputs!$C$5:$C$230=$B33)*Inputs!$D$5:$D$230*(((Inputs!$G$5:$G$230="moeda")+(Inputs!$G$5:$G$230="acoes"))*Inputs!$B$1+((Inputs!$G$5:$G$230&lt;&gt;"moeda")*(Inputs!$G$5:$G$230&lt;&gt;"acoes")))*INDEX(Inputs!$K$5:$AJ$230,0,MATCH(E$2,Inputs!$K$4:$AJ$4,0)))+SUMPRODUCT((Inputs!$E$5:$E$230=$B33)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33" s="6" t="e">
        <f>IF(ISNA(MATCH(F$2,Inputs!$K$4:$AJ$4,0)),NA(),IF(SUMPRODUCT((Inputs!$A$5:$A$230=$B33)*ISNUMBER(INDEX(Inputs!$K$5:$AJ$230,0,MATCH(F$2,Inputs!$K$4:$AJ$4,0))))+SUMPRODUCT((Inputs!$C$5:$C$230=$B33)*ISNUMBER(INDEX(Inputs!$K$5:$AJ$230,0,MATCH(F$2,Inputs!$K$4:$AJ$4,0))))+SUMPRODUCT((Inputs!$E$5:$E$230=$B33)*ISNUMBER(INDEX(Inputs!$K$5:$AJ$230,0,MATCH(F$2,Inputs!$K$4:$AJ$4,0))))=0,NA(),SUMPRODUCT((Inputs!$A$5:$A$230=$B33)*Inputs!$B$5:$B$230*(((Inputs!$G$5:$G$230="moeda")+(Inputs!$G$5:$G$230="acoes"))*Inputs!$B$1+((Inputs!$G$5:$G$230&lt;&gt;"moeda")*(Inputs!$G$5:$G$230&lt;&gt;"acoes")))*INDEX(Inputs!$K$5:$AJ$230,0,MATCH(F$2,Inputs!$K$4:$AJ$4,0)))+SUMPRODUCT((Inputs!$C$5:$C$230=$B33)*Inputs!$D$5:$D$230*(((Inputs!$G$5:$G$230="moeda")+(Inputs!$G$5:$G$230="acoes"))*Inputs!$B$1+((Inputs!$G$5:$G$230&lt;&gt;"moeda")*(Inputs!$G$5:$G$230&lt;&gt;"acoes")))*INDEX(Inputs!$K$5:$AJ$230,0,MATCH(F$2,Inputs!$K$4:$AJ$4,0)))+SUMPRODUCT((Inputs!$E$5:$E$230=$B33)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33" s="6" t="e">
        <f>IF(ISNA(MATCH(G$2,Inputs!$K$4:$AJ$4,0)),NA(),IF(SUMPRODUCT((Inputs!$A$5:$A$230=$B33)*ISNUMBER(INDEX(Inputs!$K$5:$AJ$230,0,MATCH(G$2,Inputs!$K$4:$AJ$4,0))))+SUMPRODUCT((Inputs!$C$5:$C$230=$B33)*ISNUMBER(INDEX(Inputs!$K$5:$AJ$230,0,MATCH(G$2,Inputs!$K$4:$AJ$4,0))))+SUMPRODUCT((Inputs!$E$5:$E$230=$B33)*ISNUMBER(INDEX(Inputs!$K$5:$AJ$230,0,MATCH(G$2,Inputs!$K$4:$AJ$4,0))))=0,NA(),SUMPRODUCT((Inputs!$A$5:$A$230=$B33)*Inputs!$B$5:$B$230*(((Inputs!$G$5:$G$230="moeda")+(Inputs!$G$5:$G$230="acoes"))*Inputs!$B$1+((Inputs!$G$5:$G$230&lt;&gt;"moeda")*(Inputs!$G$5:$G$230&lt;&gt;"acoes")))*INDEX(Inputs!$K$5:$AJ$230,0,MATCH(G$2,Inputs!$K$4:$AJ$4,0)))+SUMPRODUCT((Inputs!$C$5:$C$230=$B33)*Inputs!$D$5:$D$230*(((Inputs!$G$5:$G$230="moeda")+(Inputs!$G$5:$G$230="acoes"))*Inputs!$B$1+((Inputs!$G$5:$G$230&lt;&gt;"moeda")*(Inputs!$G$5:$G$230&lt;&gt;"acoes")))*INDEX(Inputs!$K$5:$AJ$230,0,MATCH(G$2,Inputs!$K$4:$AJ$4,0)))+SUMPRODUCT((Inputs!$E$5:$E$230=$B33)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33" s="3" t="e">
        <f>G33</f>
        <v>#N/A</v>
      </c>
      <c r="I33" s="6" t="e">
        <f>IF(ISNA(MATCH(I$2,Inputs!$K$4:$AJ$4,0)),NA(),IF(SUMPRODUCT((Inputs!$A$5:$A$230=$B33)*ISNUMBER(INDEX(Inputs!$K$5:$AJ$230,0,MATCH(I$2,Inputs!$K$4:$AJ$4,0))))+SUMPRODUCT((Inputs!$C$5:$C$230=$B33)*ISNUMBER(INDEX(Inputs!$K$5:$AJ$230,0,MATCH(I$2,Inputs!$K$4:$AJ$4,0))))+SUMPRODUCT((Inputs!$E$5:$E$230=$B33)*ISNUMBER(INDEX(Inputs!$K$5:$AJ$230,0,MATCH(I$2,Inputs!$K$4:$AJ$4,0))))=0,NA(),SUMPRODUCT((Inputs!$A$5:$A$230=$B33)*Inputs!$B$5:$B$230*(((Inputs!$G$5:$G$230="moeda")+(Inputs!$G$5:$G$230="acoes"))*Inputs!$B$1+((Inputs!$G$5:$G$230&lt;&gt;"moeda")*(Inputs!$G$5:$G$230&lt;&gt;"acoes")))*INDEX(Inputs!$K$5:$AJ$230,0,MATCH(I$2,Inputs!$K$4:$AJ$4,0)))+SUMPRODUCT((Inputs!$C$5:$C$230=$B33)*Inputs!$D$5:$D$230*(((Inputs!$G$5:$G$230="moeda")+(Inputs!$G$5:$G$230="acoes"))*Inputs!$B$1+((Inputs!$G$5:$G$230&lt;&gt;"moeda")*(Inputs!$G$5:$G$230&lt;&gt;"acoes")))*INDEX(Inputs!$K$5:$AJ$230,0,MATCH(I$2,Inputs!$K$4:$AJ$4,0)))+SUMPRODUCT((Inputs!$E$5:$E$230=$B33)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33" s="6" t="e">
        <f>IF(ISNA(MATCH(J$2,Inputs!$K$4:$AJ$4,0)),NA(),IF(SUMPRODUCT((Inputs!$A$5:$A$230=$B33)*ISNUMBER(INDEX(Inputs!$K$5:$AJ$230,0,MATCH(J$2,Inputs!$K$4:$AJ$4,0))))+SUMPRODUCT((Inputs!$C$5:$C$230=$B33)*ISNUMBER(INDEX(Inputs!$K$5:$AJ$230,0,MATCH(J$2,Inputs!$K$4:$AJ$4,0))))+SUMPRODUCT((Inputs!$E$5:$E$230=$B33)*ISNUMBER(INDEX(Inputs!$K$5:$AJ$230,0,MATCH(J$2,Inputs!$K$4:$AJ$4,0))))=0,NA(),SUMPRODUCT((Inputs!$A$5:$A$230=$B33)*Inputs!$B$5:$B$230*(((Inputs!$G$5:$G$230="moeda")+(Inputs!$G$5:$G$230="acoes"))*Inputs!$B$1+((Inputs!$G$5:$G$230&lt;&gt;"moeda")*(Inputs!$G$5:$G$230&lt;&gt;"acoes")))*INDEX(Inputs!$K$5:$AJ$230,0,MATCH(J$2,Inputs!$K$4:$AJ$4,0)))+SUMPRODUCT((Inputs!$C$5:$C$230=$B33)*Inputs!$D$5:$D$230*(((Inputs!$G$5:$G$230="moeda")+(Inputs!$G$5:$G$230="acoes"))*Inputs!$B$1+((Inputs!$G$5:$G$230&lt;&gt;"moeda")*(Inputs!$G$5:$G$230&lt;&gt;"acoes")))*INDEX(Inputs!$K$5:$AJ$230,0,MATCH(J$2,Inputs!$K$4:$AJ$4,0)))+SUMPRODUCT((Inputs!$E$5:$E$230=$B33)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33" s="6" t="e">
        <f>IF(ISNA(MATCH(K$2,Inputs!$K$4:$AJ$4,0)),NA(),IF(SUMPRODUCT((Inputs!$A$5:$A$230=$B33)*ISNUMBER(INDEX(Inputs!$K$5:$AJ$230,0,MATCH(K$2,Inputs!$K$4:$AJ$4,0))))+SUMPRODUCT((Inputs!$C$5:$C$230=$B33)*ISNUMBER(INDEX(Inputs!$K$5:$AJ$230,0,MATCH(K$2,Inputs!$K$4:$AJ$4,0))))+SUMPRODUCT((Inputs!$E$5:$E$230=$B33)*ISNUMBER(INDEX(Inputs!$K$5:$AJ$230,0,MATCH(K$2,Inputs!$K$4:$AJ$4,0))))=0,NA(),SUMPRODUCT((Inputs!$A$5:$A$230=$B33)*Inputs!$B$5:$B$230*(((Inputs!$G$5:$G$230="moeda")+(Inputs!$G$5:$G$230="acoes"))*Inputs!$B$1+((Inputs!$G$5:$G$230&lt;&gt;"moeda")*(Inputs!$G$5:$G$230&lt;&gt;"acoes")))*INDEX(Inputs!$K$5:$AJ$230,0,MATCH(K$2,Inputs!$K$4:$AJ$4,0)))+SUMPRODUCT((Inputs!$C$5:$C$230=$B33)*Inputs!$D$5:$D$230*(((Inputs!$G$5:$G$230="moeda")+(Inputs!$G$5:$G$230="acoes"))*Inputs!$B$1+((Inputs!$G$5:$G$230&lt;&gt;"moeda")*(Inputs!$G$5:$G$230&lt;&gt;"acoes")))*INDEX(Inputs!$K$5:$AJ$230,0,MATCH(K$2,Inputs!$K$4:$AJ$4,0)))+SUMPRODUCT((Inputs!$E$5:$E$230=$B33)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33" s="6" t="e">
        <f>IF(ISNA(MATCH(L$2,Inputs!$K$4:$AJ$4,0)),NA(),IF(SUMPRODUCT((Inputs!$A$5:$A$230=$B33)*ISNUMBER(INDEX(Inputs!$K$5:$AJ$230,0,MATCH(L$2,Inputs!$K$4:$AJ$4,0))))+SUMPRODUCT((Inputs!$C$5:$C$230=$B33)*ISNUMBER(INDEX(Inputs!$K$5:$AJ$230,0,MATCH(L$2,Inputs!$K$4:$AJ$4,0))))+SUMPRODUCT((Inputs!$E$5:$E$230=$B33)*ISNUMBER(INDEX(Inputs!$K$5:$AJ$230,0,MATCH(L$2,Inputs!$K$4:$AJ$4,0))))=0,NA(),SUMPRODUCT((Inputs!$A$5:$A$230=$B33)*Inputs!$B$5:$B$230*(((Inputs!$G$5:$G$230="moeda")+(Inputs!$G$5:$G$230="acoes"))*Inputs!$B$1+((Inputs!$G$5:$G$230&lt;&gt;"moeda")*(Inputs!$G$5:$G$230&lt;&gt;"acoes")))*INDEX(Inputs!$K$5:$AJ$230,0,MATCH(L$2,Inputs!$K$4:$AJ$4,0)))+SUMPRODUCT((Inputs!$C$5:$C$230=$B33)*Inputs!$D$5:$D$230*(((Inputs!$G$5:$G$230="moeda")+(Inputs!$G$5:$G$230="acoes"))*Inputs!$B$1+((Inputs!$G$5:$G$230&lt;&gt;"moeda")*(Inputs!$G$5:$G$230&lt;&gt;"acoes")))*INDEX(Inputs!$K$5:$AJ$230,0,MATCH(L$2,Inputs!$K$4:$AJ$4,0)))+SUMPRODUCT((Inputs!$E$5:$E$230=$B33)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33" s="3" t="e">
        <f>L33</f>
        <v>#N/A</v>
      </c>
      <c r="N33" s="6" t="e">
        <f>IF(ISNA(MATCH(N$2,Inputs!$K$4:$AJ$4,0)),NA(),IF(SUMPRODUCT((Inputs!$A$5:$A$230=$B33)*ISNUMBER(INDEX(Inputs!$K$5:$AJ$230,0,MATCH(N$2,Inputs!$K$4:$AJ$4,0))))+SUMPRODUCT((Inputs!$C$5:$C$230=$B33)*ISNUMBER(INDEX(Inputs!$K$5:$AJ$230,0,MATCH(N$2,Inputs!$K$4:$AJ$4,0))))+SUMPRODUCT((Inputs!$E$5:$E$230=$B33)*ISNUMBER(INDEX(Inputs!$K$5:$AJ$230,0,MATCH(N$2,Inputs!$K$4:$AJ$4,0))))=0,NA(),SUMPRODUCT((Inputs!$A$5:$A$230=$B33)*Inputs!$B$5:$B$230*(((Inputs!$G$5:$G$230="moeda")+(Inputs!$G$5:$G$230="acoes"))*Inputs!$B$1+((Inputs!$G$5:$G$230&lt;&gt;"moeda")*(Inputs!$G$5:$G$230&lt;&gt;"acoes")))*INDEX(Inputs!$K$5:$AJ$230,0,MATCH(N$2,Inputs!$K$4:$AJ$4,0)))+SUMPRODUCT((Inputs!$C$5:$C$230=$B33)*Inputs!$D$5:$D$230*(((Inputs!$G$5:$G$230="moeda")+(Inputs!$G$5:$G$230="acoes"))*Inputs!$B$1+((Inputs!$G$5:$G$230&lt;&gt;"moeda")*(Inputs!$G$5:$G$230&lt;&gt;"acoes")))*INDEX(Inputs!$K$5:$AJ$230,0,MATCH(N$2,Inputs!$K$4:$AJ$4,0)))+SUMPRODUCT((Inputs!$E$5:$E$230=$B33)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33" s="6" t="e">
        <f>IF(ISNA(MATCH(O$2,Inputs!$K$4:$AJ$4,0)),NA(),IF(SUMPRODUCT((Inputs!$A$5:$A$230=$B33)*ISNUMBER(INDEX(Inputs!$K$5:$AJ$230,0,MATCH(O$2,Inputs!$K$4:$AJ$4,0))))+SUMPRODUCT((Inputs!$C$5:$C$230=$B33)*ISNUMBER(INDEX(Inputs!$K$5:$AJ$230,0,MATCH(O$2,Inputs!$K$4:$AJ$4,0))))+SUMPRODUCT((Inputs!$E$5:$E$230=$B33)*ISNUMBER(INDEX(Inputs!$K$5:$AJ$230,0,MATCH(O$2,Inputs!$K$4:$AJ$4,0))))=0,NA(),SUMPRODUCT((Inputs!$A$5:$A$230=$B33)*Inputs!$B$5:$B$230*(((Inputs!$G$5:$G$230="moeda")+(Inputs!$G$5:$G$230="acoes"))*Inputs!$B$1+((Inputs!$G$5:$G$230&lt;&gt;"moeda")*(Inputs!$G$5:$G$230&lt;&gt;"acoes")))*INDEX(Inputs!$K$5:$AJ$230,0,MATCH(O$2,Inputs!$K$4:$AJ$4,0)))+SUMPRODUCT((Inputs!$C$5:$C$230=$B33)*Inputs!$D$5:$D$230*(((Inputs!$G$5:$G$230="moeda")+(Inputs!$G$5:$G$230="acoes"))*Inputs!$B$1+((Inputs!$G$5:$G$230&lt;&gt;"moeda")*(Inputs!$G$5:$G$230&lt;&gt;"acoes")))*INDEX(Inputs!$K$5:$AJ$230,0,MATCH(O$2,Inputs!$K$4:$AJ$4,0)))+SUMPRODUCT((Inputs!$E$5:$E$230=$B33)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33" s="6" t="e">
        <f>IF(ISNA(MATCH(P$2,Inputs!$K$4:$AJ$4,0)),NA(),IF(SUMPRODUCT((Inputs!$A$5:$A$230=$B33)*ISNUMBER(INDEX(Inputs!$K$5:$AJ$230,0,MATCH(P$2,Inputs!$K$4:$AJ$4,0))))+SUMPRODUCT((Inputs!$C$5:$C$230=$B33)*ISNUMBER(INDEX(Inputs!$K$5:$AJ$230,0,MATCH(P$2,Inputs!$K$4:$AJ$4,0))))+SUMPRODUCT((Inputs!$E$5:$E$230=$B33)*ISNUMBER(INDEX(Inputs!$K$5:$AJ$230,0,MATCH(P$2,Inputs!$K$4:$AJ$4,0))))=0,NA(),SUMPRODUCT((Inputs!$A$5:$A$230=$B33)*Inputs!$B$5:$B$230*(((Inputs!$G$5:$G$230="moeda")+(Inputs!$G$5:$G$230="acoes"))*Inputs!$B$1+((Inputs!$G$5:$G$230&lt;&gt;"moeda")*(Inputs!$G$5:$G$230&lt;&gt;"acoes")))*INDEX(Inputs!$K$5:$AJ$230,0,MATCH(P$2,Inputs!$K$4:$AJ$4,0)))+SUMPRODUCT((Inputs!$C$5:$C$230=$B33)*Inputs!$D$5:$D$230*(((Inputs!$G$5:$G$230="moeda")+(Inputs!$G$5:$G$230="acoes"))*Inputs!$B$1+((Inputs!$G$5:$G$230&lt;&gt;"moeda")*(Inputs!$G$5:$G$230&lt;&gt;"acoes")))*INDEX(Inputs!$K$5:$AJ$230,0,MATCH(P$2,Inputs!$K$4:$AJ$4,0)))+SUMPRODUCT((Inputs!$E$5:$E$230=$B33)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33" s="6" t="e">
        <f>IF(ISNA(MATCH(Q$2,Inputs!$K$4:$AJ$4,0)),NA(),IF(SUMPRODUCT((Inputs!$A$5:$A$230=$B33)*ISNUMBER(INDEX(Inputs!$K$5:$AJ$230,0,MATCH(Q$2,Inputs!$K$4:$AJ$4,0))))+SUMPRODUCT((Inputs!$C$5:$C$230=$B33)*ISNUMBER(INDEX(Inputs!$K$5:$AJ$230,0,MATCH(Q$2,Inputs!$K$4:$AJ$4,0))))+SUMPRODUCT((Inputs!$E$5:$E$230=$B33)*ISNUMBER(INDEX(Inputs!$K$5:$AJ$230,0,MATCH(Q$2,Inputs!$K$4:$AJ$4,0))))=0,NA(),SUMPRODUCT((Inputs!$A$5:$A$230=$B33)*Inputs!$B$5:$B$230*(((Inputs!$G$5:$G$230="moeda")+(Inputs!$G$5:$G$230="acoes"))*Inputs!$B$1+((Inputs!$G$5:$G$230&lt;&gt;"moeda")*(Inputs!$G$5:$G$230&lt;&gt;"acoes")))*INDEX(Inputs!$K$5:$AJ$230,0,MATCH(Q$2,Inputs!$K$4:$AJ$4,0)))+SUMPRODUCT((Inputs!$C$5:$C$230=$B33)*Inputs!$D$5:$D$230*(((Inputs!$G$5:$G$230="moeda")+(Inputs!$G$5:$G$230="acoes"))*Inputs!$B$1+((Inputs!$G$5:$G$230&lt;&gt;"moeda")*(Inputs!$G$5:$G$230&lt;&gt;"acoes")))*INDEX(Inputs!$K$5:$AJ$230,0,MATCH(Q$2,Inputs!$K$4:$AJ$4,0)))+SUMPRODUCT((Inputs!$E$5:$E$230=$B33)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33" s="3" t="e">
        <f>Q33</f>
        <v>#N/A</v>
      </c>
      <c r="S33" s="6" t="e">
        <f>IF(ISNA(MATCH(S$2,Inputs!$K$4:$AJ$4,0)),NA(),IF(SUMPRODUCT((Inputs!$A$5:$A$230=$B33)*ISNUMBER(INDEX(Inputs!$K$5:$AJ$230,0,MATCH(S$2,Inputs!$K$4:$AJ$4,0))))+SUMPRODUCT((Inputs!$C$5:$C$230=$B33)*ISNUMBER(INDEX(Inputs!$K$5:$AJ$230,0,MATCH(S$2,Inputs!$K$4:$AJ$4,0))))+SUMPRODUCT((Inputs!$E$5:$E$230=$B33)*ISNUMBER(INDEX(Inputs!$K$5:$AJ$230,0,MATCH(S$2,Inputs!$K$4:$AJ$4,0))))=0,NA(),SUMPRODUCT((Inputs!$A$5:$A$230=$B33)*Inputs!$B$5:$B$230*(((Inputs!$G$5:$G$230="moeda")+(Inputs!$G$5:$G$230="acoes"))*Inputs!$B$1+((Inputs!$G$5:$G$230&lt;&gt;"moeda")*(Inputs!$G$5:$G$230&lt;&gt;"acoes")))*INDEX(Inputs!$K$5:$AJ$230,0,MATCH(S$2,Inputs!$K$4:$AJ$4,0)))+SUMPRODUCT((Inputs!$C$5:$C$230=$B33)*Inputs!$D$5:$D$230*(((Inputs!$G$5:$G$230="moeda")+(Inputs!$G$5:$G$230="acoes"))*Inputs!$B$1+((Inputs!$G$5:$G$230&lt;&gt;"moeda")*(Inputs!$G$5:$G$230&lt;&gt;"acoes")))*INDEX(Inputs!$K$5:$AJ$230,0,MATCH(S$2,Inputs!$K$4:$AJ$4,0)))+SUMPRODUCT((Inputs!$E$5:$E$230=$B33)*Inputs!$F$5:$F$230*(((Inputs!$G$5:$G$230="moeda")+(Inputs!$G$5:$G$230="acoes"))*Inputs!$B$1+((Inputs!$G$5:$G$230&lt;&gt;"moeda")*(Inputs!$G$5:$G$230&lt;&gt;"acoes")))*INDEX(Inputs!$K$5:$AJ$230,0,MATCH(S$2,Inputs!$K$4:$AJ$4,0)))))</f>
        <v>#N/A</v>
      </c>
      <c r="T33" s="6" t="e">
        <f>IF(ISNA(MATCH(T$2,Inputs!$K$4:$AJ$4,0)),NA(),IF(SUMPRODUCT((Inputs!$A$5:$A$230=$B33)*ISNUMBER(INDEX(Inputs!$K$5:$AJ$230,0,MATCH(T$2,Inputs!$K$4:$AJ$4,0))))+SUMPRODUCT((Inputs!$C$5:$C$230=$B33)*ISNUMBER(INDEX(Inputs!$K$5:$AJ$230,0,MATCH(T$2,Inputs!$K$4:$AJ$4,0))))+SUMPRODUCT((Inputs!$E$5:$E$230=$B33)*ISNUMBER(INDEX(Inputs!$K$5:$AJ$230,0,MATCH(T$2,Inputs!$K$4:$AJ$4,0))))=0,NA(),SUMPRODUCT((Inputs!$A$5:$A$230=$B33)*Inputs!$B$5:$B$230*(((Inputs!$G$5:$G$230="moeda")+(Inputs!$G$5:$G$230="acoes"))*Inputs!$B$1+((Inputs!$G$5:$G$230&lt;&gt;"moeda")*(Inputs!$G$5:$G$230&lt;&gt;"acoes")))*INDEX(Inputs!$K$5:$AJ$230,0,MATCH(T$2,Inputs!$K$4:$AJ$4,0)))+SUMPRODUCT((Inputs!$C$5:$C$230=$B33)*Inputs!$D$5:$D$230*(((Inputs!$G$5:$G$230="moeda")+(Inputs!$G$5:$G$230="acoes"))*Inputs!$B$1+((Inputs!$G$5:$G$230&lt;&gt;"moeda")*(Inputs!$G$5:$G$230&lt;&gt;"acoes")))*INDEX(Inputs!$K$5:$AJ$230,0,MATCH(T$2,Inputs!$K$4:$AJ$4,0)))+SUMPRODUCT((Inputs!$E$5:$E$230=$B33)*Inputs!$F$5:$F$230*(((Inputs!$G$5:$G$230="moeda")+(Inputs!$G$5:$G$230="acoes"))*Inputs!$B$1+((Inputs!$G$5:$G$230&lt;&gt;"moeda")*(Inputs!$G$5:$G$230&lt;&gt;"acoes")))*INDEX(Inputs!$K$5:$AJ$230,0,MATCH(T$2,Inputs!$K$4:$AJ$4,0)))))</f>
        <v>#N/A</v>
      </c>
      <c r="U33" s="6" t="e">
        <f>IF(ISNA(MATCH(U$2,Inputs!$K$4:$AJ$4,0)),NA(),IF(SUMPRODUCT((Inputs!$A$5:$A$230=$B33)*ISNUMBER(INDEX(Inputs!$K$5:$AJ$230,0,MATCH(U$2,Inputs!$K$4:$AJ$4,0))))+SUMPRODUCT((Inputs!$C$5:$C$230=$B33)*ISNUMBER(INDEX(Inputs!$K$5:$AJ$230,0,MATCH(U$2,Inputs!$K$4:$AJ$4,0))))+SUMPRODUCT((Inputs!$E$5:$E$230=$B33)*ISNUMBER(INDEX(Inputs!$K$5:$AJ$230,0,MATCH(U$2,Inputs!$K$4:$AJ$4,0))))=0,NA(),SUMPRODUCT((Inputs!$A$5:$A$230=$B33)*Inputs!$B$5:$B$230*(((Inputs!$G$5:$G$230="moeda")+(Inputs!$G$5:$G$230="acoes"))*Inputs!$B$1+((Inputs!$G$5:$G$230&lt;&gt;"moeda")*(Inputs!$G$5:$G$230&lt;&gt;"acoes")))*INDEX(Inputs!$K$5:$AJ$230,0,MATCH(U$2,Inputs!$K$4:$AJ$4,0)))+SUMPRODUCT((Inputs!$C$5:$C$230=$B33)*Inputs!$D$5:$D$230*(((Inputs!$G$5:$G$230="moeda")+(Inputs!$G$5:$G$230="acoes"))*Inputs!$B$1+((Inputs!$G$5:$G$230&lt;&gt;"moeda")*(Inputs!$G$5:$G$230&lt;&gt;"acoes")))*INDEX(Inputs!$K$5:$AJ$230,0,MATCH(U$2,Inputs!$K$4:$AJ$4,0)))+SUMPRODUCT((Inputs!$E$5:$E$230=$B33)*Inputs!$F$5:$F$230*(((Inputs!$G$5:$G$230="moeda")+(Inputs!$G$5:$G$230="acoes"))*Inputs!$B$1+((Inputs!$G$5:$G$230&lt;&gt;"moeda")*(Inputs!$G$5:$G$230&lt;&gt;"acoes")))*INDEX(Inputs!$K$5:$AJ$230,0,MATCH(U$2,Inputs!$K$4:$AJ$4,0)))))</f>
        <v>#N/A</v>
      </c>
      <c r="V33" s="6" t="e">
        <f>IF(ISNA(MATCH(V$2,Inputs!$K$4:$AJ$4,0)),NA(),IF(SUMPRODUCT((Inputs!$A$5:$A$230=$B33)*ISNUMBER(INDEX(Inputs!$K$5:$AJ$230,0,MATCH(V$2,Inputs!$K$4:$AJ$4,0))))+SUMPRODUCT((Inputs!$C$5:$C$230=$B33)*ISNUMBER(INDEX(Inputs!$K$5:$AJ$230,0,MATCH(V$2,Inputs!$K$4:$AJ$4,0))))+SUMPRODUCT((Inputs!$E$5:$E$230=$B33)*ISNUMBER(INDEX(Inputs!$K$5:$AJ$230,0,MATCH(V$2,Inputs!$K$4:$AJ$4,0))))=0,NA(),SUMPRODUCT((Inputs!$A$5:$A$230=$B33)*Inputs!$B$5:$B$230*(((Inputs!$G$5:$G$230="moeda")+(Inputs!$G$5:$G$230="acoes"))*Inputs!$B$1+((Inputs!$G$5:$G$230&lt;&gt;"moeda")*(Inputs!$G$5:$G$230&lt;&gt;"acoes")))*INDEX(Inputs!$K$5:$AJ$230,0,MATCH(V$2,Inputs!$K$4:$AJ$4,0)))+SUMPRODUCT((Inputs!$C$5:$C$230=$B33)*Inputs!$D$5:$D$230*(((Inputs!$G$5:$G$230="moeda")+(Inputs!$G$5:$G$230="acoes"))*Inputs!$B$1+((Inputs!$G$5:$G$230&lt;&gt;"moeda")*(Inputs!$G$5:$G$230&lt;&gt;"acoes")))*INDEX(Inputs!$K$5:$AJ$230,0,MATCH(V$2,Inputs!$K$4:$AJ$4,0)))+SUMPRODUCT((Inputs!$E$5:$E$230=$B33)*Inputs!$F$5:$F$230*(((Inputs!$G$5:$G$230="moeda")+(Inputs!$G$5:$G$230="acoes"))*Inputs!$B$1+((Inputs!$G$5:$G$230&lt;&gt;"moeda")*(Inputs!$G$5:$G$230&lt;&gt;"acoes")))*INDEX(Inputs!$K$5:$AJ$230,0,MATCH(V$2,Inputs!$K$4:$AJ$4,0)))))</f>
        <v>#N/A</v>
      </c>
      <c r="W33" s="3" t="e">
        <f>V33</f>
        <v>#N/A</v>
      </c>
      <c r="X33" s="6" t="e">
        <f>IF(ISNA(MATCH(X$2,Inputs!$K$4:$AJ$4,0)),NA(),IF(SUMPRODUCT((Inputs!$A$5:$A$230=$B33)*ISNUMBER(INDEX(Inputs!$K$5:$AJ$230,0,MATCH(X$2,Inputs!$K$4:$AJ$4,0))))+SUMPRODUCT((Inputs!$C$5:$C$230=$B33)*ISNUMBER(INDEX(Inputs!$K$5:$AJ$230,0,MATCH(X$2,Inputs!$K$4:$AJ$4,0))))+SUMPRODUCT((Inputs!$E$5:$E$230=$B33)*ISNUMBER(INDEX(Inputs!$K$5:$AJ$230,0,MATCH(X$2,Inputs!$K$4:$AJ$4,0))))=0,NA(),SUMPRODUCT((Inputs!$A$5:$A$230=$B33)*Inputs!$B$5:$B$230*(((Inputs!$G$5:$G$230="moeda")+(Inputs!$G$5:$G$230="acoes"))*Inputs!$B$1+((Inputs!$G$5:$G$230&lt;&gt;"moeda")*(Inputs!$G$5:$G$230&lt;&gt;"acoes")))*INDEX(Inputs!$K$5:$AJ$230,0,MATCH(X$2,Inputs!$K$4:$AJ$4,0)))+SUMPRODUCT((Inputs!$C$5:$C$230=$B33)*Inputs!$D$5:$D$230*(((Inputs!$G$5:$G$230="moeda")+(Inputs!$G$5:$G$230="acoes"))*Inputs!$B$1+((Inputs!$G$5:$G$230&lt;&gt;"moeda")*(Inputs!$G$5:$G$230&lt;&gt;"acoes")))*INDEX(Inputs!$K$5:$AJ$230,0,MATCH(X$2,Inputs!$K$4:$AJ$4,0)))+SUMPRODUCT((Inputs!$E$5:$E$230=$B33)*Inputs!$F$5:$F$230*(((Inputs!$G$5:$G$230="moeda")+(Inputs!$G$5:$G$230="acoes"))*Inputs!$B$1+((Inputs!$G$5:$G$230&lt;&gt;"moeda")*(Inputs!$G$5:$G$230&lt;&gt;"acoes")))*INDEX(Inputs!$K$5:$AJ$230,0,MATCH(X$2,Inputs!$K$4:$AJ$4,0)))))</f>
        <v>#N/A</v>
      </c>
      <c r="Y33" s="6" t="e">
        <f>IF(ISNA(MATCH(Y$2,Inputs!$K$4:$AJ$4,0)),NA(),IF(SUMPRODUCT((Inputs!$A$5:$A$230=$B33)*ISNUMBER(INDEX(Inputs!$K$5:$AJ$230,0,MATCH(Y$2,Inputs!$K$4:$AJ$4,0))))+SUMPRODUCT((Inputs!$C$5:$C$230=$B33)*ISNUMBER(INDEX(Inputs!$K$5:$AJ$230,0,MATCH(Y$2,Inputs!$K$4:$AJ$4,0))))+SUMPRODUCT((Inputs!$E$5:$E$230=$B33)*ISNUMBER(INDEX(Inputs!$K$5:$AJ$230,0,MATCH(Y$2,Inputs!$K$4:$AJ$4,0))))=0,NA(),SUMPRODUCT((Inputs!$A$5:$A$230=$B33)*Inputs!$B$5:$B$230*(((Inputs!$G$5:$G$230="moeda")+(Inputs!$G$5:$G$230="acoes"))*Inputs!$B$1+((Inputs!$G$5:$G$230&lt;&gt;"moeda")*(Inputs!$G$5:$G$230&lt;&gt;"acoes")))*INDEX(Inputs!$K$5:$AJ$230,0,MATCH(Y$2,Inputs!$K$4:$AJ$4,0)))+SUMPRODUCT((Inputs!$C$5:$C$230=$B33)*Inputs!$D$5:$D$230*(((Inputs!$G$5:$G$230="moeda")+(Inputs!$G$5:$G$230="acoes"))*Inputs!$B$1+((Inputs!$G$5:$G$230&lt;&gt;"moeda")*(Inputs!$G$5:$G$230&lt;&gt;"acoes")))*INDEX(Inputs!$K$5:$AJ$230,0,MATCH(Y$2,Inputs!$K$4:$AJ$4,0)))+SUMPRODUCT((Inputs!$E$5:$E$230=$B33)*Inputs!$F$5:$F$230*(((Inputs!$G$5:$G$230="moeda")+(Inputs!$G$5:$G$230="acoes"))*Inputs!$B$1+((Inputs!$G$5:$G$230&lt;&gt;"moeda")*(Inputs!$G$5:$G$230&lt;&gt;"acoes")))*INDEX(Inputs!$K$5:$AJ$230,0,MATCH(Y$2,Inputs!$K$4:$AJ$4,0)))))</f>
        <v>#N/A</v>
      </c>
      <c r="Z33" s="6" t="e">
        <f>IF(ISNA(MATCH(Z$2,Inputs!$K$4:$AJ$4,0)),NA(),IF(SUMPRODUCT((Inputs!$A$5:$A$230=$B33)*ISNUMBER(INDEX(Inputs!$K$5:$AJ$230,0,MATCH(Z$2,Inputs!$K$4:$AJ$4,0))))+SUMPRODUCT((Inputs!$C$5:$C$230=$B33)*ISNUMBER(INDEX(Inputs!$K$5:$AJ$230,0,MATCH(Z$2,Inputs!$K$4:$AJ$4,0))))+SUMPRODUCT((Inputs!$E$5:$E$230=$B33)*ISNUMBER(INDEX(Inputs!$K$5:$AJ$230,0,MATCH(Z$2,Inputs!$K$4:$AJ$4,0))))=0,NA(),SUMPRODUCT((Inputs!$A$5:$A$230=$B33)*Inputs!$B$5:$B$230*(((Inputs!$G$5:$G$230="moeda")+(Inputs!$G$5:$G$230="acoes"))*Inputs!$B$1+((Inputs!$G$5:$G$230&lt;&gt;"moeda")*(Inputs!$G$5:$G$230&lt;&gt;"acoes")))*INDEX(Inputs!$K$5:$AJ$230,0,MATCH(Z$2,Inputs!$K$4:$AJ$4,0)))+SUMPRODUCT((Inputs!$C$5:$C$230=$B33)*Inputs!$D$5:$D$230*(((Inputs!$G$5:$G$230="moeda")+(Inputs!$G$5:$G$230="acoes"))*Inputs!$B$1+((Inputs!$G$5:$G$230&lt;&gt;"moeda")*(Inputs!$G$5:$G$230&lt;&gt;"acoes")))*INDEX(Inputs!$K$5:$AJ$230,0,MATCH(Z$2,Inputs!$K$4:$AJ$4,0)))+SUMPRODUCT((Inputs!$E$5:$E$230=$B33)*Inputs!$F$5:$F$230*(((Inputs!$G$5:$G$230="moeda")+(Inputs!$G$5:$G$230="acoes"))*Inputs!$B$1+((Inputs!$G$5:$G$230&lt;&gt;"moeda")*(Inputs!$G$5:$G$230&lt;&gt;"acoes")))*INDEX(Inputs!$K$5:$AJ$230,0,MATCH(Z$2,Inputs!$K$4:$AJ$4,0)))))</f>
        <v>#N/A</v>
      </c>
      <c r="AA33" s="6" t="e">
        <f>IF(ISNA(MATCH(AA$2,Inputs!$K$4:$AJ$4,0)),NA(),IF(SUMPRODUCT((Inputs!$A$5:$A$230=$B33)*ISNUMBER(INDEX(Inputs!$K$5:$AJ$230,0,MATCH(AA$2,Inputs!$K$4:$AJ$4,0))))+SUMPRODUCT((Inputs!$C$5:$C$230=$B33)*ISNUMBER(INDEX(Inputs!$K$5:$AJ$230,0,MATCH(AA$2,Inputs!$K$4:$AJ$4,0))))+SUMPRODUCT((Inputs!$E$5:$E$230=$B33)*ISNUMBER(INDEX(Inputs!$K$5:$AJ$230,0,MATCH(AA$2,Inputs!$K$4:$AJ$4,0))))=0,NA(),SUMPRODUCT((Inputs!$A$5:$A$230=$B33)*Inputs!$B$5:$B$230*(((Inputs!$G$5:$G$230="moeda")+(Inputs!$G$5:$G$230="acoes"))*Inputs!$B$1+((Inputs!$G$5:$G$230&lt;&gt;"moeda")*(Inputs!$G$5:$G$230&lt;&gt;"acoes")))*INDEX(Inputs!$K$5:$AJ$230,0,MATCH(AA$2,Inputs!$K$4:$AJ$4,0)))+SUMPRODUCT((Inputs!$C$5:$C$230=$B33)*Inputs!$D$5:$D$230*(((Inputs!$G$5:$G$230="moeda")+(Inputs!$G$5:$G$230="acoes"))*Inputs!$B$1+((Inputs!$G$5:$G$230&lt;&gt;"moeda")*(Inputs!$G$5:$G$230&lt;&gt;"acoes")))*INDEX(Inputs!$K$5:$AJ$230,0,MATCH(AA$2,Inputs!$K$4:$AJ$4,0)))+SUMPRODUCT((Inputs!$E$5:$E$230=$B33)*Inputs!$F$5:$F$230*(((Inputs!$G$5:$G$230="moeda")+(Inputs!$G$5:$G$230="acoes"))*Inputs!$B$1+((Inputs!$G$5:$G$230&lt;&gt;"moeda")*(Inputs!$G$5:$G$230&lt;&gt;"acoes")))*INDEX(Inputs!$K$5:$AJ$230,0,MATCH(AA$2,Inputs!$K$4:$AJ$4,0)))))</f>
        <v>#N/A</v>
      </c>
      <c r="AB33" s="3" t="e">
        <f>AA33</f>
        <v>#N/A</v>
      </c>
      <c r="AC33" s="6" t="e">
        <f>IF(ISNA(MATCH(AC$2,Inputs!$K$4:$AJ$4,0)),NA(),IF(SUMPRODUCT((Inputs!$A$5:$A$230=$B33)*ISNUMBER(INDEX(Inputs!$K$5:$AJ$230,0,MATCH(AC$2,Inputs!$K$4:$AJ$4,0))))+SUMPRODUCT((Inputs!$C$5:$C$230=$B33)*ISNUMBER(INDEX(Inputs!$K$5:$AJ$230,0,MATCH(AC$2,Inputs!$K$4:$AJ$4,0))))+SUMPRODUCT((Inputs!$E$5:$E$230=$B33)*ISNUMBER(INDEX(Inputs!$K$5:$AJ$230,0,MATCH(AC$2,Inputs!$K$4:$AJ$4,0))))=0,NA(),SUMPRODUCT((Inputs!$A$5:$A$230=$B33)*Inputs!$B$5:$B$230*(((Inputs!$G$5:$G$230="moeda")+(Inputs!$G$5:$G$230="acoes"))*Inputs!$B$1+((Inputs!$G$5:$G$230&lt;&gt;"moeda")*(Inputs!$G$5:$G$230&lt;&gt;"acoes")))*INDEX(Inputs!$K$5:$AJ$230,0,MATCH(AC$2,Inputs!$K$4:$AJ$4,0)))+SUMPRODUCT((Inputs!$C$5:$C$230=$B33)*Inputs!$D$5:$D$230*(((Inputs!$G$5:$G$230="moeda")+(Inputs!$G$5:$G$230="acoes"))*Inputs!$B$1+((Inputs!$G$5:$G$230&lt;&gt;"moeda")*(Inputs!$G$5:$G$230&lt;&gt;"acoes")))*INDEX(Inputs!$K$5:$AJ$230,0,MATCH(AC$2,Inputs!$K$4:$AJ$4,0)))+SUMPRODUCT((Inputs!$E$5:$E$230=$B33)*Inputs!$F$5:$F$230*(((Inputs!$G$5:$G$230="moeda")+(Inputs!$G$5:$G$230="acoes"))*Inputs!$B$1+((Inputs!$G$5:$G$230&lt;&gt;"moeda")*(Inputs!$G$5:$G$230&lt;&gt;"acoes")))*INDEX(Inputs!$K$5:$AJ$230,0,MATCH(AC$2,Inputs!$K$4:$AJ$4,0)))))</f>
        <v>#N/A</v>
      </c>
      <c r="AD33" s="6" t="e">
        <f>IF(ISNA(MATCH(AD$2,Inputs!$K$4:$AJ$4,0)),NA(),IF(SUMPRODUCT((Inputs!$A$5:$A$230=$B33)*ISNUMBER(INDEX(Inputs!$K$5:$AJ$230,0,MATCH(AD$2,Inputs!$K$4:$AJ$4,0))))+SUMPRODUCT((Inputs!$C$5:$C$230=$B33)*ISNUMBER(INDEX(Inputs!$K$5:$AJ$230,0,MATCH(AD$2,Inputs!$K$4:$AJ$4,0))))+SUMPRODUCT((Inputs!$E$5:$E$230=$B33)*ISNUMBER(INDEX(Inputs!$K$5:$AJ$230,0,MATCH(AD$2,Inputs!$K$4:$AJ$4,0))))=0,NA(),SUMPRODUCT((Inputs!$A$5:$A$230=$B33)*Inputs!$B$5:$B$230*(((Inputs!$G$5:$G$230="moeda")+(Inputs!$G$5:$G$230="acoes"))*Inputs!$B$1+((Inputs!$G$5:$G$230&lt;&gt;"moeda")*(Inputs!$G$5:$G$230&lt;&gt;"acoes")))*INDEX(Inputs!$K$5:$AJ$230,0,MATCH(AD$2,Inputs!$K$4:$AJ$4,0)))+SUMPRODUCT((Inputs!$C$5:$C$230=$B33)*Inputs!$D$5:$D$230*(((Inputs!$G$5:$G$230="moeda")+(Inputs!$G$5:$G$230="acoes"))*Inputs!$B$1+((Inputs!$G$5:$G$230&lt;&gt;"moeda")*(Inputs!$G$5:$G$230&lt;&gt;"acoes")))*INDEX(Inputs!$K$5:$AJ$230,0,MATCH(AD$2,Inputs!$K$4:$AJ$4,0)))+SUMPRODUCT((Inputs!$E$5:$E$230=$B33)*Inputs!$F$5:$F$230*(((Inputs!$G$5:$G$230="moeda")+(Inputs!$G$5:$G$230="acoes"))*Inputs!$B$1+((Inputs!$G$5:$G$230&lt;&gt;"moeda")*(Inputs!$G$5:$G$230&lt;&gt;"acoes")))*INDEX(Inputs!$K$5:$AJ$230,0,MATCH(AD$2,Inputs!$K$4:$AJ$4,0)))))</f>
        <v>#N/A</v>
      </c>
      <c r="AE33" s="6" t="e">
        <f>IF(ISNA(MATCH(AE$2,Inputs!$K$4:$AJ$4,0)),NA(),IF(SUMPRODUCT((Inputs!$A$5:$A$230=$B33)*ISNUMBER(INDEX(Inputs!$K$5:$AJ$230,0,MATCH(AE$2,Inputs!$K$4:$AJ$4,0))))+SUMPRODUCT((Inputs!$C$5:$C$230=$B33)*ISNUMBER(INDEX(Inputs!$K$5:$AJ$230,0,MATCH(AE$2,Inputs!$K$4:$AJ$4,0))))+SUMPRODUCT((Inputs!$E$5:$E$230=$B33)*ISNUMBER(INDEX(Inputs!$K$5:$AJ$230,0,MATCH(AE$2,Inputs!$K$4:$AJ$4,0))))=0,NA(),SUMPRODUCT((Inputs!$A$5:$A$230=$B33)*Inputs!$B$5:$B$230*(((Inputs!$G$5:$G$230="moeda")+(Inputs!$G$5:$G$230="acoes"))*Inputs!$B$1+((Inputs!$G$5:$G$230&lt;&gt;"moeda")*(Inputs!$G$5:$G$230&lt;&gt;"acoes")))*INDEX(Inputs!$K$5:$AJ$230,0,MATCH(AE$2,Inputs!$K$4:$AJ$4,0)))+SUMPRODUCT((Inputs!$C$5:$C$230=$B33)*Inputs!$D$5:$D$230*(((Inputs!$G$5:$G$230="moeda")+(Inputs!$G$5:$G$230="acoes"))*Inputs!$B$1+((Inputs!$G$5:$G$230&lt;&gt;"moeda")*(Inputs!$G$5:$G$230&lt;&gt;"acoes")))*INDEX(Inputs!$K$5:$AJ$230,0,MATCH(AE$2,Inputs!$K$4:$AJ$4,0)))+SUMPRODUCT((Inputs!$E$5:$E$230=$B33)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33" s="6" t="e">
        <f>IF(ISNA(MATCH(AF$2,Inputs!$K$4:$AJ$4,0)),NA(),IF(SUMPRODUCT((Inputs!$A$5:$A$230=$B33)*ISNUMBER(INDEX(Inputs!$K$5:$AJ$230,0,MATCH(AF$2,Inputs!$K$4:$AJ$4,0))))+SUMPRODUCT((Inputs!$C$5:$C$230=$B33)*ISNUMBER(INDEX(Inputs!$K$5:$AJ$230,0,MATCH(AF$2,Inputs!$K$4:$AJ$4,0))))+SUMPRODUCT((Inputs!$E$5:$E$230=$B33)*ISNUMBER(INDEX(Inputs!$K$5:$AJ$230,0,MATCH(AF$2,Inputs!$K$4:$AJ$4,0))))=0,NA(),SUMPRODUCT((Inputs!$A$5:$A$230=$B33)*Inputs!$B$5:$B$230*(((Inputs!$G$5:$G$230="moeda")+(Inputs!$G$5:$G$230="acoes"))*Inputs!$B$1+((Inputs!$G$5:$G$230&lt;&gt;"moeda")*(Inputs!$G$5:$G$230&lt;&gt;"acoes")))*INDEX(Inputs!$K$5:$AJ$230,0,MATCH(AF$2,Inputs!$K$4:$AJ$4,0)))+SUMPRODUCT((Inputs!$C$5:$C$230=$B33)*Inputs!$D$5:$D$230*(((Inputs!$G$5:$G$230="moeda")+(Inputs!$G$5:$G$230="acoes"))*Inputs!$B$1+((Inputs!$G$5:$G$230&lt;&gt;"moeda")*(Inputs!$G$5:$G$230&lt;&gt;"acoes")))*INDEX(Inputs!$K$5:$AJ$230,0,MATCH(AF$2,Inputs!$K$4:$AJ$4,0)))+SUMPRODUCT((Inputs!$E$5:$E$230=$B33)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33" s="3" t="e">
        <f>AF33</f>
        <v>#N/A</v>
      </c>
      <c r="AH33" s="6" t="e">
        <f>IF(ISNA(MATCH(AH$2,Inputs!$K$4:$AJ$4,0)),NA(),IF(SUMPRODUCT((Inputs!$A$5:$A$230=$B33)*ISNUMBER(INDEX(Inputs!$K$5:$AJ$230,0,MATCH(AH$2,Inputs!$K$4:$AJ$4,0))))+SUMPRODUCT((Inputs!$C$5:$C$230=$B33)*ISNUMBER(INDEX(Inputs!$K$5:$AJ$230,0,MATCH(AH$2,Inputs!$K$4:$AJ$4,0))))+SUMPRODUCT((Inputs!$E$5:$E$230=$B33)*ISNUMBER(INDEX(Inputs!$K$5:$AJ$230,0,MATCH(AH$2,Inputs!$K$4:$AJ$4,0))))=0,NA(),SUMPRODUCT((Inputs!$A$5:$A$230=$B33)*Inputs!$B$5:$B$230*(((Inputs!$G$5:$G$230="moeda")+(Inputs!$G$5:$G$230="acoes"))*Inputs!$B$1+((Inputs!$G$5:$G$230&lt;&gt;"moeda")*(Inputs!$G$5:$G$230&lt;&gt;"acoes")))*INDEX(Inputs!$K$5:$AJ$230,0,MATCH(AH$2,Inputs!$K$4:$AJ$4,0)))+SUMPRODUCT((Inputs!$C$5:$C$230=$B33)*Inputs!$D$5:$D$230*(((Inputs!$G$5:$G$230="moeda")+(Inputs!$G$5:$G$230="acoes"))*Inputs!$B$1+((Inputs!$G$5:$G$230&lt;&gt;"moeda")*(Inputs!$G$5:$G$230&lt;&gt;"acoes")))*INDEX(Inputs!$K$5:$AJ$230,0,MATCH(AH$2,Inputs!$K$4:$AJ$4,0)))+SUMPRODUCT((Inputs!$E$5:$E$230=$B33)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33" s="6" t="e">
        <f>IF(ISNA(MATCH(AI$2,Inputs!$K$4:$AJ$4,0)),NA(),IF(SUMPRODUCT((Inputs!$A$5:$A$230=$B33)*ISNUMBER(INDEX(Inputs!$K$5:$AJ$230,0,MATCH(AI$2,Inputs!$K$4:$AJ$4,0))))+SUMPRODUCT((Inputs!$C$5:$C$230=$B33)*ISNUMBER(INDEX(Inputs!$K$5:$AJ$230,0,MATCH(AI$2,Inputs!$K$4:$AJ$4,0))))+SUMPRODUCT((Inputs!$E$5:$E$230=$B33)*ISNUMBER(INDEX(Inputs!$K$5:$AJ$230,0,MATCH(AI$2,Inputs!$K$4:$AJ$4,0))))=0,NA(),SUMPRODUCT((Inputs!$A$5:$A$230=$B33)*Inputs!$B$5:$B$230*(((Inputs!$G$5:$G$230="moeda")+(Inputs!$G$5:$G$230="acoes"))*Inputs!$B$1+((Inputs!$G$5:$G$230&lt;&gt;"moeda")*(Inputs!$G$5:$G$230&lt;&gt;"acoes")))*INDEX(Inputs!$K$5:$AJ$230,0,MATCH(AI$2,Inputs!$K$4:$AJ$4,0)))+SUMPRODUCT((Inputs!$C$5:$C$230=$B33)*Inputs!$D$5:$D$230*(((Inputs!$G$5:$G$230="moeda")+(Inputs!$G$5:$G$230="acoes"))*Inputs!$B$1+((Inputs!$G$5:$G$230&lt;&gt;"moeda")*(Inputs!$G$5:$G$230&lt;&gt;"acoes")))*INDEX(Inputs!$K$5:$AJ$230,0,MATCH(AI$2,Inputs!$K$4:$AJ$4,0)))+SUMPRODUCT((Inputs!$E$5:$E$230=$B33)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33" s="6" t="e">
        <f>IF(ISNA(MATCH(AJ$2,Inputs!$K$4:$AJ$4,0)),NA(),IF(SUMPRODUCT((Inputs!$A$5:$A$230=$B33)*ISNUMBER(INDEX(Inputs!$K$5:$AJ$230,0,MATCH(AJ$2,Inputs!$K$4:$AJ$4,0))))+SUMPRODUCT((Inputs!$C$5:$C$230=$B33)*ISNUMBER(INDEX(Inputs!$K$5:$AJ$230,0,MATCH(AJ$2,Inputs!$K$4:$AJ$4,0))))+SUMPRODUCT((Inputs!$E$5:$E$230=$B33)*ISNUMBER(INDEX(Inputs!$K$5:$AJ$230,0,MATCH(AJ$2,Inputs!$K$4:$AJ$4,0))))=0,NA(),SUMPRODUCT((Inputs!$A$5:$A$230=$B33)*Inputs!$B$5:$B$230*(((Inputs!$G$5:$G$230="moeda")+(Inputs!$G$5:$G$230="acoes"))*Inputs!$B$1+((Inputs!$G$5:$G$230&lt;&gt;"moeda")*(Inputs!$G$5:$G$230&lt;&gt;"acoes")))*INDEX(Inputs!$K$5:$AJ$230,0,MATCH(AJ$2,Inputs!$K$4:$AJ$4,0)))+SUMPRODUCT((Inputs!$C$5:$C$230=$B33)*Inputs!$D$5:$D$230*(((Inputs!$G$5:$G$230="moeda")+(Inputs!$G$5:$G$230="acoes"))*Inputs!$B$1+((Inputs!$G$5:$G$230&lt;&gt;"moeda")*(Inputs!$G$5:$G$230&lt;&gt;"acoes")))*INDEX(Inputs!$K$5:$AJ$230,0,MATCH(AJ$2,Inputs!$K$4:$AJ$4,0)))+SUMPRODUCT((Inputs!$E$5:$E$230=$B33)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33" s="6" t="e">
        <f>IF(ISNA(MATCH(AK$2,Inputs!$K$4:$AJ$4,0)),NA(),IF(SUMPRODUCT((Inputs!$A$5:$A$230=$B33)*ISNUMBER(INDEX(Inputs!$K$5:$AJ$230,0,MATCH(AK$2,Inputs!$K$4:$AJ$4,0))))+SUMPRODUCT((Inputs!$C$5:$C$230=$B33)*ISNUMBER(INDEX(Inputs!$K$5:$AJ$230,0,MATCH(AK$2,Inputs!$K$4:$AJ$4,0))))+SUMPRODUCT((Inputs!$E$5:$E$230=$B33)*ISNUMBER(INDEX(Inputs!$K$5:$AJ$230,0,MATCH(AK$2,Inputs!$K$4:$AJ$4,0))))=0,NA(),SUMPRODUCT((Inputs!$A$5:$A$230=$B33)*Inputs!$B$5:$B$230*(((Inputs!$G$5:$G$230="moeda")+(Inputs!$G$5:$G$230="acoes"))*Inputs!$B$1+((Inputs!$G$5:$G$230&lt;&gt;"moeda")*(Inputs!$G$5:$G$230&lt;&gt;"acoes")))*INDEX(Inputs!$K$5:$AJ$230,0,MATCH(AK$2,Inputs!$K$4:$AJ$4,0)))+SUMPRODUCT((Inputs!$C$5:$C$230=$B33)*Inputs!$D$5:$D$230*(((Inputs!$G$5:$G$230="moeda")+(Inputs!$G$5:$G$230="acoes"))*Inputs!$B$1+((Inputs!$G$5:$G$230&lt;&gt;"moeda")*(Inputs!$G$5:$G$230&lt;&gt;"acoes")))*INDEX(Inputs!$K$5:$AJ$230,0,MATCH(AK$2,Inputs!$K$4:$AJ$4,0)))+SUMPRODUCT((Inputs!$E$5:$E$230=$B33)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$230=$B34)*ISNUMBER(INDEX(Inputs!$K$5:$AJ$230,0,MATCH(D$2,Inputs!$K$4:$AJ$4,0))))+SUMPRODUCT((Inputs!$C$5:$C$230=$B34)*ISNUMBER(INDEX(Inputs!$K$5:$AJ$230,0,MATCH(D$2,Inputs!$K$4:$AJ$4,0))))+SUMPRODUCT((Inputs!$E$5:$E$230=$B34)*ISNUMBER(INDEX(Inputs!$K$5:$AJ$230,0,MATCH(D$2,Inputs!$K$4:$AJ$4,0))))=0,NA(),SUMPRODUCT((Inputs!$A$5:$A$230=$B34)*Inputs!$B$5:$B$230*(((Inputs!$G$5:$G$230="moeda")+(Inputs!$G$5:$G$230="acoes"))*Inputs!$B$1+((Inputs!$G$5:$G$230&lt;&gt;"moeda")*(Inputs!$G$5:$G$230&lt;&gt;"acoes")))*INDEX(Inputs!$K$5:$AJ$230,0,MATCH(D$2,Inputs!$K$4:$AJ$4,0)))+SUMPRODUCT((Inputs!$C$5:$C$230=$B34)*Inputs!$D$5:$D$230*(((Inputs!$G$5:$G$230="moeda")+(Inputs!$G$5:$G$230="acoes"))*Inputs!$B$1+((Inputs!$G$5:$G$230&lt;&gt;"moeda")*(Inputs!$G$5:$G$230&lt;&gt;"acoes")))*INDEX(Inputs!$K$5:$AJ$230,0,MATCH(D$2,Inputs!$K$4:$AJ$4,0)))+SUMPRODUCT((Inputs!$E$5:$E$230=$B34)*Inputs!$F$5:$F$230*(((Inputs!$G$5:$G$230="moeda")+(Inputs!$G$5:$G$230="acoes"))*Inputs!$B$1+((Inputs!$G$5:$G$230&lt;&gt;"moeda")*(Inputs!$G$5:$G$230&lt;&gt;"acoes")))*INDEX(Inputs!$K$5:$AJ$230,0,MATCH(D$2,Inputs!$K$4:$AJ$4,0)))))</f>
        <v>9.107</v>
      </c>
      <c r="E34" s="6">
        <f>IF(ISNA(MATCH(E$2,Inputs!$K$4:$AJ$4,0)),NA(),IF(SUMPRODUCT((Inputs!$A$5:$A$230=$B34)*ISNUMBER(INDEX(Inputs!$K$5:$AJ$230,0,MATCH(E$2,Inputs!$K$4:$AJ$4,0))))+SUMPRODUCT((Inputs!$C$5:$C$230=$B34)*ISNUMBER(INDEX(Inputs!$K$5:$AJ$230,0,MATCH(E$2,Inputs!$K$4:$AJ$4,0))))+SUMPRODUCT((Inputs!$E$5:$E$230=$B34)*ISNUMBER(INDEX(Inputs!$K$5:$AJ$230,0,MATCH(E$2,Inputs!$K$4:$AJ$4,0))))=0,NA(),SUMPRODUCT((Inputs!$A$5:$A$230=$B34)*Inputs!$B$5:$B$230*(((Inputs!$G$5:$G$230="moeda")+(Inputs!$G$5:$G$230="acoes"))*Inputs!$B$1+((Inputs!$G$5:$G$230&lt;&gt;"moeda")*(Inputs!$G$5:$G$230&lt;&gt;"acoes")))*INDEX(Inputs!$K$5:$AJ$230,0,MATCH(E$2,Inputs!$K$4:$AJ$4,0)))+SUMPRODUCT((Inputs!$C$5:$C$230=$B34)*Inputs!$D$5:$D$230*(((Inputs!$G$5:$G$230="moeda")+(Inputs!$G$5:$G$230="acoes"))*Inputs!$B$1+((Inputs!$G$5:$G$230&lt;&gt;"moeda")*(Inputs!$G$5:$G$230&lt;&gt;"acoes")))*INDEX(Inputs!$K$5:$AJ$230,0,MATCH(E$2,Inputs!$K$4:$AJ$4,0)))+SUMPRODUCT((Inputs!$E$5:$E$230=$B34)*Inputs!$F$5:$F$230*(((Inputs!$G$5:$G$230="moeda")+(Inputs!$G$5:$G$230="acoes"))*Inputs!$B$1+((Inputs!$G$5:$G$230&lt;&gt;"moeda")*(Inputs!$G$5:$G$230&lt;&gt;"acoes")))*INDEX(Inputs!$K$5:$AJ$230,0,MATCH(E$2,Inputs!$K$4:$AJ$4,0)))))</f>
        <v>11.232</v>
      </c>
      <c r="F34" s="6">
        <f>IF(ISNA(MATCH(F$2,Inputs!$K$4:$AJ$4,0)),NA(),IF(SUMPRODUCT((Inputs!$A$5:$A$230=$B34)*ISNUMBER(INDEX(Inputs!$K$5:$AJ$230,0,MATCH(F$2,Inputs!$K$4:$AJ$4,0))))+SUMPRODUCT((Inputs!$C$5:$C$230=$B34)*ISNUMBER(INDEX(Inputs!$K$5:$AJ$230,0,MATCH(F$2,Inputs!$K$4:$AJ$4,0))))+SUMPRODUCT((Inputs!$E$5:$E$230=$B34)*ISNUMBER(INDEX(Inputs!$K$5:$AJ$230,0,MATCH(F$2,Inputs!$K$4:$AJ$4,0))))=0,NA(),SUMPRODUCT((Inputs!$A$5:$A$230=$B34)*Inputs!$B$5:$B$230*(((Inputs!$G$5:$G$230="moeda")+(Inputs!$G$5:$G$230="acoes"))*Inputs!$B$1+((Inputs!$G$5:$G$230&lt;&gt;"moeda")*(Inputs!$G$5:$G$230&lt;&gt;"acoes")))*INDEX(Inputs!$K$5:$AJ$230,0,MATCH(F$2,Inputs!$K$4:$AJ$4,0)))+SUMPRODUCT((Inputs!$C$5:$C$230=$B34)*Inputs!$D$5:$D$230*(((Inputs!$G$5:$G$230="moeda")+(Inputs!$G$5:$G$230="acoes"))*Inputs!$B$1+((Inputs!$G$5:$G$230&lt;&gt;"moeda")*(Inputs!$G$5:$G$230&lt;&gt;"acoes")))*INDEX(Inputs!$K$5:$AJ$230,0,MATCH(F$2,Inputs!$K$4:$AJ$4,0)))+SUMPRODUCT((Inputs!$E$5:$E$230=$B34)*Inputs!$F$5:$F$230*(((Inputs!$G$5:$G$230="moeda")+(Inputs!$G$5:$G$230="acoes"))*Inputs!$B$1+((Inputs!$G$5:$G$230&lt;&gt;"moeda")*(Inputs!$G$5:$G$230&lt;&gt;"acoes")))*INDEX(Inputs!$K$5:$AJ$230,0,MATCH(F$2,Inputs!$K$4:$AJ$4,0)))))</f>
        <v>9.893</v>
      </c>
      <c r="G34" s="6">
        <f>IF(ISNA(MATCH(G$2,Inputs!$K$4:$AJ$4,0)),NA(),IF(SUMPRODUCT((Inputs!$A$5:$A$230=$B34)*ISNUMBER(INDEX(Inputs!$K$5:$AJ$230,0,MATCH(G$2,Inputs!$K$4:$AJ$4,0))))+SUMPRODUCT((Inputs!$C$5:$C$230=$B34)*ISNUMBER(INDEX(Inputs!$K$5:$AJ$230,0,MATCH(G$2,Inputs!$K$4:$AJ$4,0))))+SUMPRODUCT((Inputs!$E$5:$E$230=$B34)*ISNUMBER(INDEX(Inputs!$K$5:$AJ$230,0,MATCH(G$2,Inputs!$K$4:$AJ$4,0))))=0,NA(),SUMPRODUCT((Inputs!$A$5:$A$230=$B34)*Inputs!$B$5:$B$230*(((Inputs!$G$5:$G$230="moeda")+(Inputs!$G$5:$G$230="acoes"))*Inputs!$B$1+((Inputs!$G$5:$G$230&lt;&gt;"moeda")*(Inputs!$G$5:$G$230&lt;&gt;"acoes")))*INDEX(Inputs!$K$5:$AJ$230,0,MATCH(G$2,Inputs!$K$4:$AJ$4,0)))+SUMPRODUCT((Inputs!$C$5:$C$230=$B34)*Inputs!$D$5:$D$230*(((Inputs!$G$5:$G$230="moeda")+(Inputs!$G$5:$G$230="acoes"))*Inputs!$B$1+((Inputs!$G$5:$G$230&lt;&gt;"moeda")*(Inputs!$G$5:$G$230&lt;&gt;"acoes")))*INDEX(Inputs!$K$5:$AJ$230,0,MATCH(G$2,Inputs!$K$4:$AJ$4,0)))+SUMPRODUCT((Inputs!$E$5:$E$230=$B34)*Inputs!$F$5:$F$230*(((Inputs!$G$5:$G$230="moeda")+(Inputs!$G$5:$G$230="acoes"))*Inputs!$B$1+((Inputs!$G$5:$G$230&lt;&gt;"moeda")*(Inputs!$G$5:$G$230&lt;&gt;"acoes")))*INDEX(Inputs!$K$5:$AJ$230,0,MATCH(G$2,Inputs!$K$4:$AJ$4,0)))))</f>
        <v>9.706</v>
      </c>
      <c r="H34" s="3">
        <f>G34</f>
        <v>9.706</v>
      </c>
      <c r="I34" s="6">
        <f>IF(ISNA(MATCH(I$2,Inputs!$K$4:$AJ$4,0)),NA(),IF(SUMPRODUCT((Inputs!$A$5:$A$230=$B34)*ISNUMBER(INDEX(Inputs!$K$5:$AJ$230,0,MATCH(I$2,Inputs!$K$4:$AJ$4,0))))+SUMPRODUCT((Inputs!$C$5:$C$230=$B34)*ISNUMBER(INDEX(Inputs!$K$5:$AJ$230,0,MATCH(I$2,Inputs!$K$4:$AJ$4,0))))+SUMPRODUCT((Inputs!$E$5:$E$230=$B34)*ISNUMBER(INDEX(Inputs!$K$5:$AJ$230,0,MATCH(I$2,Inputs!$K$4:$AJ$4,0))))=0,NA(),SUMPRODUCT((Inputs!$A$5:$A$230=$B34)*Inputs!$B$5:$B$230*(((Inputs!$G$5:$G$230="moeda")+(Inputs!$G$5:$G$230="acoes"))*Inputs!$B$1+((Inputs!$G$5:$G$230&lt;&gt;"moeda")*(Inputs!$G$5:$G$230&lt;&gt;"acoes")))*INDEX(Inputs!$K$5:$AJ$230,0,MATCH(I$2,Inputs!$K$4:$AJ$4,0)))+SUMPRODUCT((Inputs!$C$5:$C$230=$B34)*Inputs!$D$5:$D$230*(((Inputs!$G$5:$G$230="moeda")+(Inputs!$G$5:$G$230="acoes"))*Inputs!$B$1+((Inputs!$G$5:$G$230&lt;&gt;"moeda")*(Inputs!$G$5:$G$230&lt;&gt;"acoes")))*INDEX(Inputs!$K$5:$AJ$230,0,MATCH(I$2,Inputs!$K$4:$AJ$4,0)))+SUMPRODUCT((Inputs!$E$5:$E$230=$B34)*Inputs!$F$5:$F$230*(((Inputs!$G$5:$G$230="moeda")+(Inputs!$G$5:$G$230="acoes"))*Inputs!$B$1+((Inputs!$G$5:$G$230&lt;&gt;"moeda")*(Inputs!$G$5:$G$230&lt;&gt;"acoes")))*INDEX(Inputs!$K$5:$AJ$230,0,MATCH(I$2,Inputs!$K$4:$AJ$4,0)))))</f>
        <v>10.058</v>
      </c>
      <c r="J34" s="6">
        <f>IF(ISNA(MATCH(J$2,Inputs!$K$4:$AJ$4,0)),NA(),IF(SUMPRODUCT((Inputs!$A$5:$A$230=$B34)*ISNUMBER(INDEX(Inputs!$K$5:$AJ$230,0,MATCH(J$2,Inputs!$K$4:$AJ$4,0))))+SUMPRODUCT((Inputs!$C$5:$C$230=$B34)*ISNUMBER(INDEX(Inputs!$K$5:$AJ$230,0,MATCH(J$2,Inputs!$K$4:$AJ$4,0))))+SUMPRODUCT((Inputs!$E$5:$E$230=$B34)*ISNUMBER(INDEX(Inputs!$K$5:$AJ$230,0,MATCH(J$2,Inputs!$K$4:$AJ$4,0))))=0,NA(),SUMPRODUCT((Inputs!$A$5:$A$230=$B34)*Inputs!$B$5:$B$230*(((Inputs!$G$5:$G$230="moeda")+(Inputs!$G$5:$G$230="acoes"))*Inputs!$B$1+((Inputs!$G$5:$G$230&lt;&gt;"moeda")*(Inputs!$G$5:$G$230&lt;&gt;"acoes")))*INDEX(Inputs!$K$5:$AJ$230,0,MATCH(J$2,Inputs!$K$4:$AJ$4,0)))+SUMPRODUCT((Inputs!$C$5:$C$230=$B34)*Inputs!$D$5:$D$230*(((Inputs!$G$5:$G$230="moeda")+(Inputs!$G$5:$G$230="acoes"))*Inputs!$B$1+((Inputs!$G$5:$G$230&lt;&gt;"moeda")*(Inputs!$G$5:$G$230&lt;&gt;"acoes")))*INDEX(Inputs!$K$5:$AJ$230,0,MATCH(J$2,Inputs!$K$4:$AJ$4,0)))+SUMPRODUCT((Inputs!$E$5:$E$230=$B34)*Inputs!$F$5:$F$230*(((Inputs!$G$5:$G$230="moeda")+(Inputs!$G$5:$G$230="acoes"))*Inputs!$B$1+((Inputs!$G$5:$G$230&lt;&gt;"moeda")*(Inputs!$G$5:$G$230&lt;&gt;"acoes")))*INDEX(Inputs!$K$5:$AJ$230,0,MATCH(J$2,Inputs!$K$4:$AJ$4,0)))))</f>
        <v>8.535</v>
      </c>
      <c r="K34" s="6">
        <f>IF(ISNA(MATCH(K$2,Inputs!$K$4:$AJ$4,0)),NA(),IF(SUMPRODUCT((Inputs!$A$5:$A$230=$B34)*ISNUMBER(INDEX(Inputs!$K$5:$AJ$230,0,MATCH(K$2,Inputs!$K$4:$AJ$4,0))))+SUMPRODUCT((Inputs!$C$5:$C$230=$B34)*ISNUMBER(INDEX(Inputs!$K$5:$AJ$230,0,MATCH(K$2,Inputs!$K$4:$AJ$4,0))))+SUMPRODUCT((Inputs!$E$5:$E$230=$B34)*ISNUMBER(INDEX(Inputs!$K$5:$AJ$230,0,MATCH(K$2,Inputs!$K$4:$AJ$4,0))))=0,NA(),SUMPRODUCT((Inputs!$A$5:$A$230=$B34)*Inputs!$B$5:$B$230*(((Inputs!$G$5:$G$230="moeda")+(Inputs!$G$5:$G$230="acoes"))*Inputs!$B$1+((Inputs!$G$5:$G$230&lt;&gt;"moeda")*(Inputs!$G$5:$G$230&lt;&gt;"acoes")))*INDEX(Inputs!$K$5:$AJ$230,0,MATCH(K$2,Inputs!$K$4:$AJ$4,0)))+SUMPRODUCT((Inputs!$C$5:$C$230=$B34)*Inputs!$D$5:$D$230*(((Inputs!$G$5:$G$230="moeda")+(Inputs!$G$5:$G$230="acoes"))*Inputs!$B$1+((Inputs!$G$5:$G$230&lt;&gt;"moeda")*(Inputs!$G$5:$G$230&lt;&gt;"acoes")))*INDEX(Inputs!$K$5:$AJ$230,0,MATCH(K$2,Inputs!$K$4:$AJ$4,0)))+SUMPRODUCT((Inputs!$E$5:$E$230=$B34)*Inputs!$F$5:$F$230*(((Inputs!$G$5:$G$230="moeda")+(Inputs!$G$5:$G$230="acoes"))*Inputs!$B$1+((Inputs!$G$5:$G$230&lt;&gt;"moeda")*(Inputs!$G$5:$G$230&lt;&gt;"acoes")))*INDEX(Inputs!$K$5:$AJ$230,0,MATCH(K$2,Inputs!$K$4:$AJ$4,0)))))</f>
        <v>8.529</v>
      </c>
      <c r="L34" s="6">
        <f>IF(ISNA(MATCH(L$2,Inputs!$K$4:$AJ$4,0)),NA(),IF(SUMPRODUCT((Inputs!$A$5:$A$230=$B34)*ISNUMBER(INDEX(Inputs!$K$5:$AJ$230,0,MATCH(L$2,Inputs!$K$4:$AJ$4,0))))+SUMPRODUCT((Inputs!$C$5:$C$230=$B34)*ISNUMBER(INDEX(Inputs!$K$5:$AJ$230,0,MATCH(L$2,Inputs!$K$4:$AJ$4,0))))+SUMPRODUCT((Inputs!$E$5:$E$230=$B34)*ISNUMBER(INDEX(Inputs!$K$5:$AJ$230,0,MATCH(L$2,Inputs!$K$4:$AJ$4,0))))=0,NA(),SUMPRODUCT((Inputs!$A$5:$A$230=$B34)*Inputs!$B$5:$B$230*(((Inputs!$G$5:$G$230="moeda")+(Inputs!$G$5:$G$230="acoes"))*Inputs!$B$1+((Inputs!$G$5:$G$230&lt;&gt;"moeda")*(Inputs!$G$5:$G$230&lt;&gt;"acoes")))*INDEX(Inputs!$K$5:$AJ$230,0,MATCH(L$2,Inputs!$K$4:$AJ$4,0)))+SUMPRODUCT((Inputs!$C$5:$C$230=$B34)*Inputs!$D$5:$D$230*(((Inputs!$G$5:$G$230="moeda")+(Inputs!$G$5:$G$230="acoes"))*Inputs!$B$1+((Inputs!$G$5:$G$230&lt;&gt;"moeda")*(Inputs!$G$5:$G$230&lt;&gt;"acoes")))*INDEX(Inputs!$K$5:$AJ$230,0,MATCH(L$2,Inputs!$K$4:$AJ$4,0)))+SUMPRODUCT((Inputs!$E$5:$E$230=$B34)*Inputs!$F$5:$F$230*(((Inputs!$G$5:$G$230="moeda")+(Inputs!$G$5:$G$230="acoes"))*Inputs!$B$1+((Inputs!$G$5:$G$230&lt;&gt;"moeda")*(Inputs!$G$5:$G$230&lt;&gt;"acoes")))*INDEX(Inputs!$K$5:$AJ$230,0,MATCH(L$2,Inputs!$K$4:$AJ$4,0)))))</f>
        <v>8.531</v>
      </c>
      <c r="M34" s="3">
        <f>L34</f>
        <v>8.531</v>
      </c>
      <c r="N34" s="6">
        <f>IF(ISNA(MATCH(N$2,Inputs!$K$4:$AJ$4,0)),NA(),IF(SUMPRODUCT((Inputs!$A$5:$A$230=$B34)*ISNUMBER(INDEX(Inputs!$K$5:$AJ$230,0,MATCH(N$2,Inputs!$K$4:$AJ$4,0))))+SUMPRODUCT((Inputs!$C$5:$C$230=$B34)*ISNUMBER(INDEX(Inputs!$K$5:$AJ$230,0,MATCH(N$2,Inputs!$K$4:$AJ$4,0))))+SUMPRODUCT((Inputs!$E$5:$E$230=$B34)*ISNUMBER(INDEX(Inputs!$K$5:$AJ$230,0,MATCH(N$2,Inputs!$K$4:$AJ$4,0))))=0,NA(),SUMPRODUCT((Inputs!$A$5:$A$230=$B34)*Inputs!$B$5:$B$230*(((Inputs!$G$5:$G$230="moeda")+(Inputs!$G$5:$G$230="acoes"))*Inputs!$B$1+((Inputs!$G$5:$G$230&lt;&gt;"moeda")*(Inputs!$G$5:$G$230&lt;&gt;"acoes")))*INDEX(Inputs!$K$5:$AJ$230,0,MATCH(N$2,Inputs!$K$4:$AJ$4,0)))+SUMPRODUCT((Inputs!$C$5:$C$230=$B34)*Inputs!$D$5:$D$230*(((Inputs!$G$5:$G$230="moeda")+(Inputs!$G$5:$G$230="acoes"))*Inputs!$B$1+((Inputs!$G$5:$G$230&lt;&gt;"moeda")*(Inputs!$G$5:$G$230&lt;&gt;"acoes")))*INDEX(Inputs!$K$5:$AJ$230,0,MATCH(N$2,Inputs!$K$4:$AJ$4,0)))+SUMPRODUCT((Inputs!$E$5:$E$230=$B34)*Inputs!$F$5:$F$230*(((Inputs!$G$5:$G$230="moeda")+(Inputs!$G$5:$G$230="acoes"))*Inputs!$B$1+((Inputs!$G$5:$G$230&lt;&gt;"moeda")*(Inputs!$G$5:$G$230&lt;&gt;"acoes")))*INDEX(Inputs!$K$5:$AJ$230,0,MATCH(N$2,Inputs!$K$4:$AJ$4,0)))))</f>
        <v>8.453</v>
      </c>
      <c r="O34" s="6">
        <f>IF(ISNA(MATCH(O$2,Inputs!$K$4:$AJ$4,0)),NA(),IF(SUMPRODUCT((Inputs!$A$5:$A$230=$B34)*ISNUMBER(INDEX(Inputs!$K$5:$AJ$230,0,MATCH(O$2,Inputs!$K$4:$AJ$4,0))))+SUMPRODUCT((Inputs!$C$5:$C$230=$B34)*ISNUMBER(INDEX(Inputs!$K$5:$AJ$230,0,MATCH(O$2,Inputs!$K$4:$AJ$4,0))))+SUMPRODUCT((Inputs!$E$5:$E$230=$B34)*ISNUMBER(INDEX(Inputs!$K$5:$AJ$230,0,MATCH(O$2,Inputs!$K$4:$AJ$4,0))))=0,NA(),SUMPRODUCT((Inputs!$A$5:$A$230=$B34)*Inputs!$B$5:$B$230*(((Inputs!$G$5:$G$230="moeda")+(Inputs!$G$5:$G$230="acoes"))*Inputs!$B$1+((Inputs!$G$5:$G$230&lt;&gt;"moeda")*(Inputs!$G$5:$G$230&lt;&gt;"acoes")))*INDEX(Inputs!$K$5:$AJ$230,0,MATCH(O$2,Inputs!$K$4:$AJ$4,0)))+SUMPRODUCT((Inputs!$C$5:$C$230=$B34)*Inputs!$D$5:$D$230*(((Inputs!$G$5:$G$230="moeda")+(Inputs!$G$5:$G$230="acoes"))*Inputs!$B$1+((Inputs!$G$5:$G$230&lt;&gt;"moeda")*(Inputs!$G$5:$G$230&lt;&gt;"acoes")))*INDEX(Inputs!$K$5:$AJ$230,0,MATCH(O$2,Inputs!$K$4:$AJ$4,0)))+SUMPRODUCT((Inputs!$E$5:$E$230=$B34)*Inputs!$F$5:$F$230*(((Inputs!$G$5:$G$230="moeda")+(Inputs!$G$5:$G$230="acoes"))*Inputs!$B$1+((Inputs!$G$5:$G$230&lt;&gt;"moeda")*(Inputs!$G$5:$G$230&lt;&gt;"acoes")))*INDEX(Inputs!$K$5:$AJ$230,0,MATCH(O$2,Inputs!$K$4:$AJ$4,0)))))</f>
        <v>7.48</v>
      </c>
      <c r="P34" s="6">
        <f>IF(ISNA(MATCH(P$2,Inputs!$K$4:$AJ$4,0)),NA(),IF(SUMPRODUCT((Inputs!$A$5:$A$230=$B34)*ISNUMBER(INDEX(Inputs!$K$5:$AJ$230,0,MATCH(P$2,Inputs!$K$4:$AJ$4,0))))+SUMPRODUCT((Inputs!$C$5:$C$230=$B34)*ISNUMBER(INDEX(Inputs!$K$5:$AJ$230,0,MATCH(P$2,Inputs!$K$4:$AJ$4,0))))+SUMPRODUCT((Inputs!$E$5:$E$230=$B34)*ISNUMBER(INDEX(Inputs!$K$5:$AJ$230,0,MATCH(P$2,Inputs!$K$4:$AJ$4,0))))=0,NA(),SUMPRODUCT((Inputs!$A$5:$A$230=$B34)*Inputs!$B$5:$B$230*(((Inputs!$G$5:$G$230="moeda")+(Inputs!$G$5:$G$230="acoes"))*Inputs!$B$1+((Inputs!$G$5:$G$230&lt;&gt;"moeda")*(Inputs!$G$5:$G$230&lt;&gt;"acoes")))*INDEX(Inputs!$K$5:$AJ$230,0,MATCH(P$2,Inputs!$K$4:$AJ$4,0)))+SUMPRODUCT((Inputs!$C$5:$C$230=$B34)*Inputs!$D$5:$D$230*(((Inputs!$G$5:$G$230="moeda")+(Inputs!$G$5:$G$230="acoes"))*Inputs!$B$1+((Inputs!$G$5:$G$230&lt;&gt;"moeda")*(Inputs!$G$5:$G$230&lt;&gt;"acoes")))*INDEX(Inputs!$K$5:$AJ$230,0,MATCH(P$2,Inputs!$K$4:$AJ$4,0)))+SUMPRODUCT((Inputs!$E$5:$E$230=$B34)*Inputs!$F$5:$F$230*(((Inputs!$G$5:$G$230="moeda")+(Inputs!$G$5:$G$230="acoes"))*Inputs!$B$1+((Inputs!$G$5:$G$230&lt;&gt;"moeda")*(Inputs!$G$5:$G$230&lt;&gt;"acoes")))*INDEX(Inputs!$K$5:$AJ$230,0,MATCH(P$2,Inputs!$K$4:$AJ$4,0)))))</f>
        <v>7.38</v>
      </c>
      <c r="Q34" s="6">
        <f>IF(ISNA(MATCH(Q$2,Inputs!$K$4:$AJ$4,0)),NA(),IF(SUMPRODUCT((Inputs!$A$5:$A$230=$B34)*ISNUMBER(INDEX(Inputs!$K$5:$AJ$230,0,MATCH(Q$2,Inputs!$K$4:$AJ$4,0))))+SUMPRODUCT((Inputs!$C$5:$C$230=$B34)*ISNUMBER(INDEX(Inputs!$K$5:$AJ$230,0,MATCH(Q$2,Inputs!$K$4:$AJ$4,0))))+SUMPRODUCT((Inputs!$E$5:$E$230=$B34)*ISNUMBER(INDEX(Inputs!$K$5:$AJ$230,0,MATCH(Q$2,Inputs!$K$4:$AJ$4,0))))=0,NA(),SUMPRODUCT((Inputs!$A$5:$A$230=$B34)*Inputs!$B$5:$B$230*(((Inputs!$G$5:$G$230="moeda")+(Inputs!$G$5:$G$230="acoes"))*Inputs!$B$1+((Inputs!$G$5:$G$230&lt;&gt;"moeda")*(Inputs!$G$5:$G$230&lt;&gt;"acoes")))*INDEX(Inputs!$K$5:$AJ$230,0,MATCH(Q$2,Inputs!$K$4:$AJ$4,0)))+SUMPRODUCT((Inputs!$C$5:$C$230=$B34)*Inputs!$D$5:$D$230*(((Inputs!$G$5:$G$230="moeda")+(Inputs!$G$5:$G$230="acoes"))*Inputs!$B$1+((Inputs!$G$5:$G$230&lt;&gt;"moeda")*(Inputs!$G$5:$G$230&lt;&gt;"acoes")))*INDEX(Inputs!$K$5:$AJ$230,0,MATCH(Q$2,Inputs!$K$4:$AJ$4,0)))+SUMPRODUCT((Inputs!$E$5:$E$230=$B34)*Inputs!$F$5:$F$230*(((Inputs!$G$5:$G$230="moeda")+(Inputs!$G$5:$G$230="acoes"))*Inputs!$B$1+((Inputs!$G$5:$G$230&lt;&gt;"moeda")*(Inputs!$G$5:$G$230&lt;&gt;"acoes")))*INDEX(Inputs!$K$5:$AJ$230,0,MATCH(Q$2,Inputs!$K$4:$AJ$4,0)))))</f>
        <v>8.075</v>
      </c>
      <c r="R34" s="3">
        <f>Q34</f>
        <v>8.075</v>
      </c>
      <c r="S34" s="6">
        <f>IF(ISNA(MATCH(S$2,Inputs!$K$4:$AJ$4,0)),NA(),IF(SUMPRODUCT((Inputs!$A$5:$A$230=$B34)*ISNUMBER(INDEX(Inputs!$K$5:$AJ$230,0,MATCH(S$2,Inputs!$K$4:$AJ$4,0))))+SUMPRODUCT((Inputs!$C$5:$C$230=$B34)*ISNUMBER(INDEX(Inputs!$K$5:$AJ$230,0,MATCH(S$2,Inputs!$K$4:$AJ$4,0))))+SUMPRODUCT((Inputs!$E$5:$E$230=$B34)*ISNUMBER(INDEX(Inputs!$K$5:$AJ$230,0,MATCH(S$2,Inputs!$K$4:$AJ$4,0))))=0,NA(),SUMPRODUCT((Inputs!$A$5:$A$230=$B34)*Inputs!$B$5:$B$230*(((Inputs!$G$5:$G$230="moeda")+(Inputs!$G$5:$G$230="acoes"))*Inputs!$B$1+((Inputs!$G$5:$G$230&lt;&gt;"moeda")*(Inputs!$G$5:$G$230&lt;&gt;"acoes")))*INDEX(Inputs!$K$5:$AJ$230,0,MATCH(S$2,Inputs!$K$4:$AJ$4,0)))+SUMPRODUCT((Inputs!$C$5:$C$230=$B34)*Inputs!$D$5:$D$230*(((Inputs!$G$5:$G$230="moeda")+(Inputs!$G$5:$G$230="acoes"))*Inputs!$B$1+((Inputs!$G$5:$G$230&lt;&gt;"moeda")*(Inputs!$G$5:$G$230&lt;&gt;"acoes")))*INDEX(Inputs!$K$5:$AJ$230,0,MATCH(S$2,Inputs!$K$4:$AJ$4,0)))+SUMPRODUCT((Inputs!$E$5:$E$230=$B34)*Inputs!$F$5:$F$230*(((Inputs!$G$5:$G$230="moeda")+(Inputs!$G$5:$G$230="acoes"))*Inputs!$B$1+((Inputs!$G$5:$G$230&lt;&gt;"moeda")*(Inputs!$G$5:$G$230&lt;&gt;"acoes")))*INDEX(Inputs!$K$5:$AJ$230,0,MATCH(S$2,Inputs!$K$4:$AJ$4,0)))))</f>
        <v>9.028</v>
      </c>
      <c r="T34" s="6">
        <f>IF(ISNA(MATCH(T$2,Inputs!$K$4:$AJ$4,0)),NA(),IF(SUMPRODUCT((Inputs!$A$5:$A$230=$B34)*ISNUMBER(INDEX(Inputs!$K$5:$AJ$230,0,MATCH(T$2,Inputs!$K$4:$AJ$4,0))))+SUMPRODUCT((Inputs!$C$5:$C$230=$B34)*ISNUMBER(INDEX(Inputs!$K$5:$AJ$230,0,MATCH(T$2,Inputs!$K$4:$AJ$4,0))))+SUMPRODUCT((Inputs!$E$5:$E$230=$B34)*ISNUMBER(INDEX(Inputs!$K$5:$AJ$230,0,MATCH(T$2,Inputs!$K$4:$AJ$4,0))))=0,NA(),SUMPRODUCT((Inputs!$A$5:$A$230=$B34)*Inputs!$B$5:$B$230*(((Inputs!$G$5:$G$230="moeda")+(Inputs!$G$5:$G$230="acoes"))*Inputs!$B$1+((Inputs!$G$5:$G$230&lt;&gt;"moeda")*(Inputs!$G$5:$G$230&lt;&gt;"acoes")))*INDEX(Inputs!$K$5:$AJ$230,0,MATCH(T$2,Inputs!$K$4:$AJ$4,0)))+SUMPRODUCT((Inputs!$C$5:$C$230=$B34)*Inputs!$D$5:$D$230*(((Inputs!$G$5:$G$230="moeda")+(Inputs!$G$5:$G$230="acoes"))*Inputs!$B$1+((Inputs!$G$5:$G$230&lt;&gt;"moeda")*(Inputs!$G$5:$G$230&lt;&gt;"acoes")))*INDEX(Inputs!$K$5:$AJ$230,0,MATCH(T$2,Inputs!$K$4:$AJ$4,0)))+SUMPRODUCT((Inputs!$E$5:$E$230=$B34)*Inputs!$F$5:$F$230*(((Inputs!$G$5:$G$230="moeda")+(Inputs!$G$5:$G$230="acoes"))*Inputs!$B$1+((Inputs!$G$5:$G$230&lt;&gt;"moeda")*(Inputs!$G$5:$G$230&lt;&gt;"acoes")))*INDEX(Inputs!$K$5:$AJ$230,0,MATCH(T$2,Inputs!$K$4:$AJ$4,0)))))</f>
        <v>9.055</v>
      </c>
      <c r="U34" s="6">
        <f>IF(ISNA(MATCH(U$2,Inputs!$K$4:$AJ$4,0)),NA(),IF(SUMPRODUCT((Inputs!$A$5:$A$230=$B34)*ISNUMBER(INDEX(Inputs!$K$5:$AJ$230,0,MATCH(U$2,Inputs!$K$4:$AJ$4,0))))+SUMPRODUCT((Inputs!$C$5:$C$230=$B34)*ISNUMBER(INDEX(Inputs!$K$5:$AJ$230,0,MATCH(U$2,Inputs!$K$4:$AJ$4,0))))+SUMPRODUCT((Inputs!$E$5:$E$230=$B34)*ISNUMBER(INDEX(Inputs!$K$5:$AJ$230,0,MATCH(U$2,Inputs!$K$4:$AJ$4,0))))=0,NA(),SUMPRODUCT((Inputs!$A$5:$A$230=$B34)*Inputs!$B$5:$B$230*(((Inputs!$G$5:$G$230="moeda")+(Inputs!$G$5:$G$230="acoes"))*Inputs!$B$1+((Inputs!$G$5:$G$230&lt;&gt;"moeda")*(Inputs!$G$5:$G$230&lt;&gt;"acoes")))*INDEX(Inputs!$K$5:$AJ$230,0,MATCH(U$2,Inputs!$K$4:$AJ$4,0)))+SUMPRODUCT((Inputs!$C$5:$C$230=$B34)*Inputs!$D$5:$D$230*(((Inputs!$G$5:$G$230="moeda")+(Inputs!$G$5:$G$230="acoes"))*Inputs!$B$1+((Inputs!$G$5:$G$230&lt;&gt;"moeda")*(Inputs!$G$5:$G$230&lt;&gt;"acoes")))*INDEX(Inputs!$K$5:$AJ$230,0,MATCH(U$2,Inputs!$K$4:$AJ$4,0)))+SUMPRODUCT((Inputs!$E$5:$E$230=$B34)*Inputs!$F$5:$F$230*(((Inputs!$G$5:$G$230="moeda")+(Inputs!$G$5:$G$230="acoes"))*Inputs!$B$1+((Inputs!$G$5:$G$230&lt;&gt;"moeda")*(Inputs!$G$5:$G$230&lt;&gt;"acoes")))*INDEX(Inputs!$K$5:$AJ$230,0,MATCH(U$2,Inputs!$K$4:$AJ$4,0)))))</f>
        <v>9.088</v>
      </c>
      <c r="V34" s="6">
        <f>IF(ISNA(MATCH(V$2,Inputs!$K$4:$AJ$4,0)),NA(),IF(SUMPRODUCT((Inputs!$A$5:$A$230=$B34)*ISNUMBER(INDEX(Inputs!$K$5:$AJ$230,0,MATCH(V$2,Inputs!$K$4:$AJ$4,0))))+SUMPRODUCT((Inputs!$C$5:$C$230=$B34)*ISNUMBER(INDEX(Inputs!$K$5:$AJ$230,0,MATCH(V$2,Inputs!$K$4:$AJ$4,0))))+SUMPRODUCT((Inputs!$E$5:$E$230=$B34)*ISNUMBER(INDEX(Inputs!$K$5:$AJ$230,0,MATCH(V$2,Inputs!$K$4:$AJ$4,0))))=0,NA(),SUMPRODUCT((Inputs!$A$5:$A$230=$B34)*Inputs!$B$5:$B$230*(((Inputs!$G$5:$G$230="moeda")+(Inputs!$G$5:$G$230="acoes"))*Inputs!$B$1+((Inputs!$G$5:$G$230&lt;&gt;"moeda")*(Inputs!$G$5:$G$230&lt;&gt;"acoes")))*INDEX(Inputs!$K$5:$AJ$230,0,MATCH(V$2,Inputs!$K$4:$AJ$4,0)))+SUMPRODUCT((Inputs!$C$5:$C$230=$B34)*Inputs!$D$5:$D$230*(((Inputs!$G$5:$G$230="moeda")+(Inputs!$G$5:$G$230="acoes"))*Inputs!$B$1+((Inputs!$G$5:$G$230&lt;&gt;"moeda")*(Inputs!$G$5:$G$230&lt;&gt;"acoes")))*INDEX(Inputs!$K$5:$AJ$230,0,MATCH(V$2,Inputs!$K$4:$AJ$4,0)))+SUMPRODUCT((Inputs!$E$5:$E$230=$B34)*Inputs!$F$5:$F$230*(((Inputs!$G$5:$G$230="moeda")+(Inputs!$G$5:$G$230="acoes"))*Inputs!$B$1+((Inputs!$G$5:$G$230&lt;&gt;"moeda")*(Inputs!$G$5:$G$230&lt;&gt;"acoes")))*INDEX(Inputs!$K$5:$AJ$230,0,MATCH(V$2,Inputs!$K$4:$AJ$4,0)))))</f>
        <v>9.413</v>
      </c>
      <c r="W34" s="3">
        <f>V34</f>
        <v>9.413</v>
      </c>
      <c r="X34" s="6">
        <f>IF(ISNA(MATCH(X$2,Inputs!$K$4:$AJ$4,0)),NA(),IF(SUMPRODUCT((Inputs!$A$5:$A$230=$B34)*ISNUMBER(INDEX(Inputs!$K$5:$AJ$230,0,MATCH(X$2,Inputs!$K$4:$AJ$4,0))))+SUMPRODUCT((Inputs!$C$5:$C$230=$B34)*ISNUMBER(INDEX(Inputs!$K$5:$AJ$230,0,MATCH(X$2,Inputs!$K$4:$AJ$4,0))))+SUMPRODUCT((Inputs!$E$5:$E$230=$B34)*ISNUMBER(INDEX(Inputs!$K$5:$AJ$230,0,MATCH(X$2,Inputs!$K$4:$AJ$4,0))))=0,NA(),SUMPRODUCT((Inputs!$A$5:$A$230=$B34)*Inputs!$B$5:$B$230*(((Inputs!$G$5:$G$230="moeda")+(Inputs!$G$5:$G$230="acoes"))*Inputs!$B$1+((Inputs!$G$5:$G$230&lt;&gt;"moeda")*(Inputs!$G$5:$G$230&lt;&gt;"acoes")))*INDEX(Inputs!$K$5:$AJ$230,0,MATCH(X$2,Inputs!$K$4:$AJ$4,0)))+SUMPRODUCT((Inputs!$C$5:$C$230=$B34)*Inputs!$D$5:$D$230*(((Inputs!$G$5:$G$230="moeda")+(Inputs!$G$5:$G$230="acoes"))*Inputs!$B$1+((Inputs!$G$5:$G$230&lt;&gt;"moeda")*(Inputs!$G$5:$G$230&lt;&gt;"acoes")))*INDEX(Inputs!$K$5:$AJ$230,0,MATCH(X$2,Inputs!$K$4:$AJ$4,0)))+SUMPRODUCT((Inputs!$E$5:$E$230=$B34)*Inputs!$F$5:$F$230*(((Inputs!$G$5:$G$230="moeda")+(Inputs!$G$5:$G$230="acoes"))*Inputs!$B$1+((Inputs!$G$5:$G$230&lt;&gt;"moeda")*(Inputs!$G$5:$G$230&lt;&gt;"acoes")))*INDEX(Inputs!$K$5:$AJ$230,0,MATCH(X$2,Inputs!$K$4:$AJ$4,0)))))</f>
        <v>9.545</v>
      </c>
      <c r="Y34" s="6">
        <f>IF(ISNA(MATCH(Y$2,Inputs!$K$4:$AJ$4,0)),NA(),IF(SUMPRODUCT((Inputs!$A$5:$A$230=$B34)*ISNUMBER(INDEX(Inputs!$K$5:$AJ$230,0,MATCH(Y$2,Inputs!$K$4:$AJ$4,0))))+SUMPRODUCT((Inputs!$C$5:$C$230=$B34)*ISNUMBER(INDEX(Inputs!$K$5:$AJ$230,0,MATCH(Y$2,Inputs!$K$4:$AJ$4,0))))+SUMPRODUCT((Inputs!$E$5:$E$230=$B34)*ISNUMBER(INDEX(Inputs!$K$5:$AJ$230,0,MATCH(Y$2,Inputs!$K$4:$AJ$4,0))))=0,NA(),SUMPRODUCT((Inputs!$A$5:$A$230=$B34)*Inputs!$B$5:$B$230*(((Inputs!$G$5:$G$230="moeda")+(Inputs!$G$5:$G$230="acoes"))*Inputs!$B$1+((Inputs!$G$5:$G$230&lt;&gt;"moeda")*(Inputs!$G$5:$G$230&lt;&gt;"acoes")))*INDEX(Inputs!$K$5:$AJ$230,0,MATCH(Y$2,Inputs!$K$4:$AJ$4,0)))+SUMPRODUCT((Inputs!$C$5:$C$230=$B34)*Inputs!$D$5:$D$230*(((Inputs!$G$5:$G$230="moeda")+(Inputs!$G$5:$G$230="acoes"))*Inputs!$B$1+((Inputs!$G$5:$G$230&lt;&gt;"moeda")*(Inputs!$G$5:$G$230&lt;&gt;"acoes")))*INDEX(Inputs!$K$5:$AJ$230,0,MATCH(Y$2,Inputs!$K$4:$AJ$4,0)))+SUMPRODUCT((Inputs!$E$5:$E$230=$B34)*Inputs!$F$5:$F$230*(((Inputs!$G$5:$G$230="moeda")+(Inputs!$G$5:$G$230="acoes"))*Inputs!$B$1+((Inputs!$G$5:$G$230&lt;&gt;"moeda")*(Inputs!$G$5:$G$230&lt;&gt;"acoes")))*INDEX(Inputs!$K$5:$AJ$230,0,MATCH(Y$2,Inputs!$K$4:$AJ$4,0)))))</f>
        <v>9.268</v>
      </c>
      <c r="Z34" s="6">
        <f>IF(ISNA(MATCH(Z$2,Inputs!$K$4:$AJ$4,0)),NA(),IF(SUMPRODUCT((Inputs!$A$5:$A$230=$B34)*ISNUMBER(INDEX(Inputs!$K$5:$AJ$230,0,MATCH(Z$2,Inputs!$K$4:$AJ$4,0))))+SUMPRODUCT((Inputs!$C$5:$C$230=$B34)*ISNUMBER(INDEX(Inputs!$K$5:$AJ$230,0,MATCH(Z$2,Inputs!$K$4:$AJ$4,0))))+SUMPRODUCT((Inputs!$E$5:$E$230=$B34)*ISNUMBER(INDEX(Inputs!$K$5:$AJ$230,0,MATCH(Z$2,Inputs!$K$4:$AJ$4,0))))=0,NA(),SUMPRODUCT((Inputs!$A$5:$A$230=$B34)*Inputs!$B$5:$B$230*(((Inputs!$G$5:$G$230="moeda")+(Inputs!$G$5:$G$230="acoes"))*Inputs!$B$1+((Inputs!$G$5:$G$230&lt;&gt;"moeda")*(Inputs!$G$5:$G$230&lt;&gt;"acoes")))*INDEX(Inputs!$K$5:$AJ$230,0,MATCH(Z$2,Inputs!$K$4:$AJ$4,0)))+SUMPRODUCT((Inputs!$C$5:$C$230=$B34)*Inputs!$D$5:$D$230*(((Inputs!$G$5:$G$230="moeda")+(Inputs!$G$5:$G$230="acoes"))*Inputs!$B$1+((Inputs!$G$5:$G$230&lt;&gt;"moeda")*(Inputs!$G$5:$G$230&lt;&gt;"acoes")))*INDEX(Inputs!$K$5:$AJ$230,0,MATCH(Z$2,Inputs!$K$4:$AJ$4,0)))+SUMPRODUCT((Inputs!$E$5:$E$230=$B34)*Inputs!$F$5:$F$230*(((Inputs!$G$5:$G$230="moeda")+(Inputs!$G$5:$G$230="acoes"))*Inputs!$B$1+((Inputs!$G$5:$G$230&lt;&gt;"moeda")*(Inputs!$G$5:$G$230&lt;&gt;"acoes")))*INDEX(Inputs!$K$5:$AJ$230,0,MATCH(Z$2,Inputs!$K$4:$AJ$4,0)))))</f>
        <v>9.962</v>
      </c>
      <c r="AA34" s="6">
        <f>IF(ISNA(MATCH(AA$2,Inputs!$K$4:$AJ$4,0)),NA(),IF(SUMPRODUCT((Inputs!$A$5:$A$230=$B34)*ISNUMBER(INDEX(Inputs!$K$5:$AJ$230,0,MATCH(AA$2,Inputs!$K$4:$AJ$4,0))))+SUMPRODUCT((Inputs!$C$5:$C$230=$B34)*ISNUMBER(INDEX(Inputs!$K$5:$AJ$230,0,MATCH(AA$2,Inputs!$K$4:$AJ$4,0))))+SUMPRODUCT((Inputs!$E$5:$E$230=$B34)*ISNUMBER(INDEX(Inputs!$K$5:$AJ$230,0,MATCH(AA$2,Inputs!$K$4:$AJ$4,0))))=0,NA(),SUMPRODUCT((Inputs!$A$5:$A$230=$B34)*Inputs!$B$5:$B$230*(((Inputs!$G$5:$G$230="moeda")+(Inputs!$G$5:$G$230="acoes"))*Inputs!$B$1+((Inputs!$G$5:$G$230&lt;&gt;"moeda")*(Inputs!$G$5:$G$230&lt;&gt;"acoes")))*INDEX(Inputs!$K$5:$AJ$230,0,MATCH(AA$2,Inputs!$K$4:$AJ$4,0)))+SUMPRODUCT((Inputs!$C$5:$C$230=$B34)*Inputs!$D$5:$D$230*(((Inputs!$G$5:$G$230="moeda")+(Inputs!$G$5:$G$230="acoes"))*Inputs!$B$1+((Inputs!$G$5:$G$230&lt;&gt;"moeda")*(Inputs!$G$5:$G$230&lt;&gt;"acoes")))*INDEX(Inputs!$K$5:$AJ$230,0,MATCH(AA$2,Inputs!$K$4:$AJ$4,0)))+SUMPRODUCT((Inputs!$E$5:$E$230=$B34)*Inputs!$F$5:$F$230*(((Inputs!$G$5:$G$230="moeda")+(Inputs!$G$5:$G$230="acoes"))*Inputs!$B$1+((Inputs!$G$5:$G$230&lt;&gt;"moeda")*(Inputs!$G$5:$G$230&lt;&gt;"acoes")))*INDEX(Inputs!$K$5:$AJ$230,0,MATCH(AA$2,Inputs!$K$4:$AJ$4,0)))))</f>
        <v>5.995</v>
      </c>
      <c r="AB34" s="3">
        <f>AA34</f>
        <v>5.995</v>
      </c>
      <c r="AC34" s="6">
        <f>IF(ISNA(MATCH(AC$2,Inputs!$K$4:$AJ$4,0)),NA(),IF(SUMPRODUCT((Inputs!$A$5:$A$230=$B34)*ISNUMBER(INDEX(Inputs!$K$5:$AJ$230,0,MATCH(AC$2,Inputs!$K$4:$AJ$4,0))))+SUMPRODUCT((Inputs!$C$5:$C$230=$B34)*ISNUMBER(INDEX(Inputs!$K$5:$AJ$230,0,MATCH(AC$2,Inputs!$K$4:$AJ$4,0))))+SUMPRODUCT((Inputs!$E$5:$E$230=$B34)*ISNUMBER(INDEX(Inputs!$K$5:$AJ$230,0,MATCH(AC$2,Inputs!$K$4:$AJ$4,0))))=0,NA(),SUMPRODUCT((Inputs!$A$5:$A$230=$B34)*Inputs!$B$5:$B$230*(((Inputs!$G$5:$G$230="moeda")+(Inputs!$G$5:$G$230="acoes"))*Inputs!$B$1+((Inputs!$G$5:$G$230&lt;&gt;"moeda")*(Inputs!$G$5:$G$230&lt;&gt;"acoes")))*INDEX(Inputs!$K$5:$AJ$230,0,MATCH(AC$2,Inputs!$K$4:$AJ$4,0)))+SUMPRODUCT((Inputs!$C$5:$C$230=$B34)*Inputs!$D$5:$D$230*(((Inputs!$G$5:$G$230="moeda")+(Inputs!$G$5:$G$230="acoes"))*Inputs!$B$1+((Inputs!$G$5:$G$230&lt;&gt;"moeda")*(Inputs!$G$5:$G$230&lt;&gt;"acoes")))*INDEX(Inputs!$K$5:$AJ$230,0,MATCH(AC$2,Inputs!$K$4:$AJ$4,0)))+SUMPRODUCT((Inputs!$E$5:$E$230=$B34)*Inputs!$F$5:$F$230*(((Inputs!$G$5:$G$230="moeda")+(Inputs!$G$5:$G$230="acoes"))*Inputs!$B$1+((Inputs!$G$5:$G$230&lt;&gt;"moeda")*(Inputs!$G$5:$G$230&lt;&gt;"acoes")))*INDEX(Inputs!$K$5:$AJ$230,0,MATCH(AC$2,Inputs!$K$4:$AJ$4,0)))))</f>
        <v>5.772</v>
      </c>
      <c r="AD34" s="6">
        <f>IF(ISNA(MATCH(AD$2,Inputs!$K$4:$AJ$4,0)),NA(),IF(SUMPRODUCT((Inputs!$A$5:$A$230=$B34)*ISNUMBER(INDEX(Inputs!$K$5:$AJ$230,0,MATCH(AD$2,Inputs!$K$4:$AJ$4,0))))+SUMPRODUCT((Inputs!$C$5:$C$230=$B34)*ISNUMBER(INDEX(Inputs!$K$5:$AJ$230,0,MATCH(AD$2,Inputs!$K$4:$AJ$4,0))))+SUMPRODUCT((Inputs!$E$5:$E$230=$B34)*ISNUMBER(INDEX(Inputs!$K$5:$AJ$230,0,MATCH(AD$2,Inputs!$K$4:$AJ$4,0))))=0,NA(),SUMPRODUCT((Inputs!$A$5:$A$230=$B34)*Inputs!$B$5:$B$230*(((Inputs!$G$5:$G$230="moeda")+(Inputs!$G$5:$G$230="acoes"))*Inputs!$B$1+((Inputs!$G$5:$G$230&lt;&gt;"moeda")*(Inputs!$G$5:$G$230&lt;&gt;"acoes")))*INDEX(Inputs!$K$5:$AJ$230,0,MATCH(AD$2,Inputs!$K$4:$AJ$4,0)))+SUMPRODUCT((Inputs!$C$5:$C$230=$B34)*Inputs!$D$5:$D$230*(((Inputs!$G$5:$G$230="moeda")+(Inputs!$G$5:$G$230="acoes"))*Inputs!$B$1+((Inputs!$G$5:$G$230&lt;&gt;"moeda")*(Inputs!$G$5:$G$230&lt;&gt;"acoes")))*INDEX(Inputs!$K$5:$AJ$230,0,MATCH(AD$2,Inputs!$K$4:$AJ$4,0)))+SUMPRODUCT((Inputs!$E$5:$E$230=$B34)*Inputs!$F$5:$F$230*(((Inputs!$G$5:$G$230="moeda")+(Inputs!$G$5:$G$230="acoes"))*Inputs!$B$1+((Inputs!$G$5:$G$230&lt;&gt;"moeda")*(Inputs!$G$5:$G$230&lt;&gt;"acoes")))*INDEX(Inputs!$K$5:$AJ$230,0,MATCH(AD$2,Inputs!$K$4:$AJ$4,0)))))</f>
        <v>6.263</v>
      </c>
      <c r="AE34" s="6" t="e">
        <f>IF(ISNA(MATCH(AE$2,Inputs!$K$4:$AJ$4,0)),NA(),IF(SUMPRODUCT((Inputs!$A$5:$A$230=$B34)*ISNUMBER(INDEX(Inputs!$K$5:$AJ$230,0,MATCH(AE$2,Inputs!$K$4:$AJ$4,0))))+SUMPRODUCT((Inputs!$C$5:$C$230=$B34)*ISNUMBER(INDEX(Inputs!$K$5:$AJ$230,0,MATCH(AE$2,Inputs!$K$4:$AJ$4,0))))+SUMPRODUCT((Inputs!$E$5:$E$230=$B34)*ISNUMBER(INDEX(Inputs!$K$5:$AJ$230,0,MATCH(AE$2,Inputs!$K$4:$AJ$4,0))))=0,NA(),SUMPRODUCT((Inputs!$A$5:$A$230=$B34)*Inputs!$B$5:$B$230*(((Inputs!$G$5:$G$230="moeda")+(Inputs!$G$5:$G$230="acoes"))*Inputs!$B$1+((Inputs!$G$5:$G$230&lt;&gt;"moeda")*(Inputs!$G$5:$G$230&lt;&gt;"acoes")))*INDEX(Inputs!$K$5:$AJ$230,0,MATCH(AE$2,Inputs!$K$4:$AJ$4,0)))+SUMPRODUCT((Inputs!$C$5:$C$230=$B34)*Inputs!$D$5:$D$230*(((Inputs!$G$5:$G$230="moeda")+(Inputs!$G$5:$G$230="acoes"))*Inputs!$B$1+((Inputs!$G$5:$G$230&lt;&gt;"moeda")*(Inputs!$G$5:$G$230&lt;&gt;"acoes")))*INDEX(Inputs!$K$5:$AJ$230,0,MATCH(AE$2,Inputs!$K$4:$AJ$4,0)))+SUMPRODUCT((Inputs!$E$5:$E$230=$B34)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34" s="6" t="e">
        <f>IF(ISNA(MATCH(AF$2,Inputs!$K$4:$AJ$4,0)),NA(),IF(SUMPRODUCT((Inputs!$A$5:$A$230=$B34)*ISNUMBER(INDEX(Inputs!$K$5:$AJ$230,0,MATCH(AF$2,Inputs!$K$4:$AJ$4,0))))+SUMPRODUCT((Inputs!$C$5:$C$230=$B34)*ISNUMBER(INDEX(Inputs!$K$5:$AJ$230,0,MATCH(AF$2,Inputs!$K$4:$AJ$4,0))))+SUMPRODUCT((Inputs!$E$5:$E$230=$B34)*ISNUMBER(INDEX(Inputs!$K$5:$AJ$230,0,MATCH(AF$2,Inputs!$K$4:$AJ$4,0))))=0,NA(),SUMPRODUCT((Inputs!$A$5:$A$230=$B34)*Inputs!$B$5:$B$230*(((Inputs!$G$5:$G$230="moeda")+(Inputs!$G$5:$G$230="acoes"))*Inputs!$B$1+((Inputs!$G$5:$G$230&lt;&gt;"moeda")*(Inputs!$G$5:$G$230&lt;&gt;"acoes")))*INDEX(Inputs!$K$5:$AJ$230,0,MATCH(AF$2,Inputs!$K$4:$AJ$4,0)))+SUMPRODUCT((Inputs!$C$5:$C$230=$B34)*Inputs!$D$5:$D$230*(((Inputs!$G$5:$G$230="moeda")+(Inputs!$G$5:$G$230="acoes"))*Inputs!$B$1+((Inputs!$G$5:$G$230&lt;&gt;"moeda")*(Inputs!$G$5:$G$230&lt;&gt;"acoes")))*INDEX(Inputs!$K$5:$AJ$230,0,MATCH(AF$2,Inputs!$K$4:$AJ$4,0)))+SUMPRODUCT((Inputs!$E$5:$E$230=$B34)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34" s="3" t="e">
        <f>AF34</f>
        <v>#N/A</v>
      </c>
      <c r="AH34" s="6">
        <f>IF(ISNA(MATCH(AH$2,Inputs!$K$4:$AJ$4,0)),NA(),IF(SUMPRODUCT((Inputs!$A$5:$A$230=$B34)*ISNUMBER(INDEX(Inputs!$K$5:$AJ$230,0,MATCH(AH$2,Inputs!$K$4:$AJ$4,0))))+SUMPRODUCT((Inputs!$C$5:$C$230=$B34)*ISNUMBER(INDEX(Inputs!$K$5:$AJ$230,0,MATCH(AH$2,Inputs!$K$4:$AJ$4,0))))+SUMPRODUCT((Inputs!$E$5:$E$230=$B34)*ISNUMBER(INDEX(Inputs!$K$5:$AJ$230,0,MATCH(AH$2,Inputs!$K$4:$AJ$4,0))))=0,NA(),SUMPRODUCT((Inputs!$A$5:$A$230=$B34)*Inputs!$B$5:$B$230*(((Inputs!$G$5:$G$230="moeda")+(Inputs!$G$5:$G$230="acoes"))*Inputs!$B$1+((Inputs!$G$5:$G$230&lt;&gt;"moeda")*(Inputs!$G$5:$G$230&lt;&gt;"acoes")))*INDEX(Inputs!$K$5:$AJ$230,0,MATCH(AH$2,Inputs!$K$4:$AJ$4,0)))+SUMPRODUCT((Inputs!$C$5:$C$230=$B34)*Inputs!$D$5:$D$230*(((Inputs!$G$5:$G$230="moeda")+(Inputs!$G$5:$G$230="acoes"))*Inputs!$B$1+((Inputs!$G$5:$G$230&lt;&gt;"moeda")*(Inputs!$G$5:$G$230&lt;&gt;"acoes")))*INDEX(Inputs!$K$5:$AJ$230,0,MATCH(AH$2,Inputs!$K$4:$AJ$4,0)))+SUMPRODUCT((Inputs!$E$5:$E$230=$B34)*Inputs!$F$5:$F$230*(((Inputs!$G$5:$G$230="moeda")+(Inputs!$G$5:$G$230="acoes"))*Inputs!$B$1+((Inputs!$G$5:$G$230&lt;&gt;"moeda")*(Inputs!$G$5:$G$230&lt;&gt;"acoes")))*INDEX(Inputs!$K$5:$AJ$230,0,MATCH(AH$2,Inputs!$K$4:$AJ$4,0)))))</f>
        <v>6.214</v>
      </c>
      <c r="AI34" s="6">
        <f>IF(ISNA(MATCH(AI$2,Inputs!$K$4:$AJ$4,0)),NA(),IF(SUMPRODUCT((Inputs!$A$5:$A$230=$B34)*ISNUMBER(INDEX(Inputs!$K$5:$AJ$230,0,MATCH(AI$2,Inputs!$K$4:$AJ$4,0))))+SUMPRODUCT((Inputs!$C$5:$C$230=$B34)*ISNUMBER(INDEX(Inputs!$K$5:$AJ$230,0,MATCH(AI$2,Inputs!$K$4:$AJ$4,0))))+SUMPRODUCT((Inputs!$E$5:$E$230=$B34)*ISNUMBER(INDEX(Inputs!$K$5:$AJ$230,0,MATCH(AI$2,Inputs!$K$4:$AJ$4,0))))=0,NA(),SUMPRODUCT((Inputs!$A$5:$A$230=$B34)*Inputs!$B$5:$B$230*(((Inputs!$G$5:$G$230="moeda")+(Inputs!$G$5:$G$230="acoes"))*Inputs!$B$1+((Inputs!$G$5:$G$230&lt;&gt;"moeda")*(Inputs!$G$5:$G$230&lt;&gt;"acoes")))*INDEX(Inputs!$K$5:$AJ$230,0,MATCH(AI$2,Inputs!$K$4:$AJ$4,0)))+SUMPRODUCT((Inputs!$C$5:$C$230=$B34)*Inputs!$D$5:$D$230*(((Inputs!$G$5:$G$230="moeda")+(Inputs!$G$5:$G$230="acoes"))*Inputs!$B$1+((Inputs!$G$5:$G$230&lt;&gt;"moeda")*(Inputs!$G$5:$G$230&lt;&gt;"acoes")))*INDEX(Inputs!$K$5:$AJ$230,0,MATCH(AI$2,Inputs!$K$4:$AJ$4,0)))+SUMPRODUCT((Inputs!$E$5:$E$230=$B34)*Inputs!$F$5:$F$230*(((Inputs!$G$5:$G$230="moeda")+(Inputs!$G$5:$G$230="acoes"))*Inputs!$B$1+((Inputs!$G$5:$G$230&lt;&gt;"moeda")*(Inputs!$G$5:$G$230&lt;&gt;"acoes")))*INDEX(Inputs!$K$5:$AJ$230,0,MATCH(AI$2,Inputs!$K$4:$AJ$4,0)))))</f>
        <v>7.883</v>
      </c>
      <c r="AJ34" s="6">
        <f>IF(ISNA(MATCH(AJ$2,Inputs!$K$4:$AJ$4,0)),NA(),IF(SUMPRODUCT((Inputs!$A$5:$A$230=$B34)*ISNUMBER(INDEX(Inputs!$K$5:$AJ$230,0,MATCH(AJ$2,Inputs!$K$4:$AJ$4,0))))+SUMPRODUCT((Inputs!$C$5:$C$230=$B34)*ISNUMBER(INDEX(Inputs!$K$5:$AJ$230,0,MATCH(AJ$2,Inputs!$K$4:$AJ$4,0))))+SUMPRODUCT((Inputs!$E$5:$E$230=$B34)*ISNUMBER(INDEX(Inputs!$K$5:$AJ$230,0,MATCH(AJ$2,Inputs!$K$4:$AJ$4,0))))=0,NA(),SUMPRODUCT((Inputs!$A$5:$A$230=$B34)*Inputs!$B$5:$B$230*(((Inputs!$G$5:$G$230="moeda")+(Inputs!$G$5:$G$230="acoes"))*Inputs!$B$1+((Inputs!$G$5:$G$230&lt;&gt;"moeda")*(Inputs!$G$5:$G$230&lt;&gt;"acoes")))*INDEX(Inputs!$K$5:$AJ$230,0,MATCH(AJ$2,Inputs!$K$4:$AJ$4,0)))+SUMPRODUCT((Inputs!$C$5:$C$230=$B34)*Inputs!$D$5:$D$230*(((Inputs!$G$5:$G$230="moeda")+(Inputs!$G$5:$G$230="acoes"))*Inputs!$B$1+((Inputs!$G$5:$G$230&lt;&gt;"moeda")*(Inputs!$G$5:$G$230&lt;&gt;"acoes")))*INDEX(Inputs!$K$5:$AJ$230,0,MATCH(AJ$2,Inputs!$K$4:$AJ$4,0)))+SUMPRODUCT((Inputs!$E$5:$E$230=$B34)*Inputs!$F$5:$F$230*(((Inputs!$G$5:$G$230="moeda")+(Inputs!$G$5:$G$230="acoes"))*Inputs!$B$1+((Inputs!$G$5:$G$230&lt;&gt;"moeda")*(Inputs!$G$5:$G$230&lt;&gt;"acoes")))*INDEX(Inputs!$K$5:$AJ$230,0,MATCH(AJ$2,Inputs!$K$4:$AJ$4,0)))))</f>
        <v>8.066</v>
      </c>
      <c r="AK34" s="6">
        <f>IF(ISNA(MATCH(AK$2,Inputs!$K$4:$AJ$4,0)),NA(),IF(SUMPRODUCT((Inputs!$A$5:$A$230=$B34)*ISNUMBER(INDEX(Inputs!$K$5:$AJ$230,0,MATCH(AK$2,Inputs!$K$4:$AJ$4,0))))+SUMPRODUCT((Inputs!$C$5:$C$230=$B34)*ISNUMBER(INDEX(Inputs!$K$5:$AJ$230,0,MATCH(AK$2,Inputs!$K$4:$AJ$4,0))))+SUMPRODUCT((Inputs!$E$5:$E$230=$B34)*ISNUMBER(INDEX(Inputs!$K$5:$AJ$230,0,MATCH(AK$2,Inputs!$K$4:$AJ$4,0))))=0,NA(),SUMPRODUCT((Inputs!$A$5:$A$230=$B34)*Inputs!$B$5:$B$230*(((Inputs!$G$5:$G$230="moeda")+(Inputs!$G$5:$G$230="acoes"))*Inputs!$B$1+((Inputs!$G$5:$G$230&lt;&gt;"moeda")*(Inputs!$G$5:$G$230&lt;&gt;"acoes")))*INDEX(Inputs!$K$5:$AJ$230,0,MATCH(AK$2,Inputs!$K$4:$AJ$4,0)))+SUMPRODUCT((Inputs!$C$5:$C$230=$B34)*Inputs!$D$5:$D$230*(((Inputs!$G$5:$G$230="moeda")+(Inputs!$G$5:$G$230="acoes"))*Inputs!$B$1+((Inputs!$G$5:$G$230&lt;&gt;"moeda")*(Inputs!$G$5:$G$230&lt;&gt;"acoes")))*INDEX(Inputs!$K$5:$AJ$230,0,MATCH(AK$2,Inputs!$K$4:$AJ$4,0)))+SUMPRODUCT((Inputs!$E$5:$E$230=$B34)*Inputs!$F$5:$F$230*(((Inputs!$G$5:$G$230="moeda")+(Inputs!$G$5:$G$230="acoes"))*Inputs!$B$1+((Inputs!$G$5:$G$230&lt;&gt;"moeda")*(Inputs!$G$5:$G$230&lt;&gt;"acoes")))*INDEX(Inputs!$K$5:$AJ$230,0,MATCH(AK$2,Inputs!$K$4:$AJ$4,0)))))</f>
        <v>7.392</v>
      </c>
      <c r="AL34" s="3">
        <f>AK34</f>
        <v>7.392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$230=$B35)*ISNUMBER(INDEX(Inputs!$K$5:$AJ$230,0,MATCH(D$2,Inputs!$K$4:$AJ$4,0))))+SUMPRODUCT((Inputs!$C$5:$C$230=$B35)*ISNUMBER(INDEX(Inputs!$K$5:$AJ$230,0,MATCH(D$2,Inputs!$K$4:$AJ$4,0))))+SUMPRODUCT((Inputs!$E$5:$E$230=$B35)*ISNUMBER(INDEX(Inputs!$K$5:$AJ$230,0,MATCH(D$2,Inputs!$K$4:$AJ$4,0))))=0,NA(),SUMPRODUCT((Inputs!$A$5:$A$230=$B35)*Inputs!$B$5:$B$230*(((Inputs!$G$5:$G$230="moeda")+(Inputs!$G$5:$G$230="acoes"))*Inputs!$B$1+((Inputs!$G$5:$G$230&lt;&gt;"moeda")*(Inputs!$G$5:$G$230&lt;&gt;"acoes")))*INDEX(Inputs!$K$5:$AJ$230,0,MATCH(D$2,Inputs!$K$4:$AJ$4,0)))+SUMPRODUCT((Inputs!$C$5:$C$230=$B35)*Inputs!$D$5:$D$230*(((Inputs!$G$5:$G$230="moeda")+(Inputs!$G$5:$G$230="acoes"))*Inputs!$B$1+((Inputs!$G$5:$G$230&lt;&gt;"moeda")*(Inputs!$G$5:$G$230&lt;&gt;"acoes")))*INDEX(Inputs!$K$5:$AJ$230,0,MATCH(D$2,Inputs!$K$4:$AJ$4,0)))+SUMPRODUCT((Inputs!$E$5:$E$230=$B35)*Inputs!$F$5:$F$230*(((Inputs!$G$5:$G$230="moeda")+(Inputs!$G$5:$G$230="acoes"))*Inputs!$B$1+((Inputs!$G$5:$G$230&lt;&gt;"moeda")*(Inputs!$G$5:$G$230&lt;&gt;"acoes")))*INDEX(Inputs!$K$5:$AJ$230,0,MATCH(D$2,Inputs!$K$4:$AJ$4,0)))))</f>
        <v>8105.31</v>
      </c>
      <c r="E35" s="6">
        <f>IF(ISNA(MATCH(E$2,Inputs!$K$4:$AJ$4,0)),NA(),IF(SUMPRODUCT((Inputs!$A$5:$A$230=$B35)*ISNUMBER(INDEX(Inputs!$K$5:$AJ$230,0,MATCH(E$2,Inputs!$K$4:$AJ$4,0))))+SUMPRODUCT((Inputs!$C$5:$C$230=$B35)*ISNUMBER(INDEX(Inputs!$K$5:$AJ$230,0,MATCH(E$2,Inputs!$K$4:$AJ$4,0))))+SUMPRODUCT((Inputs!$E$5:$E$230=$B35)*ISNUMBER(INDEX(Inputs!$K$5:$AJ$230,0,MATCH(E$2,Inputs!$K$4:$AJ$4,0))))=0,NA(),SUMPRODUCT((Inputs!$A$5:$A$230=$B35)*Inputs!$B$5:$B$230*(((Inputs!$G$5:$G$230="moeda")+(Inputs!$G$5:$G$230="acoes"))*Inputs!$B$1+((Inputs!$G$5:$G$230&lt;&gt;"moeda")*(Inputs!$G$5:$G$230&lt;&gt;"acoes")))*INDEX(Inputs!$K$5:$AJ$230,0,MATCH(E$2,Inputs!$K$4:$AJ$4,0)))+SUMPRODUCT((Inputs!$C$5:$C$230=$B35)*Inputs!$D$5:$D$230*(((Inputs!$G$5:$G$230="moeda")+(Inputs!$G$5:$G$230="acoes"))*Inputs!$B$1+((Inputs!$G$5:$G$230&lt;&gt;"moeda")*(Inputs!$G$5:$G$230&lt;&gt;"acoes")))*INDEX(Inputs!$K$5:$AJ$230,0,MATCH(E$2,Inputs!$K$4:$AJ$4,0)))+SUMPRODUCT((Inputs!$E$5:$E$230=$B35)*Inputs!$F$5:$F$230*(((Inputs!$G$5:$G$230="moeda")+(Inputs!$G$5:$G$230="acoes"))*Inputs!$B$1+((Inputs!$G$5:$G$230&lt;&gt;"moeda")*(Inputs!$G$5:$G$230&lt;&gt;"acoes")))*INDEX(Inputs!$K$5:$AJ$230,0,MATCH(E$2,Inputs!$K$4:$AJ$4,0)))))</f>
        <v>8155.094</v>
      </c>
      <c r="F35" s="6">
        <f>IF(ISNA(MATCH(F$2,Inputs!$K$4:$AJ$4,0)),NA(),IF(SUMPRODUCT((Inputs!$A$5:$A$230=$B35)*ISNUMBER(INDEX(Inputs!$K$5:$AJ$230,0,MATCH(F$2,Inputs!$K$4:$AJ$4,0))))+SUMPRODUCT((Inputs!$C$5:$C$230=$B35)*ISNUMBER(INDEX(Inputs!$K$5:$AJ$230,0,MATCH(F$2,Inputs!$K$4:$AJ$4,0))))+SUMPRODUCT((Inputs!$E$5:$E$230=$B35)*ISNUMBER(INDEX(Inputs!$K$5:$AJ$230,0,MATCH(F$2,Inputs!$K$4:$AJ$4,0))))=0,NA(),SUMPRODUCT((Inputs!$A$5:$A$230=$B35)*Inputs!$B$5:$B$230*(((Inputs!$G$5:$G$230="moeda")+(Inputs!$G$5:$G$230="acoes"))*Inputs!$B$1+((Inputs!$G$5:$G$230&lt;&gt;"moeda")*(Inputs!$G$5:$G$230&lt;&gt;"acoes")))*INDEX(Inputs!$K$5:$AJ$230,0,MATCH(F$2,Inputs!$K$4:$AJ$4,0)))+SUMPRODUCT((Inputs!$C$5:$C$230=$B35)*Inputs!$D$5:$D$230*(((Inputs!$G$5:$G$230="moeda")+(Inputs!$G$5:$G$230="acoes"))*Inputs!$B$1+((Inputs!$G$5:$G$230&lt;&gt;"moeda")*(Inputs!$G$5:$G$230&lt;&gt;"acoes")))*INDEX(Inputs!$K$5:$AJ$230,0,MATCH(F$2,Inputs!$K$4:$AJ$4,0)))+SUMPRODUCT((Inputs!$E$5:$E$230=$B35)*Inputs!$F$5:$F$230*(((Inputs!$G$5:$G$230="moeda")+(Inputs!$G$5:$G$230="acoes"))*Inputs!$B$1+((Inputs!$G$5:$G$230&lt;&gt;"moeda")*(Inputs!$G$5:$G$230&lt;&gt;"acoes")))*INDEX(Inputs!$K$5:$AJ$230,0,MATCH(F$2,Inputs!$K$4:$AJ$4,0)))))</f>
        <v>8280.777</v>
      </c>
      <c r="G35" s="6">
        <f>IF(ISNA(MATCH(G$2,Inputs!$K$4:$AJ$4,0)),NA(),IF(SUMPRODUCT((Inputs!$A$5:$A$230=$B35)*ISNUMBER(INDEX(Inputs!$K$5:$AJ$230,0,MATCH(G$2,Inputs!$K$4:$AJ$4,0))))+SUMPRODUCT((Inputs!$C$5:$C$230=$B35)*ISNUMBER(INDEX(Inputs!$K$5:$AJ$230,0,MATCH(G$2,Inputs!$K$4:$AJ$4,0))))+SUMPRODUCT((Inputs!$E$5:$E$230=$B35)*ISNUMBER(INDEX(Inputs!$K$5:$AJ$230,0,MATCH(G$2,Inputs!$K$4:$AJ$4,0))))=0,NA(),SUMPRODUCT((Inputs!$A$5:$A$230=$B35)*Inputs!$B$5:$B$230*(((Inputs!$G$5:$G$230="moeda")+(Inputs!$G$5:$G$230="acoes"))*Inputs!$B$1+((Inputs!$G$5:$G$230&lt;&gt;"moeda")*(Inputs!$G$5:$G$230&lt;&gt;"acoes")))*INDEX(Inputs!$K$5:$AJ$230,0,MATCH(G$2,Inputs!$K$4:$AJ$4,0)))+SUMPRODUCT((Inputs!$C$5:$C$230=$B35)*Inputs!$D$5:$D$230*(((Inputs!$G$5:$G$230="moeda")+(Inputs!$G$5:$G$230="acoes"))*Inputs!$B$1+((Inputs!$G$5:$G$230&lt;&gt;"moeda")*(Inputs!$G$5:$G$230&lt;&gt;"acoes")))*INDEX(Inputs!$K$5:$AJ$230,0,MATCH(G$2,Inputs!$K$4:$AJ$4,0)))+SUMPRODUCT((Inputs!$E$5:$E$230=$B35)*Inputs!$F$5:$F$230*(((Inputs!$G$5:$G$230="moeda")+(Inputs!$G$5:$G$230="acoes"))*Inputs!$B$1+((Inputs!$G$5:$G$230&lt;&gt;"moeda")*(Inputs!$G$5:$G$230&lt;&gt;"acoes")))*INDEX(Inputs!$K$5:$AJ$230,0,MATCH(G$2,Inputs!$K$4:$AJ$4,0)))))</f>
        <v>9096.563</v>
      </c>
      <c r="H35" s="3">
        <f>G35</f>
        <v>9096.563</v>
      </c>
      <c r="I35" s="6">
        <f>IF(ISNA(MATCH(I$2,Inputs!$K$4:$AJ$4,0)),NA(),IF(SUMPRODUCT((Inputs!$A$5:$A$230=$B35)*ISNUMBER(INDEX(Inputs!$K$5:$AJ$230,0,MATCH(I$2,Inputs!$K$4:$AJ$4,0))))+SUMPRODUCT((Inputs!$C$5:$C$230=$B35)*ISNUMBER(INDEX(Inputs!$K$5:$AJ$230,0,MATCH(I$2,Inputs!$K$4:$AJ$4,0))))+SUMPRODUCT((Inputs!$E$5:$E$230=$B35)*ISNUMBER(INDEX(Inputs!$K$5:$AJ$230,0,MATCH(I$2,Inputs!$K$4:$AJ$4,0))))=0,NA(),SUMPRODUCT((Inputs!$A$5:$A$230=$B35)*Inputs!$B$5:$B$230*(((Inputs!$G$5:$G$230="moeda")+(Inputs!$G$5:$G$230="acoes"))*Inputs!$B$1+((Inputs!$G$5:$G$230&lt;&gt;"moeda")*(Inputs!$G$5:$G$230&lt;&gt;"acoes")))*INDEX(Inputs!$K$5:$AJ$230,0,MATCH(I$2,Inputs!$K$4:$AJ$4,0)))+SUMPRODUCT((Inputs!$C$5:$C$230=$B35)*Inputs!$D$5:$D$230*(((Inputs!$G$5:$G$230="moeda")+(Inputs!$G$5:$G$230="acoes"))*Inputs!$B$1+((Inputs!$G$5:$G$230&lt;&gt;"moeda")*(Inputs!$G$5:$G$230&lt;&gt;"acoes")))*INDEX(Inputs!$K$5:$AJ$230,0,MATCH(I$2,Inputs!$K$4:$AJ$4,0)))+SUMPRODUCT((Inputs!$E$5:$E$230=$B35)*Inputs!$F$5:$F$230*(((Inputs!$G$5:$G$230="moeda")+(Inputs!$G$5:$G$230="acoes"))*Inputs!$B$1+((Inputs!$G$5:$G$230&lt;&gt;"moeda")*(Inputs!$G$5:$G$230&lt;&gt;"acoes")))*INDEX(Inputs!$K$5:$AJ$230,0,MATCH(I$2,Inputs!$K$4:$AJ$4,0)))))</f>
        <v>8996.11</v>
      </c>
      <c r="J35" s="6">
        <f>IF(ISNA(MATCH(J$2,Inputs!$K$4:$AJ$4,0)),NA(),IF(SUMPRODUCT((Inputs!$A$5:$A$230=$B35)*ISNUMBER(INDEX(Inputs!$K$5:$AJ$230,0,MATCH(J$2,Inputs!$K$4:$AJ$4,0))))+SUMPRODUCT((Inputs!$C$5:$C$230=$B35)*ISNUMBER(INDEX(Inputs!$K$5:$AJ$230,0,MATCH(J$2,Inputs!$K$4:$AJ$4,0))))+SUMPRODUCT((Inputs!$E$5:$E$230=$B35)*ISNUMBER(INDEX(Inputs!$K$5:$AJ$230,0,MATCH(J$2,Inputs!$K$4:$AJ$4,0))))=0,NA(),SUMPRODUCT((Inputs!$A$5:$A$230=$B35)*Inputs!$B$5:$B$230*(((Inputs!$G$5:$G$230="moeda")+(Inputs!$G$5:$G$230="acoes"))*Inputs!$B$1+((Inputs!$G$5:$G$230&lt;&gt;"moeda")*(Inputs!$G$5:$G$230&lt;&gt;"acoes")))*INDEX(Inputs!$K$5:$AJ$230,0,MATCH(J$2,Inputs!$K$4:$AJ$4,0)))+SUMPRODUCT((Inputs!$C$5:$C$230=$B35)*Inputs!$D$5:$D$230*(((Inputs!$G$5:$G$230="moeda")+(Inputs!$G$5:$G$230="acoes"))*Inputs!$B$1+((Inputs!$G$5:$G$230&lt;&gt;"moeda")*(Inputs!$G$5:$G$230&lt;&gt;"acoes")))*INDEX(Inputs!$K$5:$AJ$230,0,MATCH(J$2,Inputs!$K$4:$AJ$4,0)))+SUMPRODUCT((Inputs!$E$5:$E$230=$B35)*Inputs!$F$5:$F$230*(((Inputs!$G$5:$G$230="moeda")+(Inputs!$G$5:$G$230="acoes"))*Inputs!$B$1+((Inputs!$G$5:$G$230&lt;&gt;"moeda")*(Inputs!$G$5:$G$230&lt;&gt;"acoes")))*INDEX(Inputs!$K$5:$AJ$230,0,MATCH(J$2,Inputs!$K$4:$AJ$4,0)))))</f>
        <v>9967.49</v>
      </c>
      <c r="K35" s="6">
        <f>IF(ISNA(MATCH(K$2,Inputs!$K$4:$AJ$4,0)),NA(),IF(SUMPRODUCT((Inputs!$A$5:$A$230=$B35)*ISNUMBER(INDEX(Inputs!$K$5:$AJ$230,0,MATCH(K$2,Inputs!$K$4:$AJ$4,0))))+SUMPRODUCT((Inputs!$C$5:$C$230=$B35)*ISNUMBER(INDEX(Inputs!$K$5:$AJ$230,0,MATCH(K$2,Inputs!$K$4:$AJ$4,0))))+SUMPRODUCT((Inputs!$E$5:$E$230=$B35)*ISNUMBER(INDEX(Inputs!$K$5:$AJ$230,0,MATCH(K$2,Inputs!$K$4:$AJ$4,0))))=0,NA(),SUMPRODUCT((Inputs!$A$5:$A$230=$B35)*Inputs!$B$5:$B$230*(((Inputs!$G$5:$G$230="moeda")+(Inputs!$G$5:$G$230="acoes"))*Inputs!$B$1+((Inputs!$G$5:$G$230&lt;&gt;"moeda")*(Inputs!$G$5:$G$230&lt;&gt;"acoes")))*INDEX(Inputs!$K$5:$AJ$230,0,MATCH(K$2,Inputs!$K$4:$AJ$4,0)))+SUMPRODUCT((Inputs!$C$5:$C$230=$B35)*Inputs!$D$5:$D$230*(((Inputs!$G$5:$G$230="moeda")+(Inputs!$G$5:$G$230="acoes"))*Inputs!$B$1+((Inputs!$G$5:$G$230&lt;&gt;"moeda")*(Inputs!$G$5:$G$230&lt;&gt;"acoes")))*INDEX(Inputs!$K$5:$AJ$230,0,MATCH(K$2,Inputs!$K$4:$AJ$4,0)))+SUMPRODUCT((Inputs!$E$5:$E$230=$B35)*Inputs!$F$5:$F$230*(((Inputs!$G$5:$G$230="moeda")+(Inputs!$G$5:$G$230="acoes"))*Inputs!$B$1+((Inputs!$G$5:$G$230&lt;&gt;"moeda")*(Inputs!$G$5:$G$230&lt;&gt;"acoes")))*INDEX(Inputs!$K$5:$AJ$230,0,MATCH(K$2,Inputs!$K$4:$AJ$4,0)))))</f>
        <v>10397.022</v>
      </c>
      <c r="L35" s="6">
        <f>IF(ISNA(MATCH(L$2,Inputs!$K$4:$AJ$4,0)),NA(),IF(SUMPRODUCT((Inputs!$A$5:$A$230=$B35)*ISNUMBER(INDEX(Inputs!$K$5:$AJ$230,0,MATCH(L$2,Inputs!$K$4:$AJ$4,0))))+SUMPRODUCT((Inputs!$C$5:$C$230=$B35)*ISNUMBER(INDEX(Inputs!$K$5:$AJ$230,0,MATCH(L$2,Inputs!$K$4:$AJ$4,0))))+SUMPRODUCT((Inputs!$E$5:$E$230=$B35)*ISNUMBER(INDEX(Inputs!$K$5:$AJ$230,0,MATCH(L$2,Inputs!$K$4:$AJ$4,0))))=0,NA(),SUMPRODUCT((Inputs!$A$5:$A$230=$B35)*Inputs!$B$5:$B$230*(((Inputs!$G$5:$G$230="moeda")+(Inputs!$G$5:$G$230="acoes"))*Inputs!$B$1+((Inputs!$G$5:$G$230&lt;&gt;"moeda")*(Inputs!$G$5:$G$230&lt;&gt;"acoes")))*INDEX(Inputs!$K$5:$AJ$230,0,MATCH(L$2,Inputs!$K$4:$AJ$4,0)))+SUMPRODUCT((Inputs!$C$5:$C$230=$B35)*Inputs!$D$5:$D$230*(((Inputs!$G$5:$G$230="moeda")+(Inputs!$G$5:$G$230="acoes"))*Inputs!$B$1+((Inputs!$G$5:$G$230&lt;&gt;"moeda")*(Inputs!$G$5:$G$230&lt;&gt;"acoes")))*INDEX(Inputs!$K$5:$AJ$230,0,MATCH(L$2,Inputs!$K$4:$AJ$4,0)))+SUMPRODUCT((Inputs!$E$5:$E$230=$B35)*Inputs!$F$5:$F$230*(((Inputs!$G$5:$G$230="moeda")+(Inputs!$G$5:$G$230="acoes"))*Inputs!$B$1+((Inputs!$G$5:$G$230&lt;&gt;"moeda")*(Inputs!$G$5:$G$230&lt;&gt;"acoes")))*INDEX(Inputs!$K$5:$AJ$230,0,MATCH(L$2,Inputs!$K$4:$AJ$4,0)))))</f>
        <v>10485.077</v>
      </c>
      <c r="M35" s="3">
        <f>L35</f>
        <v>10485.077</v>
      </c>
      <c r="N35" s="6">
        <f>IF(ISNA(MATCH(N$2,Inputs!$K$4:$AJ$4,0)),NA(),IF(SUMPRODUCT((Inputs!$A$5:$A$230=$B35)*ISNUMBER(INDEX(Inputs!$K$5:$AJ$230,0,MATCH(N$2,Inputs!$K$4:$AJ$4,0))))+SUMPRODUCT((Inputs!$C$5:$C$230=$B35)*ISNUMBER(INDEX(Inputs!$K$5:$AJ$230,0,MATCH(N$2,Inputs!$K$4:$AJ$4,0))))+SUMPRODUCT((Inputs!$E$5:$E$230=$B35)*ISNUMBER(INDEX(Inputs!$K$5:$AJ$230,0,MATCH(N$2,Inputs!$K$4:$AJ$4,0))))=0,NA(),SUMPRODUCT((Inputs!$A$5:$A$230=$B35)*Inputs!$B$5:$B$230*(((Inputs!$G$5:$G$230="moeda")+(Inputs!$G$5:$G$230="acoes"))*Inputs!$B$1+((Inputs!$G$5:$G$230&lt;&gt;"moeda")*(Inputs!$G$5:$G$230&lt;&gt;"acoes")))*INDEX(Inputs!$K$5:$AJ$230,0,MATCH(N$2,Inputs!$K$4:$AJ$4,0)))+SUMPRODUCT((Inputs!$C$5:$C$230=$B35)*Inputs!$D$5:$D$230*(((Inputs!$G$5:$G$230="moeda")+(Inputs!$G$5:$G$230="acoes"))*Inputs!$B$1+((Inputs!$G$5:$G$230&lt;&gt;"moeda")*(Inputs!$G$5:$G$230&lt;&gt;"acoes")))*INDEX(Inputs!$K$5:$AJ$230,0,MATCH(N$2,Inputs!$K$4:$AJ$4,0)))+SUMPRODUCT((Inputs!$E$5:$E$230=$B35)*Inputs!$F$5:$F$230*(((Inputs!$G$5:$G$230="moeda")+(Inputs!$G$5:$G$230="acoes"))*Inputs!$B$1+((Inputs!$G$5:$G$230&lt;&gt;"moeda")*(Inputs!$G$5:$G$230&lt;&gt;"acoes")))*INDEX(Inputs!$K$5:$AJ$230,0,MATCH(N$2,Inputs!$K$4:$AJ$4,0)))))</f>
        <v>10460.853</v>
      </c>
      <c r="O35" s="6">
        <f>IF(ISNA(MATCH(O$2,Inputs!$K$4:$AJ$4,0)),NA(),IF(SUMPRODUCT((Inputs!$A$5:$A$230=$B35)*ISNUMBER(INDEX(Inputs!$K$5:$AJ$230,0,MATCH(O$2,Inputs!$K$4:$AJ$4,0))))+SUMPRODUCT((Inputs!$C$5:$C$230=$B35)*ISNUMBER(INDEX(Inputs!$K$5:$AJ$230,0,MATCH(O$2,Inputs!$K$4:$AJ$4,0))))+SUMPRODUCT((Inputs!$E$5:$E$230=$B35)*ISNUMBER(INDEX(Inputs!$K$5:$AJ$230,0,MATCH(O$2,Inputs!$K$4:$AJ$4,0))))=0,NA(),SUMPRODUCT((Inputs!$A$5:$A$230=$B35)*Inputs!$B$5:$B$230*(((Inputs!$G$5:$G$230="moeda")+(Inputs!$G$5:$G$230="acoes"))*Inputs!$B$1+((Inputs!$G$5:$G$230&lt;&gt;"moeda")*(Inputs!$G$5:$G$230&lt;&gt;"acoes")))*INDEX(Inputs!$K$5:$AJ$230,0,MATCH(O$2,Inputs!$K$4:$AJ$4,0)))+SUMPRODUCT((Inputs!$C$5:$C$230=$B35)*Inputs!$D$5:$D$230*(((Inputs!$G$5:$G$230="moeda")+(Inputs!$G$5:$G$230="acoes"))*Inputs!$B$1+((Inputs!$G$5:$G$230&lt;&gt;"moeda")*(Inputs!$G$5:$G$230&lt;&gt;"acoes")))*INDEX(Inputs!$K$5:$AJ$230,0,MATCH(O$2,Inputs!$K$4:$AJ$4,0)))+SUMPRODUCT((Inputs!$E$5:$E$230=$B35)*Inputs!$F$5:$F$230*(((Inputs!$G$5:$G$230="moeda")+(Inputs!$G$5:$G$230="acoes"))*Inputs!$B$1+((Inputs!$G$5:$G$230&lt;&gt;"moeda")*(Inputs!$G$5:$G$230&lt;&gt;"acoes")))*INDEX(Inputs!$K$5:$AJ$230,0,MATCH(O$2,Inputs!$K$4:$AJ$4,0)))))</f>
        <v>10374.163</v>
      </c>
      <c r="P35" s="6">
        <f>IF(ISNA(MATCH(P$2,Inputs!$K$4:$AJ$4,0)),NA(),IF(SUMPRODUCT((Inputs!$A$5:$A$230=$B35)*ISNUMBER(INDEX(Inputs!$K$5:$AJ$230,0,MATCH(P$2,Inputs!$K$4:$AJ$4,0))))+SUMPRODUCT((Inputs!$C$5:$C$230=$B35)*ISNUMBER(INDEX(Inputs!$K$5:$AJ$230,0,MATCH(P$2,Inputs!$K$4:$AJ$4,0))))+SUMPRODUCT((Inputs!$E$5:$E$230=$B35)*ISNUMBER(INDEX(Inputs!$K$5:$AJ$230,0,MATCH(P$2,Inputs!$K$4:$AJ$4,0))))=0,NA(),SUMPRODUCT((Inputs!$A$5:$A$230=$B35)*Inputs!$B$5:$B$230*(((Inputs!$G$5:$G$230="moeda")+(Inputs!$G$5:$G$230="acoes"))*Inputs!$B$1+((Inputs!$G$5:$G$230&lt;&gt;"moeda")*(Inputs!$G$5:$G$230&lt;&gt;"acoes")))*INDEX(Inputs!$K$5:$AJ$230,0,MATCH(P$2,Inputs!$K$4:$AJ$4,0)))+SUMPRODUCT((Inputs!$C$5:$C$230=$B35)*Inputs!$D$5:$D$230*(((Inputs!$G$5:$G$230="moeda")+(Inputs!$G$5:$G$230="acoes"))*Inputs!$B$1+((Inputs!$G$5:$G$230&lt;&gt;"moeda")*(Inputs!$G$5:$G$230&lt;&gt;"acoes")))*INDEX(Inputs!$K$5:$AJ$230,0,MATCH(P$2,Inputs!$K$4:$AJ$4,0)))+SUMPRODUCT((Inputs!$E$5:$E$230=$B35)*Inputs!$F$5:$F$230*(((Inputs!$G$5:$G$230="moeda")+(Inputs!$G$5:$G$230="acoes"))*Inputs!$B$1+((Inputs!$G$5:$G$230&lt;&gt;"moeda")*(Inputs!$G$5:$G$230&lt;&gt;"acoes")))*INDEX(Inputs!$K$5:$AJ$230,0,MATCH(P$2,Inputs!$K$4:$AJ$4,0)))))</f>
        <v>9760.44</v>
      </c>
      <c r="Q35" s="6">
        <f>IF(ISNA(MATCH(Q$2,Inputs!$K$4:$AJ$4,0)),NA(),IF(SUMPRODUCT((Inputs!$A$5:$A$230=$B35)*ISNUMBER(INDEX(Inputs!$K$5:$AJ$230,0,MATCH(Q$2,Inputs!$K$4:$AJ$4,0))))+SUMPRODUCT((Inputs!$C$5:$C$230=$B35)*ISNUMBER(INDEX(Inputs!$K$5:$AJ$230,0,MATCH(Q$2,Inputs!$K$4:$AJ$4,0))))+SUMPRODUCT((Inputs!$E$5:$E$230=$B35)*ISNUMBER(INDEX(Inputs!$K$5:$AJ$230,0,MATCH(Q$2,Inputs!$K$4:$AJ$4,0))))=0,NA(),SUMPRODUCT((Inputs!$A$5:$A$230=$B35)*Inputs!$B$5:$B$230*(((Inputs!$G$5:$G$230="moeda")+(Inputs!$G$5:$G$230="acoes"))*Inputs!$B$1+((Inputs!$G$5:$G$230&lt;&gt;"moeda")*(Inputs!$G$5:$G$230&lt;&gt;"acoes")))*INDEX(Inputs!$K$5:$AJ$230,0,MATCH(Q$2,Inputs!$K$4:$AJ$4,0)))+SUMPRODUCT((Inputs!$C$5:$C$230=$B35)*Inputs!$D$5:$D$230*(((Inputs!$G$5:$G$230="moeda")+(Inputs!$G$5:$G$230="acoes"))*Inputs!$B$1+((Inputs!$G$5:$G$230&lt;&gt;"moeda")*(Inputs!$G$5:$G$230&lt;&gt;"acoes")))*INDEX(Inputs!$K$5:$AJ$230,0,MATCH(Q$2,Inputs!$K$4:$AJ$4,0)))+SUMPRODUCT((Inputs!$E$5:$E$230=$B35)*Inputs!$F$5:$F$230*(((Inputs!$G$5:$G$230="moeda")+(Inputs!$G$5:$G$230="acoes"))*Inputs!$B$1+((Inputs!$G$5:$G$230&lt;&gt;"moeda")*(Inputs!$G$5:$G$230&lt;&gt;"acoes")))*INDEX(Inputs!$K$5:$AJ$230,0,MATCH(Q$2,Inputs!$K$4:$AJ$4,0)))))</f>
        <v>9638.874</v>
      </c>
      <c r="R35" s="3">
        <f>Q35</f>
        <v>9638.874</v>
      </c>
      <c r="S35" s="6">
        <f>IF(ISNA(MATCH(S$2,Inputs!$K$4:$AJ$4,0)),NA(),IF(SUMPRODUCT((Inputs!$A$5:$A$230=$B35)*ISNUMBER(INDEX(Inputs!$K$5:$AJ$230,0,MATCH(S$2,Inputs!$K$4:$AJ$4,0))))+SUMPRODUCT((Inputs!$C$5:$C$230=$B35)*ISNUMBER(INDEX(Inputs!$K$5:$AJ$230,0,MATCH(S$2,Inputs!$K$4:$AJ$4,0))))+SUMPRODUCT((Inputs!$E$5:$E$230=$B35)*ISNUMBER(INDEX(Inputs!$K$5:$AJ$230,0,MATCH(S$2,Inputs!$K$4:$AJ$4,0))))=0,NA(),SUMPRODUCT((Inputs!$A$5:$A$230=$B35)*Inputs!$B$5:$B$230*(((Inputs!$G$5:$G$230="moeda")+(Inputs!$G$5:$G$230="acoes"))*Inputs!$B$1+((Inputs!$G$5:$G$230&lt;&gt;"moeda")*(Inputs!$G$5:$G$230&lt;&gt;"acoes")))*INDEX(Inputs!$K$5:$AJ$230,0,MATCH(S$2,Inputs!$K$4:$AJ$4,0)))+SUMPRODUCT((Inputs!$C$5:$C$230=$B35)*Inputs!$D$5:$D$230*(((Inputs!$G$5:$G$230="moeda")+(Inputs!$G$5:$G$230="acoes"))*Inputs!$B$1+((Inputs!$G$5:$G$230&lt;&gt;"moeda")*(Inputs!$G$5:$G$230&lt;&gt;"acoes")))*INDEX(Inputs!$K$5:$AJ$230,0,MATCH(S$2,Inputs!$K$4:$AJ$4,0)))+SUMPRODUCT((Inputs!$E$5:$E$230=$B35)*Inputs!$F$5:$F$230*(((Inputs!$G$5:$G$230="moeda")+(Inputs!$G$5:$G$230="acoes"))*Inputs!$B$1+((Inputs!$G$5:$G$230&lt;&gt;"moeda")*(Inputs!$G$5:$G$230&lt;&gt;"acoes")))*INDEX(Inputs!$K$5:$AJ$230,0,MATCH(S$2,Inputs!$K$4:$AJ$4,0)))))</f>
        <v>9451.736</v>
      </c>
      <c r="T35" s="6">
        <f>IF(ISNA(MATCH(T$2,Inputs!$K$4:$AJ$4,0)),NA(),IF(SUMPRODUCT((Inputs!$A$5:$A$230=$B35)*ISNUMBER(INDEX(Inputs!$K$5:$AJ$230,0,MATCH(T$2,Inputs!$K$4:$AJ$4,0))))+SUMPRODUCT((Inputs!$C$5:$C$230=$B35)*ISNUMBER(INDEX(Inputs!$K$5:$AJ$230,0,MATCH(T$2,Inputs!$K$4:$AJ$4,0))))+SUMPRODUCT((Inputs!$E$5:$E$230=$B35)*ISNUMBER(INDEX(Inputs!$K$5:$AJ$230,0,MATCH(T$2,Inputs!$K$4:$AJ$4,0))))=0,NA(),SUMPRODUCT((Inputs!$A$5:$A$230=$B35)*Inputs!$B$5:$B$230*(((Inputs!$G$5:$G$230="moeda")+(Inputs!$G$5:$G$230="acoes"))*Inputs!$B$1+((Inputs!$G$5:$G$230&lt;&gt;"moeda")*(Inputs!$G$5:$G$230&lt;&gt;"acoes")))*INDEX(Inputs!$K$5:$AJ$230,0,MATCH(T$2,Inputs!$K$4:$AJ$4,0)))+SUMPRODUCT((Inputs!$C$5:$C$230=$B35)*Inputs!$D$5:$D$230*(((Inputs!$G$5:$G$230="moeda")+(Inputs!$G$5:$G$230="acoes"))*Inputs!$B$1+((Inputs!$G$5:$G$230&lt;&gt;"moeda")*(Inputs!$G$5:$G$230&lt;&gt;"acoes")))*INDEX(Inputs!$K$5:$AJ$230,0,MATCH(T$2,Inputs!$K$4:$AJ$4,0)))+SUMPRODUCT((Inputs!$E$5:$E$230=$B35)*Inputs!$F$5:$F$230*(((Inputs!$G$5:$G$230="moeda")+(Inputs!$G$5:$G$230="acoes"))*Inputs!$B$1+((Inputs!$G$5:$G$230&lt;&gt;"moeda")*(Inputs!$G$5:$G$230&lt;&gt;"acoes")))*INDEX(Inputs!$K$5:$AJ$230,0,MATCH(T$2,Inputs!$K$4:$AJ$4,0)))))</f>
        <v>9591.81</v>
      </c>
      <c r="U35" s="6">
        <f>IF(ISNA(MATCH(U$2,Inputs!$K$4:$AJ$4,0)),NA(),IF(SUMPRODUCT((Inputs!$A$5:$A$230=$B35)*ISNUMBER(INDEX(Inputs!$K$5:$AJ$230,0,MATCH(U$2,Inputs!$K$4:$AJ$4,0))))+SUMPRODUCT((Inputs!$C$5:$C$230=$B35)*ISNUMBER(INDEX(Inputs!$K$5:$AJ$230,0,MATCH(U$2,Inputs!$K$4:$AJ$4,0))))+SUMPRODUCT((Inputs!$E$5:$E$230=$B35)*ISNUMBER(INDEX(Inputs!$K$5:$AJ$230,0,MATCH(U$2,Inputs!$K$4:$AJ$4,0))))=0,NA(),SUMPRODUCT((Inputs!$A$5:$A$230=$B35)*Inputs!$B$5:$B$230*(((Inputs!$G$5:$G$230="moeda")+(Inputs!$G$5:$G$230="acoes"))*Inputs!$B$1+((Inputs!$G$5:$G$230&lt;&gt;"moeda")*(Inputs!$G$5:$G$230&lt;&gt;"acoes")))*INDEX(Inputs!$K$5:$AJ$230,0,MATCH(U$2,Inputs!$K$4:$AJ$4,0)))+SUMPRODUCT((Inputs!$C$5:$C$230=$B35)*Inputs!$D$5:$D$230*(((Inputs!$G$5:$G$230="moeda")+(Inputs!$G$5:$G$230="acoes"))*Inputs!$B$1+((Inputs!$G$5:$G$230&lt;&gt;"moeda")*(Inputs!$G$5:$G$230&lt;&gt;"acoes")))*INDEX(Inputs!$K$5:$AJ$230,0,MATCH(U$2,Inputs!$K$4:$AJ$4,0)))+SUMPRODUCT((Inputs!$E$5:$E$230=$B35)*Inputs!$F$5:$F$230*(((Inputs!$G$5:$G$230="moeda")+(Inputs!$G$5:$G$230="acoes"))*Inputs!$B$1+((Inputs!$G$5:$G$230&lt;&gt;"moeda")*(Inputs!$G$5:$G$230&lt;&gt;"acoes")))*INDEX(Inputs!$K$5:$AJ$230,0,MATCH(U$2,Inputs!$K$4:$AJ$4,0)))))</f>
        <v>9891.974</v>
      </c>
      <c r="V35" s="6">
        <f>IF(ISNA(MATCH(V$2,Inputs!$K$4:$AJ$4,0)),NA(),IF(SUMPRODUCT((Inputs!$A$5:$A$230=$B35)*ISNUMBER(INDEX(Inputs!$K$5:$AJ$230,0,MATCH(V$2,Inputs!$K$4:$AJ$4,0))))+SUMPRODUCT((Inputs!$C$5:$C$230=$B35)*ISNUMBER(INDEX(Inputs!$K$5:$AJ$230,0,MATCH(V$2,Inputs!$K$4:$AJ$4,0))))+SUMPRODUCT((Inputs!$E$5:$E$230=$B35)*ISNUMBER(INDEX(Inputs!$K$5:$AJ$230,0,MATCH(V$2,Inputs!$K$4:$AJ$4,0))))=0,NA(),SUMPRODUCT((Inputs!$A$5:$A$230=$B35)*Inputs!$B$5:$B$230*(((Inputs!$G$5:$G$230="moeda")+(Inputs!$G$5:$G$230="acoes"))*Inputs!$B$1+((Inputs!$G$5:$G$230&lt;&gt;"moeda")*(Inputs!$G$5:$G$230&lt;&gt;"acoes")))*INDEX(Inputs!$K$5:$AJ$230,0,MATCH(V$2,Inputs!$K$4:$AJ$4,0)))+SUMPRODUCT((Inputs!$C$5:$C$230=$B35)*Inputs!$D$5:$D$230*(((Inputs!$G$5:$G$230="moeda")+(Inputs!$G$5:$G$230="acoes"))*Inputs!$B$1+((Inputs!$G$5:$G$230&lt;&gt;"moeda")*(Inputs!$G$5:$G$230&lt;&gt;"acoes")))*INDEX(Inputs!$K$5:$AJ$230,0,MATCH(V$2,Inputs!$K$4:$AJ$4,0)))+SUMPRODUCT((Inputs!$E$5:$E$230=$B35)*Inputs!$F$5:$F$230*(((Inputs!$G$5:$G$230="moeda")+(Inputs!$G$5:$G$230="acoes"))*Inputs!$B$1+((Inputs!$G$5:$G$230&lt;&gt;"moeda")*(Inputs!$G$5:$G$230&lt;&gt;"acoes")))*INDEX(Inputs!$K$5:$AJ$230,0,MATCH(V$2,Inputs!$K$4:$AJ$4,0)))))</f>
        <v>10714.02</v>
      </c>
      <c r="W35" s="3">
        <f>V35</f>
        <v>10714.02</v>
      </c>
      <c r="X35" s="6">
        <f>IF(ISNA(MATCH(X$2,Inputs!$K$4:$AJ$4,0)),NA(),IF(SUMPRODUCT((Inputs!$A$5:$A$230=$B35)*ISNUMBER(INDEX(Inputs!$K$5:$AJ$230,0,MATCH(X$2,Inputs!$K$4:$AJ$4,0))))+SUMPRODUCT((Inputs!$C$5:$C$230=$B35)*ISNUMBER(INDEX(Inputs!$K$5:$AJ$230,0,MATCH(X$2,Inputs!$K$4:$AJ$4,0))))+SUMPRODUCT((Inputs!$E$5:$E$230=$B35)*ISNUMBER(INDEX(Inputs!$K$5:$AJ$230,0,MATCH(X$2,Inputs!$K$4:$AJ$4,0))))=0,NA(),SUMPRODUCT((Inputs!$A$5:$A$230=$B35)*Inputs!$B$5:$B$230*(((Inputs!$G$5:$G$230="moeda")+(Inputs!$G$5:$G$230="acoes"))*Inputs!$B$1+((Inputs!$G$5:$G$230&lt;&gt;"moeda")*(Inputs!$G$5:$G$230&lt;&gt;"acoes")))*INDEX(Inputs!$K$5:$AJ$230,0,MATCH(X$2,Inputs!$K$4:$AJ$4,0)))+SUMPRODUCT((Inputs!$C$5:$C$230=$B35)*Inputs!$D$5:$D$230*(((Inputs!$G$5:$G$230="moeda")+(Inputs!$G$5:$G$230="acoes"))*Inputs!$B$1+((Inputs!$G$5:$G$230&lt;&gt;"moeda")*(Inputs!$G$5:$G$230&lt;&gt;"acoes")))*INDEX(Inputs!$K$5:$AJ$230,0,MATCH(X$2,Inputs!$K$4:$AJ$4,0)))+SUMPRODUCT((Inputs!$E$5:$E$230=$B35)*Inputs!$F$5:$F$230*(((Inputs!$G$5:$G$230="moeda")+(Inputs!$G$5:$G$230="acoes"))*Inputs!$B$1+((Inputs!$G$5:$G$230&lt;&gt;"moeda")*(Inputs!$G$5:$G$230&lt;&gt;"acoes")))*INDEX(Inputs!$K$5:$AJ$230,0,MATCH(X$2,Inputs!$K$4:$AJ$4,0)))))</f>
        <v>10624.788</v>
      </c>
      <c r="Y35" s="6">
        <f>IF(ISNA(MATCH(Y$2,Inputs!$K$4:$AJ$4,0)),NA(),IF(SUMPRODUCT((Inputs!$A$5:$A$230=$B35)*ISNUMBER(INDEX(Inputs!$K$5:$AJ$230,0,MATCH(Y$2,Inputs!$K$4:$AJ$4,0))))+SUMPRODUCT((Inputs!$C$5:$C$230=$B35)*ISNUMBER(INDEX(Inputs!$K$5:$AJ$230,0,MATCH(Y$2,Inputs!$K$4:$AJ$4,0))))+SUMPRODUCT((Inputs!$E$5:$E$230=$B35)*ISNUMBER(INDEX(Inputs!$K$5:$AJ$230,0,MATCH(Y$2,Inputs!$K$4:$AJ$4,0))))=0,NA(),SUMPRODUCT((Inputs!$A$5:$A$230=$B35)*Inputs!$B$5:$B$230*(((Inputs!$G$5:$G$230="moeda")+(Inputs!$G$5:$G$230="acoes"))*Inputs!$B$1+((Inputs!$G$5:$G$230&lt;&gt;"moeda")*(Inputs!$G$5:$G$230&lt;&gt;"acoes")))*INDEX(Inputs!$K$5:$AJ$230,0,MATCH(Y$2,Inputs!$K$4:$AJ$4,0)))+SUMPRODUCT((Inputs!$C$5:$C$230=$B35)*Inputs!$D$5:$D$230*(((Inputs!$G$5:$G$230="moeda")+(Inputs!$G$5:$G$230="acoes"))*Inputs!$B$1+((Inputs!$G$5:$G$230&lt;&gt;"moeda")*(Inputs!$G$5:$G$230&lt;&gt;"acoes")))*INDEX(Inputs!$K$5:$AJ$230,0,MATCH(Y$2,Inputs!$K$4:$AJ$4,0)))+SUMPRODUCT((Inputs!$E$5:$E$230=$B35)*Inputs!$F$5:$F$230*(((Inputs!$G$5:$G$230="moeda")+(Inputs!$G$5:$G$230="acoes"))*Inputs!$B$1+((Inputs!$G$5:$G$230&lt;&gt;"moeda")*(Inputs!$G$5:$G$230&lt;&gt;"acoes")))*INDEX(Inputs!$K$5:$AJ$230,0,MATCH(Y$2,Inputs!$K$4:$AJ$4,0)))))</f>
        <v>10743.774</v>
      </c>
      <c r="Z35" s="6">
        <f>IF(ISNA(MATCH(Z$2,Inputs!$K$4:$AJ$4,0)),NA(),IF(SUMPRODUCT((Inputs!$A$5:$A$230=$B35)*ISNUMBER(INDEX(Inputs!$K$5:$AJ$230,0,MATCH(Z$2,Inputs!$K$4:$AJ$4,0))))+SUMPRODUCT((Inputs!$C$5:$C$230=$B35)*ISNUMBER(INDEX(Inputs!$K$5:$AJ$230,0,MATCH(Z$2,Inputs!$K$4:$AJ$4,0))))+SUMPRODUCT((Inputs!$E$5:$E$230=$B35)*ISNUMBER(INDEX(Inputs!$K$5:$AJ$230,0,MATCH(Z$2,Inputs!$K$4:$AJ$4,0))))=0,NA(),SUMPRODUCT((Inputs!$A$5:$A$230=$B35)*Inputs!$B$5:$B$230*(((Inputs!$G$5:$G$230="moeda")+(Inputs!$G$5:$G$230="acoes"))*Inputs!$B$1+((Inputs!$G$5:$G$230&lt;&gt;"moeda")*(Inputs!$G$5:$G$230&lt;&gt;"acoes")))*INDEX(Inputs!$K$5:$AJ$230,0,MATCH(Z$2,Inputs!$K$4:$AJ$4,0)))+SUMPRODUCT((Inputs!$C$5:$C$230=$B35)*Inputs!$D$5:$D$230*(((Inputs!$G$5:$G$230="moeda")+(Inputs!$G$5:$G$230="acoes"))*Inputs!$B$1+((Inputs!$G$5:$G$230&lt;&gt;"moeda")*(Inputs!$G$5:$G$230&lt;&gt;"acoes")))*INDEX(Inputs!$K$5:$AJ$230,0,MATCH(Z$2,Inputs!$K$4:$AJ$4,0)))+SUMPRODUCT((Inputs!$E$5:$E$230=$B35)*Inputs!$F$5:$F$230*(((Inputs!$G$5:$G$230="moeda")+(Inputs!$G$5:$G$230="acoes"))*Inputs!$B$1+((Inputs!$G$5:$G$230&lt;&gt;"moeda")*(Inputs!$G$5:$G$230&lt;&gt;"acoes")))*INDEX(Inputs!$K$5:$AJ$230,0,MATCH(Z$2,Inputs!$K$4:$AJ$4,0)))))</f>
        <v>11015.652</v>
      </c>
      <c r="AA35" s="6">
        <f>IF(ISNA(MATCH(AA$2,Inputs!$K$4:$AJ$4,0)),NA(),IF(SUMPRODUCT((Inputs!$A$5:$A$230=$B35)*ISNUMBER(INDEX(Inputs!$K$5:$AJ$230,0,MATCH(AA$2,Inputs!$K$4:$AJ$4,0))))+SUMPRODUCT((Inputs!$C$5:$C$230=$B35)*ISNUMBER(INDEX(Inputs!$K$5:$AJ$230,0,MATCH(AA$2,Inputs!$K$4:$AJ$4,0))))+SUMPRODUCT((Inputs!$E$5:$E$230=$B35)*ISNUMBER(INDEX(Inputs!$K$5:$AJ$230,0,MATCH(AA$2,Inputs!$K$4:$AJ$4,0))))=0,NA(),SUMPRODUCT((Inputs!$A$5:$A$230=$B35)*Inputs!$B$5:$B$230*(((Inputs!$G$5:$G$230="moeda")+(Inputs!$G$5:$G$230="acoes"))*Inputs!$B$1+((Inputs!$G$5:$G$230&lt;&gt;"moeda")*(Inputs!$G$5:$G$230&lt;&gt;"acoes")))*INDEX(Inputs!$K$5:$AJ$230,0,MATCH(AA$2,Inputs!$K$4:$AJ$4,0)))+SUMPRODUCT((Inputs!$C$5:$C$230=$B35)*Inputs!$D$5:$D$230*(((Inputs!$G$5:$G$230="moeda")+(Inputs!$G$5:$G$230="acoes"))*Inputs!$B$1+((Inputs!$G$5:$G$230&lt;&gt;"moeda")*(Inputs!$G$5:$G$230&lt;&gt;"acoes")))*INDEX(Inputs!$K$5:$AJ$230,0,MATCH(AA$2,Inputs!$K$4:$AJ$4,0)))+SUMPRODUCT((Inputs!$E$5:$E$230=$B35)*Inputs!$F$5:$F$230*(((Inputs!$G$5:$G$230="moeda")+(Inputs!$G$5:$G$230="acoes"))*Inputs!$B$1+((Inputs!$G$5:$G$230&lt;&gt;"moeda")*(Inputs!$G$5:$G$230&lt;&gt;"acoes")))*INDEX(Inputs!$K$5:$AJ$230,0,MATCH(AA$2,Inputs!$K$4:$AJ$4,0)))))</f>
        <v>11142.704</v>
      </c>
      <c r="AB35" s="3">
        <f>AA35</f>
        <v>11142.704</v>
      </c>
      <c r="AC35" s="6">
        <f>IF(ISNA(MATCH(AC$2,Inputs!$K$4:$AJ$4,0)),NA(),IF(SUMPRODUCT((Inputs!$A$5:$A$230=$B35)*ISNUMBER(INDEX(Inputs!$K$5:$AJ$230,0,MATCH(AC$2,Inputs!$K$4:$AJ$4,0))))+SUMPRODUCT((Inputs!$C$5:$C$230=$B35)*ISNUMBER(INDEX(Inputs!$K$5:$AJ$230,0,MATCH(AC$2,Inputs!$K$4:$AJ$4,0))))+SUMPRODUCT((Inputs!$E$5:$E$230=$B35)*ISNUMBER(INDEX(Inputs!$K$5:$AJ$230,0,MATCH(AC$2,Inputs!$K$4:$AJ$4,0))))=0,NA(),SUMPRODUCT((Inputs!$A$5:$A$230=$B35)*Inputs!$B$5:$B$230*(((Inputs!$G$5:$G$230="moeda")+(Inputs!$G$5:$G$230="acoes"))*Inputs!$B$1+((Inputs!$G$5:$G$230&lt;&gt;"moeda")*(Inputs!$G$5:$G$230&lt;&gt;"acoes")))*INDEX(Inputs!$K$5:$AJ$230,0,MATCH(AC$2,Inputs!$K$4:$AJ$4,0)))+SUMPRODUCT((Inputs!$C$5:$C$230=$B35)*Inputs!$D$5:$D$230*(((Inputs!$G$5:$G$230="moeda")+(Inputs!$G$5:$G$230="acoes"))*Inputs!$B$1+((Inputs!$G$5:$G$230&lt;&gt;"moeda")*(Inputs!$G$5:$G$230&lt;&gt;"acoes")))*INDEX(Inputs!$K$5:$AJ$230,0,MATCH(AC$2,Inputs!$K$4:$AJ$4,0)))+SUMPRODUCT((Inputs!$E$5:$E$230=$B35)*Inputs!$F$5:$F$230*(((Inputs!$G$5:$G$230="moeda")+(Inputs!$G$5:$G$230="acoes"))*Inputs!$B$1+((Inputs!$G$5:$G$230&lt;&gt;"moeda")*(Inputs!$G$5:$G$230&lt;&gt;"acoes")))*INDEX(Inputs!$K$5:$AJ$230,0,MATCH(AC$2,Inputs!$K$4:$AJ$4,0)))))</f>
        <v>13056.939</v>
      </c>
      <c r="AD35" s="6">
        <f>IF(ISNA(MATCH(AD$2,Inputs!$K$4:$AJ$4,0)),NA(),IF(SUMPRODUCT((Inputs!$A$5:$A$230=$B35)*ISNUMBER(INDEX(Inputs!$K$5:$AJ$230,0,MATCH(AD$2,Inputs!$K$4:$AJ$4,0))))+SUMPRODUCT((Inputs!$C$5:$C$230=$B35)*ISNUMBER(INDEX(Inputs!$K$5:$AJ$230,0,MATCH(AD$2,Inputs!$K$4:$AJ$4,0))))+SUMPRODUCT((Inputs!$E$5:$E$230=$B35)*ISNUMBER(INDEX(Inputs!$K$5:$AJ$230,0,MATCH(AD$2,Inputs!$K$4:$AJ$4,0))))=0,NA(),SUMPRODUCT((Inputs!$A$5:$A$230=$B35)*Inputs!$B$5:$B$230*(((Inputs!$G$5:$G$230="moeda")+(Inputs!$G$5:$G$230="acoes"))*Inputs!$B$1+((Inputs!$G$5:$G$230&lt;&gt;"moeda")*(Inputs!$G$5:$G$230&lt;&gt;"acoes")))*INDEX(Inputs!$K$5:$AJ$230,0,MATCH(AD$2,Inputs!$K$4:$AJ$4,0)))+SUMPRODUCT((Inputs!$C$5:$C$230=$B35)*Inputs!$D$5:$D$230*(((Inputs!$G$5:$G$230="moeda")+(Inputs!$G$5:$G$230="acoes"))*Inputs!$B$1+((Inputs!$G$5:$G$230&lt;&gt;"moeda")*(Inputs!$G$5:$G$230&lt;&gt;"acoes")))*INDEX(Inputs!$K$5:$AJ$230,0,MATCH(AD$2,Inputs!$K$4:$AJ$4,0)))+SUMPRODUCT((Inputs!$E$5:$E$230=$B35)*Inputs!$F$5:$F$230*(((Inputs!$G$5:$G$230="moeda")+(Inputs!$G$5:$G$230="acoes"))*Inputs!$B$1+((Inputs!$G$5:$G$230&lt;&gt;"moeda")*(Inputs!$G$5:$G$230&lt;&gt;"acoes")))*INDEX(Inputs!$K$5:$AJ$230,0,MATCH(AD$2,Inputs!$K$4:$AJ$4,0)))))</f>
        <v>13261.289</v>
      </c>
      <c r="AE35" s="6" t="e">
        <f>IF(ISNA(MATCH(AE$2,Inputs!$K$4:$AJ$4,0)),NA(),IF(SUMPRODUCT((Inputs!$A$5:$A$230=$B35)*ISNUMBER(INDEX(Inputs!$K$5:$AJ$230,0,MATCH(AE$2,Inputs!$K$4:$AJ$4,0))))+SUMPRODUCT((Inputs!$C$5:$C$230=$B35)*ISNUMBER(INDEX(Inputs!$K$5:$AJ$230,0,MATCH(AE$2,Inputs!$K$4:$AJ$4,0))))+SUMPRODUCT((Inputs!$E$5:$E$230=$B35)*ISNUMBER(INDEX(Inputs!$K$5:$AJ$230,0,MATCH(AE$2,Inputs!$K$4:$AJ$4,0))))=0,NA(),SUMPRODUCT((Inputs!$A$5:$A$230=$B35)*Inputs!$B$5:$B$230*(((Inputs!$G$5:$G$230="moeda")+(Inputs!$G$5:$G$230="acoes"))*Inputs!$B$1+((Inputs!$G$5:$G$230&lt;&gt;"moeda")*(Inputs!$G$5:$G$230&lt;&gt;"acoes")))*INDEX(Inputs!$K$5:$AJ$230,0,MATCH(AE$2,Inputs!$K$4:$AJ$4,0)))+SUMPRODUCT((Inputs!$C$5:$C$230=$B35)*Inputs!$D$5:$D$230*(((Inputs!$G$5:$G$230="moeda")+(Inputs!$G$5:$G$230="acoes"))*Inputs!$B$1+((Inputs!$G$5:$G$230&lt;&gt;"moeda")*(Inputs!$G$5:$G$230&lt;&gt;"acoes")))*INDEX(Inputs!$K$5:$AJ$230,0,MATCH(AE$2,Inputs!$K$4:$AJ$4,0)))+SUMPRODUCT((Inputs!$E$5:$E$230=$B35)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35" s="6" t="e">
        <f>IF(ISNA(MATCH(AF$2,Inputs!$K$4:$AJ$4,0)),NA(),IF(SUMPRODUCT((Inputs!$A$5:$A$230=$B35)*ISNUMBER(INDEX(Inputs!$K$5:$AJ$230,0,MATCH(AF$2,Inputs!$K$4:$AJ$4,0))))+SUMPRODUCT((Inputs!$C$5:$C$230=$B35)*ISNUMBER(INDEX(Inputs!$K$5:$AJ$230,0,MATCH(AF$2,Inputs!$K$4:$AJ$4,0))))+SUMPRODUCT((Inputs!$E$5:$E$230=$B35)*ISNUMBER(INDEX(Inputs!$K$5:$AJ$230,0,MATCH(AF$2,Inputs!$K$4:$AJ$4,0))))=0,NA(),SUMPRODUCT((Inputs!$A$5:$A$230=$B35)*Inputs!$B$5:$B$230*(((Inputs!$G$5:$G$230="moeda")+(Inputs!$G$5:$G$230="acoes"))*Inputs!$B$1+((Inputs!$G$5:$G$230&lt;&gt;"moeda")*(Inputs!$G$5:$G$230&lt;&gt;"acoes")))*INDEX(Inputs!$K$5:$AJ$230,0,MATCH(AF$2,Inputs!$K$4:$AJ$4,0)))+SUMPRODUCT((Inputs!$C$5:$C$230=$B35)*Inputs!$D$5:$D$230*(((Inputs!$G$5:$G$230="moeda")+(Inputs!$G$5:$G$230="acoes"))*Inputs!$B$1+((Inputs!$G$5:$G$230&lt;&gt;"moeda")*(Inputs!$G$5:$G$230&lt;&gt;"acoes")))*INDEX(Inputs!$K$5:$AJ$230,0,MATCH(AF$2,Inputs!$K$4:$AJ$4,0)))+SUMPRODUCT((Inputs!$E$5:$E$230=$B35)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35" s="3" t="e">
        <f>AF35</f>
        <v>#N/A</v>
      </c>
      <c r="AH35" s="6">
        <f>IF(ISNA(MATCH(AH$2,Inputs!$K$4:$AJ$4,0)),NA(),IF(SUMPRODUCT((Inputs!$A$5:$A$230=$B35)*ISNUMBER(INDEX(Inputs!$K$5:$AJ$230,0,MATCH(AH$2,Inputs!$K$4:$AJ$4,0))))+SUMPRODUCT((Inputs!$C$5:$C$230=$B35)*ISNUMBER(INDEX(Inputs!$K$5:$AJ$230,0,MATCH(AH$2,Inputs!$K$4:$AJ$4,0))))+SUMPRODUCT((Inputs!$E$5:$E$230=$B35)*ISNUMBER(INDEX(Inputs!$K$5:$AJ$230,0,MATCH(AH$2,Inputs!$K$4:$AJ$4,0))))=0,NA(),SUMPRODUCT((Inputs!$A$5:$A$230=$B35)*Inputs!$B$5:$B$230*(((Inputs!$G$5:$G$230="moeda")+(Inputs!$G$5:$G$230="acoes"))*Inputs!$B$1+((Inputs!$G$5:$G$230&lt;&gt;"moeda")*(Inputs!$G$5:$G$230&lt;&gt;"acoes")))*INDEX(Inputs!$K$5:$AJ$230,0,MATCH(AH$2,Inputs!$K$4:$AJ$4,0)))+SUMPRODUCT((Inputs!$C$5:$C$230=$B35)*Inputs!$D$5:$D$230*(((Inputs!$G$5:$G$230="moeda")+(Inputs!$G$5:$G$230="acoes"))*Inputs!$B$1+((Inputs!$G$5:$G$230&lt;&gt;"moeda")*(Inputs!$G$5:$G$230&lt;&gt;"acoes")))*INDEX(Inputs!$K$5:$AJ$230,0,MATCH(AH$2,Inputs!$K$4:$AJ$4,0)))+SUMPRODUCT((Inputs!$E$5:$E$230=$B35)*Inputs!$F$5:$F$230*(((Inputs!$G$5:$G$230="moeda")+(Inputs!$G$5:$G$230="acoes"))*Inputs!$B$1+((Inputs!$G$5:$G$230&lt;&gt;"moeda")*(Inputs!$G$5:$G$230&lt;&gt;"acoes")))*INDEX(Inputs!$K$5:$AJ$230,0,MATCH(AH$2,Inputs!$K$4:$AJ$4,0)))))</f>
        <v>7785.611</v>
      </c>
      <c r="AI35" s="6">
        <f>IF(ISNA(MATCH(AI$2,Inputs!$K$4:$AJ$4,0)),NA(),IF(SUMPRODUCT((Inputs!$A$5:$A$230=$B35)*ISNUMBER(INDEX(Inputs!$K$5:$AJ$230,0,MATCH(AI$2,Inputs!$K$4:$AJ$4,0))))+SUMPRODUCT((Inputs!$C$5:$C$230=$B35)*ISNUMBER(INDEX(Inputs!$K$5:$AJ$230,0,MATCH(AI$2,Inputs!$K$4:$AJ$4,0))))+SUMPRODUCT((Inputs!$E$5:$E$230=$B35)*ISNUMBER(INDEX(Inputs!$K$5:$AJ$230,0,MATCH(AI$2,Inputs!$K$4:$AJ$4,0))))=0,NA(),SUMPRODUCT((Inputs!$A$5:$A$230=$B35)*Inputs!$B$5:$B$230*(((Inputs!$G$5:$G$230="moeda")+(Inputs!$G$5:$G$230="acoes"))*Inputs!$B$1+((Inputs!$G$5:$G$230&lt;&gt;"moeda")*(Inputs!$G$5:$G$230&lt;&gt;"acoes")))*INDEX(Inputs!$K$5:$AJ$230,0,MATCH(AI$2,Inputs!$K$4:$AJ$4,0)))+SUMPRODUCT((Inputs!$C$5:$C$230=$B35)*Inputs!$D$5:$D$230*(((Inputs!$G$5:$G$230="moeda")+(Inputs!$G$5:$G$230="acoes"))*Inputs!$B$1+((Inputs!$G$5:$G$230&lt;&gt;"moeda")*(Inputs!$G$5:$G$230&lt;&gt;"acoes")))*INDEX(Inputs!$K$5:$AJ$230,0,MATCH(AI$2,Inputs!$K$4:$AJ$4,0)))+SUMPRODUCT((Inputs!$E$5:$E$230=$B35)*Inputs!$F$5:$F$230*(((Inputs!$G$5:$G$230="moeda")+(Inputs!$G$5:$G$230="acoes"))*Inputs!$B$1+((Inputs!$G$5:$G$230&lt;&gt;"moeda")*(Inputs!$G$5:$G$230&lt;&gt;"acoes")))*INDEX(Inputs!$K$5:$AJ$230,0,MATCH(AI$2,Inputs!$K$4:$AJ$4,0)))))</f>
        <v>7614.882</v>
      </c>
      <c r="AJ35" s="6">
        <f>IF(ISNA(MATCH(AJ$2,Inputs!$K$4:$AJ$4,0)),NA(),IF(SUMPRODUCT((Inputs!$A$5:$A$230=$B35)*ISNUMBER(INDEX(Inputs!$K$5:$AJ$230,0,MATCH(AJ$2,Inputs!$K$4:$AJ$4,0))))+SUMPRODUCT((Inputs!$C$5:$C$230=$B35)*ISNUMBER(INDEX(Inputs!$K$5:$AJ$230,0,MATCH(AJ$2,Inputs!$K$4:$AJ$4,0))))+SUMPRODUCT((Inputs!$E$5:$E$230=$B35)*ISNUMBER(INDEX(Inputs!$K$5:$AJ$230,0,MATCH(AJ$2,Inputs!$K$4:$AJ$4,0))))=0,NA(),SUMPRODUCT((Inputs!$A$5:$A$230=$B35)*Inputs!$B$5:$B$230*(((Inputs!$G$5:$G$230="moeda")+(Inputs!$G$5:$G$230="acoes"))*Inputs!$B$1+((Inputs!$G$5:$G$230&lt;&gt;"moeda")*(Inputs!$G$5:$G$230&lt;&gt;"acoes")))*INDEX(Inputs!$K$5:$AJ$230,0,MATCH(AJ$2,Inputs!$K$4:$AJ$4,0)))+SUMPRODUCT((Inputs!$C$5:$C$230=$B35)*Inputs!$D$5:$D$230*(((Inputs!$G$5:$G$230="moeda")+(Inputs!$G$5:$G$230="acoes"))*Inputs!$B$1+((Inputs!$G$5:$G$230&lt;&gt;"moeda")*(Inputs!$G$5:$G$230&lt;&gt;"acoes")))*INDEX(Inputs!$K$5:$AJ$230,0,MATCH(AJ$2,Inputs!$K$4:$AJ$4,0)))+SUMPRODUCT((Inputs!$E$5:$E$230=$B35)*Inputs!$F$5:$F$230*(((Inputs!$G$5:$G$230="moeda")+(Inputs!$G$5:$G$230="acoes"))*Inputs!$B$1+((Inputs!$G$5:$G$230&lt;&gt;"moeda")*(Inputs!$G$5:$G$230&lt;&gt;"acoes")))*INDEX(Inputs!$K$5:$AJ$230,0,MATCH(AJ$2,Inputs!$K$4:$AJ$4,0)))))</f>
        <v>7856.477</v>
      </c>
      <c r="AK35" s="6">
        <f>IF(ISNA(MATCH(AK$2,Inputs!$K$4:$AJ$4,0)),NA(),IF(SUMPRODUCT((Inputs!$A$5:$A$230=$B35)*ISNUMBER(INDEX(Inputs!$K$5:$AJ$230,0,MATCH(AK$2,Inputs!$K$4:$AJ$4,0))))+SUMPRODUCT((Inputs!$C$5:$C$230=$B35)*ISNUMBER(INDEX(Inputs!$K$5:$AJ$230,0,MATCH(AK$2,Inputs!$K$4:$AJ$4,0))))+SUMPRODUCT((Inputs!$E$5:$E$230=$B35)*ISNUMBER(INDEX(Inputs!$K$5:$AJ$230,0,MATCH(AK$2,Inputs!$K$4:$AJ$4,0))))=0,NA(),SUMPRODUCT((Inputs!$A$5:$A$230=$B35)*Inputs!$B$5:$B$230*(((Inputs!$G$5:$G$230="moeda")+(Inputs!$G$5:$G$230="acoes"))*Inputs!$B$1+((Inputs!$G$5:$G$230&lt;&gt;"moeda")*(Inputs!$G$5:$G$230&lt;&gt;"acoes")))*INDEX(Inputs!$K$5:$AJ$230,0,MATCH(AK$2,Inputs!$K$4:$AJ$4,0)))+SUMPRODUCT((Inputs!$C$5:$C$230=$B35)*Inputs!$D$5:$D$230*(((Inputs!$G$5:$G$230="moeda")+(Inputs!$G$5:$G$230="acoes"))*Inputs!$B$1+((Inputs!$G$5:$G$230&lt;&gt;"moeda")*(Inputs!$G$5:$G$230&lt;&gt;"acoes")))*INDEX(Inputs!$K$5:$AJ$230,0,MATCH(AK$2,Inputs!$K$4:$AJ$4,0)))+SUMPRODUCT((Inputs!$E$5:$E$230=$B35)*Inputs!$F$5:$F$230*(((Inputs!$G$5:$G$230="moeda")+(Inputs!$G$5:$G$230="acoes"))*Inputs!$B$1+((Inputs!$G$5:$G$230&lt;&gt;"moeda")*(Inputs!$G$5:$G$230&lt;&gt;"acoes")))*INDEX(Inputs!$K$5:$AJ$230,0,MATCH(AK$2,Inputs!$K$4:$AJ$4,0)))))</f>
        <v>8151.837</v>
      </c>
      <c r="AL35" s="3">
        <f>AK35</f>
        <v>8151.837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$230=$B36)*ISNUMBER(INDEX(Inputs!$K$5:$AJ$230,0,MATCH(D$2,Inputs!$K$4:$AJ$4,0))))+SUMPRODUCT((Inputs!$C$5:$C$230=$B36)*ISNUMBER(INDEX(Inputs!$K$5:$AJ$230,0,MATCH(D$2,Inputs!$K$4:$AJ$4,0))))+SUMPRODUCT((Inputs!$E$5:$E$230=$B36)*ISNUMBER(INDEX(Inputs!$K$5:$AJ$230,0,MATCH(D$2,Inputs!$K$4:$AJ$4,0))))=0,NA(),SUMPRODUCT((Inputs!$A$5:$A$230=$B36)*Inputs!$B$5:$B$230*(((Inputs!$G$5:$G$230="moeda")+(Inputs!$G$5:$G$230="acoes"))*Inputs!$B$1+((Inputs!$G$5:$G$230&lt;&gt;"moeda")*(Inputs!$G$5:$G$230&lt;&gt;"acoes")))*INDEX(Inputs!$K$5:$AJ$230,0,MATCH(D$2,Inputs!$K$4:$AJ$4,0)))+SUMPRODUCT((Inputs!$C$5:$C$230=$B36)*Inputs!$D$5:$D$230*(((Inputs!$G$5:$G$230="moeda")+(Inputs!$G$5:$G$230="acoes"))*Inputs!$B$1+((Inputs!$G$5:$G$230&lt;&gt;"moeda")*(Inputs!$G$5:$G$230&lt;&gt;"acoes")))*INDEX(Inputs!$K$5:$AJ$230,0,MATCH(D$2,Inputs!$K$4:$AJ$4,0)))+SUMPRODUCT((Inputs!$E$5:$E$230=$B36)*Inputs!$F$5:$F$230*(((Inputs!$G$5:$G$230="moeda")+(Inputs!$G$5:$G$230="acoes"))*Inputs!$B$1+((Inputs!$G$5:$G$230&lt;&gt;"moeda")*(Inputs!$G$5:$G$230&lt;&gt;"acoes")))*INDEX(Inputs!$K$5:$AJ$230,0,MATCH(D$2,Inputs!$K$4:$AJ$4,0)))))</f>
        <v>29.628</v>
      </c>
      <c r="E36" s="6">
        <f>IF(ISNA(MATCH(E$2,Inputs!$K$4:$AJ$4,0)),NA(),IF(SUMPRODUCT((Inputs!$A$5:$A$230=$B36)*ISNUMBER(INDEX(Inputs!$K$5:$AJ$230,0,MATCH(E$2,Inputs!$K$4:$AJ$4,0))))+SUMPRODUCT((Inputs!$C$5:$C$230=$B36)*ISNUMBER(INDEX(Inputs!$K$5:$AJ$230,0,MATCH(E$2,Inputs!$K$4:$AJ$4,0))))+SUMPRODUCT((Inputs!$E$5:$E$230=$B36)*ISNUMBER(INDEX(Inputs!$K$5:$AJ$230,0,MATCH(E$2,Inputs!$K$4:$AJ$4,0))))=0,NA(),SUMPRODUCT((Inputs!$A$5:$A$230=$B36)*Inputs!$B$5:$B$230*(((Inputs!$G$5:$G$230="moeda")+(Inputs!$G$5:$G$230="acoes"))*Inputs!$B$1+((Inputs!$G$5:$G$230&lt;&gt;"moeda")*(Inputs!$G$5:$G$230&lt;&gt;"acoes")))*INDEX(Inputs!$K$5:$AJ$230,0,MATCH(E$2,Inputs!$K$4:$AJ$4,0)))+SUMPRODUCT((Inputs!$C$5:$C$230=$B36)*Inputs!$D$5:$D$230*(((Inputs!$G$5:$G$230="moeda")+(Inputs!$G$5:$G$230="acoes"))*Inputs!$B$1+((Inputs!$G$5:$G$230&lt;&gt;"moeda")*(Inputs!$G$5:$G$230&lt;&gt;"acoes")))*INDEX(Inputs!$K$5:$AJ$230,0,MATCH(E$2,Inputs!$K$4:$AJ$4,0)))+SUMPRODUCT((Inputs!$E$5:$E$230=$B36)*Inputs!$F$5:$F$230*(((Inputs!$G$5:$G$230="moeda")+(Inputs!$G$5:$G$230="acoes"))*Inputs!$B$1+((Inputs!$G$5:$G$230&lt;&gt;"moeda")*(Inputs!$G$5:$G$230&lt;&gt;"acoes")))*INDEX(Inputs!$K$5:$AJ$230,0,MATCH(E$2,Inputs!$K$4:$AJ$4,0)))))</f>
        <v>31.829</v>
      </c>
      <c r="F36" s="6">
        <f>IF(ISNA(MATCH(F$2,Inputs!$K$4:$AJ$4,0)),NA(),IF(SUMPRODUCT((Inputs!$A$5:$A$230=$B36)*ISNUMBER(INDEX(Inputs!$K$5:$AJ$230,0,MATCH(F$2,Inputs!$K$4:$AJ$4,0))))+SUMPRODUCT((Inputs!$C$5:$C$230=$B36)*ISNUMBER(INDEX(Inputs!$K$5:$AJ$230,0,MATCH(F$2,Inputs!$K$4:$AJ$4,0))))+SUMPRODUCT((Inputs!$E$5:$E$230=$B36)*ISNUMBER(INDEX(Inputs!$K$5:$AJ$230,0,MATCH(F$2,Inputs!$K$4:$AJ$4,0))))=0,NA(),SUMPRODUCT((Inputs!$A$5:$A$230=$B36)*Inputs!$B$5:$B$230*(((Inputs!$G$5:$G$230="moeda")+(Inputs!$G$5:$G$230="acoes"))*Inputs!$B$1+((Inputs!$G$5:$G$230&lt;&gt;"moeda")*(Inputs!$G$5:$G$230&lt;&gt;"acoes")))*INDEX(Inputs!$K$5:$AJ$230,0,MATCH(F$2,Inputs!$K$4:$AJ$4,0)))+SUMPRODUCT((Inputs!$C$5:$C$230=$B36)*Inputs!$D$5:$D$230*(((Inputs!$G$5:$G$230="moeda")+(Inputs!$G$5:$G$230="acoes"))*Inputs!$B$1+((Inputs!$G$5:$G$230&lt;&gt;"moeda")*(Inputs!$G$5:$G$230&lt;&gt;"acoes")))*INDEX(Inputs!$K$5:$AJ$230,0,MATCH(F$2,Inputs!$K$4:$AJ$4,0)))+SUMPRODUCT((Inputs!$E$5:$E$230=$B36)*Inputs!$F$5:$F$230*(((Inputs!$G$5:$G$230="moeda")+(Inputs!$G$5:$G$230="acoes"))*Inputs!$B$1+((Inputs!$G$5:$G$230&lt;&gt;"moeda")*(Inputs!$G$5:$G$230&lt;&gt;"acoes")))*INDEX(Inputs!$K$5:$AJ$230,0,MATCH(F$2,Inputs!$K$4:$AJ$4,0)))))</f>
        <v>42.853</v>
      </c>
      <c r="G36" s="6">
        <f>IF(ISNA(MATCH(G$2,Inputs!$K$4:$AJ$4,0)),NA(),IF(SUMPRODUCT((Inputs!$A$5:$A$230=$B36)*ISNUMBER(INDEX(Inputs!$K$5:$AJ$230,0,MATCH(G$2,Inputs!$K$4:$AJ$4,0))))+SUMPRODUCT((Inputs!$C$5:$C$230=$B36)*ISNUMBER(INDEX(Inputs!$K$5:$AJ$230,0,MATCH(G$2,Inputs!$K$4:$AJ$4,0))))+SUMPRODUCT((Inputs!$E$5:$E$230=$B36)*ISNUMBER(INDEX(Inputs!$K$5:$AJ$230,0,MATCH(G$2,Inputs!$K$4:$AJ$4,0))))=0,NA(),SUMPRODUCT((Inputs!$A$5:$A$230=$B36)*Inputs!$B$5:$B$230*(((Inputs!$G$5:$G$230="moeda")+(Inputs!$G$5:$G$230="acoes"))*Inputs!$B$1+((Inputs!$G$5:$G$230&lt;&gt;"moeda")*(Inputs!$G$5:$G$230&lt;&gt;"acoes")))*INDEX(Inputs!$K$5:$AJ$230,0,MATCH(G$2,Inputs!$K$4:$AJ$4,0)))+SUMPRODUCT((Inputs!$C$5:$C$230=$B36)*Inputs!$D$5:$D$230*(((Inputs!$G$5:$G$230="moeda")+(Inputs!$G$5:$G$230="acoes"))*Inputs!$B$1+((Inputs!$G$5:$G$230&lt;&gt;"moeda")*(Inputs!$G$5:$G$230&lt;&gt;"acoes")))*INDEX(Inputs!$K$5:$AJ$230,0,MATCH(G$2,Inputs!$K$4:$AJ$4,0)))+SUMPRODUCT((Inputs!$E$5:$E$230=$B36)*Inputs!$F$5:$F$230*(((Inputs!$G$5:$G$230="moeda")+(Inputs!$G$5:$G$230="acoes"))*Inputs!$B$1+((Inputs!$G$5:$G$230&lt;&gt;"moeda")*(Inputs!$G$5:$G$230&lt;&gt;"acoes")))*INDEX(Inputs!$K$5:$AJ$230,0,MATCH(G$2,Inputs!$K$4:$AJ$4,0)))))</f>
        <v>38.707</v>
      </c>
      <c r="H36" s="3">
        <f>G36</f>
        <v>38.707</v>
      </c>
      <c r="I36" s="6">
        <f>IF(ISNA(MATCH(I$2,Inputs!$K$4:$AJ$4,0)),NA(),IF(SUMPRODUCT((Inputs!$A$5:$A$230=$B36)*ISNUMBER(INDEX(Inputs!$K$5:$AJ$230,0,MATCH(I$2,Inputs!$K$4:$AJ$4,0))))+SUMPRODUCT((Inputs!$C$5:$C$230=$B36)*ISNUMBER(INDEX(Inputs!$K$5:$AJ$230,0,MATCH(I$2,Inputs!$K$4:$AJ$4,0))))+SUMPRODUCT((Inputs!$E$5:$E$230=$B36)*ISNUMBER(INDEX(Inputs!$K$5:$AJ$230,0,MATCH(I$2,Inputs!$K$4:$AJ$4,0))))=0,NA(),SUMPRODUCT((Inputs!$A$5:$A$230=$B36)*Inputs!$B$5:$B$230*(((Inputs!$G$5:$G$230="moeda")+(Inputs!$G$5:$G$230="acoes"))*Inputs!$B$1+((Inputs!$G$5:$G$230&lt;&gt;"moeda")*(Inputs!$G$5:$G$230&lt;&gt;"acoes")))*INDEX(Inputs!$K$5:$AJ$230,0,MATCH(I$2,Inputs!$K$4:$AJ$4,0)))+SUMPRODUCT((Inputs!$C$5:$C$230=$B36)*Inputs!$D$5:$D$230*(((Inputs!$G$5:$G$230="moeda")+(Inputs!$G$5:$G$230="acoes"))*Inputs!$B$1+((Inputs!$G$5:$G$230&lt;&gt;"moeda")*(Inputs!$G$5:$G$230&lt;&gt;"acoes")))*INDEX(Inputs!$K$5:$AJ$230,0,MATCH(I$2,Inputs!$K$4:$AJ$4,0)))+SUMPRODUCT((Inputs!$E$5:$E$230=$B36)*Inputs!$F$5:$F$230*(((Inputs!$G$5:$G$230="moeda")+(Inputs!$G$5:$G$230="acoes"))*Inputs!$B$1+((Inputs!$G$5:$G$230&lt;&gt;"moeda")*(Inputs!$G$5:$G$230&lt;&gt;"acoes")))*INDEX(Inputs!$K$5:$AJ$230,0,MATCH(I$2,Inputs!$K$4:$AJ$4,0)))))</f>
        <v>34.871</v>
      </c>
      <c r="J36" s="6">
        <f>IF(ISNA(MATCH(J$2,Inputs!$K$4:$AJ$4,0)),NA(),IF(SUMPRODUCT((Inputs!$A$5:$A$230=$B36)*ISNUMBER(INDEX(Inputs!$K$5:$AJ$230,0,MATCH(J$2,Inputs!$K$4:$AJ$4,0))))+SUMPRODUCT((Inputs!$C$5:$C$230=$B36)*ISNUMBER(INDEX(Inputs!$K$5:$AJ$230,0,MATCH(J$2,Inputs!$K$4:$AJ$4,0))))+SUMPRODUCT((Inputs!$E$5:$E$230=$B36)*ISNUMBER(INDEX(Inputs!$K$5:$AJ$230,0,MATCH(J$2,Inputs!$K$4:$AJ$4,0))))=0,NA(),SUMPRODUCT((Inputs!$A$5:$A$230=$B36)*Inputs!$B$5:$B$230*(((Inputs!$G$5:$G$230="moeda")+(Inputs!$G$5:$G$230="acoes"))*Inputs!$B$1+((Inputs!$G$5:$G$230&lt;&gt;"moeda")*(Inputs!$G$5:$G$230&lt;&gt;"acoes")))*INDEX(Inputs!$K$5:$AJ$230,0,MATCH(J$2,Inputs!$K$4:$AJ$4,0)))+SUMPRODUCT((Inputs!$C$5:$C$230=$B36)*Inputs!$D$5:$D$230*(((Inputs!$G$5:$G$230="moeda")+(Inputs!$G$5:$G$230="acoes"))*Inputs!$B$1+((Inputs!$G$5:$G$230&lt;&gt;"moeda")*(Inputs!$G$5:$G$230&lt;&gt;"acoes")))*INDEX(Inputs!$K$5:$AJ$230,0,MATCH(J$2,Inputs!$K$4:$AJ$4,0)))+SUMPRODUCT((Inputs!$E$5:$E$230=$B36)*Inputs!$F$5:$F$230*(((Inputs!$G$5:$G$230="moeda")+(Inputs!$G$5:$G$230="acoes"))*Inputs!$B$1+((Inputs!$G$5:$G$230&lt;&gt;"moeda")*(Inputs!$G$5:$G$230&lt;&gt;"acoes")))*INDEX(Inputs!$K$5:$AJ$230,0,MATCH(J$2,Inputs!$K$4:$AJ$4,0)))))</f>
        <v>38.958</v>
      </c>
      <c r="K36" s="6">
        <f>IF(ISNA(MATCH(K$2,Inputs!$K$4:$AJ$4,0)),NA(),IF(SUMPRODUCT((Inputs!$A$5:$A$230=$B36)*ISNUMBER(INDEX(Inputs!$K$5:$AJ$230,0,MATCH(K$2,Inputs!$K$4:$AJ$4,0))))+SUMPRODUCT((Inputs!$C$5:$C$230=$B36)*ISNUMBER(INDEX(Inputs!$K$5:$AJ$230,0,MATCH(K$2,Inputs!$K$4:$AJ$4,0))))+SUMPRODUCT((Inputs!$E$5:$E$230=$B36)*ISNUMBER(INDEX(Inputs!$K$5:$AJ$230,0,MATCH(K$2,Inputs!$K$4:$AJ$4,0))))=0,NA(),SUMPRODUCT((Inputs!$A$5:$A$230=$B36)*Inputs!$B$5:$B$230*(((Inputs!$G$5:$G$230="moeda")+(Inputs!$G$5:$G$230="acoes"))*Inputs!$B$1+((Inputs!$G$5:$G$230&lt;&gt;"moeda")*(Inputs!$G$5:$G$230&lt;&gt;"acoes")))*INDEX(Inputs!$K$5:$AJ$230,0,MATCH(K$2,Inputs!$K$4:$AJ$4,0)))+SUMPRODUCT((Inputs!$C$5:$C$230=$B36)*Inputs!$D$5:$D$230*(((Inputs!$G$5:$G$230="moeda")+(Inputs!$G$5:$G$230="acoes"))*Inputs!$B$1+((Inputs!$G$5:$G$230&lt;&gt;"moeda")*(Inputs!$G$5:$G$230&lt;&gt;"acoes")))*INDEX(Inputs!$K$5:$AJ$230,0,MATCH(K$2,Inputs!$K$4:$AJ$4,0)))+SUMPRODUCT((Inputs!$E$5:$E$230=$B36)*Inputs!$F$5:$F$230*(((Inputs!$G$5:$G$230="moeda")+(Inputs!$G$5:$G$230="acoes"))*Inputs!$B$1+((Inputs!$G$5:$G$230&lt;&gt;"moeda")*(Inputs!$G$5:$G$230&lt;&gt;"acoes")))*INDEX(Inputs!$K$5:$AJ$230,0,MATCH(K$2,Inputs!$K$4:$AJ$4,0)))))</f>
        <v>37.657</v>
      </c>
      <c r="L36" s="6">
        <f>IF(ISNA(MATCH(L$2,Inputs!$K$4:$AJ$4,0)),NA(),IF(SUMPRODUCT((Inputs!$A$5:$A$230=$B36)*ISNUMBER(INDEX(Inputs!$K$5:$AJ$230,0,MATCH(L$2,Inputs!$K$4:$AJ$4,0))))+SUMPRODUCT((Inputs!$C$5:$C$230=$B36)*ISNUMBER(INDEX(Inputs!$K$5:$AJ$230,0,MATCH(L$2,Inputs!$K$4:$AJ$4,0))))+SUMPRODUCT((Inputs!$E$5:$E$230=$B36)*ISNUMBER(INDEX(Inputs!$K$5:$AJ$230,0,MATCH(L$2,Inputs!$K$4:$AJ$4,0))))=0,NA(),SUMPRODUCT((Inputs!$A$5:$A$230=$B36)*Inputs!$B$5:$B$230*(((Inputs!$G$5:$G$230="moeda")+(Inputs!$G$5:$G$230="acoes"))*Inputs!$B$1+((Inputs!$G$5:$G$230&lt;&gt;"moeda")*(Inputs!$G$5:$G$230&lt;&gt;"acoes")))*INDEX(Inputs!$K$5:$AJ$230,0,MATCH(L$2,Inputs!$K$4:$AJ$4,0)))+SUMPRODUCT((Inputs!$C$5:$C$230=$B36)*Inputs!$D$5:$D$230*(((Inputs!$G$5:$G$230="moeda")+(Inputs!$G$5:$G$230="acoes"))*Inputs!$B$1+((Inputs!$G$5:$G$230&lt;&gt;"moeda")*(Inputs!$G$5:$G$230&lt;&gt;"acoes")))*INDEX(Inputs!$K$5:$AJ$230,0,MATCH(L$2,Inputs!$K$4:$AJ$4,0)))+SUMPRODUCT((Inputs!$E$5:$E$230=$B36)*Inputs!$F$5:$F$230*(((Inputs!$G$5:$G$230="moeda")+(Inputs!$G$5:$G$230="acoes"))*Inputs!$B$1+((Inputs!$G$5:$G$230&lt;&gt;"moeda")*(Inputs!$G$5:$G$230&lt;&gt;"acoes")))*INDEX(Inputs!$K$5:$AJ$230,0,MATCH(L$2,Inputs!$K$4:$AJ$4,0)))))</f>
        <v>36.263</v>
      </c>
      <c r="M36" s="3">
        <f>L36</f>
        <v>36.263</v>
      </c>
      <c r="N36" s="6">
        <f>IF(ISNA(MATCH(N$2,Inputs!$K$4:$AJ$4,0)),NA(),IF(SUMPRODUCT((Inputs!$A$5:$A$230=$B36)*ISNUMBER(INDEX(Inputs!$K$5:$AJ$230,0,MATCH(N$2,Inputs!$K$4:$AJ$4,0))))+SUMPRODUCT((Inputs!$C$5:$C$230=$B36)*ISNUMBER(INDEX(Inputs!$K$5:$AJ$230,0,MATCH(N$2,Inputs!$K$4:$AJ$4,0))))+SUMPRODUCT((Inputs!$E$5:$E$230=$B36)*ISNUMBER(INDEX(Inputs!$K$5:$AJ$230,0,MATCH(N$2,Inputs!$K$4:$AJ$4,0))))=0,NA(),SUMPRODUCT((Inputs!$A$5:$A$230=$B36)*Inputs!$B$5:$B$230*(((Inputs!$G$5:$G$230="moeda")+(Inputs!$G$5:$G$230="acoes"))*Inputs!$B$1+((Inputs!$G$5:$G$230&lt;&gt;"moeda")*(Inputs!$G$5:$G$230&lt;&gt;"acoes")))*INDEX(Inputs!$K$5:$AJ$230,0,MATCH(N$2,Inputs!$K$4:$AJ$4,0)))+SUMPRODUCT((Inputs!$C$5:$C$230=$B36)*Inputs!$D$5:$D$230*(((Inputs!$G$5:$G$230="moeda")+(Inputs!$G$5:$G$230="acoes"))*Inputs!$B$1+((Inputs!$G$5:$G$230&lt;&gt;"moeda")*(Inputs!$G$5:$G$230&lt;&gt;"acoes")))*INDEX(Inputs!$K$5:$AJ$230,0,MATCH(N$2,Inputs!$K$4:$AJ$4,0)))+SUMPRODUCT((Inputs!$E$5:$E$230=$B36)*Inputs!$F$5:$F$230*(((Inputs!$G$5:$G$230="moeda")+(Inputs!$G$5:$G$230="acoes"))*Inputs!$B$1+((Inputs!$G$5:$G$230&lt;&gt;"moeda")*(Inputs!$G$5:$G$230&lt;&gt;"acoes")))*INDEX(Inputs!$K$5:$AJ$230,0,MATCH(N$2,Inputs!$K$4:$AJ$4,0)))))</f>
        <v>35.228</v>
      </c>
      <c r="O36" s="6">
        <f>IF(ISNA(MATCH(O$2,Inputs!$K$4:$AJ$4,0)),NA(),IF(SUMPRODUCT((Inputs!$A$5:$A$230=$B36)*ISNUMBER(INDEX(Inputs!$K$5:$AJ$230,0,MATCH(O$2,Inputs!$K$4:$AJ$4,0))))+SUMPRODUCT((Inputs!$C$5:$C$230=$B36)*ISNUMBER(INDEX(Inputs!$K$5:$AJ$230,0,MATCH(O$2,Inputs!$K$4:$AJ$4,0))))+SUMPRODUCT((Inputs!$E$5:$E$230=$B36)*ISNUMBER(INDEX(Inputs!$K$5:$AJ$230,0,MATCH(O$2,Inputs!$K$4:$AJ$4,0))))=0,NA(),SUMPRODUCT((Inputs!$A$5:$A$230=$B36)*Inputs!$B$5:$B$230*(((Inputs!$G$5:$G$230="moeda")+(Inputs!$G$5:$G$230="acoes"))*Inputs!$B$1+((Inputs!$G$5:$G$230&lt;&gt;"moeda")*(Inputs!$G$5:$G$230&lt;&gt;"acoes")))*INDEX(Inputs!$K$5:$AJ$230,0,MATCH(O$2,Inputs!$K$4:$AJ$4,0)))+SUMPRODUCT((Inputs!$C$5:$C$230=$B36)*Inputs!$D$5:$D$230*(((Inputs!$G$5:$G$230="moeda")+(Inputs!$G$5:$G$230="acoes"))*Inputs!$B$1+((Inputs!$G$5:$G$230&lt;&gt;"moeda")*(Inputs!$G$5:$G$230&lt;&gt;"acoes")))*INDEX(Inputs!$K$5:$AJ$230,0,MATCH(O$2,Inputs!$K$4:$AJ$4,0)))+SUMPRODUCT((Inputs!$E$5:$E$230=$B36)*Inputs!$F$5:$F$230*(((Inputs!$G$5:$G$230="moeda")+(Inputs!$G$5:$G$230="acoes"))*Inputs!$B$1+((Inputs!$G$5:$G$230&lt;&gt;"moeda")*(Inputs!$G$5:$G$230&lt;&gt;"acoes")))*INDEX(Inputs!$K$5:$AJ$230,0,MATCH(O$2,Inputs!$K$4:$AJ$4,0)))))</f>
        <v>30.83</v>
      </c>
      <c r="P36" s="6">
        <f>IF(ISNA(MATCH(P$2,Inputs!$K$4:$AJ$4,0)),NA(),IF(SUMPRODUCT((Inputs!$A$5:$A$230=$B36)*ISNUMBER(INDEX(Inputs!$K$5:$AJ$230,0,MATCH(P$2,Inputs!$K$4:$AJ$4,0))))+SUMPRODUCT((Inputs!$C$5:$C$230=$B36)*ISNUMBER(INDEX(Inputs!$K$5:$AJ$230,0,MATCH(P$2,Inputs!$K$4:$AJ$4,0))))+SUMPRODUCT((Inputs!$E$5:$E$230=$B36)*ISNUMBER(INDEX(Inputs!$K$5:$AJ$230,0,MATCH(P$2,Inputs!$K$4:$AJ$4,0))))=0,NA(),SUMPRODUCT((Inputs!$A$5:$A$230=$B36)*Inputs!$B$5:$B$230*(((Inputs!$G$5:$G$230="moeda")+(Inputs!$G$5:$G$230="acoes"))*Inputs!$B$1+((Inputs!$G$5:$G$230&lt;&gt;"moeda")*(Inputs!$G$5:$G$230&lt;&gt;"acoes")))*INDEX(Inputs!$K$5:$AJ$230,0,MATCH(P$2,Inputs!$K$4:$AJ$4,0)))+SUMPRODUCT((Inputs!$C$5:$C$230=$B36)*Inputs!$D$5:$D$230*(((Inputs!$G$5:$G$230="moeda")+(Inputs!$G$5:$G$230="acoes"))*Inputs!$B$1+((Inputs!$G$5:$G$230&lt;&gt;"moeda")*(Inputs!$G$5:$G$230&lt;&gt;"acoes")))*INDEX(Inputs!$K$5:$AJ$230,0,MATCH(P$2,Inputs!$K$4:$AJ$4,0)))+SUMPRODUCT((Inputs!$E$5:$E$230=$B36)*Inputs!$F$5:$F$230*(((Inputs!$G$5:$G$230="moeda")+(Inputs!$G$5:$G$230="acoes"))*Inputs!$B$1+((Inputs!$G$5:$G$230&lt;&gt;"moeda")*(Inputs!$G$5:$G$230&lt;&gt;"acoes")))*INDEX(Inputs!$K$5:$AJ$230,0,MATCH(P$2,Inputs!$K$4:$AJ$4,0)))))</f>
        <v>34.263</v>
      </c>
      <c r="Q36" s="6">
        <f>IF(ISNA(MATCH(Q$2,Inputs!$K$4:$AJ$4,0)),NA(),IF(SUMPRODUCT((Inputs!$A$5:$A$230=$B36)*ISNUMBER(INDEX(Inputs!$K$5:$AJ$230,0,MATCH(Q$2,Inputs!$K$4:$AJ$4,0))))+SUMPRODUCT((Inputs!$C$5:$C$230=$B36)*ISNUMBER(INDEX(Inputs!$K$5:$AJ$230,0,MATCH(Q$2,Inputs!$K$4:$AJ$4,0))))+SUMPRODUCT((Inputs!$E$5:$E$230=$B36)*ISNUMBER(INDEX(Inputs!$K$5:$AJ$230,0,MATCH(Q$2,Inputs!$K$4:$AJ$4,0))))=0,NA(),SUMPRODUCT((Inputs!$A$5:$A$230=$B36)*Inputs!$B$5:$B$230*(((Inputs!$G$5:$G$230="moeda")+(Inputs!$G$5:$G$230="acoes"))*Inputs!$B$1+((Inputs!$G$5:$G$230&lt;&gt;"moeda")*(Inputs!$G$5:$G$230&lt;&gt;"acoes")))*INDEX(Inputs!$K$5:$AJ$230,0,MATCH(Q$2,Inputs!$K$4:$AJ$4,0)))+SUMPRODUCT((Inputs!$C$5:$C$230=$B36)*Inputs!$D$5:$D$230*(((Inputs!$G$5:$G$230="moeda")+(Inputs!$G$5:$G$230="acoes"))*Inputs!$B$1+((Inputs!$G$5:$G$230&lt;&gt;"moeda")*(Inputs!$G$5:$G$230&lt;&gt;"acoes")))*INDEX(Inputs!$K$5:$AJ$230,0,MATCH(Q$2,Inputs!$K$4:$AJ$4,0)))+SUMPRODUCT((Inputs!$E$5:$E$230=$B36)*Inputs!$F$5:$F$230*(((Inputs!$G$5:$G$230="moeda")+(Inputs!$G$5:$G$230="acoes"))*Inputs!$B$1+((Inputs!$G$5:$G$230&lt;&gt;"moeda")*(Inputs!$G$5:$G$230&lt;&gt;"acoes")))*INDEX(Inputs!$K$5:$AJ$230,0,MATCH(Q$2,Inputs!$K$4:$AJ$4,0)))))</f>
        <v>38.01</v>
      </c>
      <c r="R36" s="3">
        <f>Q36</f>
        <v>38.01</v>
      </c>
      <c r="S36" s="6">
        <f>IF(ISNA(MATCH(S$2,Inputs!$K$4:$AJ$4,0)),NA(),IF(SUMPRODUCT((Inputs!$A$5:$A$230=$B36)*ISNUMBER(INDEX(Inputs!$K$5:$AJ$230,0,MATCH(S$2,Inputs!$K$4:$AJ$4,0))))+SUMPRODUCT((Inputs!$C$5:$C$230=$B36)*ISNUMBER(INDEX(Inputs!$K$5:$AJ$230,0,MATCH(S$2,Inputs!$K$4:$AJ$4,0))))+SUMPRODUCT((Inputs!$E$5:$E$230=$B36)*ISNUMBER(INDEX(Inputs!$K$5:$AJ$230,0,MATCH(S$2,Inputs!$K$4:$AJ$4,0))))=0,NA(),SUMPRODUCT((Inputs!$A$5:$A$230=$B36)*Inputs!$B$5:$B$230*(((Inputs!$G$5:$G$230="moeda")+(Inputs!$G$5:$G$230="acoes"))*Inputs!$B$1+((Inputs!$G$5:$G$230&lt;&gt;"moeda")*(Inputs!$G$5:$G$230&lt;&gt;"acoes")))*INDEX(Inputs!$K$5:$AJ$230,0,MATCH(S$2,Inputs!$K$4:$AJ$4,0)))+SUMPRODUCT((Inputs!$C$5:$C$230=$B36)*Inputs!$D$5:$D$230*(((Inputs!$G$5:$G$230="moeda")+(Inputs!$G$5:$G$230="acoes"))*Inputs!$B$1+((Inputs!$G$5:$G$230&lt;&gt;"moeda")*(Inputs!$G$5:$G$230&lt;&gt;"acoes")))*INDEX(Inputs!$K$5:$AJ$230,0,MATCH(S$2,Inputs!$K$4:$AJ$4,0)))+SUMPRODUCT((Inputs!$E$5:$E$230=$B36)*Inputs!$F$5:$F$230*(((Inputs!$G$5:$G$230="moeda")+(Inputs!$G$5:$G$230="acoes"))*Inputs!$B$1+((Inputs!$G$5:$G$230&lt;&gt;"moeda")*(Inputs!$G$5:$G$230&lt;&gt;"acoes")))*INDEX(Inputs!$K$5:$AJ$230,0,MATCH(S$2,Inputs!$K$4:$AJ$4,0)))))</f>
        <v>38.52</v>
      </c>
      <c r="T36" s="6">
        <f>IF(ISNA(MATCH(T$2,Inputs!$K$4:$AJ$4,0)),NA(),IF(SUMPRODUCT((Inputs!$A$5:$A$230=$B36)*ISNUMBER(INDEX(Inputs!$K$5:$AJ$230,0,MATCH(T$2,Inputs!$K$4:$AJ$4,0))))+SUMPRODUCT((Inputs!$C$5:$C$230=$B36)*ISNUMBER(INDEX(Inputs!$K$5:$AJ$230,0,MATCH(T$2,Inputs!$K$4:$AJ$4,0))))+SUMPRODUCT((Inputs!$E$5:$E$230=$B36)*ISNUMBER(INDEX(Inputs!$K$5:$AJ$230,0,MATCH(T$2,Inputs!$K$4:$AJ$4,0))))=0,NA(),SUMPRODUCT((Inputs!$A$5:$A$230=$B36)*Inputs!$B$5:$B$230*(((Inputs!$G$5:$G$230="moeda")+(Inputs!$G$5:$G$230="acoes"))*Inputs!$B$1+((Inputs!$G$5:$G$230&lt;&gt;"moeda")*(Inputs!$G$5:$G$230&lt;&gt;"acoes")))*INDEX(Inputs!$K$5:$AJ$230,0,MATCH(T$2,Inputs!$K$4:$AJ$4,0)))+SUMPRODUCT((Inputs!$C$5:$C$230=$B36)*Inputs!$D$5:$D$230*(((Inputs!$G$5:$G$230="moeda")+(Inputs!$G$5:$G$230="acoes"))*Inputs!$B$1+((Inputs!$G$5:$G$230&lt;&gt;"moeda")*(Inputs!$G$5:$G$230&lt;&gt;"acoes")))*INDEX(Inputs!$K$5:$AJ$230,0,MATCH(T$2,Inputs!$K$4:$AJ$4,0)))+SUMPRODUCT((Inputs!$E$5:$E$230=$B36)*Inputs!$F$5:$F$230*(((Inputs!$G$5:$G$230="moeda")+(Inputs!$G$5:$G$230="acoes"))*Inputs!$B$1+((Inputs!$G$5:$G$230&lt;&gt;"moeda")*(Inputs!$G$5:$G$230&lt;&gt;"acoes")))*INDEX(Inputs!$K$5:$AJ$230,0,MATCH(T$2,Inputs!$K$4:$AJ$4,0)))))</f>
        <v>37.493</v>
      </c>
      <c r="U36" s="6">
        <f>IF(ISNA(MATCH(U$2,Inputs!$K$4:$AJ$4,0)),NA(),IF(SUMPRODUCT((Inputs!$A$5:$A$230=$B36)*ISNUMBER(INDEX(Inputs!$K$5:$AJ$230,0,MATCH(U$2,Inputs!$K$4:$AJ$4,0))))+SUMPRODUCT((Inputs!$C$5:$C$230=$B36)*ISNUMBER(INDEX(Inputs!$K$5:$AJ$230,0,MATCH(U$2,Inputs!$K$4:$AJ$4,0))))+SUMPRODUCT((Inputs!$E$5:$E$230=$B36)*ISNUMBER(INDEX(Inputs!$K$5:$AJ$230,0,MATCH(U$2,Inputs!$K$4:$AJ$4,0))))=0,NA(),SUMPRODUCT((Inputs!$A$5:$A$230=$B36)*Inputs!$B$5:$B$230*(((Inputs!$G$5:$G$230="moeda")+(Inputs!$G$5:$G$230="acoes"))*Inputs!$B$1+((Inputs!$G$5:$G$230&lt;&gt;"moeda")*(Inputs!$G$5:$G$230&lt;&gt;"acoes")))*INDEX(Inputs!$K$5:$AJ$230,0,MATCH(U$2,Inputs!$K$4:$AJ$4,0)))+SUMPRODUCT((Inputs!$C$5:$C$230=$B36)*Inputs!$D$5:$D$230*(((Inputs!$G$5:$G$230="moeda")+(Inputs!$G$5:$G$230="acoes"))*Inputs!$B$1+((Inputs!$G$5:$G$230&lt;&gt;"moeda")*(Inputs!$G$5:$G$230&lt;&gt;"acoes")))*INDEX(Inputs!$K$5:$AJ$230,0,MATCH(U$2,Inputs!$K$4:$AJ$4,0)))+SUMPRODUCT((Inputs!$E$5:$E$230=$B36)*Inputs!$F$5:$F$230*(((Inputs!$G$5:$G$230="moeda")+(Inputs!$G$5:$G$230="acoes"))*Inputs!$B$1+((Inputs!$G$5:$G$230&lt;&gt;"moeda")*(Inputs!$G$5:$G$230&lt;&gt;"acoes")))*INDEX(Inputs!$K$5:$AJ$230,0,MATCH(U$2,Inputs!$K$4:$AJ$4,0)))))</f>
        <v>36.726</v>
      </c>
      <c r="V36" s="6">
        <f>IF(ISNA(MATCH(V$2,Inputs!$K$4:$AJ$4,0)),NA(),IF(SUMPRODUCT((Inputs!$A$5:$A$230=$B36)*ISNUMBER(INDEX(Inputs!$K$5:$AJ$230,0,MATCH(V$2,Inputs!$K$4:$AJ$4,0))))+SUMPRODUCT((Inputs!$C$5:$C$230=$B36)*ISNUMBER(INDEX(Inputs!$K$5:$AJ$230,0,MATCH(V$2,Inputs!$K$4:$AJ$4,0))))+SUMPRODUCT((Inputs!$E$5:$E$230=$B36)*ISNUMBER(INDEX(Inputs!$K$5:$AJ$230,0,MATCH(V$2,Inputs!$K$4:$AJ$4,0))))=0,NA(),SUMPRODUCT((Inputs!$A$5:$A$230=$B36)*Inputs!$B$5:$B$230*(((Inputs!$G$5:$G$230="moeda")+(Inputs!$G$5:$G$230="acoes"))*Inputs!$B$1+((Inputs!$G$5:$G$230&lt;&gt;"moeda")*(Inputs!$G$5:$G$230&lt;&gt;"acoes")))*INDEX(Inputs!$K$5:$AJ$230,0,MATCH(V$2,Inputs!$K$4:$AJ$4,0)))+SUMPRODUCT((Inputs!$C$5:$C$230=$B36)*Inputs!$D$5:$D$230*(((Inputs!$G$5:$G$230="moeda")+(Inputs!$G$5:$G$230="acoes"))*Inputs!$B$1+((Inputs!$G$5:$G$230&lt;&gt;"moeda")*(Inputs!$G$5:$G$230&lt;&gt;"acoes")))*INDEX(Inputs!$K$5:$AJ$230,0,MATCH(V$2,Inputs!$K$4:$AJ$4,0)))+SUMPRODUCT((Inputs!$E$5:$E$230=$B36)*Inputs!$F$5:$F$230*(((Inputs!$G$5:$G$230="moeda")+(Inputs!$G$5:$G$230="acoes"))*Inputs!$B$1+((Inputs!$G$5:$G$230&lt;&gt;"moeda")*(Inputs!$G$5:$G$230&lt;&gt;"acoes")))*INDEX(Inputs!$K$5:$AJ$230,0,MATCH(V$2,Inputs!$K$4:$AJ$4,0)))))</f>
        <v>37.142</v>
      </c>
      <c r="W36" s="3">
        <f>V36</f>
        <v>37.142</v>
      </c>
      <c r="X36" s="6">
        <f>IF(ISNA(MATCH(X$2,Inputs!$K$4:$AJ$4,0)),NA(),IF(SUMPRODUCT((Inputs!$A$5:$A$230=$B36)*ISNUMBER(INDEX(Inputs!$K$5:$AJ$230,0,MATCH(X$2,Inputs!$K$4:$AJ$4,0))))+SUMPRODUCT((Inputs!$C$5:$C$230=$B36)*ISNUMBER(INDEX(Inputs!$K$5:$AJ$230,0,MATCH(X$2,Inputs!$K$4:$AJ$4,0))))+SUMPRODUCT((Inputs!$E$5:$E$230=$B36)*ISNUMBER(INDEX(Inputs!$K$5:$AJ$230,0,MATCH(X$2,Inputs!$K$4:$AJ$4,0))))=0,NA(),SUMPRODUCT((Inputs!$A$5:$A$230=$B36)*Inputs!$B$5:$B$230*(((Inputs!$G$5:$G$230="moeda")+(Inputs!$G$5:$G$230="acoes"))*Inputs!$B$1+((Inputs!$G$5:$G$230&lt;&gt;"moeda")*(Inputs!$G$5:$G$230&lt;&gt;"acoes")))*INDEX(Inputs!$K$5:$AJ$230,0,MATCH(X$2,Inputs!$K$4:$AJ$4,0)))+SUMPRODUCT((Inputs!$C$5:$C$230=$B36)*Inputs!$D$5:$D$230*(((Inputs!$G$5:$G$230="moeda")+(Inputs!$G$5:$G$230="acoes"))*Inputs!$B$1+((Inputs!$G$5:$G$230&lt;&gt;"moeda")*(Inputs!$G$5:$G$230&lt;&gt;"acoes")))*INDEX(Inputs!$K$5:$AJ$230,0,MATCH(X$2,Inputs!$K$4:$AJ$4,0)))+SUMPRODUCT((Inputs!$E$5:$E$230=$B36)*Inputs!$F$5:$F$230*(((Inputs!$G$5:$G$230="moeda")+(Inputs!$G$5:$G$230="acoes"))*Inputs!$B$1+((Inputs!$G$5:$G$230&lt;&gt;"moeda")*(Inputs!$G$5:$G$230&lt;&gt;"acoes")))*INDEX(Inputs!$K$5:$AJ$230,0,MATCH(X$2,Inputs!$K$4:$AJ$4,0)))))</f>
        <v>32.379</v>
      </c>
      <c r="Y36" s="6">
        <f>IF(ISNA(MATCH(Y$2,Inputs!$K$4:$AJ$4,0)),NA(),IF(SUMPRODUCT((Inputs!$A$5:$A$230=$B36)*ISNUMBER(INDEX(Inputs!$K$5:$AJ$230,0,MATCH(Y$2,Inputs!$K$4:$AJ$4,0))))+SUMPRODUCT((Inputs!$C$5:$C$230=$B36)*ISNUMBER(INDEX(Inputs!$K$5:$AJ$230,0,MATCH(Y$2,Inputs!$K$4:$AJ$4,0))))+SUMPRODUCT((Inputs!$E$5:$E$230=$B36)*ISNUMBER(INDEX(Inputs!$K$5:$AJ$230,0,MATCH(Y$2,Inputs!$K$4:$AJ$4,0))))=0,NA(),SUMPRODUCT((Inputs!$A$5:$A$230=$B36)*Inputs!$B$5:$B$230*(((Inputs!$G$5:$G$230="moeda")+(Inputs!$G$5:$G$230="acoes"))*Inputs!$B$1+((Inputs!$G$5:$G$230&lt;&gt;"moeda")*(Inputs!$G$5:$G$230&lt;&gt;"acoes")))*INDEX(Inputs!$K$5:$AJ$230,0,MATCH(Y$2,Inputs!$K$4:$AJ$4,0)))+SUMPRODUCT((Inputs!$C$5:$C$230=$B36)*Inputs!$D$5:$D$230*(((Inputs!$G$5:$G$230="moeda")+(Inputs!$G$5:$G$230="acoes"))*Inputs!$B$1+((Inputs!$G$5:$G$230&lt;&gt;"moeda")*(Inputs!$G$5:$G$230&lt;&gt;"acoes")))*INDEX(Inputs!$K$5:$AJ$230,0,MATCH(Y$2,Inputs!$K$4:$AJ$4,0)))+SUMPRODUCT((Inputs!$E$5:$E$230=$B36)*Inputs!$F$5:$F$230*(((Inputs!$G$5:$G$230="moeda")+(Inputs!$G$5:$G$230="acoes"))*Inputs!$B$1+((Inputs!$G$5:$G$230&lt;&gt;"moeda")*(Inputs!$G$5:$G$230&lt;&gt;"acoes")))*INDEX(Inputs!$K$5:$AJ$230,0,MATCH(Y$2,Inputs!$K$4:$AJ$4,0)))))</f>
        <v>33.248</v>
      </c>
      <c r="Z36" s="6">
        <f>IF(ISNA(MATCH(Z$2,Inputs!$K$4:$AJ$4,0)),NA(),IF(SUMPRODUCT((Inputs!$A$5:$A$230=$B36)*ISNUMBER(INDEX(Inputs!$K$5:$AJ$230,0,MATCH(Z$2,Inputs!$K$4:$AJ$4,0))))+SUMPRODUCT((Inputs!$C$5:$C$230=$B36)*ISNUMBER(INDEX(Inputs!$K$5:$AJ$230,0,MATCH(Z$2,Inputs!$K$4:$AJ$4,0))))+SUMPRODUCT((Inputs!$E$5:$E$230=$B36)*ISNUMBER(INDEX(Inputs!$K$5:$AJ$230,0,MATCH(Z$2,Inputs!$K$4:$AJ$4,0))))=0,NA(),SUMPRODUCT((Inputs!$A$5:$A$230=$B36)*Inputs!$B$5:$B$230*(((Inputs!$G$5:$G$230="moeda")+(Inputs!$G$5:$G$230="acoes"))*Inputs!$B$1+((Inputs!$G$5:$G$230&lt;&gt;"moeda")*(Inputs!$G$5:$G$230&lt;&gt;"acoes")))*INDEX(Inputs!$K$5:$AJ$230,0,MATCH(Z$2,Inputs!$K$4:$AJ$4,0)))+SUMPRODUCT((Inputs!$C$5:$C$230=$B36)*Inputs!$D$5:$D$230*(((Inputs!$G$5:$G$230="moeda")+(Inputs!$G$5:$G$230="acoes"))*Inputs!$B$1+((Inputs!$G$5:$G$230&lt;&gt;"moeda")*(Inputs!$G$5:$G$230&lt;&gt;"acoes")))*INDEX(Inputs!$K$5:$AJ$230,0,MATCH(Z$2,Inputs!$K$4:$AJ$4,0)))+SUMPRODUCT((Inputs!$E$5:$E$230=$B36)*Inputs!$F$5:$F$230*(((Inputs!$G$5:$G$230="moeda")+(Inputs!$G$5:$G$230="acoes"))*Inputs!$B$1+((Inputs!$G$5:$G$230&lt;&gt;"moeda")*(Inputs!$G$5:$G$230&lt;&gt;"acoes")))*INDEX(Inputs!$K$5:$AJ$230,0,MATCH(Z$2,Inputs!$K$4:$AJ$4,0)))))</f>
        <v>32.32</v>
      </c>
      <c r="AA36" s="6">
        <f>IF(ISNA(MATCH(AA$2,Inputs!$K$4:$AJ$4,0)),NA(),IF(SUMPRODUCT((Inputs!$A$5:$A$230=$B36)*ISNUMBER(INDEX(Inputs!$K$5:$AJ$230,0,MATCH(AA$2,Inputs!$K$4:$AJ$4,0))))+SUMPRODUCT((Inputs!$C$5:$C$230=$B36)*ISNUMBER(INDEX(Inputs!$K$5:$AJ$230,0,MATCH(AA$2,Inputs!$K$4:$AJ$4,0))))+SUMPRODUCT((Inputs!$E$5:$E$230=$B36)*ISNUMBER(INDEX(Inputs!$K$5:$AJ$230,0,MATCH(AA$2,Inputs!$K$4:$AJ$4,0))))=0,NA(),SUMPRODUCT((Inputs!$A$5:$A$230=$B36)*Inputs!$B$5:$B$230*(((Inputs!$G$5:$G$230="moeda")+(Inputs!$G$5:$G$230="acoes"))*Inputs!$B$1+((Inputs!$G$5:$G$230&lt;&gt;"moeda")*(Inputs!$G$5:$G$230&lt;&gt;"acoes")))*INDEX(Inputs!$K$5:$AJ$230,0,MATCH(AA$2,Inputs!$K$4:$AJ$4,0)))+SUMPRODUCT((Inputs!$C$5:$C$230=$B36)*Inputs!$D$5:$D$230*(((Inputs!$G$5:$G$230="moeda")+(Inputs!$G$5:$G$230="acoes"))*Inputs!$B$1+((Inputs!$G$5:$G$230&lt;&gt;"moeda")*(Inputs!$G$5:$G$230&lt;&gt;"acoes")))*INDEX(Inputs!$K$5:$AJ$230,0,MATCH(AA$2,Inputs!$K$4:$AJ$4,0)))+SUMPRODUCT((Inputs!$E$5:$E$230=$B36)*Inputs!$F$5:$F$230*(((Inputs!$G$5:$G$230="moeda")+(Inputs!$G$5:$G$230="acoes"))*Inputs!$B$1+((Inputs!$G$5:$G$230&lt;&gt;"moeda")*(Inputs!$G$5:$G$230&lt;&gt;"acoes")))*INDEX(Inputs!$K$5:$AJ$230,0,MATCH(AA$2,Inputs!$K$4:$AJ$4,0)))))</f>
        <v>18.089</v>
      </c>
      <c r="AB36" s="3">
        <f>AA36</f>
        <v>18.089</v>
      </c>
      <c r="AC36" s="6">
        <f>IF(ISNA(MATCH(AC$2,Inputs!$K$4:$AJ$4,0)),NA(),IF(SUMPRODUCT((Inputs!$A$5:$A$230=$B36)*ISNUMBER(INDEX(Inputs!$K$5:$AJ$230,0,MATCH(AC$2,Inputs!$K$4:$AJ$4,0))))+SUMPRODUCT((Inputs!$C$5:$C$230=$B36)*ISNUMBER(INDEX(Inputs!$K$5:$AJ$230,0,MATCH(AC$2,Inputs!$K$4:$AJ$4,0))))+SUMPRODUCT((Inputs!$E$5:$E$230=$B36)*ISNUMBER(INDEX(Inputs!$K$5:$AJ$230,0,MATCH(AC$2,Inputs!$K$4:$AJ$4,0))))=0,NA(),SUMPRODUCT((Inputs!$A$5:$A$230=$B36)*Inputs!$B$5:$B$230*(((Inputs!$G$5:$G$230="moeda")+(Inputs!$G$5:$G$230="acoes"))*Inputs!$B$1+((Inputs!$G$5:$G$230&lt;&gt;"moeda")*(Inputs!$G$5:$G$230&lt;&gt;"acoes")))*INDEX(Inputs!$K$5:$AJ$230,0,MATCH(AC$2,Inputs!$K$4:$AJ$4,0)))+SUMPRODUCT((Inputs!$C$5:$C$230=$B36)*Inputs!$D$5:$D$230*(((Inputs!$G$5:$G$230="moeda")+(Inputs!$G$5:$G$230="acoes"))*Inputs!$B$1+((Inputs!$G$5:$G$230&lt;&gt;"moeda")*(Inputs!$G$5:$G$230&lt;&gt;"acoes")))*INDEX(Inputs!$K$5:$AJ$230,0,MATCH(AC$2,Inputs!$K$4:$AJ$4,0)))+SUMPRODUCT((Inputs!$E$5:$E$230=$B36)*Inputs!$F$5:$F$230*(((Inputs!$G$5:$G$230="moeda")+(Inputs!$G$5:$G$230="acoes"))*Inputs!$B$1+((Inputs!$G$5:$G$230&lt;&gt;"moeda")*(Inputs!$G$5:$G$230&lt;&gt;"acoes")))*INDEX(Inputs!$K$5:$AJ$230,0,MATCH(AC$2,Inputs!$K$4:$AJ$4,0)))))</f>
        <v>15.954</v>
      </c>
      <c r="AD36" s="6">
        <f>IF(ISNA(MATCH(AD$2,Inputs!$K$4:$AJ$4,0)),NA(),IF(SUMPRODUCT((Inputs!$A$5:$A$230=$B36)*ISNUMBER(INDEX(Inputs!$K$5:$AJ$230,0,MATCH(AD$2,Inputs!$K$4:$AJ$4,0))))+SUMPRODUCT((Inputs!$C$5:$C$230=$B36)*ISNUMBER(INDEX(Inputs!$K$5:$AJ$230,0,MATCH(AD$2,Inputs!$K$4:$AJ$4,0))))+SUMPRODUCT((Inputs!$E$5:$E$230=$B36)*ISNUMBER(INDEX(Inputs!$K$5:$AJ$230,0,MATCH(AD$2,Inputs!$K$4:$AJ$4,0))))=0,NA(),SUMPRODUCT((Inputs!$A$5:$A$230=$B36)*Inputs!$B$5:$B$230*(((Inputs!$G$5:$G$230="moeda")+(Inputs!$G$5:$G$230="acoes"))*Inputs!$B$1+((Inputs!$G$5:$G$230&lt;&gt;"moeda")*(Inputs!$G$5:$G$230&lt;&gt;"acoes")))*INDEX(Inputs!$K$5:$AJ$230,0,MATCH(AD$2,Inputs!$K$4:$AJ$4,0)))+SUMPRODUCT((Inputs!$C$5:$C$230=$B36)*Inputs!$D$5:$D$230*(((Inputs!$G$5:$G$230="moeda")+(Inputs!$G$5:$G$230="acoes"))*Inputs!$B$1+((Inputs!$G$5:$G$230&lt;&gt;"moeda")*(Inputs!$G$5:$G$230&lt;&gt;"acoes")))*INDEX(Inputs!$K$5:$AJ$230,0,MATCH(AD$2,Inputs!$K$4:$AJ$4,0)))+SUMPRODUCT((Inputs!$E$5:$E$230=$B36)*Inputs!$F$5:$F$230*(((Inputs!$G$5:$G$230="moeda")+(Inputs!$G$5:$G$230="acoes"))*Inputs!$B$1+((Inputs!$G$5:$G$230&lt;&gt;"moeda")*(Inputs!$G$5:$G$230&lt;&gt;"acoes")))*INDEX(Inputs!$K$5:$AJ$230,0,MATCH(AD$2,Inputs!$K$4:$AJ$4,0)))))</f>
        <v>16.91</v>
      </c>
      <c r="AE36" s="6" t="e">
        <f>IF(ISNA(MATCH(AE$2,Inputs!$K$4:$AJ$4,0)),NA(),IF(SUMPRODUCT((Inputs!$A$5:$A$230=$B36)*ISNUMBER(INDEX(Inputs!$K$5:$AJ$230,0,MATCH(AE$2,Inputs!$K$4:$AJ$4,0))))+SUMPRODUCT((Inputs!$C$5:$C$230=$B36)*ISNUMBER(INDEX(Inputs!$K$5:$AJ$230,0,MATCH(AE$2,Inputs!$K$4:$AJ$4,0))))+SUMPRODUCT((Inputs!$E$5:$E$230=$B36)*ISNUMBER(INDEX(Inputs!$K$5:$AJ$230,0,MATCH(AE$2,Inputs!$K$4:$AJ$4,0))))=0,NA(),SUMPRODUCT((Inputs!$A$5:$A$230=$B36)*Inputs!$B$5:$B$230*(((Inputs!$G$5:$G$230="moeda")+(Inputs!$G$5:$G$230="acoes"))*Inputs!$B$1+((Inputs!$G$5:$G$230&lt;&gt;"moeda")*(Inputs!$G$5:$G$230&lt;&gt;"acoes")))*INDEX(Inputs!$K$5:$AJ$230,0,MATCH(AE$2,Inputs!$K$4:$AJ$4,0)))+SUMPRODUCT((Inputs!$C$5:$C$230=$B36)*Inputs!$D$5:$D$230*(((Inputs!$G$5:$G$230="moeda")+(Inputs!$G$5:$G$230="acoes"))*Inputs!$B$1+((Inputs!$G$5:$G$230&lt;&gt;"moeda")*(Inputs!$G$5:$G$230&lt;&gt;"acoes")))*INDEX(Inputs!$K$5:$AJ$230,0,MATCH(AE$2,Inputs!$K$4:$AJ$4,0)))+SUMPRODUCT((Inputs!$E$5:$E$230=$B36)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36" s="6" t="e">
        <f>IF(ISNA(MATCH(AF$2,Inputs!$K$4:$AJ$4,0)),NA(),IF(SUMPRODUCT((Inputs!$A$5:$A$230=$B36)*ISNUMBER(INDEX(Inputs!$K$5:$AJ$230,0,MATCH(AF$2,Inputs!$K$4:$AJ$4,0))))+SUMPRODUCT((Inputs!$C$5:$C$230=$B36)*ISNUMBER(INDEX(Inputs!$K$5:$AJ$230,0,MATCH(AF$2,Inputs!$K$4:$AJ$4,0))))+SUMPRODUCT((Inputs!$E$5:$E$230=$B36)*ISNUMBER(INDEX(Inputs!$K$5:$AJ$230,0,MATCH(AF$2,Inputs!$K$4:$AJ$4,0))))=0,NA(),SUMPRODUCT((Inputs!$A$5:$A$230=$B36)*Inputs!$B$5:$B$230*(((Inputs!$G$5:$G$230="moeda")+(Inputs!$G$5:$G$230="acoes"))*Inputs!$B$1+((Inputs!$G$5:$G$230&lt;&gt;"moeda")*(Inputs!$G$5:$G$230&lt;&gt;"acoes")))*INDEX(Inputs!$K$5:$AJ$230,0,MATCH(AF$2,Inputs!$K$4:$AJ$4,0)))+SUMPRODUCT((Inputs!$C$5:$C$230=$B36)*Inputs!$D$5:$D$230*(((Inputs!$G$5:$G$230="moeda")+(Inputs!$G$5:$G$230="acoes"))*Inputs!$B$1+((Inputs!$G$5:$G$230&lt;&gt;"moeda")*(Inputs!$G$5:$G$230&lt;&gt;"acoes")))*INDEX(Inputs!$K$5:$AJ$230,0,MATCH(AF$2,Inputs!$K$4:$AJ$4,0)))+SUMPRODUCT((Inputs!$E$5:$E$230=$B36)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36" s="3" t="e">
        <f>AF36</f>
        <v>#N/A</v>
      </c>
      <c r="AH36" s="6">
        <f>IF(ISNA(MATCH(AH$2,Inputs!$K$4:$AJ$4,0)),NA(),IF(SUMPRODUCT((Inputs!$A$5:$A$230=$B36)*ISNUMBER(INDEX(Inputs!$K$5:$AJ$230,0,MATCH(AH$2,Inputs!$K$4:$AJ$4,0))))+SUMPRODUCT((Inputs!$C$5:$C$230=$B36)*ISNUMBER(INDEX(Inputs!$K$5:$AJ$230,0,MATCH(AH$2,Inputs!$K$4:$AJ$4,0))))+SUMPRODUCT((Inputs!$E$5:$E$230=$B36)*ISNUMBER(INDEX(Inputs!$K$5:$AJ$230,0,MATCH(AH$2,Inputs!$K$4:$AJ$4,0))))=0,NA(),SUMPRODUCT((Inputs!$A$5:$A$230=$B36)*Inputs!$B$5:$B$230*(((Inputs!$G$5:$G$230="moeda")+(Inputs!$G$5:$G$230="acoes"))*Inputs!$B$1+((Inputs!$G$5:$G$230&lt;&gt;"moeda")*(Inputs!$G$5:$G$230&lt;&gt;"acoes")))*INDEX(Inputs!$K$5:$AJ$230,0,MATCH(AH$2,Inputs!$K$4:$AJ$4,0)))+SUMPRODUCT((Inputs!$C$5:$C$230=$B36)*Inputs!$D$5:$D$230*(((Inputs!$G$5:$G$230="moeda")+(Inputs!$G$5:$G$230="acoes"))*Inputs!$B$1+((Inputs!$G$5:$G$230&lt;&gt;"moeda")*(Inputs!$G$5:$G$230&lt;&gt;"acoes")))*INDEX(Inputs!$K$5:$AJ$230,0,MATCH(AH$2,Inputs!$K$4:$AJ$4,0)))+SUMPRODUCT((Inputs!$E$5:$E$230=$B36)*Inputs!$F$5:$F$230*(((Inputs!$G$5:$G$230="moeda")+(Inputs!$G$5:$G$230="acoes"))*Inputs!$B$1+((Inputs!$G$5:$G$230&lt;&gt;"moeda")*(Inputs!$G$5:$G$230&lt;&gt;"acoes")))*INDEX(Inputs!$K$5:$AJ$230,0,MATCH(AH$2,Inputs!$K$4:$AJ$4,0)))))</f>
        <v>27.026</v>
      </c>
      <c r="AI36" s="6">
        <f>IF(ISNA(MATCH(AI$2,Inputs!$K$4:$AJ$4,0)),NA(),IF(SUMPRODUCT((Inputs!$A$5:$A$230=$B36)*ISNUMBER(INDEX(Inputs!$K$5:$AJ$230,0,MATCH(AI$2,Inputs!$K$4:$AJ$4,0))))+SUMPRODUCT((Inputs!$C$5:$C$230=$B36)*ISNUMBER(INDEX(Inputs!$K$5:$AJ$230,0,MATCH(AI$2,Inputs!$K$4:$AJ$4,0))))+SUMPRODUCT((Inputs!$E$5:$E$230=$B36)*ISNUMBER(INDEX(Inputs!$K$5:$AJ$230,0,MATCH(AI$2,Inputs!$K$4:$AJ$4,0))))=0,NA(),SUMPRODUCT((Inputs!$A$5:$A$230=$B36)*Inputs!$B$5:$B$230*(((Inputs!$G$5:$G$230="moeda")+(Inputs!$G$5:$G$230="acoes"))*Inputs!$B$1+((Inputs!$G$5:$G$230&lt;&gt;"moeda")*(Inputs!$G$5:$G$230&lt;&gt;"acoes")))*INDEX(Inputs!$K$5:$AJ$230,0,MATCH(AI$2,Inputs!$K$4:$AJ$4,0)))+SUMPRODUCT((Inputs!$C$5:$C$230=$B36)*Inputs!$D$5:$D$230*(((Inputs!$G$5:$G$230="moeda")+(Inputs!$G$5:$G$230="acoes"))*Inputs!$B$1+((Inputs!$G$5:$G$230&lt;&gt;"moeda")*(Inputs!$G$5:$G$230&lt;&gt;"acoes")))*INDEX(Inputs!$K$5:$AJ$230,0,MATCH(AI$2,Inputs!$K$4:$AJ$4,0)))+SUMPRODUCT((Inputs!$E$5:$E$230=$B36)*Inputs!$F$5:$F$230*(((Inputs!$G$5:$G$230="moeda")+(Inputs!$G$5:$G$230="acoes"))*Inputs!$B$1+((Inputs!$G$5:$G$230&lt;&gt;"moeda")*(Inputs!$G$5:$G$230&lt;&gt;"acoes")))*INDEX(Inputs!$K$5:$AJ$230,0,MATCH(AI$2,Inputs!$K$4:$AJ$4,0)))))</f>
        <v>30.269</v>
      </c>
      <c r="AJ36" s="6">
        <f>IF(ISNA(MATCH(AJ$2,Inputs!$K$4:$AJ$4,0)),NA(),IF(SUMPRODUCT((Inputs!$A$5:$A$230=$B36)*ISNUMBER(INDEX(Inputs!$K$5:$AJ$230,0,MATCH(AJ$2,Inputs!$K$4:$AJ$4,0))))+SUMPRODUCT((Inputs!$C$5:$C$230=$B36)*ISNUMBER(INDEX(Inputs!$K$5:$AJ$230,0,MATCH(AJ$2,Inputs!$K$4:$AJ$4,0))))+SUMPRODUCT((Inputs!$E$5:$E$230=$B36)*ISNUMBER(INDEX(Inputs!$K$5:$AJ$230,0,MATCH(AJ$2,Inputs!$K$4:$AJ$4,0))))=0,NA(),SUMPRODUCT((Inputs!$A$5:$A$230=$B36)*Inputs!$B$5:$B$230*(((Inputs!$G$5:$G$230="moeda")+(Inputs!$G$5:$G$230="acoes"))*Inputs!$B$1+((Inputs!$G$5:$G$230&lt;&gt;"moeda")*(Inputs!$G$5:$G$230&lt;&gt;"acoes")))*INDEX(Inputs!$K$5:$AJ$230,0,MATCH(AJ$2,Inputs!$K$4:$AJ$4,0)))+SUMPRODUCT((Inputs!$C$5:$C$230=$B36)*Inputs!$D$5:$D$230*(((Inputs!$G$5:$G$230="moeda")+(Inputs!$G$5:$G$230="acoes"))*Inputs!$B$1+((Inputs!$G$5:$G$230&lt;&gt;"moeda")*(Inputs!$G$5:$G$230&lt;&gt;"acoes")))*INDEX(Inputs!$K$5:$AJ$230,0,MATCH(AJ$2,Inputs!$K$4:$AJ$4,0)))+SUMPRODUCT((Inputs!$E$5:$E$230=$B36)*Inputs!$F$5:$F$230*(((Inputs!$G$5:$G$230="moeda")+(Inputs!$G$5:$G$230="acoes"))*Inputs!$B$1+((Inputs!$G$5:$G$230&lt;&gt;"moeda")*(Inputs!$G$5:$G$230&lt;&gt;"acoes")))*INDEX(Inputs!$K$5:$AJ$230,0,MATCH(AJ$2,Inputs!$K$4:$AJ$4,0)))))</f>
        <v>29.22</v>
      </c>
      <c r="AK36" s="6">
        <f>IF(ISNA(MATCH(AK$2,Inputs!$K$4:$AJ$4,0)),NA(),IF(SUMPRODUCT((Inputs!$A$5:$A$230=$B36)*ISNUMBER(INDEX(Inputs!$K$5:$AJ$230,0,MATCH(AK$2,Inputs!$K$4:$AJ$4,0))))+SUMPRODUCT((Inputs!$C$5:$C$230=$B36)*ISNUMBER(INDEX(Inputs!$K$5:$AJ$230,0,MATCH(AK$2,Inputs!$K$4:$AJ$4,0))))+SUMPRODUCT((Inputs!$E$5:$E$230=$B36)*ISNUMBER(INDEX(Inputs!$K$5:$AJ$230,0,MATCH(AK$2,Inputs!$K$4:$AJ$4,0))))=0,NA(),SUMPRODUCT((Inputs!$A$5:$A$230=$B36)*Inputs!$B$5:$B$230*(((Inputs!$G$5:$G$230="moeda")+(Inputs!$G$5:$G$230="acoes"))*Inputs!$B$1+((Inputs!$G$5:$G$230&lt;&gt;"moeda")*(Inputs!$G$5:$G$230&lt;&gt;"acoes")))*INDEX(Inputs!$K$5:$AJ$230,0,MATCH(AK$2,Inputs!$K$4:$AJ$4,0)))+SUMPRODUCT((Inputs!$C$5:$C$230=$B36)*Inputs!$D$5:$D$230*(((Inputs!$G$5:$G$230="moeda")+(Inputs!$G$5:$G$230="acoes"))*Inputs!$B$1+((Inputs!$G$5:$G$230&lt;&gt;"moeda")*(Inputs!$G$5:$G$230&lt;&gt;"acoes")))*INDEX(Inputs!$K$5:$AJ$230,0,MATCH(AK$2,Inputs!$K$4:$AJ$4,0)))+SUMPRODUCT((Inputs!$E$5:$E$230=$B36)*Inputs!$F$5:$F$230*(((Inputs!$G$5:$G$230="moeda")+(Inputs!$G$5:$G$230="acoes"))*Inputs!$B$1+((Inputs!$G$5:$G$230&lt;&gt;"moeda")*(Inputs!$G$5:$G$230&lt;&gt;"acoes")))*INDEX(Inputs!$K$5:$AJ$230,0,MATCH(AK$2,Inputs!$K$4:$AJ$4,0)))))</f>
        <v>28.3</v>
      </c>
      <c r="AL36" s="3">
        <f>AK36</f>
        <v>28.3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$230=$B37)*ISNUMBER(INDEX(Inputs!$K$5:$AJ$230,0,MATCH(D$2,Inputs!$K$4:$AJ$4,0))))+SUMPRODUCT((Inputs!$C$5:$C$230=$B37)*ISNUMBER(INDEX(Inputs!$K$5:$AJ$230,0,MATCH(D$2,Inputs!$K$4:$AJ$4,0))))+SUMPRODUCT((Inputs!$E$5:$E$230=$B37)*ISNUMBER(INDEX(Inputs!$K$5:$AJ$230,0,MATCH(D$2,Inputs!$K$4:$AJ$4,0))))=0,NA(),SUMPRODUCT((Inputs!$A$5:$A$230=$B37)*Inputs!$B$5:$B$230*(((Inputs!$G$5:$G$230="moeda")+(Inputs!$G$5:$G$230="acoes"))*Inputs!$B$1+((Inputs!$G$5:$G$230&lt;&gt;"moeda")*(Inputs!$G$5:$G$230&lt;&gt;"acoes")))*INDEX(Inputs!$K$5:$AJ$230,0,MATCH(D$2,Inputs!$K$4:$AJ$4,0)))+SUMPRODUCT((Inputs!$C$5:$C$230=$B37)*Inputs!$D$5:$D$230*(((Inputs!$G$5:$G$230="moeda")+(Inputs!$G$5:$G$230="acoes"))*Inputs!$B$1+((Inputs!$G$5:$G$230&lt;&gt;"moeda")*(Inputs!$G$5:$G$230&lt;&gt;"acoes")))*INDEX(Inputs!$K$5:$AJ$230,0,MATCH(D$2,Inputs!$K$4:$AJ$4,0)))+SUMPRODUCT((Inputs!$E$5:$E$230=$B37)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37" s="6" t="e">
        <f>IF(ISNA(MATCH(E$2,Inputs!$K$4:$AJ$4,0)),NA(),IF(SUMPRODUCT((Inputs!$A$5:$A$230=$B37)*ISNUMBER(INDEX(Inputs!$K$5:$AJ$230,0,MATCH(E$2,Inputs!$K$4:$AJ$4,0))))+SUMPRODUCT((Inputs!$C$5:$C$230=$B37)*ISNUMBER(INDEX(Inputs!$K$5:$AJ$230,0,MATCH(E$2,Inputs!$K$4:$AJ$4,0))))+SUMPRODUCT((Inputs!$E$5:$E$230=$B37)*ISNUMBER(INDEX(Inputs!$K$5:$AJ$230,0,MATCH(E$2,Inputs!$K$4:$AJ$4,0))))=0,NA(),SUMPRODUCT((Inputs!$A$5:$A$230=$B37)*Inputs!$B$5:$B$230*(((Inputs!$G$5:$G$230="moeda")+(Inputs!$G$5:$G$230="acoes"))*Inputs!$B$1+((Inputs!$G$5:$G$230&lt;&gt;"moeda")*(Inputs!$G$5:$G$230&lt;&gt;"acoes")))*INDEX(Inputs!$K$5:$AJ$230,0,MATCH(E$2,Inputs!$K$4:$AJ$4,0)))+SUMPRODUCT((Inputs!$C$5:$C$230=$B37)*Inputs!$D$5:$D$230*(((Inputs!$G$5:$G$230="moeda")+(Inputs!$G$5:$G$230="acoes"))*Inputs!$B$1+((Inputs!$G$5:$G$230&lt;&gt;"moeda")*(Inputs!$G$5:$G$230&lt;&gt;"acoes")))*INDEX(Inputs!$K$5:$AJ$230,0,MATCH(E$2,Inputs!$K$4:$AJ$4,0)))+SUMPRODUCT((Inputs!$E$5:$E$230=$B37)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37" s="6" t="e">
        <f>IF(ISNA(MATCH(F$2,Inputs!$K$4:$AJ$4,0)),NA(),IF(SUMPRODUCT((Inputs!$A$5:$A$230=$B37)*ISNUMBER(INDEX(Inputs!$K$5:$AJ$230,0,MATCH(F$2,Inputs!$K$4:$AJ$4,0))))+SUMPRODUCT((Inputs!$C$5:$C$230=$B37)*ISNUMBER(INDEX(Inputs!$K$5:$AJ$230,0,MATCH(F$2,Inputs!$K$4:$AJ$4,0))))+SUMPRODUCT((Inputs!$E$5:$E$230=$B37)*ISNUMBER(INDEX(Inputs!$K$5:$AJ$230,0,MATCH(F$2,Inputs!$K$4:$AJ$4,0))))=0,NA(),SUMPRODUCT((Inputs!$A$5:$A$230=$B37)*Inputs!$B$5:$B$230*(((Inputs!$G$5:$G$230="moeda")+(Inputs!$G$5:$G$230="acoes"))*Inputs!$B$1+((Inputs!$G$5:$G$230&lt;&gt;"moeda")*(Inputs!$G$5:$G$230&lt;&gt;"acoes")))*INDEX(Inputs!$K$5:$AJ$230,0,MATCH(F$2,Inputs!$K$4:$AJ$4,0)))+SUMPRODUCT((Inputs!$C$5:$C$230=$B37)*Inputs!$D$5:$D$230*(((Inputs!$G$5:$G$230="moeda")+(Inputs!$G$5:$G$230="acoes"))*Inputs!$B$1+((Inputs!$G$5:$G$230&lt;&gt;"moeda")*(Inputs!$G$5:$G$230&lt;&gt;"acoes")))*INDEX(Inputs!$K$5:$AJ$230,0,MATCH(F$2,Inputs!$K$4:$AJ$4,0)))+SUMPRODUCT((Inputs!$E$5:$E$230=$B37)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37" s="6" t="e">
        <f>IF(ISNA(MATCH(G$2,Inputs!$K$4:$AJ$4,0)),NA(),IF(SUMPRODUCT((Inputs!$A$5:$A$230=$B37)*ISNUMBER(INDEX(Inputs!$K$5:$AJ$230,0,MATCH(G$2,Inputs!$K$4:$AJ$4,0))))+SUMPRODUCT((Inputs!$C$5:$C$230=$B37)*ISNUMBER(INDEX(Inputs!$K$5:$AJ$230,0,MATCH(G$2,Inputs!$K$4:$AJ$4,0))))+SUMPRODUCT((Inputs!$E$5:$E$230=$B37)*ISNUMBER(INDEX(Inputs!$K$5:$AJ$230,0,MATCH(G$2,Inputs!$K$4:$AJ$4,0))))=0,NA(),SUMPRODUCT((Inputs!$A$5:$A$230=$B37)*Inputs!$B$5:$B$230*(((Inputs!$G$5:$G$230="moeda")+(Inputs!$G$5:$G$230="acoes"))*Inputs!$B$1+((Inputs!$G$5:$G$230&lt;&gt;"moeda")*(Inputs!$G$5:$G$230&lt;&gt;"acoes")))*INDEX(Inputs!$K$5:$AJ$230,0,MATCH(G$2,Inputs!$K$4:$AJ$4,0)))+SUMPRODUCT((Inputs!$C$5:$C$230=$B37)*Inputs!$D$5:$D$230*(((Inputs!$G$5:$G$230="moeda")+(Inputs!$G$5:$G$230="acoes"))*Inputs!$B$1+((Inputs!$G$5:$G$230&lt;&gt;"moeda")*(Inputs!$G$5:$G$230&lt;&gt;"acoes")))*INDEX(Inputs!$K$5:$AJ$230,0,MATCH(G$2,Inputs!$K$4:$AJ$4,0)))+SUMPRODUCT((Inputs!$E$5:$E$230=$B37)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37" s="3" t="e">
        <f>G37</f>
        <v>#N/A</v>
      </c>
      <c r="I37" s="6" t="e">
        <f>IF(ISNA(MATCH(I$2,Inputs!$K$4:$AJ$4,0)),NA(),IF(SUMPRODUCT((Inputs!$A$5:$A$230=$B37)*ISNUMBER(INDEX(Inputs!$K$5:$AJ$230,0,MATCH(I$2,Inputs!$K$4:$AJ$4,0))))+SUMPRODUCT((Inputs!$C$5:$C$230=$B37)*ISNUMBER(INDEX(Inputs!$K$5:$AJ$230,0,MATCH(I$2,Inputs!$K$4:$AJ$4,0))))+SUMPRODUCT((Inputs!$E$5:$E$230=$B37)*ISNUMBER(INDEX(Inputs!$K$5:$AJ$230,0,MATCH(I$2,Inputs!$K$4:$AJ$4,0))))=0,NA(),SUMPRODUCT((Inputs!$A$5:$A$230=$B37)*Inputs!$B$5:$B$230*(((Inputs!$G$5:$G$230="moeda")+(Inputs!$G$5:$G$230="acoes"))*Inputs!$B$1+((Inputs!$G$5:$G$230&lt;&gt;"moeda")*(Inputs!$G$5:$G$230&lt;&gt;"acoes")))*INDEX(Inputs!$K$5:$AJ$230,0,MATCH(I$2,Inputs!$K$4:$AJ$4,0)))+SUMPRODUCT((Inputs!$C$5:$C$230=$B37)*Inputs!$D$5:$D$230*(((Inputs!$G$5:$G$230="moeda")+(Inputs!$G$5:$G$230="acoes"))*Inputs!$B$1+((Inputs!$G$5:$G$230&lt;&gt;"moeda")*(Inputs!$G$5:$G$230&lt;&gt;"acoes")))*INDEX(Inputs!$K$5:$AJ$230,0,MATCH(I$2,Inputs!$K$4:$AJ$4,0)))+SUMPRODUCT((Inputs!$E$5:$E$230=$B37)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37" s="6" t="e">
        <f>IF(ISNA(MATCH(J$2,Inputs!$K$4:$AJ$4,0)),NA(),IF(SUMPRODUCT((Inputs!$A$5:$A$230=$B37)*ISNUMBER(INDEX(Inputs!$K$5:$AJ$230,0,MATCH(J$2,Inputs!$K$4:$AJ$4,0))))+SUMPRODUCT((Inputs!$C$5:$C$230=$B37)*ISNUMBER(INDEX(Inputs!$K$5:$AJ$230,0,MATCH(J$2,Inputs!$K$4:$AJ$4,0))))+SUMPRODUCT((Inputs!$E$5:$E$230=$B37)*ISNUMBER(INDEX(Inputs!$K$5:$AJ$230,0,MATCH(J$2,Inputs!$K$4:$AJ$4,0))))=0,NA(),SUMPRODUCT((Inputs!$A$5:$A$230=$B37)*Inputs!$B$5:$B$230*(((Inputs!$G$5:$G$230="moeda")+(Inputs!$G$5:$G$230="acoes"))*Inputs!$B$1+((Inputs!$G$5:$G$230&lt;&gt;"moeda")*(Inputs!$G$5:$G$230&lt;&gt;"acoes")))*INDEX(Inputs!$K$5:$AJ$230,0,MATCH(J$2,Inputs!$K$4:$AJ$4,0)))+SUMPRODUCT((Inputs!$C$5:$C$230=$B37)*Inputs!$D$5:$D$230*(((Inputs!$G$5:$G$230="moeda")+(Inputs!$G$5:$G$230="acoes"))*Inputs!$B$1+((Inputs!$G$5:$G$230&lt;&gt;"moeda")*(Inputs!$G$5:$G$230&lt;&gt;"acoes")))*INDEX(Inputs!$K$5:$AJ$230,0,MATCH(J$2,Inputs!$K$4:$AJ$4,0)))+SUMPRODUCT((Inputs!$E$5:$E$230=$B37)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37" s="6" t="e">
        <f>IF(ISNA(MATCH(K$2,Inputs!$K$4:$AJ$4,0)),NA(),IF(SUMPRODUCT((Inputs!$A$5:$A$230=$B37)*ISNUMBER(INDEX(Inputs!$K$5:$AJ$230,0,MATCH(K$2,Inputs!$K$4:$AJ$4,0))))+SUMPRODUCT((Inputs!$C$5:$C$230=$B37)*ISNUMBER(INDEX(Inputs!$K$5:$AJ$230,0,MATCH(K$2,Inputs!$K$4:$AJ$4,0))))+SUMPRODUCT((Inputs!$E$5:$E$230=$B37)*ISNUMBER(INDEX(Inputs!$K$5:$AJ$230,0,MATCH(K$2,Inputs!$K$4:$AJ$4,0))))=0,NA(),SUMPRODUCT((Inputs!$A$5:$A$230=$B37)*Inputs!$B$5:$B$230*(((Inputs!$G$5:$G$230="moeda")+(Inputs!$G$5:$G$230="acoes"))*Inputs!$B$1+((Inputs!$G$5:$G$230&lt;&gt;"moeda")*(Inputs!$G$5:$G$230&lt;&gt;"acoes")))*INDEX(Inputs!$K$5:$AJ$230,0,MATCH(K$2,Inputs!$K$4:$AJ$4,0)))+SUMPRODUCT((Inputs!$C$5:$C$230=$B37)*Inputs!$D$5:$D$230*(((Inputs!$G$5:$G$230="moeda")+(Inputs!$G$5:$G$230="acoes"))*Inputs!$B$1+((Inputs!$G$5:$G$230&lt;&gt;"moeda")*(Inputs!$G$5:$G$230&lt;&gt;"acoes")))*INDEX(Inputs!$K$5:$AJ$230,0,MATCH(K$2,Inputs!$K$4:$AJ$4,0)))+SUMPRODUCT((Inputs!$E$5:$E$230=$B37)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37" s="6" t="e">
        <f>IF(ISNA(MATCH(L$2,Inputs!$K$4:$AJ$4,0)),NA(),IF(SUMPRODUCT((Inputs!$A$5:$A$230=$B37)*ISNUMBER(INDEX(Inputs!$K$5:$AJ$230,0,MATCH(L$2,Inputs!$K$4:$AJ$4,0))))+SUMPRODUCT((Inputs!$C$5:$C$230=$B37)*ISNUMBER(INDEX(Inputs!$K$5:$AJ$230,0,MATCH(L$2,Inputs!$K$4:$AJ$4,0))))+SUMPRODUCT((Inputs!$E$5:$E$230=$B37)*ISNUMBER(INDEX(Inputs!$K$5:$AJ$230,0,MATCH(L$2,Inputs!$K$4:$AJ$4,0))))=0,NA(),SUMPRODUCT((Inputs!$A$5:$A$230=$B37)*Inputs!$B$5:$B$230*(((Inputs!$G$5:$G$230="moeda")+(Inputs!$G$5:$G$230="acoes"))*Inputs!$B$1+((Inputs!$G$5:$G$230&lt;&gt;"moeda")*(Inputs!$G$5:$G$230&lt;&gt;"acoes")))*INDEX(Inputs!$K$5:$AJ$230,0,MATCH(L$2,Inputs!$K$4:$AJ$4,0)))+SUMPRODUCT((Inputs!$C$5:$C$230=$B37)*Inputs!$D$5:$D$230*(((Inputs!$G$5:$G$230="moeda")+(Inputs!$G$5:$G$230="acoes"))*Inputs!$B$1+((Inputs!$G$5:$G$230&lt;&gt;"moeda")*(Inputs!$G$5:$G$230&lt;&gt;"acoes")))*INDEX(Inputs!$K$5:$AJ$230,0,MATCH(L$2,Inputs!$K$4:$AJ$4,0)))+SUMPRODUCT((Inputs!$E$5:$E$230=$B37)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37" s="3" t="e">
        <f>L37</f>
        <v>#N/A</v>
      </c>
      <c r="N37" s="6" t="e">
        <f>IF(ISNA(MATCH(N$2,Inputs!$K$4:$AJ$4,0)),NA(),IF(SUMPRODUCT((Inputs!$A$5:$A$230=$B37)*ISNUMBER(INDEX(Inputs!$K$5:$AJ$230,0,MATCH(N$2,Inputs!$K$4:$AJ$4,0))))+SUMPRODUCT((Inputs!$C$5:$C$230=$B37)*ISNUMBER(INDEX(Inputs!$K$5:$AJ$230,0,MATCH(N$2,Inputs!$K$4:$AJ$4,0))))+SUMPRODUCT((Inputs!$E$5:$E$230=$B37)*ISNUMBER(INDEX(Inputs!$K$5:$AJ$230,0,MATCH(N$2,Inputs!$K$4:$AJ$4,0))))=0,NA(),SUMPRODUCT((Inputs!$A$5:$A$230=$B37)*Inputs!$B$5:$B$230*(((Inputs!$G$5:$G$230="moeda")+(Inputs!$G$5:$G$230="acoes"))*Inputs!$B$1+((Inputs!$G$5:$G$230&lt;&gt;"moeda")*(Inputs!$G$5:$G$230&lt;&gt;"acoes")))*INDEX(Inputs!$K$5:$AJ$230,0,MATCH(N$2,Inputs!$K$4:$AJ$4,0)))+SUMPRODUCT((Inputs!$C$5:$C$230=$B37)*Inputs!$D$5:$D$230*(((Inputs!$G$5:$G$230="moeda")+(Inputs!$G$5:$G$230="acoes"))*Inputs!$B$1+((Inputs!$G$5:$G$230&lt;&gt;"moeda")*(Inputs!$G$5:$G$230&lt;&gt;"acoes")))*INDEX(Inputs!$K$5:$AJ$230,0,MATCH(N$2,Inputs!$K$4:$AJ$4,0)))+SUMPRODUCT((Inputs!$E$5:$E$230=$B37)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37" s="6" t="e">
        <f>IF(ISNA(MATCH(O$2,Inputs!$K$4:$AJ$4,0)),NA(),IF(SUMPRODUCT((Inputs!$A$5:$A$230=$B37)*ISNUMBER(INDEX(Inputs!$K$5:$AJ$230,0,MATCH(O$2,Inputs!$K$4:$AJ$4,0))))+SUMPRODUCT((Inputs!$C$5:$C$230=$B37)*ISNUMBER(INDEX(Inputs!$K$5:$AJ$230,0,MATCH(O$2,Inputs!$K$4:$AJ$4,0))))+SUMPRODUCT((Inputs!$E$5:$E$230=$B37)*ISNUMBER(INDEX(Inputs!$K$5:$AJ$230,0,MATCH(O$2,Inputs!$K$4:$AJ$4,0))))=0,NA(),SUMPRODUCT((Inputs!$A$5:$A$230=$B37)*Inputs!$B$5:$B$230*(((Inputs!$G$5:$G$230="moeda")+(Inputs!$G$5:$G$230="acoes"))*Inputs!$B$1+((Inputs!$G$5:$G$230&lt;&gt;"moeda")*(Inputs!$G$5:$G$230&lt;&gt;"acoes")))*INDEX(Inputs!$K$5:$AJ$230,0,MATCH(O$2,Inputs!$K$4:$AJ$4,0)))+SUMPRODUCT((Inputs!$C$5:$C$230=$B37)*Inputs!$D$5:$D$230*(((Inputs!$G$5:$G$230="moeda")+(Inputs!$G$5:$G$230="acoes"))*Inputs!$B$1+((Inputs!$G$5:$G$230&lt;&gt;"moeda")*(Inputs!$G$5:$G$230&lt;&gt;"acoes")))*INDEX(Inputs!$K$5:$AJ$230,0,MATCH(O$2,Inputs!$K$4:$AJ$4,0)))+SUMPRODUCT((Inputs!$E$5:$E$230=$B37)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37" s="6" t="e">
        <f>IF(ISNA(MATCH(P$2,Inputs!$K$4:$AJ$4,0)),NA(),IF(SUMPRODUCT((Inputs!$A$5:$A$230=$B37)*ISNUMBER(INDEX(Inputs!$K$5:$AJ$230,0,MATCH(P$2,Inputs!$K$4:$AJ$4,0))))+SUMPRODUCT((Inputs!$C$5:$C$230=$B37)*ISNUMBER(INDEX(Inputs!$K$5:$AJ$230,0,MATCH(P$2,Inputs!$K$4:$AJ$4,0))))+SUMPRODUCT((Inputs!$E$5:$E$230=$B37)*ISNUMBER(INDEX(Inputs!$K$5:$AJ$230,0,MATCH(P$2,Inputs!$K$4:$AJ$4,0))))=0,NA(),SUMPRODUCT((Inputs!$A$5:$A$230=$B37)*Inputs!$B$5:$B$230*(((Inputs!$G$5:$G$230="moeda")+(Inputs!$G$5:$G$230="acoes"))*Inputs!$B$1+((Inputs!$G$5:$G$230&lt;&gt;"moeda")*(Inputs!$G$5:$G$230&lt;&gt;"acoes")))*INDEX(Inputs!$K$5:$AJ$230,0,MATCH(P$2,Inputs!$K$4:$AJ$4,0)))+SUMPRODUCT((Inputs!$C$5:$C$230=$B37)*Inputs!$D$5:$D$230*(((Inputs!$G$5:$G$230="moeda")+(Inputs!$G$5:$G$230="acoes"))*Inputs!$B$1+((Inputs!$G$5:$G$230&lt;&gt;"moeda")*(Inputs!$G$5:$G$230&lt;&gt;"acoes")))*INDEX(Inputs!$K$5:$AJ$230,0,MATCH(P$2,Inputs!$K$4:$AJ$4,0)))+SUMPRODUCT((Inputs!$E$5:$E$230=$B37)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37" s="6" t="e">
        <f>IF(ISNA(MATCH(Q$2,Inputs!$K$4:$AJ$4,0)),NA(),IF(SUMPRODUCT((Inputs!$A$5:$A$230=$B37)*ISNUMBER(INDEX(Inputs!$K$5:$AJ$230,0,MATCH(Q$2,Inputs!$K$4:$AJ$4,0))))+SUMPRODUCT((Inputs!$C$5:$C$230=$B37)*ISNUMBER(INDEX(Inputs!$K$5:$AJ$230,0,MATCH(Q$2,Inputs!$K$4:$AJ$4,0))))+SUMPRODUCT((Inputs!$E$5:$E$230=$B37)*ISNUMBER(INDEX(Inputs!$K$5:$AJ$230,0,MATCH(Q$2,Inputs!$K$4:$AJ$4,0))))=0,NA(),SUMPRODUCT((Inputs!$A$5:$A$230=$B37)*Inputs!$B$5:$B$230*(((Inputs!$G$5:$G$230="moeda")+(Inputs!$G$5:$G$230="acoes"))*Inputs!$B$1+((Inputs!$G$5:$G$230&lt;&gt;"moeda")*(Inputs!$G$5:$G$230&lt;&gt;"acoes")))*INDEX(Inputs!$K$5:$AJ$230,0,MATCH(Q$2,Inputs!$K$4:$AJ$4,0)))+SUMPRODUCT((Inputs!$C$5:$C$230=$B37)*Inputs!$D$5:$D$230*(((Inputs!$G$5:$G$230="moeda")+(Inputs!$G$5:$G$230="acoes"))*Inputs!$B$1+((Inputs!$G$5:$G$230&lt;&gt;"moeda")*(Inputs!$G$5:$G$230&lt;&gt;"acoes")))*INDEX(Inputs!$K$5:$AJ$230,0,MATCH(Q$2,Inputs!$K$4:$AJ$4,0)))+SUMPRODUCT((Inputs!$E$5:$E$230=$B37)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37" s="3" t="e">
        <f>Q37</f>
        <v>#N/A</v>
      </c>
      <c r="S37" s="6" t="e">
        <f>IF(ISNA(MATCH(S$2,Inputs!$K$4:$AJ$4,0)),NA(),IF(SUMPRODUCT((Inputs!$A$5:$A$230=$B37)*ISNUMBER(INDEX(Inputs!$K$5:$AJ$230,0,MATCH(S$2,Inputs!$K$4:$AJ$4,0))))+SUMPRODUCT((Inputs!$C$5:$C$230=$B37)*ISNUMBER(INDEX(Inputs!$K$5:$AJ$230,0,MATCH(S$2,Inputs!$K$4:$AJ$4,0))))+SUMPRODUCT((Inputs!$E$5:$E$230=$B37)*ISNUMBER(INDEX(Inputs!$K$5:$AJ$230,0,MATCH(S$2,Inputs!$K$4:$AJ$4,0))))=0,NA(),SUMPRODUCT((Inputs!$A$5:$A$230=$B37)*Inputs!$B$5:$B$230*(((Inputs!$G$5:$G$230="moeda")+(Inputs!$G$5:$G$230="acoes"))*Inputs!$B$1+((Inputs!$G$5:$G$230&lt;&gt;"moeda")*(Inputs!$G$5:$G$230&lt;&gt;"acoes")))*INDEX(Inputs!$K$5:$AJ$230,0,MATCH(S$2,Inputs!$K$4:$AJ$4,0)))+SUMPRODUCT((Inputs!$C$5:$C$230=$B37)*Inputs!$D$5:$D$230*(((Inputs!$G$5:$G$230="moeda")+(Inputs!$G$5:$G$230="acoes"))*Inputs!$B$1+((Inputs!$G$5:$G$230&lt;&gt;"moeda")*(Inputs!$G$5:$G$230&lt;&gt;"acoes")))*INDEX(Inputs!$K$5:$AJ$230,0,MATCH(S$2,Inputs!$K$4:$AJ$4,0)))+SUMPRODUCT((Inputs!$E$5:$E$230=$B37)*Inputs!$F$5:$F$230*(((Inputs!$G$5:$G$230="moeda")+(Inputs!$G$5:$G$230="acoes"))*Inputs!$B$1+((Inputs!$G$5:$G$230&lt;&gt;"moeda")*(Inputs!$G$5:$G$230&lt;&gt;"acoes")))*INDEX(Inputs!$K$5:$AJ$230,0,MATCH(S$2,Inputs!$K$4:$AJ$4,0)))))</f>
        <v>#N/A</v>
      </c>
      <c r="T37" s="6" t="e">
        <f>IF(ISNA(MATCH(T$2,Inputs!$K$4:$AJ$4,0)),NA(),IF(SUMPRODUCT((Inputs!$A$5:$A$230=$B37)*ISNUMBER(INDEX(Inputs!$K$5:$AJ$230,0,MATCH(T$2,Inputs!$K$4:$AJ$4,0))))+SUMPRODUCT((Inputs!$C$5:$C$230=$B37)*ISNUMBER(INDEX(Inputs!$K$5:$AJ$230,0,MATCH(T$2,Inputs!$K$4:$AJ$4,0))))+SUMPRODUCT((Inputs!$E$5:$E$230=$B37)*ISNUMBER(INDEX(Inputs!$K$5:$AJ$230,0,MATCH(T$2,Inputs!$K$4:$AJ$4,0))))=0,NA(),SUMPRODUCT((Inputs!$A$5:$A$230=$B37)*Inputs!$B$5:$B$230*(((Inputs!$G$5:$G$230="moeda")+(Inputs!$G$5:$G$230="acoes"))*Inputs!$B$1+((Inputs!$G$5:$G$230&lt;&gt;"moeda")*(Inputs!$G$5:$G$230&lt;&gt;"acoes")))*INDEX(Inputs!$K$5:$AJ$230,0,MATCH(T$2,Inputs!$K$4:$AJ$4,0)))+SUMPRODUCT((Inputs!$C$5:$C$230=$B37)*Inputs!$D$5:$D$230*(((Inputs!$G$5:$G$230="moeda")+(Inputs!$G$5:$G$230="acoes"))*Inputs!$B$1+((Inputs!$G$5:$G$230&lt;&gt;"moeda")*(Inputs!$G$5:$G$230&lt;&gt;"acoes")))*INDEX(Inputs!$K$5:$AJ$230,0,MATCH(T$2,Inputs!$K$4:$AJ$4,0)))+SUMPRODUCT((Inputs!$E$5:$E$230=$B37)*Inputs!$F$5:$F$230*(((Inputs!$G$5:$G$230="moeda")+(Inputs!$G$5:$G$230="acoes"))*Inputs!$B$1+((Inputs!$G$5:$G$230&lt;&gt;"moeda")*(Inputs!$G$5:$G$230&lt;&gt;"acoes")))*INDEX(Inputs!$K$5:$AJ$230,0,MATCH(T$2,Inputs!$K$4:$AJ$4,0)))))</f>
        <v>#N/A</v>
      </c>
      <c r="U37" s="6" t="e">
        <f>IF(ISNA(MATCH(U$2,Inputs!$K$4:$AJ$4,0)),NA(),IF(SUMPRODUCT((Inputs!$A$5:$A$230=$B37)*ISNUMBER(INDEX(Inputs!$K$5:$AJ$230,0,MATCH(U$2,Inputs!$K$4:$AJ$4,0))))+SUMPRODUCT((Inputs!$C$5:$C$230=$B37)*ISNUMBER(INDEX(Inputs!$K$5:$AJ$230,0,MATCH(U$2,Inputs!$K$4:$AJ$4,0))))+SUMPRODUCT((Inputs!$E$5:$E$230=$B37)*ISNUMBER(INDEX(Inputs!$K$5:$AJ$230,0,MATCH(U$2,Inputs!$K$4:$AJ$4,0))))=0,NA(),SUMPRODUCT((Inputs!$A$5:$A$230=$B37)*Inputs!$B$5:$B$230*(((Inputs!$G$5:$G$230="moeda")+(Inputs!$G$5:$G$230="acoes"))*Inputs!$B$1+((Inputs!$G$5:$G$230&lt;&gt;"moeda")*(Inputs!$G$5:$G$230&lt;&gt;"acoes")))*INDEX(Inputs!$K$5:$AJ$230,0,MATCH(U$2,Inputs!$K$4:$AJ$4,0)))+SUMPRODUCT((Inputs!$C$5:$C$230=$B37)*Inputs!$D$5:$D$230*(((Inputs!$G$5:$G$230="moeda")+(Inputs!$G$5:$G$230="acoes"))*Inputs!$B$1+((Inputs!$G$5:$G$230&lt;&gt;"moeda")*(Inputs!$G$5:$G$230&lt;&gt;"acoes")))*INDEX(Inputs!$K$5:$AJ$230,0,MATCH(U$2,Inputs!$K$4:$AJ$4,0)))+SUMPRODUCT((Inputs!$E$5:$E$230=$B37)*Inputs!$F$5:$F$230*(((Inputs!$G$5:$G$230="moeda")+(Inputs!$G$5:$G$230="acoes"))*Inputs!$B$1+((Inputs!$G$5:$G$230&lt;&gt;"moeda")*(Inputs!$G$5:$G$230&lt;&gt;"acoes")))*INDEX(Inputs!$K$5:$AJ$230,0,MATCH(U$2,Inputs!$K$4:$AJ$4,0)))))</f>
        <v>#N/A</v>
      </c>
      <c r="V37" s="6" t="e">
        <f>IF(ISNA(MATCH(V$2,Inputs!$K$4:$AJ$4,0)),NA(),IF(SUMPRODUCT((Inputs!$A$5:$A$230=$B37)*ISNUMBER(INDEX(Inputs!$K$5:$AJ$230,0,MATCH(V$2,Inputs!$K$4:$AJ$4,0))))+SUMPRODUCT((Inputs!$C$5:$C$230=$B37)*ISNUMBER(INDEX(Inputs!$K$5:$AJ$230,0,MATCH(V$2,Inputs!$K$4:$AJ$4,0))))+SUMPRODUCT((Inputs!$E$5:$E$230=$B37)*ISNUMBER(INDEX(Inputs!$K$5:$AJ$230,0,MATCH(V$2,Inputs!$K$4:$AJ$4,0))))=0,NA(),SUMPRODUCT((Inputs!$A$5:$A$230=$B37)*Inputs!$B$5:$B$230*(((Inputs!$G$5:$G$230="moeda")+(Inputs!$G$5:$G$230="acoes"))*Inputs!$B$1+((Inputs!$G$5:$G$230&lt;&gt;"moeda")*(Inputs!$G$5:$G$230&lt;&gt;"acoes")))*INDEX(Inputs!$K$5:$AJ$230,0,MATCH(V$2,Inputs!$K$4:$AJ$4,0)))+SUMPRODUCT((Inputs!$C$5:$C$230=$B37)*Inputs!$D$5:$D$230*(((Inputs!$G$5:$G$230="moeda")+(Inputs!$G$5:$G$230="acoes"))*Inputs!$B$1+((Inputs!$G$5:$G$230&lt;&gt;"moeda")*(Inputs!$G$5:$G$230&lt;&gt;"acoes")))*INDEX(Inputs!$K$5:$AJ$230,0,MATCH(V$2,Inputs!$K$4:$AJ$4,0)))+SUMPRODUCT((Inputs!$E$5:$E$230=$B37)*Inputs!$F$5:$F$230*(((Inputs!$G$5:$G$230="moeda")+(Inputs!$G$5:$G$230="acoes"))*Inputs!$B$1+((Inputs!$G$5:$G$230&lt;&gt;"moeda")*(Inputs!$G$5:$G$230&lt;&gt;"acoes")))*INDEX(Inputs!$K$5:$AJ$230,0,MATCH(V$2,Inputs!$K$4:$AJ$4,0)))))</f>
        <v>#N/A</v>
      </c>
      <c r="W37" s="3" t="e">
        <f>V37</f>
        <v>#N/A</v>
      </c>
      <c r="X37" s="6" t="e">
        <f>IF(ISNA(MATCH(X$2,Inputs!$K$4:$AJ$4,0)),NA(),IF(SUMPRODUCT((Inputs!$A$5:$A$230=$B37)*ISNUMBER(INDEX(Inputs!$K$5:$AJ$230,0,MATCH(X$2,Inputs!$K$4:$AJ$4,0))))+SUMPRODUCT((Inputs!$C$5:$C$230=$B37)*ISNUMBER(INDEX(Inputs!$K$5:$AJ$230,0,MATCH(X$2,Inputs!$K$4:$AJ$4,0))))+SUMPRODUCT((Inputs!$E$5:$E$230=$B37)*ISNUMBER(INDEX(Inputs!$K$5:$AJ$230,0,MATCH(X$2,Inputs!$K$4:$AJ$4,0))))=0,NA(),SUMPRODUCT((Inputs!$A$5:$A$230=$B37)*Inputs!$B$5:$B$230*(((Inputs!$G$5:$G$230="moeda")+(Inputs!$G$5:$G$230="acoes"))*Inputs!$B$1+((Inputs!$G$5:$G$230&lt;&gt;"moeda")*(Inputs!$G$5:$G$230&lt;&gt;"acoes")))*INDEX(Inputs!$K$5:$AJ$230,0,MATCH(X$2,Inputs!$K$4:$AJ$4,0)))+SUMPRODUCT((Inputs!$C$5:$C$230=$B37)*Inputs!$D$5:$D$230*(((Inputs!$G$5:$G$230="moeda")+(Inputs!$G$5:$G$230="acoes"))*Inputs!$B$1+((Inputs!$G$5:$G$230&lt;&gt;"moeda")*(Inputs!$G$5:$G$230&lt;&gt;"acoes")))*INDEX(Inputs!$K$5:$AJ$230,0,MATCH(X$2,Inputs!$K$4:$AJ$4,0)))+SUMPRODUCT((Inputs!$E$5:$E$230=$B37)*Inputs!$F$5:$F$230*(((Inputs!$G$5:$G$230="moeda")+(Inputs!$G$5:$G$230="acoes"))*Inputs!$B$1+((Inputs!$G$5:$G$230&lt;&gt;"moeda")*(Inputs!$G$5:$G$230&lt;&gt;"acoes")))*INDEX(Inputs!$K$5:$AJ$230,0,MATCH(X$2,Inputs!$K$4:$AJ$4,0)))))</f>
        <v>#N/A</v>
      </c>
      <c r="Y37" s="6" t="e">
        <f>IF(ISNA(MATCH(Y$2,Inputs!$K$4:$AJ$4,0)),NA(),IF(SUMPRODUCT((Inputs!$A$5:$A$230=$B37)*ISNUMBER(INDEX(Inputs!$K$5:$AJ$230,0,MATCH(Y$2,Inputs!$K$4:$AJ$4,0))))+SUMPRODUCT((Inputs!$C$5:$C$230=$B37)*ISNUMBER(INDEX(Inputs!$K$5:$AJ$230,0,MATCH(Y$2,Inputs!$K$4:$AJ$4,0))))+SUMPRODUCT((Inputs!$E$5:$E$230=$B37)*ISNUMBER(INDEX(Inputs!$K$5:$AJ$230,0,MATCH(Y$2,Inputs!$K$4:$AJ$4,0))))=0,NA(),SUMPRODUCT((Inputs!$A$5:$A$230=$B37)*Inputs!$B$5:$B$230*(((Inputs!$G$5:$G$230="moeda")+(Inputs!$G$5:$G$230="acoes"))*Inputs!$B$1+((Inputs!$G$5:$G$230&lt;&gt;"moeda")*(Inputs!$G$5:$G$230&lt;&gt;"acoes")))*INDEX(Inputs!$K$5:$AJ$230,0,MATCH(Y$2,Inputs!$K$4:$AJ$4,0)))+SUMPRODUCT((Inputs!$C$5:$C$230=$B37)*Inputs!$D$5:$D$230*(((Inputs!$G$5:$G$230="moeda")+(Inputs!$G$5:$G$230="acoes"))*Inputs!$B$1+((Inputs!$G$5:$G$230&lt;&gt;"moeda")*(Inputs!$G$5:$G$230&lt;&gt;"acoes")))*INDEX(Inputs!$K$5:$AJ$230,0,MATCH(Y$2,Inputs!$K$4:$AJ$4,0)))+SUMPRODUCT((Inputs!$E$5:$E$230=$B37)*Inputs!$F$5:$F$230*(((Inputs!$G$5:$G$230="moeda")+(Inputs!$G$5:$G$230="acoes"))*Inputs!$B$1+((Inputs!$G$5:$G$230&lt;&gt;"moeda")*(Inputs!$G$5:$G$230&lt;&gt;"acoes")))*INDEX(Inputs!$K$5:$AJ$230,0,MATCH(Y$2,Inputs!$K$4:$AJ$4,0)))))</f>
        <v>#N/A</v>
      </c>
      <c r="Z37" s="6" t="e">
        <f>IF(ISNA(MATCH(Z$2,Inputs!$K$4:$AJ$4,0)),NA(),IF(SUMPRODUCT((Inputs!$A$5:$A$230=$B37)*ISNUMBER(INDEX(Inputs!$K$5:$AJ$230,0,MATCH(Z$2,Inputs!$K$4:$AJ$4,0))))+SUMPRODUCT((Inputs!$C$5:$C$230=$B37)*ISNUMBER(INDEX(Inputs!$K$5:$AJ$230,0,MATCH(Z$2,Inputs!$K$4:$AJ$4,0))))+SUMPRODUCT((Inputs!$E$5:$E$230=$B37)*ISNUMBER(INDEX(Inputs!$K$5:$AJ$230,0,MATCH(Z$2,Inputs!$K$4:$AJ$4,0))))=0,NA(),SUMPRODUCT((Inputs!$A$5:$A$230=$B37)*Inputs!$B$5:$B$230*(((Inputs!$G$5:$G$230="moeda")+(Inputs!$G$5:$G$230="acoes"))*Inputs!$B$1+((Inputs!$G$5:$G$230&lt;&gt;"moeda")*(Inputs!$G$5:$G$230&lt;&gt;"acoes")))*INDEX(Inputs!$K$5:$AJ$230,0,MATCH(Z$2,Inputs!$K$4:$AJ$4,0)))+SUMPRODUCT((Inputs!$C$5:$C$230=$B37)*Inputs!$D$5:$D$230*(((Inputs!$G$5:$G$230="moeda")+(Inputs!$G$5:$G$230="acoes"))*Inputs!$B$1+((Inputs!$G$5:$G$230&lt;&gt;"moeda")*(Inputs!$G$5:$G$230&lt;&gt;"acoes")))*INDEX(Inputs!$K$5:$AJ$230,0,MATCH(Z$2,Inputs!$K$4:$AJ$4,0)))+SUMPRODUCT((Inputs!$E$5:$E$230=$B37)*Inputs!$F$5:$F$230*(((Inputs!$G$5:$G$230="moeda")+(Inputs!$G$5:$G$230="acoes"))*Inputs!$B$1+((Inputs!$G$5:$G$230&lt;&gt;"moeda")*(Inputs!$G$5:$G$230&lt;&gt;"acoes")))*INDEX(Inputs!$K$5:$AJ$230,0,MATCH(Z$2,Inputs!$K$4:$AJ$4,0)))))</f>
        <v>#N/A</v>
      </c>
      <c r="AA37" s="6" t="e">
        <f>IF(ISNA(MATCH(AA$2,Inputs!$K$4:$AJ$4,0)),NA(),IF(SUMPRODUCT((Inputs!$A$5:$A$230=$B37)*ISNUMBER(INDEX(Inputs!$K$5:$AJ$230,0,MATCH(AA$2,Inputs!$K$4:$AJ$4,0))))+SUMPRODUCT((Inputs!$C$5:$C$230=$B37)*ISNUMBER(INDEX(Inputs!$K$5:$AJ$230,0,MATCH(AA$2,Inputs!$K$4:$AJ$4,0))))+SUMPRODUCT((Inputs!$E$5:$E$230=$B37)*ISNUMBER(INDEX(Inputs!$K$5:$AJ$230,0,MATCH(AA$2,Inputs!$K$4:$AJ$4,0))))=0,NA(),SUMPRODUCT((Inputs!$A$5:$A$230=$B37)*Inputs!$B$5:$B$230*(((Inputs!$G$5:$G$230="moeda")+(Inputs!$G$5:$G$230="acoes"))*Inputs!$B$1+((Inputs!$G$5:$G$230&lt;&gt;"moeda")*(Inputs!$G$5:$G$230&lt;&gt;"acoes")))*INDEX(Inputs!$K$5:$AJ$230,0,MATCH(AA$2,Inputs!$K$4:$AJ$4,0)))+SUMPRODUCT((Inputs!$C$5:$C$230=$B37)*Inputs!$D$5:$D$230*(((Inputs!$G$5:$G$230="moeda")+(Inputs!$G$5:$G$230="acoes"))*Inputs!$B$1+((Inputs!$G$5:$G$230&lt;&gt;"moeda")*(Inputs!$G$5:$G$230&lt;&gt;"acoes")))*INDEX(Inputs!$K$5:$AJ$230,0,MATCH(AA$2,Inputs!$K$4:$AJ$4,0)))+SUMPRODUCT((Inputs!$E$5:$E$230=$B37)*Inputs!$F$5:$F$230*(((Inputs!$G$5:$G$230="moeda")+(Inputs!$G$5:$G$230="acoes"))*Inputs!$B$1+((Inputs!$G$5:$G$230&lt;&gt;"moeda")*(Inputs!$G$5:$G$230&lt;&gt;"acoes")))*INDEX(Inputs!$K$5:$AJ$230,0,MATCH(AA$2,Inputs!$K$4:$AJ$4,0)))))</f>
        <v>#N/A</v>
      </c>
      <c r="AB37" s="3" t="e">
        <f>AA37</f>
        <v>#N/A</v>
      </c>
      <c r="AC37" s="6" t="e">
        <f>IF(ISNA(MATCH(AC$2,Inputs!$K$4:$AJ$4,0)),NA(),IF(SUMPRODUCT((Inputs!$A$5:$A$230=$B37)*ISNUMBER(INDEX(Inputs!$K$5:$AJ$230,0,MATCH(AC$2,Inputs!$K$4:$AJ$4,0))))+SUMPRODUCT((Inputs!$C$5:$C$230=$B37)*ISNUMBER(INDEX(Inputs!$K$5:$AJ$230,0,MATCH(AC$2,Inputs!$K$4:$AJ$4,0))))+SUMPRODUCT((Inputs!$E$5:$E$230=$B37)*ISNUMBER(INDEX(Inputs!$K$5:$AJ$230,0,MATCH(AC$2,Inputs!$K$4:$AJ$4,0))))=0,NA(),SUMPRODUCT((Inputs!$A$5:$A$230=$B37)*Inputs!$B$5:$B$230*(((Inputs!$G$5:$G$230="moeda")+(Inputs!$G$5:$G$230="acoes"))*Inputs!$B$1+((Inputs!$G$5:$G$230&lt;&gt;"moeda")*(Inputs!$G$5:$G$230&lt;&gt;"acoes")))*INDEX(Inputs!$K$5:$AJ$230,0,MATCH(AC$2,Inputs!$K$4:$AJ$4,0)))+SUMPRODUCT((Inputs!$C$5:$C$230=$B37)*Inputs!$D$5:$D$230*(((Inputs!$G$5:$G$230="moeda")+(Inputs!$G$5:$G$230="acoes"))*Inputs!$B$1+((Inputs!$G$5:$G$230&lt;&gt;"moeda")*(Inputs!$G$5:$G$230&lt;&gt;"acoes")))*INDEX(Inputs!$K$5:$AJ$230,0,MATCH(AC$2,Inputs!$K$4:$AJ$4,0)))+SUMPRODUCT((Inputs!$E$5:$E$230=$B37)*Inputs!$F$5:$F$230*(((Inputs!$G$5:$G$230="moeda")+(Inputs!$G$5:$G$230="acoes"))*Inputs!$B$1+((Inputs!$G$5:$G$230&lt;&gt;"moeda")*(Inputs!$G$5:$G$230&lt;&gt;"acoes")))*INDEX(Inputs!$K$5:$AJ$230,0,MATCH(AC$2,Inputs!$K$4:$AJ$4,0)))))</f>
        <v>#N/A</v>
      </c>
      <c r="AD37" s="6" t="e">
        <f>IF(ISNA(MATCH(AD$2,Inputs!$K$4:$AJ$4,0)),NA(),IF(SUMPRODUCT((Inputs!$A$5:$A$230=$B37)*ISNUMBER(INDEX(Inputs!$K$5:$AJ$230,0,MATCH(AD$2,Inputs!$K$4:$AJ$4,0))))+SUMPRODUCT((Inputs!$C$5:$C$230=$B37)*ISNUMBER(INDEX(Inputs!$K$5:$AJ$230,0,MATCH(AD$2,Inputs!$K$4:$AJ$4,0))))+SUMPRODUCT((Inputs!$E$5:$E$230=$B37)*ISNUMBER(INDEX(Inputs!$K$5:$AJ$230,0,MATCH(AD$2,Inputs!$K$4:$AJ$4,0))))=0,NA(),SUMPRODUCT((Inputs!$A$5:$A$230=$B37)*Inputs!$B$5:$B$230*(((Inputs!$G$5:$G$230="moeda")+(Inputs!$G$5:$G$230="acoes"))*Inputs!$B$1+((Inputs!$G$5:$G$230&lt;&gt;"moeda")*(Inputs!$G$5:$G$230&lt;&gt;"acoes")))*INDEX(Inputs!$K$5:$AJ$230,0,MATCH(AD$2,Inputs!$K$4:$AJ$4,0)))+SUMPRODUCT((Inputs!$C$5:$C$230=$B37)*Inputs!$D$5:$D$230*(((Inputs!$G$5:$G$230="moeda")+(Inputs!$G$5:$G$230="acoes"))*Inputs!$B$1+((Inputs!$G$5:$G$230&lt;&gt;"moeda")*(Inputs!$G$5:$G$230&lt;&gt;"acoes")))*INDEX(Inputs!$K$5:$AJ$230,0,MATCH(AD$2,Inputs!$K$4:$AJ$4,0)))+SUMPRODUCT((Inputs!$E$5:$E$230=$B37)*Inputs!$F$5:$F$230*(((Inputs!$G$5:$G$230="moeda")+(Inputs!$G$5:$G$230="acoes"))*Inputs!$B$1+((Inputs!$G$5:$G$230&lt;&gt;"moeda")*(Inputs!$G$5:$G$230&lt;&gt;"acoes")))*INDEX(Inputs!$K$5:$AJ$230,0,MATCH(AD$2,Inputs!$K$4:$AJ$4,0)))))</f>
        <v>#N/A</v>
      </c>
      <c r="AE37" s="6" t="e">
        <f>IF(ISNA(MATCH(AE$2,Inputs!$K$4:$AJ$4,0)),NA(),IF(SUMPRODUCT((Inputs!$A$5:$A$230=$B37)*ISNUMBER(INDEX(Inputs!$K$5:$AJ$230,0,MATCH(AE$2,Inputs!$K$4:$AJ$4,0))))+SUMPRODUCT((Inputs!$C$5:$C$230=$B37)*ISNUMBER(INDEX(Inputs!$K$5:$AJ$230,0,MATCH(AE$2,Inputs!$K$4:$AJ$4,0))))+SUMPRODUCT((Inputs!$E$5:$E$230=$B37)*ISNUMBER(INDEX(Inputs!$K$5:$AJ$230,0,MATCH(AE$2,Inputs!$K$4:$AJ$4,0))))=0,NA(),SUMPRODUCT((Inputs!$A$5:$A$230=$B37)*Inputs!$B$5:$B$230*(((Inputs!$G$5:$G$230="moeda")+(Inputs!$G$5:$G$230="acoes"))*Inputs!$B$1+((Inputs!$G$5:$G$230&lt;&gt;"moeda")*(Inputs!$G$5:$G$230&lt;&gt;"acoes")))*INDEX(Inputs!$K$5:$AJ$230,0,MATCH(AE$2,Inputs!$K$4:$AJ$4,0)))+SUMPRODUCT((Inputs!$C$5:$C$230=$B37)*Inputs!$D$5:$D$230*(((Inputs!$G$5:$G$230="moeda")+(Inputs!$G$5:$G$230="acoes"))*Inputs!$B$1+((Inputs!$G$5:$G$230&lt;&gt;"moeda")*(Inputs!$G$5:$G$230&lt;&gt;"acoes")))*INDEX(Inputs!$K$5:$AJ$230,0,MATCH(AE$2,Inputs!$K$4:$AJ$4,0)))+SUMPRODUCT((Inputs!$E$5:$E$230=$B37)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37" s="6" t="e">
        <f>IF(ISNA(MATCH(AF$2,Inputs!$K$4:$AJ$4,0)),NA(),IF(SUMPRODUCT((Inputs!$A$5:$A$230=$B37)*ISNUMBER(INDEX(Inputs!$K$5:$AJ$230,0,MATCH(AF$2,Inputs!$K$4:$AJ$4,0))))+SUMPRODUCT((Inputs!$C$5:$C$230=$B37)*ISNUMBER(INDEX(Inputs!$K$5:$AJ$230,0,MATCH(AF$2,Inputs!$K$4:$AJ$4,0))))+SUMPRODUCT((Inputs!$E$5:$E$230=$B37)*ISNUMBER(INDEX(Inputs!$K$5:$AJ$230,0,MATCH(AF$2,Inputs!$K$4:$AJ$4,0))))=0,NA(),SUMPRODUCT((Inputs!$A$5:$A$230=$B37)*Inputs!$B$5:$B$230*(((Inputs!$G$5:$G$230="moeda")+(Inputs!$G$5:$G$230="acoes"))*Inputs!$B$1+((Inputs!$G$5:$G$230&lt;&gt;"moeda")*(Inputs!$G$5:$G$230&lt;&gt;"acoes")))*INDEX(Inputs!$K$5:$AJ$230,0,MATCH(AF$2,Inputs!$K$4:$AJ$4,0)))+SUMPRODUCT((Inputs!$C$5:$C$230=$B37)*Inputs!$D$5:$D$230*(((Inputs!$G$5:$G$230="moeda")+(Inputs!$G$5:$G$230="acoes"))*Inputs!$B$1+((Inputs!$G$5:$G$230&lt;&gt;"moeda")*(Inputs!$G$5:$G$230&lt;&gt;"acoes")))*INDEX(Inputs!$K$5:$AJ$230,0,MATCH(AF$2,Inputs!$K$4:$AJ$4,0)))+SUMPRODUCT((Inputs!$E$5:$E$230=$B37)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37" s="3" t="e">
        <f>AF37</f>
        <v>#N/A</v>
      </c>
      <c r="AH37" s="6" t="e">
        <f>IF(ISNA(MATCH(AH$2,Inputs!$K$4:$AJ$4,0)),NA(),IF(SUMPRODUCT((Inputs!$A$5:$A$230=$B37)*ISNUMBER(INDEX(Inputs!$K$5:$AJ$230,0,MATCH(AH$2,Inputs!$K$4:$AJ$4,0))))+SUMPRODUCT((Inputs!$C$5:$C$230=$B37)*ISNUMBER(INDEX(Inputs!$K$5:$AJ$230,0,MATCH(AH$2,Inputs!$K$4:$AJ$4,0))))+SUMPRODUCT((Inputs!$E$5:$E$230=$B37)*ISNUMBER(INDEX(Inputs!$K$5:$AJ$230,0,MATCH(AH$2,Inputs!$K$4:$AJ$4,0))))=0,NA(),SUMPRODUCT((Inputs!$A$5:$A$230=$B37)*Inputs!$B$5:$B$230*(((Inputs!$G$5:$G$230="moeda")+(Inputs!$G$5:$G$230="acoes"))*Inputs!$B$1+((Inputs!$G$5:$G$230&lt;&gt;"moeda")*(Inputs!$G$5:$G$230&lt;&gt;"acoes")))*INDEX(Inputs!$K$5:$AJ$230,0,MATCH(AH$2,Inputs!$K$4:$AJ$4,0)))+SUMPRODUCT((Inputs!$C$5:$C$230=$B37)*Inputs!$D$5:$D$230*(((Inputs!$G$5:$G$230="moeda")+(Inputs!$G$5:$G$230="acoes"))*Inputs!$B$1+((Inputs!$G$5:$G$230&lt;&gt;"moeda")*(Inputs!$G$5:$G$230&lt;&gt;"acoes")))*INDEX(Inputs!$K$5:$AJ$230,0,MATCH(AH$2,Inputs!$K$4:$AJ$4,0)))+SUMPRODUCT((Inputs!$E$5:$E$230=$B37)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37" s="6" t="e">
        <f>IF(ISNA(MATCH(AI$2,Inputs!$K$4:$AJ$4,0)),NA(),IF(SUMPRODUCT((Inputs!$A$5:$A$230=$B37)*ISNUMBER(INDEX(Inputs!$K$5:$AJ$230,0,MATCH(AI$2,Inputs!$K$4:$AJ$4,0))))+SUMPRODUCT((Inputs!$C$5:$C$230=$B37)*ISNUMBER(INDEX(Inputs!$K$5:$AJ$230,0,MATCH(AI$2,Inputs!$K$4:$AJ$4,0))))+SUMPRODUCT((Inputs!$E$5:$E$230=$B37)*ISNUMBER(INDEX(Inputs!$K$5:$AJ$230,0,MATCH(AI$2,Inputs!$K$4:$AJ$4,0))))=0,NA(),SUMPRODUCT((Inputs!$A$5:$A$230=$B37)*Inputs!$B$5:$B$230*(((Inputs!$G$5:$G$230="moeda")+(Inputs!$G$5:$G$230="acoes"))*Inputs!$B$1+((Inputs!$G$5:$G$230&lt;&gt;"moeda")*(Inputs!$G$5:$G$230&lt;&gt;"acoes")))*INDEX(Inputs!$K$5:$AJ$230,0,MATCH(AI$2,Inputs!$K$4:$AJ$4,0)))+SUMPRODUCT((Inputs!$C$5:$C$230=$B37)*Inputs!$D$5:$D$230*(((Inputs!$G$5:$G$230="moeda")+(Inputs!$G$5:$G$230="acoes"))*Inputs!$B$1+((Inputs!$G$5:$G$230&lt;&gt;"moeda")*(Inputs!$G$5:$G$230&lt;&gt;"acoes")))*INDEX(Inputs!$K$5:$AJ$230,0,MATCH(AI$2,Inputs!$K$4:$AJ$4,0)))+SUMPRODUCT((Inputs!$E$5:$E$230=$B37)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37" s="6" t="e">
        <f>IF(ISNA(MATCH(AJ$2,Inputs!$K$4:$AJ$4,0)),NA(),IF(SUMPRODUCT((Inputs!$A$5:$A$230=$B37)*ISNUMBER(INDEX(Inputs!$K$5:$AJ$230,0,MATCH(AJ$2,Inputs!$K$4:$AJ$4,0))))+SUMPRODUCT((Inputs!$C$5:$C$230=$B37)*ISNUMBER(INDEX(Inputs!$K$5:$AJ$230,0,MATCH(AJ$2,Inputs!$K$4:$AJ$4,0))))+SUMPRODUCT((Inputs!$E$5:$E$230=$B37)*ISNUMBER(INDEX(Inputs!$K$5:$AJ$230,0,MATCH(AJ$2,Inputs!$K$4:$AJ$4,0))))=0,NA(),SUMPRODUCT((Inputs!$A$5:$A$230=$B37)*Inputs!$B$5:$B$230*(((Inputs!$G$5:$G$230="moeda")+(Inputs!$G$5:$G$230="acoes"))*Inputs!$B$1+((Inputs!$G$5:$G$230&lt;&gt;"moeda")*(Inputs!$G$5:$G$230&lt;&gt;"acoes")))*INDEX(Inputs!$K$5:$AJ$230,0,MATCH(AJ$2,Inputs!$K$4:$AJ$4,0)))+SUMPRODUCT((Inputs!$C$5:$C$230=$B37)*Inputs!$D$5:$D$230*(((Inputs!$G$5:$G$230="moeda")+(Inputs!$G$5:$G$230="acoes"))*Inputs!$B$1+((Inputs!$G$5:$G$230&lt;&gt;"moeda")*(Inputs!$G$5:$G$230&lt;&gt;"acoes")))*INDEX(Inputs!$K$5:$AJ$230,0,MATCH(AJ$2,Inputs!$K$4:$AJ$4,0)))+SUMPRODUCT((Inputs!$E$5:$E$230=$B37)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37" s="6" t="e">
        <f>IF(ISNA(MATCH(AK$2,Inputs!$K$4:$AJ$4,0)),NA(),IF(SUMPRODUCT((Inputs!$A$5:$A$230=$B37)*ISNUMBER(INDEX(Inputs!$K$5:$AJ$230,0,MATCH(AK$2,Inputs!$K$4:$AJ$4,0))))+SUMPRODUCT((Inputs!$C$5:$C$230=$B37)*ISNUMBER(INDEX(Inputs!$K$5:$AJ$230,0,MATCH(AK$2,Inputs!$K$4:$AJ$4,0))))+SUMPRODUCT((Inputs!$E$5:$E$230=$B37)*ISNUMBER(INDEX(Inputs!$K$5:$AJ$230,0,MATCH(AK$2,Inputs!$K$4:$AJ$4,0))))=0,NA(),SUMPRODUCT((Inputs!$A$5:$A$230=$B37)*Inputs!$B$5:$B$230*(((Inputs!$G$5:$G$230="moeda")+(Inputs!$G$5:$G$230="acoes"))*Inputs!$B$1+((Inputs!$G$5:$G$230&lt;&gt;"moeda")*(Inputs!$G$5:$G$230&lt;&gt;"acoes")))*INDEX(Inputs!$K$5:$AJ$230,0,MATCH(AK$2,Inputs!$K$4:$AJ$4,0)))+SUMPRODUCT((Inputs!$C$5:$C$230=$B37)*Inputs!$D$5:$D$230*(((Inputs!$G$5:$G$230="moeda")+(Inputs!$G$5:$G$230="acoes"))*Inputs!$B$1+((Inputs!$G$5:$G$230&lt;&gt;"moeda")*(Inputs!$G$5:$G$230&lt;&gt;"acoes")))*INDEX(Inputs!$K$5:$AJ$230,0,MATCH(AK$2,Inputs!$K$4:$AJ$4,0)))+SUMPRODUCT((Inputs!$E$5:$E$230=$B37)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$230=$B38)*ISNUMBER(INDEX(Inputs!$K$5:$AJ$230,0,MATCH(D$2,Inputs!$K$4:$AJ$4,0))))+SUMPRODUCT((Inputs!$C$5:$C$230=$B38)*ISNUMBER(INDEX(Inputs!$K$5:$AJ$230,0,MATCH(D$2,Inputs!$K$4:$AJ$4,0))))+SUMPRODUCT((Inputs!$E$5:$E$230=$B38)*ISNUMBER(INDEX(Inputs!$K$5:$AJ$230,0,MATCH(D$2,Inputs!$K$4:$AJ$4,0))))=0,NA(),SUMPRODUCT((Inputs!$A$5:$A$230=$B38)*Inputs!$B$5:$B$230*(((Inputs!$G$5:$G$230="moeda")+(Inputs!$G$5:$G$230="acoes"))*Inputs!$B$1+((Inputs!$G$5:$G$230&lt;&gt;"moeda")*(Inputs!$G$5:$G$230&lt;&gt;"acoes")))*INDEX(Inputs!$K$5:$AJ$230,0,MATCH(D$2,Inputs!$K$4:$AJ$4,0)))+SUMPRODUCT((Inputs!$C$5:$C$230=$B38)*Inputs!$D$5:$D$230*(((Inputs!$G$5:$G$230="moeda")+(Inputs!$G$5:$G$230="acoes"))*Inputs!$B$1+((Inputs!$G$5:$G$230&lt;&gt;"moeda")*(Inputs!$G$5:$G$230&lt;&gt;"acoes")))*INDEX(Inputs!$K$5:$AJ$230,0,MATCH(D$2,Inputs!$K$4:$AJ$4,0)))+SUMPRODUCT((Inputs!$E$5:$E$230=$B38)*Inputs!$F$5:$F$230*(((Inputs!$G$5:$G$230="moeda")+(Inputs!$G$5:$G$230="acoes"))*Inputs!$B$1+((Inputs!$G$5:$G$230&lt;&gt;"moeda")*(Inputs!$G$5:$G$230&lt;&gt;"acoes")))*INDEX(Inputs!$K$5:$AJ$230,0,MATCH(D$2,Inputs!$K$4:$AJ$4,0)))))</f>
        <v>2111.989</v>
      </c>
      <c r="E38" s="6">
        <f>IF(ISNA(MATCH(E$2,Inputs!$K$4:$AJ$4,0)),NA(),IF(SUMPRODUCT((Inputs!$A$5:$A$230=$B38)*ISNUMBER(INDEX(Inputs!$K$5:$AJ$230,0,MATCH(E$2,Inputs!$K$4:$AJ$4,0))))+SUMPRODUCT((Inputs!$C$5:$C$230=$B38)*ISNUMBER(INDEX(Inputs!$K$5:$AJ$230,0,MATCH(E$2,Inputs!$K$4:$AJ$4,0))))+SUMPRODUCT((Inputs!$E$5:$E$230=$B38)*ISNUMBER(INDEX(Inputs!$K$5:$AJ$230,0,MATCH(E$2,Inputs!$K$4:$AJ$4,0))))=0,NA(),SUMPRODUCT((Inputs!$A$5:$A$230=$B38)*Inputs!$B$5:$B$230*(((Inputs!$G$5:$G$230="moeda")+(Inputs!$G$5:$G$230="acoes"))*Inputs!$B$1+((Inputs!$G$5:$G$230&lt;&gt;"moeda")*(Inputs!$G$5:$G$230&lt;&gt;"acoes")))*INDEX(Inputs!$K$5:$AJ$230,0,MATCH(E$2,Inputs!$K$4:$AJ$4,0)))+SUMPRODUCT((Inputs!$C$5:$C$230=$B38)*Inputs!$D$5:$D$230*(((Inputs!$G$5:$G$230="moeda")+(Inputs!$G$5:$G$230="acoes"))*Inputs!$B$1+((Inputs!$G$5:$G$230&lt;&gt;"moeda")*(Inputs!$G$5:$G$230&lt;&gt;"acoes")))*INDEX(Inputs!$K$5:$AJ$230,0,MATCH(E$2,Inputs!$K$4:$AJ$4,0)))+SUMPRODUCT((Inputs!$E$5:$E$230=$B38)*Inputs!$F$5:$F$230*(((Inputs!$G$5:$G$230="moeda")+(Inputs!$G$5:$G$230="acoes"))*Inputs!$B$1+((Inputs!$G$5:$G$230&lt;&gt;"moeda")*(Inputs!$G$5:$G$230&lt;&gt;"acoes")))*INDEX(Inputs!$K$5:$AJ$230,0,MATCH(E$2,Inputs!$K$4:$AJ$4,0)))))</f>
        <v>2309.438</v>
      </c>
      <c r="F38" s="6">
        <f>IF(ISNA(MATCH(F$2,Inputs!$K$4:$AJ$4,0)),NA(),IF(SUMPRODUCT((Inputs!$A$5:$A$230=$B38)*ISNUMBER(INDEX(Inputs!$K$5:$AJ$230,0,MATCH(F$2,Inputs!$K$4:$AJ$4,0))))+SUMPRODUCT((Inputs!$C$5:$C$230=$B38)*ISNUMBER(INDEX(Inputs!$K$5:$AJ$230,0,MATCH(F$2,Inputs!$K$4:$AJ$4,0))))+SUMPRODUCT((Inputs!$E$5:$E$230=$B38)*ISNUMBER(INDEX(Inputs!$K$5:$AJ$230,0,MATCH(F$2,Inputs!$K$4:$AJ$4,0))))=0,NA(),SUMPRODUCT((Inputs!$A$5:$A$230=$B38)*Inputs!$B$5:$B$230*(((Inputs!$G$5:$G$230="moeda")+(Inputs!$G$5:$G$230="acoes"))*Inputs!$B$1+((Inputs!$G$5:$G$230&lt;&gt;"moeda")*(Inputs!$G$5:$G$230&lt;&gt;"acoes")))*INDEX(Inputs!$K$5:$AJ$230,0,MATCH(F$2,Inputs!$K$4:$AJ$4,0)))+SUMPRODUCT((Inputs!$C$5:$C$230=$B38)*Inputs!$D$5:$D$230*(((Inputs!$G$5:$G$230="moeda")+(Inputs!$G$5:$G$230="acoes"))*Inputs!$B$1+((Inputs!$G$5:$G$230&lt;&gt;"moeda")*(Inputs!$G$5:$G$230&lt;&gt;"acoes")))*INDEX(Inputs!$K$5:$AJ$230,0,MATCH(F$2,Inputs!$K$4:$AJ$4,0)))+SUMPRODUCT((Inputs!$E$5:$E$230=$B38)*Inputs!$F$5:$F$230*(((Inputs!$G$5:$G$230="moeda")+(Inputs!$G$5:$G$230="acoes"))*Inputs!$B$1+((Inputs!$G$5:$G$230&lt;&gt;"moeda")*(Inputs!$G$5:$G$230&lt;&gt;"acoes")))*INDEX(Inputs!$K$5:$AJ$230,0,MATCH(F$2,Inputs!$K$4:$AJ$4,0)))))</f>
        <v>2427.741</v>
      </c>
      <c r="G38" s="6">
        <f>IF(ISNA(MATCH(G$2,Inputs!$K$4:$AJ$4,0)),NA(),IF(SUMPRODUCT((Inputs!$A$5:$A$230=$B38)*ISNUMBER(INDEX(Inputs!$K$5:$AJ$230,0,MATCH(G$2,Inputs!$K$4:$AJ$4,0))))+SUMPRODUCT((Inputs!$C$5:$C$230=$B38)*ISNUMBER(INDEX(Inputs!$K$5:$AJ$230,0,MATCH(G$2,Inputs!$K$4:$AJ$4,0))))+SUMPRODUCT((Inputs!$E$5:$E$230=$B38)*ISNUMBER(INDEX(Inputs!$K$5:$AJ$230,0,MATCH(G$2,Inputs!$K$4:$AJ$4,0))))=0,NA(),SUMPRODUCT((Inputs!$A$5:$A$230=$B38)*Inputs!$B$5:$B$230*(((Inputs!$G$5:$G$230="moeda")+(Inputs!$G$5:$G$230="acoes"))*Inputs!$B$1+((Inputs!$G$5:$G$230&lt;&gt;"moeda")*(Inputs!$G$5:$G$230&lt;&gt;"acoes")))*INDEX(Inputs!$K$5:$AJ$230,0,MATCH(G$2,Inputs!$K$4:$AJ$4,0)))+SUMPRODUCT((Inputs!$C$5:$C$230=$B38)*Inputs!$D$5:$D$230*(((Inputs!$G$5:$G$230="moeda")+(Inputs!$G$5:$G$230="acoes"))*Inputs!$B$1+((Inputs!$G$5:$G$230&lt;&gt;"moeda")*(Inputs!$G$5:$G$230&lt;&gt;"acoes")))*INDEX(Inputs!$K$5:$AJ$230,0,MATCH(G$2,Inputs!$K$4:$AJ$4,0)))+SUMPRODUCT((Inputs!$E$5:$E$230=$B38)*Inputs!$F$5:$F$230*(((Inputs!$G$5:$G$230="moeda")+(Inputs!$G$5:$G$230="acoes"))*Inputs!$B$1+((Inputs!$G$5:$G$230&lt;&gt;"moeda")*(Inputs!$G$5:$G$230&lt;&gt;"acoes")))*INDEX(Inputs!$K$5:$AJ$230,0,MATCH(G$2,Inputs!$K$4:$AJ$4,0)))))</f>
        <v>2571.98</v>
      </c>
      <c r="H38" s="3">
        <f>G38</f>
        <v>2571.98</v>
      </c>
      <c r="I38" s="6">
        <f>IF(ISNA(MATCH(I$2,Inputs!$K$4:$AJ$4,0)),NA(),IF(SUMPRODUCT((Inputs!$A$5:$A$230=$B38)*ISNUMBER(INDEX(Inputs!$K$5:$AJ$230,0,MATCH(I$2,Inputs!$K$4:$AJ$4,0))))+SUMPRODUCT((Inputs!$C$5:$C$230=$B38)*ISNUMBER(INDEX(Inputs!$K$5:$AJ$230,0,MATCH(I$2,Inputs!$K$4:$AJ$4,0))))+SUMPRODUCT((Inputs!$E$5:$E$230=$B38)*ISNUMBER(INDEX(Inputs!$K$5:$AJ$230,0,MATCH(I$2,Inputs!$K$4:$AJ$4,0))))=0,NA(),SUMPRODUCT((Inputs!$A$5:$A$230=$B38)*Inputs!$B$5:$B$230*(((Inputs!$G$5:$G$230="moeda")+(Inputs!$G$5:$G$230="acoes"))*Inputs!$B$1+((Inputs!$G$5:$G$230&lt;&gt;"moeda")*(Inputs!$G$5:$G$230&lt;&gt;"acoes")))*INDEX(Inputs!$K$5:$AJ$230,0,MATCH(I$2,Inputs!$K$4:$AJ$4,0)))+SUMPRODUCT((Inputs!$C$5:$C$230=$B38)*Inputs!$D$5:$D$230*(((Inputs!$G$5:$G$230="moeda")+(Inputs!$G$5:$G$230="acoes"))*Inputs!$B$1+((Inputs!$G$5:$G$230&lt;&gt;"moeda")*(Inputs!$G$5:$G$230&lt;&gt;"acoes")))*INDEX(Inputs!$K$5:$AJ$230,0,MATCH(I$2,Inputs!$K$4:$AJ$4,0)))+SUMPRODUCT((Inputs!$E$5:$E$230=$B38)*Inputs!$F$5:$F$230*(((Inputs!$G$5:$G$230="moeda")+(Inputs!$G$5:$G$230="acoes"))*Inputs!$B$1+((Inputs!$G$5:$G$230&lt;&gt;"moeda")*(Inputs!$G$5:$G$230&lt;&gt;"acoes")))*INDEX(Inputs!$K$5:$AJ$230,0,MATCH(I$2,Inputs!$K$4:$AJ$4,0)))))</f>
        <v>2669.434</v>
      </c>
      <c r="J38" s="6">
        <f>IF(ISNA(MATCH(J$2,Inputs!$K$4:$AJ$4,0)),NA(),IF(SUMPRODUCT((Inputs!$A$5:$A$230=$B38)*ISNUMBER(INDEX(Inputs!$K$5:$AJ$230,0,MATCH(J$2,Inputs!$K$4:$AJ$4,0))))+SUMPRODUCT((Inputs!$C$5:$C$230=$B38)*ISNUMBER(INDEX(Inputs!$K$5:$AJ$230,0,MATCH(J$2,Inputs!$K$4:$AJ$4,0))))+SUMPRODUCT((Inputs!$E$5:$E$230=$B38)*ISNUMBER(INDEX(Inputs!$K$5:$AJ$230,0,MATCH(J$2,Inputs!$K$4:$AJ$4,0))))=0,NA(),SUMPRODUCT((Inputs!$A$5:$A$230=$B38)*Inputs!$B$5:$B$230*(((Inputs!$G$5:$G$230="moeda")+(Inputs!$G$5:$G$230="acoes"))*Inputs!$B$1+((Inputs!$G$5:$G$230&lt;&gt;"moeda")*(Inputs!$G$5:$G$230&lt;&gt;"acoes")))*INDEX(Inputs!$K$5:$AJ$230,0,MATCH(J$2,Inputs!$K$4:$AJ$4,0)))+SUMPRODUCT((Inputs!$C$5:$C$230=$B38)*Inputs!$D$5:$D$230*(((Inputs!$G$5:$G$230="moeda")+(Inputs!$G$5:$G$230="acoes"))*Inputs!$B$1+((Inputs!$G$5:$G$230&lt;&gt;"moeda")*(Inputs!$G$5:$G$230&lt;&gt;"acoes")))*INDEX(Inputs!$K$5:$AJ$230,0,MATCH(J$2,Inputs!$K$4:$AJ$4,0)))+SUMPRODUCT((Inputs!$E$5:$E$230=$B38)*Inputs!$F$5:$F$230*(((Inputs!$G$5:$G$230="moeda")+(Inputs!$G$5:$G$230="acoes"))*Inputs!$B$1+((Inputs!$G$5:$G$230&lt;&gt;"moeda")*(Inputs!$G$5:$G$230&lt;&gt;"acoes")))*INDEX(Inputs!$K$5:$AJ$230,0,MATCH(J$2,Inputs!$K$4:$AJ$4,0)))))</f>
        <v>2780.91</v>
      </c>
      <c r="K38" s="6">
        <f>IF(ISNA(MATCH(K$2,Inputs!$K$4:$AJ$4,0)),NA(),IF(SUMPRODUCT((Inputs!$A$5:$A$230=$B38)*ISNUMBER(INDEX(Inputs!$K$5:$AJ$230,0,MATCH(K$2,Inputs!$K$4:$AJ$4,0))))+SUMPRODUCT((Inputs!$C$5:$C$230=$B38)*ISNUMBER(INDEX(Inputs!$K$5:$AJ$230,0,MATCH(K$2,Inputs!$K$4:$AJ$4,0))))+SUMPRODUCT((Inputs!$E$5:$E$230=$B38)*ISNUMBER(INDEX(Inputs!$K$5:$AJ$230,0,MATCH(K$2,Inputs!$K$4:$AJ$4,0))))=0,NA(),SUMPRODUCT((Inputs!$A$5:$A$230=$B38)*Inputs!$B$5:$B$230*(((Inputs!$G$5:$G$230="moeda")+(Inputs!$G$5:$G$230="acoes"))*Inputs!$B$1+((Inputs!$G$5:$G$230&lt;&gt;"moeda")*(Inputs!$G$5:$G$230&lt;&gt;"acoes")))*INDEX(Inputs!$K$5:$AJ$230,0,MATCH(K$2,Inputs!$K$4:$AJ$4,0)))+SUMPRODUCT((Inputs!$C$5:$C$230=$B38)*Inputs!$D$5:$D$230*(((Inputs!$G$5:$G$230="moeda")+(Inputs!$G$5:$G$230="acoes"))*Inputs!$B$1+((Inputs!$G$5:$G$230&lt;&gt;"moeda")*(Inputs!$G$5:$G$230&lt;&gt;"acoes")))*INDEX(Inputs!$K$5:$AJ$230,0,MATCH(K$2,Inputs!$K$4:$AJ$4,0)))+SUMPRODUCT((Inputs!$E$5:$E$230=$B38)*Inputs!$F$5:$F$230*(((Inputs!$G$5:$G$230="moeda")+(Inputs!$G$5:$G$230="acoes"))*Inputs!$B$1+((Inputs!$G$5:$G$230&lt;&gt;"moeda")*(Inputs!$G$5:$G$230&lt;&gt;"acoes")))*INDEX(Inputs!$K$5:$AJ$230,0,MATCH(K$2,Inputs!$K$4:$AJ$4,0)))))</f>
        <v>2759.057</v>
      </c>
      <c r="L38" s="6">
        <f>IF(ISNA(MATCH(L$2,Inputs!$K$4:$AJ$4,0)),NA(),IF(SUMPRODUCT((Inputs!$A$5:$A$230=$B38)*ISNUMBER(INDEX(Inputs!$K$5:$AJ$230,0,MATCH(L$2,Inputs!$K$4:$AJ$4,0))))+SUMPRODUCT((Inputs!$C$5:$C$230=$B38)*ISNUMBER(INDEX(Inputs!$K$5:$AJ$230,0,MATCH(L$2,Inputs!$K$4:$AJ$4,0))))+SUMPRODUCT((Inputs!$E$5:$E$230=$B38)*ISNUMBER(INDEX(Inputs!$K$5:$AJ$230,0,MATCH(L$2,Inputs!$K$4:$AJ$4,0))))=0,NA(),SUMPRODUCT((Inputs!$A$5:$A$230=$B38)*Inputs!$B$5:$B$230*(((Inputs!$G$5:$G$230="moeda")+(Inputs!$G$5:$G$230="acoes"))*Inputs!$B$1+((Inputs!$G$5:$G$230&lt;&gt;"moeda")*(Inputs!$G$5:$G$230&lt;&gt;"acoes")))*INDEX(Inputs!$K$5:$AJ$230,0,MATCH(L$2,Inputs!$K$4:$AJ$4,0)))+SUMPRODUCT((Inputs!$C$5:$C$230=$B38)*Inputs!$D$5:$D$230*(((Inputs!$G$5:$G$230="moeda")+(Inputs!$G$5:$G$230="acoes"))*Inputs!$B$1+((Inputs!$G$5:$G$230&lt;&gt;"moeda")*(Inputs!$G$5:$G$230&lt;&gt;"acoes")))*INDEX(Inputs!$K$5:$AJ$230,0,MATCH(L$2,Inputs!$K$4:$AJ$4,0)))+SUMPRODUCT((Inputs!$E$5:$E$230=$B38)*Inputs!$F$5:$F$230*(((Inputs!$G$5:$G$230="moeda")+(Inputs!$G$5:$G$230="acoes"))*Inputs!$B$1+((Inputs!$G$5:$G$230&lt;&gt;"moeda")*(Inputs!$G$5:$G$230&lt;&gt;"acoes")))*INDEX(Inputs!$K$5:$AJ$230,0,MATCH(L$2,Inputs!$K$4:$AJ$4,0)))))</f>
        <v>2700.528</v>
      </c>
      <c r="M38" s="3">
        <f>L38</f>
        <v>2700.528</v>
      </c>
      <c r="N38" s="6">
        <f>IF(ISNA(MATCH(N$2,Inputs!$K$4:$AJ$4,0)),NA(),IF(SUMPRODUCT((Inputs!$A$5:$A$230=$B38)*ISNUMBER(INDEX(Inputs!$K$5:$AJ$230,0,MATCH(N$2,Inputs!$K$4:$AJ$4,0))))+SUMPRODUCT((Inputs!$C$5:$C$230=$B38)*ISNUMBER(INDEX(Inputs!$K$5:$AJ$230,0,MATCH(N$2,Inputs!$K$4:$AJ$4,0))))+SUMPRODUCT((Inputs!$E$5:$E$230=$B38)*ISNUMBER(INDEX(Inputs!$K$5:$AJ$230,0,MATCH(N$2,Inputs!$K$4:$AJ$4,0))))=0,NA(),SUMPRODUCT((Inputs!$A$5:$A$230=$B38)*Inputs!$B$5:$B$230*(((Inputs!$G$5:$G$230="moeda")+(Inputs!$G$5:$G$230="acoes"))*Inputs!$B$1+((Inputs!$G$5:$G$230&lt;&gt;"moeda")*(Inputs!$G$5:$G$230&lt;&gt;"acoes")))*INDEX(Inputs!$K$5:$AJ$230,0,MATCH(N$2,Inputs!$K$4:$AJ$4,0)))+SUMPRODUCT((Inputs!$C$5:$C$230=$B38)*Inputs!$D$5:$D$230*(((Inputs!$G$5:$G$230="moeda")+(Inputs!$G$5:$G$230="acoes"))*Inputs!$B$1+((Inputs!$G$5:$G$230&lt;&gt;"moeda")*(Inputs!$G$5:$G$230&lt;&gt;"acoes")))*INDEX(Inputs!$K$5:$AJ$230,0,MATCH(N$2,Inputs!$K$4:$AJ$4,0)))+SUMPRODUCT((Inputs!$E$5:$E$230=$B38)*Inputs!$F$5:$F$230*(((Inputs!$G$5:$G$230="moeda")+(Inputs!$G$5:$G$230="acoes"))*Inputs!$B$1+((Inputs!$G$5:$G$230&lt;&gt;"moeda")*(Inputs!$G$5:$G$230&lt;&gt;"acoes")))*INDEX(Inputs!$K$5:$AJ$230,0,MATCH(N$2,Inputs!$K$4:$AJ$4,0)))))</f>
        <v>2779.092</v>
      </c>
      <c r="O38" s="6">
        <f>IF(ISNA(MATCH(O$2,Inputs!$K$4:$AJ$4,0)),NA(),IF(SUMPRODUCT((Inputs!$A$5:$A$230=$B38)*ISNUMBER(INDEX(Inputs!$K$5:$AJ$230,0,MATCH(O$2,Inputs!$K$4:$AJ$4,0))))+SUMPRODUCT((Inputs!$C$5:$C$230=$B38)*ISNUMBER(INDEX(Inputs!$K$5:$AJ$230,0,MATCH(O$2,Inputs!$K$4:$AJ$4,0))))+SUMPRODUCT((Inputs!$E$5:$E$230=$B38)*ISNUMBER(INDEX(Inputs!$K$5:$AJ$230,0,MATCH(O$2,Inputs!$K$4:$AJ$4,0))))=0,NA(),SUMPRODUCT((Inputs!$A$5:$A$230=$B38)*Inputs!$B$5:$B$230*(((Inputs!$G$5:$G$230="moeda")+(Inputs!$G$5:$G$230="acoes"))*Inputs!$B$1+((Inputs!$G$5:$G$230&lt;&gt;"moeda")*(Inputs!$G$5:$G$230&lt;&gt;"acoes")))*INDEX(Inputs!$K$5:$AJ$230,0,MATCH(O$2,Inputs!$K$4:$AJ$4,0)))+SUMPRODUCT((Inputs!$C$5:$C$230=$B38)*Inputs!$D$5:$D$230*(((Inputs!$G$5:$G$230="moeda")+(Inputs!$G$5:$G$230="acoes"))*Inputs!$B$1+((Inputs!$G$5:$G$230&lt;&gt;"moeda")*(Inputs!$G$5:$G$230&lt;&gt;"acoes")))*INDEX(Inputs!$K$5:$AJ$230,0,MATCH(O$2,Inputs!$K$4:$AJ$4,0)))+SUMPRODUCT((Inputs!$E$5:$E$230=$B38)*Inputs!$F$5:$F$230*(((Inputs!$G$5:$G$230="moeda")+(Inputs!$G$5:$G$230="acoes"))*Inputs!$B$1+((Inputs!$G$5:$G$230&lt;&gt;"moeda")*(Inputs!$G$5:$G$230&lt;&gt;"acoes")))*INDEX(Inputs!$K$5:$AJ$230,0,MATCH(O$2,Inputs!$K$4:$AJ$4,0)))))</f>
        <v>2808.619</v>
      </c>
      <c r="P38" s="6">
        <f>IF(ISNA(MATCH(P$2,Inputs!$K$4:$AJ$4,0)),NA(),IF(SUMPRODUCT((Inputs!$A$5:$A$230=$B38)*ISNUMBER(INDEX(Inputs!$K$5:$AJ$230,0,MATCH(P$2,Inputs!$K$4:$AJ$4,0))))+SUMPRODUCT((Inputs!$C$5:$C$230=$B38)*ISNUMBER(INDEX(Inputs!$K$5:$AJ$230,0,MATCH(P$2,Inputs!$K$4:$AJ$4,0))))+SUMPRODUCT((Inputs!$E$5:$E$230=$B38)*ISNUMBER(INDEX(Inputs!$K$5:$AJ$230,0,MATCH(P$2,Inputs!$K$4:$AJ$4,0))))=0,NA(),SUMPRODUCT((Inputs!$A$5:$A$230=$B38)*Inputs!$B$5:$B$230*(((Inputs!$G$5:$G$230="moeda")+(Inputs!$G$5:$G$230="acoes"))*Inputs!$B$1+((Inputs!$G$5:$G$230&lt;&gt;"moeda")*(Inputs!$G$5:$G$230&lt;&gt;"acoes")))*INDEX(Inputs!$K$5:$AJ$230,0,MATCH(P$2,Inputs!$K$4:$AJ$4,0)))+SUMPRODUCT((Inputs!$C$5:$C$230=$B38)*Inputs!$D$5:$D$230*(((Inputs!$G$5:$G$230="moeda")+(Inputs!$G$5:$G$230="acoes"))*Inputs!$B$1+((Inputs!$G$5:$G$230&lt;&gt;"moeda")*(Inputs!$G$5:$G$230&lt;&gt;"acoes")))*INDEX(Inputs!$K$5:$AJ$230,0,MATCH(P$2,Inputs!$K$4:$AJ$4,0)))+SUMPRODUCT((Inputs!$E$5:$E$230=$B38)*Inputs!$F$5:$F$230*(((Inputs!$G$5:$G$230="moeda")+(Inputs!$G$5:$G$230="acoes"))*Inputs!$B$1+((Inputs!$G$5:$G$230&lt;&gt;"moeda")*(Inputs!$G$5:$G$230&lt;&gt;"acoes")))*INDEX(Inputs!$K$5:$AJ$230,0,MATCH(P$2,Inputs!$K$4:$AJ$4,0)))))</f>
        <v>2795.307</v>
      </c>
      <c r="Q38" s="6">
        <f>IF(ISNA(MATCH(Q$2,Inputs!$K$4:$AJ$4,0)),NA(),IF(SUMPRODUCT((Inputs!$A$5:$A$230=$B38)*ISNUMBER(INDEX(Inputs!$K$5:$AJ$230,0,MATCH(Q$2,Inputs!$K$4:$AJ$4,0))))+SUMPRODUCT((Inputs!$C$5:$C$230=$B38)*ISNUMBER(INDEX(Inputs!$K$5:$AJ$230,0,MATCH(Q$2,Inputs!$K$4:$AJ$4,0))))+SUMPRODUCT((Inputs!$E$5:$E$230=$B38)*ISNUMBER(INDEX(Inputs!$K$5:$AJ$230,0,MATCH(Q$2,Inputs!$K$4:$AJ$4,0))))=0,NA(),SUMPRODUCT((Inputs!$A$5:$A$230=$B38)*Inputs!$B$5:$B$230*(((Inputs!$G$5:$G$230="moeda")+(Inputs!$G$5:$G$230="acoes"))*Inputs!$B$1+((Inputs!$G$5:$G$230&lt;&gt;"moeda")*(Inputs!$G$5:$G$230&lt;&gt;"acoes")))*INDEX(Inputs!$K$5:$AJ$230,0,MATCH(Q$2,Inputs!$K$4:$AJ$4,0)))+SUMPRODUCT((Inputs!$C$5:$C$230=$B38)*Inputs!$D$5:$D$230*(((Inputs!$G$5:$G$230="moeda")+(Inputs!$G$5:$G$230="acoes"))*Inputs!$B$1+((Inputs!$G$5:$G$230&lt;&gt;"moeda")*(Inputs!$G$5:$G$230&lt;&gt;"acoes")))*INDEX(Inputs!$K$5:$AJ$230,0,MATCH(Q$2,Inputs!$K$4:$AJ$4,0)))+SUMPRODUCT((Inputs!$E$5:$E$230=$B38)*Inputs!$F$5:$F$230*(((Inputs!$G$5:$G$230="moeda")+(Inputs!$G$5:$G$230="acoes"))*Inputs!$B$1+((Inputs!$G$5:$G$230&lt;&gt;"moeda")*(Inputs!$G$5:$G$230&lt;&gt;"acoes")))*INDEX(Inputs!$K$5:$AJ$230,0,MATCH(Q$2,Inputs!$K$4:$AJ$4,0)))))</f>
        <v>2890.782</v>
      </c>
      <c r="R38" s="3">
        <f>Q38</f>
        <v>2890.782</v>
      </c>
      <c r="S38" s="6">
        <f>IF(ISNA(MATCH(S$2,Inputs!$K$4:$AJ$4,0)),NA(),IF(SUMPRODUCT((Inputs!$A$5:$A$230=$B38)*ISNUMBER(INDEX(Inputs!$K$5:$AJ$230,0,MATCH(S$2,Inputs!$K$4:$AJ$4,0))))+SUMPRODUCT((Inputs!$C$5:$C$230=$B38)*ISNUMBER(INDEX(Inputs!$K$5:$AJ$230,0,MATCH(S$2,Inputs!$K$4:$AJ$4,0))))+SUMPRODUCT((Inputs!$E$5:$E$230=$B38)*ISNUMBER(INDEX(Inputs!$K$5:$AJ$230,0,MATCH(S$2,Inputs!$K$4:$AJ$4,0))))=0,NA(),SUMPRODUCT((Inputs!$A$5:$A$230=$B38)*Inputs!$B$5:$B$230*(((Inputs!$G$5:$G$230="moeda")+(Inputs!$G$5:$G$230="acoes"))*Inputs!$B$1+((Inputs!$G$5:$G$230&lt;&gt;"moeda")*(Inputs!$G$5:$G$230&lt;&gt;"acoes")))*INDEX(Inputs!$K$5:$AJ$230,0,MATCH(S$2,Inputs!$K$4:$AJ$4,0)))+SUMPRODUCT((Inputs!$C$5:$C$230=$B38)*Inputs!$D$5:$D$230*(((Inputs!$G$5:$G$230="moeda")+(Inputs!$G$5:$G$230="acoes"))*Inputs!$B$1+((Inputs!$G$5:$G$230&lt;&gt;"moeda")*(Inputs!$G$5:$G$230&lt;&gt;"acoes")))*INDEX(Inputs!$K$5:$AJ$230,0,MATCH(S$2,Inputs!$K$4:$AJ$4,0)))+SUMPRODUCT((Inputs!$E$5:$E$230=$B38)*Inputs!$F$5:$F$230*(((Inputs!$G$5:$G$230="moeda")+(Inputs!$G$5:$G$230="acoes"))*Inputs!$B$1+((Inputs!$G$5:$G$230&lt;&gt;"moeda")*(Inputs!$G$5:$G$230&lt;&gt;"acoes")))*INDEX(Inputs!$K$5:$AJ$230,0,MATCH(S$2,Inputs!$K$4:$AJ$4,0)))))</f>
        <v>2970.165</v>
      </c>
      <c r="T38" s="6">
        <f>IF(ISNA(MATCH(T$2,Inputs!$K$4:$AJ$4,0)),NA(),IF(SUMPRODUCT((Inputs!$A$5:$A$230=$B38)*ISNUMBER(INDEX(Inputs!$K$5:$AJ$230,0,MATCH(T$2,Inputs!$K$4:$AJ$4,0))))+SUMPRODUCT((Inputs!$C$5:$C$230=$B38)*ISNUMBER(INDEX(Inputs!$K$5:$AJ$230,0,MATCH(T$2,Inputs!$K$4:$AJ$4,0))))+SUMPRODUCT((Inputs!$E$5:$E$230=$B38)*ISNUMBER(INDEX(Inputs!$K$5:$AJ$230,0,MATCH(T$2,Inputs!$K$4:$AJ$4,0))))=0,NA(),SUMPRODUCT((Inputs!$A$5:$A$230=$B38)*Inputs!$B$5:$B$230*(((Inputs!$G$5:$G$230="moeda")+(Inputs!$G$5:$G$230="acoes"))*Inputs!$B$1+((Inputs!$G$5:$G$230&lt;&gt;"moeda")*(Inputs!$G$5:$G$230&lt;&gt;"acoes")))*INDEX(Inputs!$K$5:$AJ$230,0,MATCH(T$2,Inputs!$K$4:$AJ$4,0)))+SUMPRODUCT((Inputs!$C$5:$C$230=$B38)*Inputs!$D$5:$D$230*(((Inputs!$G$5:$G$230="moeda")+(Inputs!$G$5:$G$230="acoes"))*Inputs!$B$1+((Inputs!$G$5:$G$230&lt;&gt;"moeda")*(Inputs!$G$5:$G$230&lt;&gt;"acoes")))*INDEX(Inputs!$K$5:$AJ$230,0,MATCH(T$2,Inputs!$K$4:$AJ$4,0)))+SUMPRODUCT((Inputs!$E$5:$E$230=$B38)*Inputs!$F$5:$F$230*(((Inputs!$G$5:$G$230="moeda")+(Inputs!$G$5:$G$230="acoes"))*Inputs!$B$1+((Inputs!$G$5:$G$230&lt;&gt;"moeda")*(Inputs!$G$5:$G$230&lt;&gt;"acoes")))*INDEX(Inputs!$K$5:$AJ$230,0,MATCH(T$2,Inputs!$K$4:$AJ$4,0)))))</f>
        <v>3046.672</v>
      </c>
      <c r="U38" s="6">
        <f>IF(ISNA(MATCH(U$2,Inputs!$K$4:$AJ$4,0)),NA(),IF(SUMPRODUCT((Inputs!$A$5:$A$230=$B38)*ISNUMBER(INDEX(Inputs!$K$5:$AJ$230,0,MATCH(U$2,Inputs!$K$4:$AJ$4,0))))+SUMPRODUCT((Inputs!$C$5:$C$230=$B38)*ISNUMBER(INDEX(Inputs!$K$5:$AJ$230,0,MATCH(U$2,Inputs!$K$4:$AJ$4,0))))+SUMPRODUCT((Inputs!$E$5:$E$230=$B38)*ISNUMBER(INDEX(Inputs!$K$5:$AJ$230,0,MATCH(U$2,Inputs!$K$4:$AJ$4,0))))=0,NA(),SUMPRODUCT((Inputs!$A$5:$A$230=$B38)*Inputs!$B$5:$B$230*(((Inputs!$G$5:$G$230="moeda")+(Inputs!$G$5:$G$230="acoes"))*Inputs!$B$1+((Inputs!$G$5:$G$230&lt;&gt;"moeda")*(Inputs!$G$5:$G$230&lt;&gt;"acoes")))*INDEX(Inputs!$K$5:$AJ$230,0,MATCH(U$2,Inputs!$K$4:$AJ$4,0)))+SUMPRODUCT((Inputs!$C$5:$C$230=$B38)*Inputs!$D$5:$D$230*(((Inputs!$G$5:$G$230="moeda")+(Inputs!$G$5:$G$230="acoes"))*Inputs!$B$1+((Inputs!$G$5:$G$230&lt;&gt;"moeda")*(Inputs!$G$5:$G$230&lt;&gt;"acoes")))*INDEX(Inputs!$K$5:$AJ$230,0,MATCH(U$2,Inputs!$K$4:$AJ$4,0)))+SUMPRODUCT((Inputs!$E$5:$E$230=$B38)*Inputs!$F$5:$F$230*(((Inputs!$G$5:$G$230="moeda")+(Inputs!$G$5:$G$230="acoes"))*Inputs!$B$1+((Inputs!$G$5:$G$230&lt;&gt;"moeda")*(Inputs!$G$5:$G$230&lt;&gt;"acoes")))*INDEX(Inputs!$K$5:$AJ$230,0,MATCH(U$2,Inputs!$K$4:$AJ$4,0)))))</f>
        <v>2835.961</v>
      </c>
      <c r="V38" s="6">
        <f>IF(ISNA(MATCH(V$2,Inputs!$K$4:$AJ$4,0)),NA(),IF(SUMPRODUCT((Inputs!$A$5:$A$230=$B38)*ISNUMBER(INDEX(Inputs!$K$5:$AJ$230,0,MATCH(V$2,Inputs!$K$4:$AJ$4,0))))+SUMPRODUCT((Inputs!$C$5:$C$230=$B38)*ISNUMBER(INDEX(Inputs!$K$5:$AJ$230,0,MATCH(V$2,Inputs!$K$4:$AJ$4,0))))+SUMPRODUCT((Inputs!$E$5:$E$230=$B38)*ISNUMBER(INDEX(Inputs!$K$5:$AJ$230,0,MATCH(V$2,Inputs!$K$4:$AJ$4,0))))=0,NA(),SUMPRODUCT((Inputs!$A$5:$A$230=$B38)*Inputs!$B$5:$B$230*(((Inputs!$G$5:$G$230="moeda")+(Inputs!$G$5:$G$230="acoes"))*Inputs!$B$1+((Inputs!$G$5:$G$230&lt;&gt;"moeda")*(Inputs!$G$5:$G$230&lt;&gt;"acoes")))*INDEX(Inputs!$K$5:$AJ$230,0,MATCH(V$2,Inputs!$K$4:$AJ$4,0)))+SUMPRODUCT((Inputs!$C$5:$C$230=$B38)*Inputs!$D$5:$D$230*(((Inputs!$G$5:$G$230="moeda")+(Inputs!$G$5:$G$230="acoes"))*Inputs!$B$1+((Inputs!$G$5:$G$230&lt;&gt;"moeda")*(Inputs!$G$5:$G$230&lt;&gt;"acoes")))*INDEX(Inputs!$K$5:$AJ$230,0,MATCH(V$2,Inputs!$K$4:$AJ$4,0)))+SUMPRODUCT((Inputs!$E$5:$E$230=$B38)*Inputs!$F$5:$F$230*(((Inputs!$G$5:$G$230="moeda")+(Inputs!$G$5:$G$230="acoes"))*Inputs!$B$1+((Inputs!$G$5:$G$230&lt;&gt;"moeda")*(Inputs!$G$5:$G$230&lt;&gt;"acoes")))*INDEX(Inputs!$K$5:$AJ$230,0,MATCH(V$2,Inputs!$K$4:$AJ$4,0)))))</f>
        <v>2881.281</v>
      </c>
      <c r="W38" s="3">
        <f>V38</f>
        <v>2881.281</v>
      </c>
      <c r="X38" s="6">
        <f>IF(ISNA(MATCH(X$2,Inputs!$K$4:$AJ$4,0)),NA(),IF(SUMPRODUCT((Inputs!$A$5:$A$230=$B38)*ISNUMBER(INDEX(Inputs!$K$5:$AJ$230,0,MATCH(X$2,Inputs!$K$4:$AJ$4,0))))+SUMPRODUCT((Inputs!$C$5:$C$230=$B38)*ISNUMBER(INDEX(Inputs!$K$5:$AJ$230,0,MATCH(X$2,Inputs!$K$4:$AJ$4,0))))+SUMPRODUCT((Inputs!$E$5:$E$230=$B38)*ISNUMBER(INDEX(Inputs!$K$5:$AJ$230,0,MATCH(X$2,Inputs!$K$4:$AJ$4,0))))=0,NA(),SUMPRODUCT((Inputs!$A$5:$A$230=$B38)*Inputs!$B$5:$B$230*(((Inputs!$G$5:$G$230="moeda")+(Inputs!$G$5:$G$230="acoes"))*Inputs!$B$1+((Inputs!$G$5:$G$230&lt;&gt;"moeda")*(Inputs!$G$5:$G$230&lt;&gt;"acoes")))*INDEX(Inputs!$K$5:$AJ$230,0,MATCH(X$2,Inputs!$K$4:$AJ$4,0)))+SUMPRODUCT((Inputs!$C$5:$C$230=$B38)*Inputs!$D$5:$D$230*(((Inputs!$G$5:$G$230="moeda")+(Inputs!$G$5:$G$230="acoes"))*Inputs!$B$1+((Inputs!$G$5:$G$230&lt;&gt;"moeda")*(Inputs!$G$5:$G$230&lt;&gt;"acoes")))*INDEX(Inputs!$K$5:$AJ$230,0,MATCH(X$2,Inputs!$K$4:$AJ$4,0)))+SUMPRODUCT((Inputs!$E$5:$E$230=$B38)*Inputs!$F$5:$F$230*(((Inputs!$G$5:$G$230="moeda")+(Inputs!$G$5:$G$230="acoes"))*Inputs!$B$1+((Inputs!$G$5:$G$230&lt;&gt;"moeda")*(Inputs!$G$5:$G$230&lt;&gt;"acoes")))*INDEX(Inputs!$K$5:$AJ$230,0,MATCH(X$2,Inputs!$K$4:$AJ$4,0)))))</f>
        <v>3038.628</v>
      </c>
      <c r="Y38" s="6">
        <f>IF(ISNA(MATCH(Y$2,Inputs!$K$4:$AJ$4,0)),NA(),IF(SUMPRODUCT((Inputs!$A$5:$A$230=$B38)*ISNUMBER(INDEX(Inputs!$K$5:$AJ$230,0,MATCH(Y$2,Inputs!$K$4:$AJ$4,0))))+SUMPRODUCT((Inputs!$C$5:$C$230=$B38)*ISNUMBER(INDEX(Inputs!$K$5:$AJ$230,0,MATCH(Y$2,Inputs!$K$4:$AJ$4,0))))+SUMPRODUCT((Inputs!$E$5:$E$230=$B38)*ISNUMBER(INDEX(Inputs!$K$5:$AJ$230,0,MATCH(Y$2,Inputs!$K$4:$AJ$4,0))))=0,NA(),SUMPRODUCT((Inputs!$A$5:$A$230=$B38)*Inputs!$B$5:$B$230*(((Inputs!$G$5:$G$230="moeda")+(Inputs!$G$5:$G$230="acoes"))*Inputs!$B$1+((Inputs!$G$5:$G$230&lt;&gt;"moeda")*(Inputs!$G$5:$G$230&lt;&gt;"acoes")))*INDEX(Inputs!$K$5:$AJ$230,0,MATCH(Y$2,Inputs!$K$4:$AJ$4,0)))+SUMPRODUCT((Inputs!$C$5:$C$230=$B38)*Inputs!$D$5:$D$230*(((Inputs!$G$5:$G$230="moeda")+(Inputs!$G$5:$G$230="acoes"))*Inputs!$B$1+((Inputs!$G$5:$G$230&lt;&gt;"moeda")*(Inputs!$G$5:$G$230&lt;&gt;"acoes")))*INDEX(Inputs!$K$5:$AJ$230,0,MATCH(Y$2,Inputs!$K$4:$AJ$4,0)))+SUMPRODUCT((Inputs!$E$5:$E$230=$B38)*Inputs!$F$5:$F$230*(((Inputs!$G$5:$G$230="moeda")+(Inputs!$G$5:$G$230="acoes"))*Inputs!$B$1+((Inputs!$G$5:$G$230&lt;&gt;"moeda")*(Inputs!$G$5:$G$230&lt;&gt;"acoes")))*INDEX(Inputs!$K$5:$AJ$230,0,MATCH(Y$2,Inputs!$K$4:$AJ$4,0)))))</f>
        <v>3081.852</v>
      </c>
      <c r="Z38" s="6">
        <f>IF(ISNA(MATCH(Z$2,Inputs!$K$4:$AJ$4,0)),NA(),IF(SUMPRODUCT((Inputs!$A$5:$A$230=$B38)*ISNUMBER(INDEX(Inputs!$K$5:$AJ$230,0,MATCH(Z$2,Inputs!$K$4:$AJ$4,0))))+SUMPRODUCT((Inputs!$C$5:$C$230=$B38)*ISNUMBER(INDEX(Inputs!$K$5:$AJ$230,0,MATCH(Z$2,Inputs!$K$4:$AJ$4,0))))+SUMPRODUCT((Inputs!$E$5:$E$230=$B38)*ISNUMBER(INDEX(Inputs!$K$5:$AJ$230,0,MATCH(Z$2,Inputs!$K$4:$AJ$4,0))))=0,NA(),SUMPRODUCT((Inputs!$A$5:$A$230=$B38)*Inputs!$B$5:$B$230*(((Inputs!$G$5:$G$230="moeda")+(Inputs!$G$5:$G$230="acoes"))*Inputs!$B$1+((Inputs!$G$5:$G$230&lt;&gt;"moeda")*(Inputs!$G$5:$G$230&lt;&gt;"acoes")))*INDEX(Inputs!$K$5:$AJ$230,0,MATCH(Z$2,Inputs!$K$4:$AJ$4,0)))+SUMPRODUCT((Inputs!$C$5:$C$230=$B38)*Inputs!$D$5:$D$230*(((Inputs!$G$5:$G$230="moeda")+(Inputs!$G$5:$G$230="acoes"))*Inputs!$B$1+((Inputs!$G$5:$G$230&lt;&gt;"moeda")*(Inputs!$G$5:$G$230&lt;&gt;"acoes")))*INDEX(Inputs!$K$5:$AJ$230,0,MATCH(Z$2,Inputs!$K$4:$AJ$4,0)))+SUMPRODUCT((Inputs!$E$5:$E$230=$B38)*Inputs!$F$5:$F$230*(((Inputs!$G$5:$G$230="moeda")+(Inputs!$G$5:$G$230="acoes"))*Inputs!$B$1+((Inputs!$G$5:$G$230&lt;&gt;"moeda")*(Inputs!$G$5:$G$230&lt;&gt;"acoes")))*INDEX(Inputs!$K$5:$AJ$230,0,MATCH(Z$2,Inputs!$K$4:$AJ$4,0)))))</f>
        <v>3236.041</v>
      </c>
      <c r="AA38" s="6">
        <f>IF(ISNA(MATCH(AA$2,Inputs!$K$4:$AJ$4,0)),NA(),IF(SUMPRODUCT((Inputs!$A$5:$A$230=$B38)*ISNUMBER(INDEX(Inputs!$K$5:$AJ$230,0,MATCH(AA$2,Inputs!$K$4:$AJ$4,0))))+SUMPRODUCT((Inputs!$C$5:$C$230=$B38)*ISNUMBER(INDEX(Inputs!$K$5:$AJ$230,0,MATCH(AA$2,Inputs!$K$4:$AJ$4,0))))+SUMPRODUCT((Inputs!$E$5:$E$230=$B38)*ISNUMBER(INDEX(Inputs!$K$5:$AJ$230,0,MATCH(AA$2,Inputs!$K$4:$AJ$4,0))))=0,NA(),SUMPRODUCT((Inputs!$A$5:$A$230=$B38)*Inputs!$B$5:$B$230*(((Inputs!$G$5:$G$230="moeda")+(Inputs!$G$5:$G$230="acoes"))*Inputs!$B$1+((Inputs!$G$5:$G$230&lt;&gt;"moeda")*(Inputs!$G$5:$G$230&lt;&gt;"acoes")))*INDEX(Inputs!$K$5:$AJ$230,0,MATCH(AA$2,Inputs!$K$4:$AJ$4,0)))+SUMPRODUCT((Inputs!$C$5:$C$230=$B38)*Inputs!$D$5:$D$230*(((Inputs!$G$5:$G$230="moeda")+(Inputs!$G$5:$G$230="acoes"))*Inputs!$B$1+((Inputs!$G$5:$G$230&lt;&gt;"moeda")*(Inputs!$G$5:$G$230&lt;&gt;"acoes")))*INDEX(Inputs!$K$5:$AJ$230,0,MATCH(AA$2,Inputs!$K$4:$AJ$4,0)))+SUMPRODUCT((Inputs!$E$5:$E$230=$B38)*Inputs!$F$5:$F$230*(((Inputs!$G$5:$G$230="moeda")+(Inputs!$G$5:$G$230="acoes"))*Inputs!$B$1+((Inputs!$G$5:$G$230&lt;&gt;"moeda")*(Inputs!$G$5:$G$230&lt;&gt;"acoes")))*INDEX(Inputs!$K$5:$AJ$230,0,MATCH(AA$2,Inputs!$K$4:$AJ$4,0)))))</f>
        <v>3333.016</v>
      </c>
      <c r="AB38" s="3">
        <f>AA38</f>
        <v>3333.016</v>
      </c>
      <c r="AC38" s="6">
        <f>IF(ISNA(MATCH(AC$2,Inputs!$K$4:$AJ$4,0)),NA(),IF(SUMPRODUCT((Inputs!$A$5:$A$230=$B38)*ISNUMBER(INDEX(Inputs!$K$5:$AJ$230,0,MATCH(AC$2,Inputs!$K$4:$AJ$4,0))))+SUMPRODUCT((Inputs!$C$5:$C$230=$B38)*ISNUMBER(INDEX(Inputs!$K$5:$AJ$230,0,MATCH(AC$2,Inputs!$K$4:$AJ$4,0))))+SUMPRODUCT((Inputs!$E$5:$E$230=$B38)*ISNUMBER(INDEX(Inputs!$K$5:$AJ$230,0,MATCH(AC$2,Inputs!$K$4:$AJ$4,0))))=0,NA(),SUMPRODUCT((Inputs!$A$5:$A$230=$B38)*Inputs!$B$5:$B$230*(((Inputs!$G$5:$G$230="moeda")+(Inputs!$G$5:$G$230="acoes"))*Inputs!$B$1+((Inputs!$G$5:$G$230&lt;&gt;"moeda")*(Inputs!$G$5:$G$230&lt;&gt;"acoes")))*INDEX(Inputs!$K$5:$AJ$230,0,MATCH(AC$2,Inputs!$K$4:$AJ$4,0)))+SUMPRODUCT((Inputs!$C$5:$C$230=$B38)*Inputs!$D$5:$D$230*(((Inputs!$G$5:$G$230="moeda")+(Inputs!$G$5:$G$230="acoes"))*Inputs!$B$1+((Inputs!$G$5:$G$230&lt;&gt;"moeda")*(Inputs!$G$5:$G$230&lt;&gt;"acoes")))*INDEX(Inputs!$K$5:$AJ$230,0,MATCH(AC$2,Inputs!$K$4:$AJ$4,0)))+SUMPRODUCT((Inputs!$E$5:$E$230=$B38)*Inputs!$F$5:$F$230*(((Inputs!$G$5:$G$230="moeda")+(Inputs!$G$5:$G$230="acoes"))*Inputs!$B$1+((Inputs!$G$5:$G$230&lt;&gt;"moeda")*(Inputs!$G$5:$G$230&lt;&gt;"acoes")))*INDEX(Inputs!$K$5:$AJ$230,0,MATCH(AC$2,Inputs!$K$4:$AJ$4,0)))))</f>
        <v>3376.715</v>
      </c>
      <c r="AD38" s="6">
        <f>IF(ISNA(MATCH(AD$2,Inputs!$K$4:$AJ$4,0)),NA(),IF(SUMPRODUCT((Inputs!$A$5:$A$230=$B38)*ISNUMBER(INDEX(Inputs!$K$5:$AJ$230,0,MATCH(AD$2,Inputs!$K$4:$AJ$4,0))))+SUMPRODUCT((Inputs!$C$5:$C$230=$B38)*ISNUMBER(INDEX(Inputs!$K$5:$AJ$230,0,MATCH(AD$2,Inputs!$K$4:$AJ$4,0))))+SUMPRODUCT((Inputs!$E$5:$E$230=$B38)*ISNUMBER(INDEX(Inputs!$K$5:$AJ$230,0,MATCH(AD$2,Inputs!$K$4:$AJ$4,0))))=0,NA(),SUMPRODUCT((Inputs!$A$5:$A$230=$B38)*Inputs!$B$5:$B$230*(((Inputs!$G$5:$G$230="moeda")+(Inputs!$G$5:$G$230="acoes"))*Inputs!$B$1+((Inputs!$G$5:$G$230&lt;&gt;"moeda")*(Inputs!$G$5:$G$230&lt;&gt;"acoes")))*INDEX(Inputs!$K$5:$AJ$230,0,MATCH(AD$2,Inputs!$K$4:$AJ$4,0)))+SUMPRODUCT((Inputs!$C$5:$C$230=$B38)*Inputs!$D$5:$D$230*(((Inputs!$G$5:$G$230="moeda")+(Inputs!$G$5:$G$230="acoes"))*Inputs!$B$1+((Inputs!$G$5:$G$230&lt;&gt;"moeda")*(Inputs!$G$5:$G$230&lt;&gt;"acoes")))*INDEX(Inputs!$K$5:$AJ$230,0,MATCH(AD$2,Inputs!$K$4:$AJ$4,0)))+SUMPRODUCT((Inputs!$E$5:$E$230=$B38)*Inputs!$F$5:$F$230*(((Inputs!$G$5:$G$230="moeda")+(Inputs!$G$5:$G$230="acoes"))*Inputs!$B$1+((Inputs!$G$5:$G$230&lt;&gt;"moeda")*(Inputs!$G$5:$G$230&lt;&gt;"acoes")))*INDEX(Inputs!$K$5:$AJ$230,0,MATCH(AD$2,Inputs!$K$4:$AJ$4,0)))))</f>
        <v>3390.71</v>
      </c>
      <c r="AE38" s="6" t="e">
        <f>IF(ISNA(MATCH(AE$2,Inputs!$K$4:$AJ$4,0)),NA(),IF(SUMPRODUCT((Inputs!$A$5:$A$230=$B38)*ISNUMBER(INDEX(Inputs!$K$5:$AJ$230,0,MATCH(AE$2,Inputs!$K$4:$AJ$4,0))))+SUMPRODUCT((Inputs!$C$5:$C$230=$B38)*ISNUMBER(INDEX(Inputs!$K$5:$AJ$230,0,MATCH(AE$2,Inputs!$K$4:$AJ$4,0))))+SUMPRODUCT((Inputs!$E$5:$E$230=$B38)*ISNUMBER(INDEX(Inputs!$K$5:$AJ$230,0,MATCH(AE$2,Inputs!$K$4:$AJ$4,0))))=0,NA(),SUMPRODUCT((Inputs!$A$5:$A$230=$B38)*Inputs!$B$5:$B$230*(((Inputs!$G$5:$G$230="moeda")+(Inputs!$G$5:$G$230="acoes"))*Inputs!$B$1+((Inputs!$G$5:$G$230&lt;&gt;"moeda")*(Inputs!$G$5:$G$230&lt;&gt;"acoes")))*INDEX(Inputs!$K$5:$AJ$230,0,MATCH(AE$2,Inputs!$K$4:$AJ$4,0)))+SUMPRODUCT((Inputs!$C$5:$C$230=$B38)*Inputs!$D$5:$D$230*(((Inputs!$G$5:$G$230="moeda")+(Inputs!$G$5:$G$230="acoes"))*Inputs!$B$1+((Inputs!$G$5:$G$230&lt;&gt;"moeda")*(Inputs!$G$5:$G$230&lt;&gt;"acoes")))*INDEX(Inputs!$K$5:$AJ$230,0,MATCH(AE$2,Inputs!$K$4:$AJ$4,0)))+SUMPRODUCT((Inputs!$E$5:$E$230=$B38)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38" s="6" t="e">
        <f>IF(ISNA(MATCH(AF$2,Inputs!$K$4:$AJ$4,0)),NA(),IF(SUMPRODUCT((Inputs!$A$5:$A$230=$B38)*ISNUMBER(INDEX(Inputs!$K$5:$AJ$230,0,MATCH(AF$2,Inputs!$K$4:$AJ$4,0))))+SUMPRODUCT((Inputs!$C$5:$C$230=$B38)*ISNUMBER(INDEX(Inputs!$K$5:$AJ$230,0,MATCH(AF$2,Inputs!$K$4:$AJ$4,0))))+SUMPRODUCT((Inputs!$E$5:$E$230=$B38)*ISNUMBER(INDEX(Inputs!$K$5:$AJ$230,0,MATCH(AF$2,Inputs!$K$4:$AJ$4,0))))=0,NA(),SUMPRODUCT((Inputs!$A$5:$A$230=$B38)*Inputs!$B$5:$B$230*(((Inputs!$G$5:$G$230="moeda")+(Inputs!$G$5:$G$230="acoes"))*Inputs!$B$1+((Inputs!$G$5:$G$230&lt;&gt;"moeda")*(Inputs!$G$5:$G$230&lt;&gt;"acoes")))*INDEX(Inputs!$K$5:$AJ$230,0,MATCH(AF$2,Inputs!$K$4:$AJ$4,0)))+SUMPRODUCT((Inputs!$C$5:$C$230=$B38)*Inputs!$D$5:$D$230*(((Inputs!$G$5:$G$230="moeda")+(Inputs!$G$5:$G$230="acoes"))*Inputs!$B$1+((Inputs!$G$5:$G$230&lt;&gt;"moeda")*(Inputs!$G$5:$G$230&lt;&gt;"acoes")))*INDEX(Inputs!$K$5:$AJ$230,0,MATCH(AF$2,Inputs!$K$4:$AJ$4,0)))+SUMPRODUCT((Inputs!$E$5:$E$230=$B38)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38" s="3" t="e">
        <f>AF38</f>
        <v>#N/A</v>
      </c>
      <c r="AH38" s="6">
        <f>IF(ISNA(MATCH(AH$2,Inputs!$K$4:$AJ$4,0)),NA(),IF(SUMPRODUCT((Inputs!$A$5:$A$230=$B38)*ISNUMBER(INDEX(Inputs!$K$5:$AJ$230,0,MATCH(AH$2,Inputs!$K$4:$AJ$4,0))))+SUMPRODUCT((Inputs!$C$5:$C$230=$B38)*ISNUMBER(INDEX(Inputs!$K$5:$AJ$230,0,MATCH(AH$2,Inputs!$K$4:$AJ$4,0))))+SUMPRODUCT((Inputs!$E$5:$E$230=$B38)*ISNUMBER(INDEX(Inputs!$K$5:$AJ$230,0,MATCH(AH$2,Inputs!$K$4:$AJ$4,0))))=0,NA(),SUMPRODUCT((Inputs!$A$5:$A$230=$B38)*Inputs!$B$5:$B$230*(((Inputs!$G$5:$G$230="moeda")+(Inputs!$G$5:$G$230="acoes"))*Inputs!$B$1+((Inputs!$G$5:$G$230&lt;&gt;"moeda")*(Inputs!$G$5:$G$230&lt;&gt;"acoes")))*INDEX(Inputs!$K$5:$AJ$230,0,MATCH(AH$2,Inputs!$K$4:$AJ$4,0)))+SUMPRODUCT((Inputs!$C$5:$C$230=$B38)*Inputs!$D$5:$D$230*(((Inputs!$G$5:$G$230="moeda")+(Inputs!$G$5:$G$230="acoes"))*Inputs!$B$1+((Inputs!$G$5:$G$230&lt;&gt;"moeda")*(Inputs!$G$5:$G$230&lt;&gt;"acoes")))*INDEX(Inputs!$K$5:$AJ$230,0,MATCH(AH$2,Inputs!$K$4:$AJ$4,0)))+SUMPRODUCT((Inputs!$E$5:$E$230=$B38)*Inputs!$F$5:$F$230*(((Inputs!$G$5:$G$230="moeda")+(Inputs!$G$5:$G$230="acoes"))*Inputs!$B$1+((Inputs!$G$5:$G$230&lt;&gt;"moeda")*(Inputs!$G$5:$G$230&lt;&gt;"acoes")))*INDEX(Inputs!$K$5:$AJ$230,0,MATCH(AH$2,Inputs!$K$4:$AJ$4,0)))))</f>
        <v>1305.556</v>
      </c>
      <c r="AI38" s="6">
        <f>IF(ISNA(MATCH(AI$2,Inputs!$K$4:$AJ$4,0)),NA(),IF(SUMPRODUCT((Inputs!$A$5:$A$230=$B38)*ISNUMBER(INDEX(Inputs!$K$5:$AJ$230,0,MATCH(AI$2,Inputs!$K$4:$AJ$4,0))))+SUMPRODUCT((Inputs!$C$5:$C$230=$B38)*ISNUMBER(INDEX(Inputs!$K$5:$AJ$230,0,MATCH(AI$2,Inputs!$K$4:$AJ$4,0))))+SUMPRODUCT((Inputs!$E$5:$E$230=$B38)*ISNUMBER(INDEX(Inputs!$K$5:$AJ$230,0,MATCH(AI$2,Inputs!$K$4:$AJ$4,0))))=0,NA(),SUMPRODUCT((Inputs!$A$5:$A$230=$B38)*Inputs!$B$5:$B$230*(((Inputs!$G$5:$G$230="moeda")+(Inputs!$G$5:$G$230="acoes"))*Inputs!$B$1+((Inputs!$G$5:$G$230&lt;&gt;"moeda")*(Inputs!$G$5:$G$230&lt;&gt;"acoes")))*INDEX(Inputs!$K$5:$AJ$230,0,MATCH(AI$2,Inputs!$K$4:$AJ$4,0)))+SUMPRODUCT((Inputs!$C$5:$C$230=$B38)*Inputs!$D$5:$D$230*(((Inputs!$G$5:$G$230="moeda")+(Inputs!$G$5:$G$230="acoes"))*Inputs!$B$1+((Inputs!$G$5:$G$230&lt;&gt;"moeda")*(Inputs!$G$5:$G$230&lt;&gt;"acoes")))*INDEX(Inputs!$K$5:$AJ$230,0,MATCH(AI$2,Inputs!$K$4:$AJ$4,0)))+SUMPRODUCT((Inputs!$E$5:$E$230=$B38)*Inputs!$F$5:$F$230*(((Inputs!$G$5:$G$230="moeda")+(Inputs!$G$5:$G$230="acoes"))*Inputs!$B$1+((Inputs!$G$5:$G$230&lt;&gt;"moeda")*(Inputs!$G$5:$G$230&lt;&gt;"acoes")))*INDEX(Inputs!$K$5:$AJ$230,0,MATCH(AI$2,Inputs!$K$4:$AJ$4,0)))))</f>
        <v>1387.454</v>
      </c>
      <c r="AJ38" s="6">
        <f>IF(ISNA(MATCH(AJ$2,Inputs!$K$4:$AJ$4,0)),NA(),IF(SUMPRODUCT((Inputs!$A$5:$A$230=$B38)*ISNUMBER(INDEX(Inputs!$K$5:$AJ$230,0,MATCH(AJ$2,Inputs!$K$4:$AJ$4,0))))+SUMPRODUCT((Inputs!$C$5:$C$230=$B38)*ISNUMBER(INDEX(Inputs!$K$5:$AJ$230,0,MATCH(AJ$2,Inputs!$K$4:$AJ$4,0))))+SUMPRODUCT((Inputs!$E$5:$E$230=$B38)*ISNUMBER(INDEX(Inputs!$K$5:$AJ$230,0,MATCH(AJ$2,Inputs!$K$4:$AJ$4,0))))=0,NA(),SUMPRODUCT((Inputs!$A$5:$A$230=$B38)*Inputs!$B$5:$B$230*(((Inputs!$G$5:$G$230="moeda")+(Inputs!$G$5:$G$230="acoes"))*Inputs!$B$1+((Inputs!$G$5:$G$230&lt;&gt;"moeda")*(Inputs!$G$5:$G$230&lt;&gt;"acoes")))*INDEX(Inputs!$K$5:$AJ$230,0,MATCH(AJ$2,Inputs!$K$4:$AJ$4,0)))+SUMPRODUCT((Inputs!$C$5:$C$230=$B38)*Inputs!$D$5:$D$230*(((Inputs!$G$5:$G$230="moeda")+(Inputs!$G$5:$G$230="acoes"))*Inputs!$B$1+((Inputs!$G$5:$G$230&lt;&gt;"moeda")*(Inputs!$G$5:$G$230&lt;&gt;"acoes")))*INDEX(Inputs!$K$5:$AJ$230,0,MATCH(AJ$2,Inputs!$K$4:$AJ$4,0)))+SUMPRODUCT((Inputs!$E$5:$E$230=$B38)*Inputs!$F$5:$F$230*(((Inputs!$G$5:$G$230="moeda")+(Inputs!$G$5:$G$230="acoes"))*Inputs!$B$1+((Inputs!$G$5:$G$230&lt;&gt;"moeda")*(Inputs!$G$5:$G$230&lt;&gt;"acoes")))*INDEX(Inputs!$K$5:$AJ$230,0,MATCH(AJ$2,Inputs!$K$4:$AJ$4,0)))))</f>
        <v>1522.844</v>
      </c>
      <c r="AK38" s="6">
        <f>IF(ISNA(MATCH(AK$2,Inputs!$K$4:$AJ$4,0)),NA(),IF(SUMPRODUCT((Inputs!$A$5:$A$230=$B38)*ISNUMBER(INDEX(Inputs!$K$5:$AJ$230,0,MATCH(AK$2,Inputs!$K$4:$AJ$4,0))))+SUMPRODUCT((Inputs!$C$5:$C$230=$B38)*ISNUMBER(INDEX(Inputs!$K$5:$AJ$230,0,MATCH(AK$2,Inputs!$K$4:$AJ$4,0))))+SUMPRODUCT((Inputs!$E$5:$E$230=$B38)*ISNUMBER(INDEX(Inputs!$K$5:$AJ$230,0,MATCH(AK$2,Inputs!$K$4:$AJ$4,0))))=0,NA(),SUMPRODUCT((Inputs!$A$5:$A$230=$B38)*Inputs!$B$5:$B$230*(((Inputs!$G$5:$G$230="moeda")+(Inputs!$G$5:$G$230="acoes"))*Inputs!$B$1+((Inputs!$G$5:$G$230&lt;&gt;"moeda")*(Inputs!$G$5:$G$230&lt;&gt;"acoes")))*INDEX(Inputs!$K$5:$AJ$230,0,MATCH(AK$2,Inputs!$K$4:$AJ$4,0)))+SUMPRODUCT((Inputs!$C$5:$C$230=$B38)*Inputs!$D$5:$D$230*(((Inputs!$G$5:$G$230="moeda")+(Inputs!$G$5:$G$230="acoes"))*Inputs!$B$1+((Inputs!$G$5:$G$230&lt;&gt;"moeda")*(Inputs!$G$5:$G$230&lt;&gt;"acoes")))*INDEX(Inputs!$K$5:$AJ$230,0,MATCH(AK$2,Inputs!$K$4:$AJ$4,0)))+SUMPRODUCT((Inputs!$E$5:$E$230=$B38)*Inputs!$F$5:$F$230*(((Inputs!$G$5:$G$230="moeda")+(Inputs!$G$5:$G$230="acoes"))*Inputs!$B$1+((Inputs!$G$5:$G$230&lt;&gt;"moeda")*(Inputs!$G$5:$G$230&lt;&gt;"acoes")))*INDEX(Inputs!$K$5:$AJ$230,0,MATCH(AK$2,Inputs!$K$4:$AJ$4,0)))))</f>
        <v>1925.824</v>
      </c>
      <c r="AL38" s="3">
        <f>AK38</f>
        <v>1925.824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$230=$B39)*ISNUMBER(INDEX(Inputs!$K$5:$AJ$230,0,MATCH(D$2,Inputs!$K$4:$AJ$4,0))))+SUMPRODUCT((Inputs!$C$5:$C$230=$B39)*ISNUMBER(INDEX(Inputs!$K$5:$AJ$230,0,MATCH(D$2,Inputs!$K$4:$AJ$4,0))))+SUMPRODUCT((Inputs!$E$5:$E$230=$B39)*ISNUMBER(INDEX(Inputs!$K$5:$AJ$230,0,MATCH(D$2,Inputs!$K$4:$AJ$4,0))))=0,NA(),SUMPRODUCT((Inputs!$A$5:$A$230=$B39)*Inputs!$B$5:$B$230*(((Inputs!$G$5:$G$230="moeda")+(Inputs!$G$5:$G$230="acoes"))*Inputs!$B$1+((Inputs!$G$5:$G$230&lt;&gt;"moeda")*(Inputs!$G$5:$G$230&lt;&gt;"acoes")))*INDEX(Inputs!$K$5:$AJ$230,0,MATCH(D$2,Inputs!$K$4:$AJ$4,0)))+SUMPRODUCT((Inputs!$C$5:$C$230=$B39)*Inputs!$D$5:$D$230*(((Inputs!$G$5:$G$230="moeda")+(Inputs!$G$5:$G$230="acoes"))*Inputs!$B$1+((Inputs!$G$5:$G$230&lt;&gt;"moeda")*(Inputs!$G$5:$G$230&lt;&gt;"acoes")))*INDEX(Inputs!$K$5:$AJ$230,0,MATCH(D$2,Inputs!$K$4:$AJ$4,0)))+SUMPRODUCT((Inputs!$E$5:$E$230=$B39)*Inputs!$F$5:$F$230*(((Inputs!$G$5:$G$230="moeda")+(Inputs!$G$5:$G$230="acoes"))*Inputs!$B$1+((Inputs!$G$5:$G$230&lt;&gt;"moeda")*(Inputs!$G$5:$G$230&lt;&gt;"acoes")))*INDEX(Inputs!$K$5:$AJ$230,0,MATCH(D$2,Inputs!$K$4:$AJ$4,0)))))</f>
        <v>1317.15</v>
      </c>
      <c r="E39" s="6">
        <f>IF(ISNA(MATCH(E$2,Inputs!$K$4:$AJ$4,0)),NA(),IF(SUMPRODUCT((Inputs!$A$5:$A$230=$B39)*ISNUMBER(INDEX(Inputs!$K$5:$AJ$230,0,MATCH(E$2,Inputs!$K$4:$AJ$4,0))))+SUMPRODUCT((Inputs!$C$5:$C$230=$B39)*ISNUMBER(INDEX(Inputs!$K$5:$AJ$230,0,MATCH(E$2,Inputs!$K$4:$AJ$4,0))))+SUMPRODUCT((Inputs!$E$5:$E$230=$B39)*ISNUMBER(INDEX(Inputs!$K$5:$AJ$230,0,MATCH(E$2,Inputs!$K$4:$AJ$4,0))))=0,NA(),SUMPRODUCT((Inputs!$A$5:$A$230=$B39)*Inputs!$B$5:$B$230*(((Inputs!$G$5:$G$230="moeda")+(Inputs!$G$5:$G$230="acoes"))*Inputs!$B$1+((Inputs!$G$5:$G$230&lt;&gt;"moeda")*(Inputs!$G$5:$G$230&lt;&gt;"acoes")))*INDEX(Inputs!$K$5:$AJ$230,0,MATCH(E$2,Inputs!$K$4:$AJ$4,0)))+SUMPRODUCT((Inputs!$C$5:$C$230=$B39)*Inputs!$D$5:$D$230*(((Inputs!$G$5:$G$230="moeda")+(Inputs!$G$5:$G$230="acoes"))*Inputs!$B$1+((Inputs!$G$5:$G$230&lt;&gt;"moeda")*(Inputs!$G$5:$G$230&lt;&gt;"acoes")))*INDEX(Inputs!$K$5:$AJ$230,0,MATCH(E$2,Inputs!$K$4:$AJ$4,0)))+SUMPRODUCT((Inputs!$E$5:$E$230=$B39)*Inputs!$F$5:$F$230*(((Inputs!$G$5:$G$230="moeda")+(Inputs!$G$5:$G$230="acoes"))*Inputs!$B$1+((Inputs!$G$5:$G$230&lt;&gt;"moeda")*(Inputs!$G$5:$G$230&lt;&gt;"acoes")))*INDEX(Inputs!$K$5:$AJ$230,0,MATCH(E$2,Inputs!$K$4:$AJ$4,0)))))</f>
        <v>1385.865</v>
      </c>
      <c r="F39" s="6">
        <f>IF(ISNA(MATCH(F$2,Inputs!$K$4:$AJ$4,0)),NA(),IF(SUMPRODUCT((Inputs!$A$5:$A$230=$B39)*ISNUMBER(INDEX(Inputs!$K$5:$AJ$230,0,MATCH(F$2,Inputs!$K$4:$AJ$4,0))))+SUMPRODUCT((Inputs!$C$5:$C$230=$B39)*ISNUMBER(INDEX(Inputs!$K$5:$AJ$230,0,MATCH(F$2,Inputs!$K$4:$AJ$4,0))))+SUMPRODUCT((Inputs!$E$5:$E$230=$B39)*ISNUMBER(INDEX(Inputs!$K$5:$AJ$230,0,MATCH(F$2,Inputs!$K$4:$AJ$4,0))))=0,NA(),SUMPRODUCT((Inputs!$A$5:$A$230=$B39)*Inputs!$B$5:$B$230*(((Inputs!$G$5:$G$230="moeda")+(Inputs!$G$5:$G$230="acoes"))*Inputs!$B$1+((Inputs!$G$5:$G$230&lt;&gt;"moeda")*(Inputs!$G$5:$G$230&lt;&gt;"acoes")))*INDEX(Inputs!$K$5:$AJ$230,0,MATCH(F$2,Inputs!$K$4:$AJ$4,0)))+SUMPRODUCT((Inputs!$C$5:$C$230=$B39)*Inputs!$D$5:$D$230*(((Inputs!$G$5:$G$230="moeda")+(Inputs!$G$5:$G$230="acoes"))*Inputs!$B$1+((Inputs!$G$5:$G$230&lt;&gt;"moeda")*(Inputs!$G$5:$G$230&lt;&gt;"acoes")))*INDEX(Inputs!$K$5:$AJ$230,0,MATCH(F$2,Inputs!$K$4:$AJ$4,0)))+SUMPRODUCT((Inputs!$E$5:$E$230=$B39)*Inputs!$F$5:$F$230*(((Inputs!$G$5:$G$230="moeda")+(Inputs!$G$5:$G$230="acoes"))*Inputs!$B$1+((Inputs!$G$5:$G$230&lt;&gt;"moeda")*(Inputs!$G$5:$G$230&lt;&gt;"acoes")))*INDEX(Inputs!$K$5:$AJ$230,0,MATCH(F$2,Inputs!$K$4:$AJ$4,0)))))</f>
        <v>1428.473</v>
      </c>
      <c r="G39" s="6">
        <f>IF(ISNA(MATCH(G$2,Inputs!$K$4:$AJ$4,0)),NA(),IF(SUMPRODUCT((Inputs!$A$5:$A$230=$B39)*ISNUMBER(INDEX(Inputs!$K$5:$AJ$230,0,MATCH(G$2,Inputs!$K$4:$AJ$4,0))))+SUMPRODUCT((Inputs!$C$5:$C$230=$B39)*ISNUMBER(INDEX(Inputs!$K$5:$AJ$230,0,MATCH(G$2,Inputs!$K$4:$AJ$4,0))))+SUMPRODUCT((Inputs!$E$5:$E$230=$B39)*ISNUMBER(INDEX(Inputs!$K$5:$AJ$230,0,MATCH(G$2,Inputs!$K$4:$AJ$4,0))))=0,NA(),SUMPRODUCT((Inputs!$A$5:$A$230=$B39)*Inputs!$B$5:$B$230*(((Inputs!$G$5:$G$230="moeda")+(Inputs!$G$5:$G$230="acoes"))*Inputs!$B$1+((Inputs!$G$5:$G$230&lt;&gt;"moeda")*(Inputs!$G$5:$G$230&lt;&gt;"acoes")))*INDEX(Inputs!$K$5:$AJ$230,0,MATCH(G$2,Inputs!$K$4:$AJ$4,0)))+SUMPRODUCT((Inputs!$C$5:$C$230=$B39)*Inputs!$D$5:$D$230*(((Inputs!$G$5:$G$230="moeda")+(Inputs!$G$5:$G$230="acoes"))*Inputs!$B$1+((Inputs!$G$5:$G$230&lt;&gt;"moeda")*(Inputs!$G$5:$G$230&lt;&gt;"acoes")))*INDEX(Inputs!$K$5:$AJ$230,0,MATCH(G$2,Inputs!$K$4:$AJ$4,0)))+SUMPRODUCT((Inputs!$E$5:$E$230=$B39)*Inputs!$F$5:$F$230*(((Inputs!$G$5:$G$230="moeda")+(Inputs!$G$5:$G$230="acoes"))*Inputs!$B$1+((Inputs!$G$5:$G$230&lt;&gt;"moeda")*(Inputs!$G$5:$G$230&lt;&gt;"acoes")))*INDEX(Inputs!$K$5:$AJ$230,0,MATCH(G$2,Inputs!$K$4:$AJ$4,0)))))</f>
        <v>1563.404</v>
      </c>
      <c r="H39" s="3">
        <f>G39</f>
        <v>1563.404</v>
      </c>
      <c r="I39" s="6">
        <f>IF(ISNA(MATCH(I$2,Inputs!$K$4:$AJ$4,0)),NA(),IF(SUMPRODUCT((Inputs!$A$5:$A$230=$B39)*ISNUMBER(INDEX(Inputs!$K$5:$AJ$230,0,MATCH(I$2,Inputs!$K$4:$AJ$4,0))))+SUMPRODUCT((Inputs!$C$5:$C$230=$B39)*ISNUMBER(INDEX(Inputs!$K$5:$AJ$230,0,MATCH(I$2,Inputs!$K$4:$AJ$4,0))))+SUMPRODUCT((Inputs!$E$5:$E$230=$B39)*ISNUMBER(INDEX(Inputs!$K$5:$AJ$230,0,MATCH(I$2,Inputs!$K$4:$AJ$4,0))))=0,NA(),SUMPRODUCT((Inputs!$A$5:$A$230=$B39)*Inputs!$B$5:$B$230*(((Inputs!$G$5:$G$230="moeda")+(Inputs!$G$5:$G$230="acoes"))*Inputs!$B$1+((Inputs!$G$5:$G$230&lt;&gt;"moeda")*(Inputs!$G$5:$G$230&lt;&gt;"acoes")))*INDEX(Inputs!$K$5:$AJ$230,0,MATCH(I$2,Inputs!$K$4:$AJ$4,0)))+SUMPRODUCT((Inputs!$C$5:$C$230=$B39)*Inputs!$D$5:$D$230*(((Inputs!$G$5:$G$230="moeda")+(Inputs!$G$5:$G$230="acoes"))*Inputs!$B$1+((Inputs!$G$5:$G$230&lt;&gt;"moeda")*(Inputs!$G$5:$G$230&lt;&gt;"acoes")))*INDEX(Inputs!$K$5:$AJ$230,0,MATCH(I$2,Inputs!$K$4:$AJ$4,0)))+SUMPRODUCT((Inputs!$E$5:$E$230=$B39)*Inputs!$F$5:$F$230*(((Inputs!$G$5:$G$230="moeda")+(Inputs!$G$5:$G$230="acoes"))*Inputs!$B$1+((Inputs!$G$5:$G$230&lt;&gt;"moeda")*(Inputs!$G$5:$G$230&lt;&gt;"acoes")))*INDEX(Inputs!$K$5:$AJ$230,0,MATCH(I$2,Inputs!$K$4:$AJ$4,0)))))</f>
        <v>1604.766</v>
      </c>
      <c r="J39" s="6">
        <f>IF(ISNA(MATCH(J$2,Inputs!$K$4:$AJ$4,0)),NA(),IF(SUMPRODUCT((Inputs!$A$5:$A$230=$B39)*ISNUMBER(INDEX(Inputs!$K$5:$AJ$230,0,MATCH(J$2,Inputs!$K$4:$AJ$4,0))))+SUMPRODUCT((Inputs!$C$5:$C$230=$B39)*ISNUMBER(INDEX(Inputs!$K$5:$AJ$230,0,MATCH(J$2,Inputs!$K$4:$AJ$4,0))))+SUMPRODUCT((Inputs!$E$5:$E$230=$B39)*ISNUMBER(INDEX(Inputs!$K$5:$AJ$230,0,MATCH(J$2,Inputs!$K$4:$AJ$4,0))))=0,NA(),SUMPRODUCT((Inputs!$A$5:$A$230=$B39)*Inputs!$B$5:$B$230*(((Inputs!$G$5:$G$230="moeda")+(Inputs!$G$5:$G$230="acoes"))*Inputs!$B$1+((Inputs!$G$5:$G$230&lt;&gt;"moeda")*(Inputs!$G$5:$G$230&lt;&gt;"acoes")))*INDEX(Inputs!$K$5:$AJ$230,0,MATCH(J$2,Inputs!$K$4:$AJ$4,0)))+SUMPRODUCT((Inputs!$C$5:$C$230=$B39)*Inputs!$D$5:$D$230*(((Inputs!$G$5:$G$230="moeda")+(Inputs!$G$5:$G$230="acoes"))*Inputs!$B$1+((Inputs!$G$5:$G$230&lt;&gt;"moeda")*(Inputs!$G$5:$G$230&lt;&gt;"acoes")))*INDEX(Inputs!$K$5:$AJ$230,0,MATCH(J$2,Inputs!$K$4:$AJ$4,0)))+SUMPRODUCT((Inputs!$E$5:$E$230=$B39)*Inputs!$F$5:$F$230*(((Inputs!$G$5:$G$230="moeda")+(Inputs!$G$5:$G$230="acoes"))*Inputs!$B$1+((Inputs!$G$5:$G$230&lt;&gt;"moeda")*(Inputs!$G$5:$G$230&lt;&gt;"acoes")))*INDEX(Inputs!$K$5:$AJ$230,0,MATCH(J$2,Inputs!$K$4:$AJ$4,0)))))</f>
        <v>1735.251</v>
      </c>
      <c r="K39" s="6">
        <f>IF(ISNA(MATCH(K$2,Inputs!$K$4:$AJ$4,0)),NA(),IF(SUMPRODUCT((Inputs!$A$5:$A$230=$B39)*ISNUMBER(INDEX(Inputs!$K$5:$AJ$230,0,MATCH(K$2,Inputs!$K$4:$AJ$4,0))))+SUMPRODUCT((Inputs!$C$5:$C$230=$B39)*ISNUMBER(INDEX(Inputs!$K$5:$AJ$230,0,MATCH(K$2,Inputs!$K$4:$AJ$4,0))))+SUMPRODUCT((Inputs!$E$5:$E$230=$B39)*ISNUMBER(INDEX(Inputs!$K$5:$AJ$230,0,MATCH(K$2,Inputs!$K$4:$AJ$4,0))))=0,NA(),SUMPRODUCT((Inputs!$A$5:$A$230=$B39)*Inputs!$B$5:$B$230*(((Inputs!$G$5:$G$230="moeda")+(Inputs!$G$5:$G$230="acoes"))*Inputs!$B$1+((Inputs!$G$5:$G$230&lt;&gt;"moeda")*(Inputs!$G$5:$G$230&lt;&gt;"acoes")))*INDEX(Inputs!$K$5:$AJ$230,0,MATCH(K$2,Inputs!$K$4:$AJ$4,0)))+SUMPRODUCT((Inputs!$C$5:$C$230=$B39)*Inputs!$D$5:$D$230*(((Inputs!$G$5:$G$230="moeda")+(Inputs!$G$5:$G$230="acoes"))*Inputs!$B$1+((Inputs!$G$5:$G$230&lt;&gt;"moeda")*(Inputs!$G$5:$G$230&lt;&gt;"acoes")))*INDEX(Inputs!$K$5:$AJ$230,0,MATCH(K$2,Inputs!$K$4:$AJ$4,0)))+SUMPRODUCT((Inputs!$E$5:$E$230=$B39)*Inputs!$F$5:$F$230*(((Inputs!$G$5:$G$230="moeda")+(Inputs!$G$5:$G$230="acoes"))*Inputs!$B$1+((Inputs!$G$5:$G$230&lt;&gt;"moeda")*(Inputs!$G$5:$G$230&lt;&gt;"acoes")))*INDEX(Inputs!$K$5:$AJ$230,0,MATCH(K$2,Inputs!$K$4:$AJ$4,0)))))</f>
        <v>1766.013</v>
      </c>
      <c r="L39" s="6">
        <f>IF(ISNA(MATCH(L$2,Inputs!$K$4:$AJ$4,0)),NA(),IF(SUMPRODUCT((Inputs!$A$5:$A$230=$B39)*ISNUMBER(INDEX(Inputs!$K$5:$AJ$230,0,MATCH(L$2,Inputs!$K$4:$AJ$4,0))))+SUMPRODUCT((Inputs!$C$5:$C$230=$B39)*ISNUMBER(INDEX(Inputs!$K$5:$AJ$230,0,MATCH(L$2,Inputs!$K$4:$AJ$4,0))))+SUMPRODUCT((Inputs!$E$5:$E$230=$B39)*ISNUMBER(INDEX(Inputs!$K$5:$AJ$230,0,MATCH(L$2,Inputs!$K$4:$AJ$4,0))))=0,NA(),SUMPRODUCT((Inputs!$A$5:$A$230=$B39)*Inputs!$B$5:$B$230*(((Inputs!$G$5:$G$230="moeda")+(Inputs!$G$5:$G$230="acoes"))*Inputs!$B$1+((Inputs!$G$5:$G$230&lt;&gt;"moeda")*(Inputs!$G$5:$G$230&lt;&gt;"acoes")))*INDEX(Inputs!$K$5:$AJ$230,0,MATCH(L$2,Inputs!$K$4:$AJ$4,0)))+SUMPRODUCT((Inputs!$C$5:$C$230=$B39)*Inputs!$D$5:$D$230*(((Inputs!$G$5:$G$230="moeda")+(Inputs!$G$5:$G$230="acoes"))*Inputs!$B$1+((Inputs!$G$5:$G$230&lt;&gt;"moeda")*(Inputs!$G$5:$G$230&lt;&gt;"acoes")))*INDEX(Inputs!$K$5:$AJ$230,0,MATCH(L$2,Inputs!$K$4:$AJ$4,0)))+SUMPRODUCT((Inputs!$E$5:$E$230=$B39)*Inputs!$F$5:$F$230*(((Inputs!$G$5:$G$230="moeda")+(Inputs!$G$5:$G$230="acoes"))*Inputs!$B$1+((Inputs!$G$5:$G$230&lt;&gt;"moeda")*(Inputs!$G$5:$G$230&lt;&gt;"acoes")))*INDEX(Inputs!$K$5:$AJ$230,0,MATCH(L$2,Inputs!$K$4:$AJ$4,0)))))</f>
        <v>1782.077</v>
      </c>
      <c r="M39" s="3">
        <f>L39</f>
        <v>1782.077</v>
      </c>
      <c r="N39" s="6">
        <f>IF(ISNA(MATCH(N$2,Inputs!$K$4:$AJ$4,0)),NA(),IF(SUMPRODUCT((Inputs!$A$5:$A$230=$B39)*ISNUMBER(INDEX(Inputs!$K$5:$AJ$230,0,MATCH(N$2,Inputs!$K$4:$AJ$4,0))))+SUMPRODUCT((Inputs!$C$5:$C$230=$B39)*ISNUMBER(INDEX(Inputs!$K$5:$AJ$230,0,MATCH(N$2,Inputs!$K$4:$AJ$4,0))))+SUMPRODUCT((Inputs!$E$5:$E$230=$B39)*ISNUMBER(INDEX(Inputs!$K$5:$AJ$230,0,MATCH(N$2,Inputs!$K$4:$AJ$4,0))))=0,NA(),SUMPRODUCT((Inputs!$A$5:$A$230=$B39)*Inputs!$B$5:$B$230*(((Inputs!$G$5:$G$230="moeda")+(Inputs!$G$5:$G$230="acoes"))*Inputs!$B$1+((Inputs!$G$5:$G$230&lt;&gt;"moeda")*(Inputs!$G$5:$G$230&lt;&gt;"acoes")))*INDEX(Inputs!$K$5:$AJ$230,0,MATCH(N$2,Inputs!$K$4:$AJ$4,0)))+SUMPRODUCT((Inputs!$C$5:$C$230=$B39)*Inputs!$D$5:$D$230*(((Inputs!$G$5:$G$230="moeda")+(Inputs!$G$5:$G$230="acoes"))*Inputs!$B$1+((Inputs!$G$5:$G$230&lt;&gt;"moeda")*(Inputs!$G$5:$G$230&lt;&gt;"acoes")))*INDEX(Inputs!$K$5:$AJ$230,0,MATCH(N$2,Inputs!$K$4:$AJ$4,0)))+SUMPRODUCT((Inputs!$E$5:$E$230=$B39)*Inputs!$F$5:$F$230*(((Inputs!$G$5:$G$230="moeda")+(Inputs!$G$5:$G$230="acoes"))*Inputs!$B$1+((Inputs!$G$5:$G$230&lt;&gt;"moeda")*(Inputs!$G$5:$G$230&lt;&gt;"acoes")))*INDEX(Inputs!$K$5:$AJ$230,0,MATCH(N$2,Inputs!$K$4:$AJ$4,0)))))</f>
        <v>1985.849</v>
      </c>
      <c r="O39" s="6">
        <f>IF(ISNA(MATCH(O$2,Inputs!$K$4:$AJ$4,0)),NA(),IF(SUMPRODUCT((Inputs!$A$5:$A$230=$B39)*ISNUMBER(INDEX(Inputs!$K$5:$AJ$230,0,MATCH(O$2,Inputs!$K$4:$AJ$4,0))))+SUMPRODUCT((Inputs!$C$5:$C$230=$B39)*ISNUMBER(INDEX(Inputs!$K$5:$AJ$230,0,MATCH(O$2,Inputs!$K$4:$AJ$4,0))))+SUMPRODUCT((Inputs!$E$5:$E$230=$B39)*ISNUMBER(INDEX(Inputs!$K$5:$AJ$230,0,MATCH(O$2,Inputs!$K$4:$AJ$4,0))))=0,NA(),SUMPRODUCT((Inputs!$A$5:$A$230=$B39)*Inputs!$B$5:$B$230*(((Inputs!$G$5:$G$230="moeda")+(Inputs!$G$5:$G$230="acoes"))*Inputs!$B$1+((Inputs!$G$5:$G$230&lt;&gt;"moeda")*(Inputs!$G$5:$G$230&lt;&gt;"acoes")))*INDEX(Inputs!$K$5:$AJ$230,0,MATCH(O$2,Inputs!$K$4:$AJ$4,0)))+SUMPRODUCT((Inputs!$C$5:$C$230=$B39)*Inputs!$D$5:$D$230*(((Inputs!$G$5:$G$230="moeda")+(Inputs!$G$5:$G$230="acoes"))*Inputs!$B$1+((Inputs!$G$5:$G$230&lt;&gt;"moeda")*(Inputs!$G$5:$G$230&lt;&gt;"acoes")))*INDEX(Inputs!$K$5:$AJ$230,0,MATCH(O$2,Inputs!$K$4:$AJ$4,0)))+SUMPRODUCT((Inputs!$E$5:$E$230=$B39)*Inputs!$F$5:$F$230*(((Inputs!$G$5:$G$230="moeda")+(Inputs!$G$5:$G$230="acoes"))*Inputs!$B$1+((Inputs!$G$5:$G$230&lt;&gt;"moeda")*(Inputs!$G$5:$G$230&lt;&gt;"acoes")))*INDEX(Inputs!$K$5:$AJ$230,0,MATCH(O$2,Inputs!$K$4:$AJ$4,0)))))</f>
        <v>1907.132</v>
      </c>
      <c r="P39" s="6">
        <f>IF(ISNA(MATCH(P$2,Inputs!$K$4:$AJ$4,0)),NA(),IF(SUMPRODUCT((Inputs!$A$5:$A$230=$B39)*ISNUMBER(INDEX(Inputs!$K$5:$AJ$230,0,MATCH(P$2,Inputs!$K$4:$AJ$4,0))))+SUMPRODUCT((Inputs!$C$5:$C$230=$B39)*ISNUMBER(INDEX(Inputs!$K$5:$AJ$230,0,MATCH(P$2,Inputs!$K$4:$AJ$4,0))))+SUMPRODUCT((Inputs!$E$5:$E$230=$B39)*ISNUMBER(INDEX(Inputs!$K$5:$AJ$230,0,MATCH(P$2,Inputs!$K$4:$AJ$4,0))))=0,NA(),SUMPRODUCT((Inputs!$A$5:$A$230=$B39)*Inputs!$B$5:$B$230*(((Inputs!$G$5:$G$230="moeda")+(Inputs!$G$5:$G$230="acoes"))*Inputs!$B$1+((Inputs!$G$5:$G$230&lt;&gt;"moeda")*(Inputs!$G$5:$G$230&lt;&gt;"acoes")))*INDEX(Inputs!$K$5:$AJ$230,0,MATCH(P$2,Inputs!$K$4:$AJ$4,0)))+SUMPRODUCT((Inputs!$C$5:$C$230=$B39)*Inputs!$D$5:$D$230*(((Inputs!$G$5:$G$230="moeda")+(Inputs!$G$5:$G$230="acoes"))*Inputs!$B$1+((Inputs!$G$5:$G$230&lt;&gt;"moeda")*(Inputs!$G$5:$G$230&lt;&gt;"acoes")))*INDEX(Inputs!$K$5:$AJ$230,0,MATCH(P$2,Inputs!$K$4:$AJ$4,0)))+SUMPRODUCT((Inputs!$E$5:$E$230=$B39)*Inputs!$F$5:$F$230*(((Inputs!$G$5:$G$230="moeda")+(Inputs!$G$5:$G$230="acoes"))*Inputs!$B$1+((Inputs!$G$5:$G$230&lt;&gt;"moeda")*(Inputs!$G$5:$G$230&lt;&gt;"acoes")))*INDEX(Inputs!$K$5:$AJ$230,0,MATCH(P$2,Inputs!$K$4:$AJ$4,0)))))</f>
        <v>1978.46</v>
      </c>
      <c r="Q39" s="6">
        <f>IF(ISNA(MATCH(Q$2,Inputs!$K$4:$AJ$4,0)),NA(),IF(SUMPRODUCT((Inputs!$A$5:$A$230=$B39)*ISNUMBER(INDEX(Inputs!$K$5:$AJ$230,0,MATCH(Q$2,Inputs!$K$4:$AJ$4,0))))+SUMPRODUCT((Inputs!$C$5:$C$230=$B39)*ISNUMBER(INDEX(Inputs!$K$5:$AJ$230,0,MATCH(Q$2,Inputs!$K$4:$AJ$4,0))))+SUMPRODUCT((Inputs!$E$5:$E$230=$B39)*ISNUMBER(INDEX(Inputs!$K$5:$AJ$230,0,MATCH(Q$2,Inputs!$K$4:$AJ$4,0))))=0,NA(),SUMPRODUCT((Inputs!$A$5:$A$230=$B39)*Inputs!$B$5:$B$230*(((Inputs!$G$5:$G$230="moeda")+(Inputs!$G$5:$G$230="acoes"))*Inputs!$B$1+((Inputs!$G$5:$G$230&lt;&gt;"moeda")*(Inputs!$G$5:$G$230&lt;&gt;"acoes")))*INDEX(Inputs!$K$5:$AJ$230,0,MATCH(Q$2,Inputs!$K$4:$AJ$4,0)))+SUMPRODUCT((Inputs!$C$5:$C$230=$B39)*Inputs!$D$5:$D$230*(((Inputs!$G$5:$G$230="moeda")+(Inputs!$G$5:$G$230="acoes"))*Inputs!$B$1+((Inputs!$G$5:$G$230&lt;&gt;"moeda")*(Inputs!$G$5:$G$230&lt;&gt;"acoes")))*INDEX(Inputs!$K$5:$AJ$230,0,MATCH(Q$2,Inputs!$K$4:$AJ$4,0)))+SUMPRODUCT((Inputs!$E$5:$E$230=$B39)*Inputs!$F$5:$F$230*(((Inputs!$G$5:$G$230="moeda")+(Inputs!$G$5:$G$230="acoes"))*Inputs!$B$1+((Inputs!$G$5:$G$230&lt;&gt;"moeda")*(Inputs!$G$5:$G$230&lt;&gt;"acoes")))*INDEX(Inputs!$K$5:$AJ$230,0,MATCH(Q$2,Inputs!$K$4:$AJ$4,0)))))</f>
        <v>1990.907</v>
      </c>
      <c r="R39" s="3">
        <f>Q39</f>
        <v>1990.907</v>
      </c>
      <c r="S39" s="6">
        <f>IF(ISNA(MATCH(S$2,Inputs!$K$4:$AJ$4,0)),NA(),IF(SUMPRODUCT((Inputs!$A$5:$A$230=$B39)*ISNUMBER(INDEX(Inputs!$K$5:$AJ$230,0,MATCH(S$2,Inputs!$K$4:$AJ$4,0))))+SUMPRODUCT((Inputs!$C$5:$C$230=$B39)*ISNUMBER(INDEX(Inputs!$K$5:$AJ$230,0,MATCH(S$2,Inputs!$K$4:$AJ$4,0))))+SUMPRODUCT((Inputs!$E$5:$E$230=$B39)*ISNUMBER(INDEX(Inputs!$K$5:$AJ$230,0,MATCH(S$2,Inputs!$K$4:$AJ$4,0))))=0,NA(),SUMPRODUCT((Inputs!$A$5:$A$230=$B39)*Inputs!$B$5:$B$230*(((Inputs!$G$5:$G$230="moeda")+(Inputs!$G$5:$G$230="acoes"))*Inputs!$B$1+((Inputs!$G$5:$G$230&lt;&gt;"moeda")*(Inputs!$G$5:$G$230&lt;&gt;"acoes")))*INDEX(Inputs!$K$5:$AJ$230,0,MATCH(S$2,Inputs!$K$4:$AJ$4,0)))+SUMPRODUCT((Inputs!$C$5:$C$230=$B39)*Inputs!$D$5:$D$230*(((Inputs!$G$5:$G$230="moeda")+(Inputs!$G$5:$G$230="acoes"))*Inputs!$B$1+((Inputs!$G$5:$G$230&lt;&gt;"moeda")*(Inputs!$G$5:$G$230&lt;&gt;"acoes")))*INDEX(Inputs!$K$5:$AJ$230,0,MATCH(S$2,Inputs!$K$4:$AJ$4,0)))+SUMPRODUCT((Inputs!$E$5:$E$230=$B39)*Inputs!$F$5:$F$230*(((Inputs!$G$5:$G$230="moeda")+(Inputs!$G$5:$G$230="acoes"))*Inputs!$B$1+((Inputs!$G$5:$G$230&lt;&gt;"moeda")*(Inputs!$G$5:$G$230&lt;&gt;"acoes")))*INDEX(Inputs!$K$5:$AJ$230,0,MATCH(S$2,Inputs!$K$4:$AJ$4,0)))))</f>
        <v>2049.413</v>
      </c>
      <c r="T39" s="6">
        <f>IF(ISNA(MATCH(T$2,Inputs!$K$4:$AJ$4,0)),NA(),IF(SUMPRODUCT((Inputs!$A$5:$A$230=$B39)*ISNUMBER(INDEX(Inputs!$K$5:$AJ$230,0,MATCH(T$2,Inputs!$K$4:$AJ$4,0))))+SUMPRODUCT((Inputs!$C$5:$C$230=$B39)*ISNUMBER(INDEX(Inputs!$K$5:$AJ$230,0,MATCH(T$2,Inputs!$K$4:$AJ$4,0))))+SUMPRODUCT((Inputs!$E$5:$E$230=$B39)*ISNUMBER(INDEX(Inputs!$K$5:$AJ$230,0,MATCH(T$2,Inputs!$K$4:$AJ$4,0))))=0,NA(),SUMPRODUCT((Inputs!$A$5:$A$230=$B39)*Inputs!$B$5:$B$230*(((Inputs!$G$5:$G$230="moeda")+(Inputs!$G$5:$G$230="acoes"))*Inputs!$B$1+((Inputs!$G$5:$G$230&lt;&gt;"moeda")*(Inputs!$G$5:$G$230&lt;&gt;"acoes")))*INDEX(Inputs!$K$5:$AJ$230,0,MATCH(T$2,Inputs!$K$4:$AJ$4,0)))+SUMPRODUCT((Inputs!$C$5:$C$230=$B39)*Inputs!$D$5:$D$230*(((Inputs!$G$5:$G$230="moeda")+(Inputs!$G$5:$G$230="acoes"))*Inputs!$B$1+((Inputs!$G$5:$G$230&lt;&gt;"moeda")*(Inputs!$G$5:$G$230&lt;&gt;"acoes")))*INDEX(Inputs!$K$5:$AJ$230,0,MATCH(T$2,Inputs!$K$4:$AJ$4,0)))+SUMPRODUCT((Inputs!$E$5:$E$230=$B39)*Inputs!$F$5:$F$230*(((Inputs!$G$5:$G$230="moeda")+(Inputs!$G$5:$G$230="acoes"))*Inputs!$B$1+((Inputs!$G$5:$G$230&lt;&gt;"moeda")*(Inputs!$G$5:$G$230&lt;&gt;"acoes")))*INDEX(Inputs!$K$5:$AJ$230,0,MATCH(T$2,Inputs!$K$4:$AJ$4,0)))))</f>
        <v>2132.389</v>
      </c>
      <c r="U39" s="6">
        <f>IF(ISNA(MATCH(U$2,Inputs!$K$4:$AJ$4,0)),NA(),IF(SUMPRODUCT((Inputs!$A$5:$A$230=$B39)*ISNUMBER(INDEX(Inputs!$K$5:$AJ$230,0,MATCH(U$2,Inputs!$K$4:$AJ$4,0))))+SUMPRODUCT((Inputs!$C$5:$C$230=$B39)*ISNUMBER(INDEX(Inputs!$K$5:$AJ$230,0,MATCH(U$2,Inputs!$K$4:$AJ$4,0))))+SUMPRODUCT((Inputs!$E$5:$E$230=$B39)*ISNUMBER(INDEX(Inputs!$K$5:$AJ$230,0,MATCH(U$2,Inputs!$K$4:$AJ$4,0))))=0,NA(),SUMPRODUCT((Inputs!$A$5:$A$230=$B39)*Inputs!$B$5:$B$230*(((Inputs!$G$5:$G$230="moeda")+(Inputs!$G$5:$G$230="acoes"))*Inputs!$B$1+((Inputs!$G$5:$G$230&lt;&gt;"moeda")*(Inputs!$G$5:$G$230&lt;&gt;"acoes")))*INDEX(Inputs!$K$5:$AJ$230,0,MATCH(U$2,Inputs!$K$4:$AJ$4,0)))+SUMPRODUCT((Inputs!$C$5:$C$230=$B39)*Inputs!$D$5:$D$230*(((Inputs!$G$5:$G$230="moeda")+(Inputs!$G$5:$G$230="acoes"))*Inputs!$B$1+((Inputs!$G$5:$G$230&lt;&gt;"moeda")*(Inputs!$G$5:$G$230&lt;&gt;"acoes")))*INDEX(Inputs!$K$5:$AJ$230,0,MATCH(U$2,Inputs!$K$4:$AJ$4,0)))+SUMPRODUCT((Inputs!$E$5:$E$230=$B39)*Inputs!$F$5:$F$230*(((Inputs!$G$5:$G$230="moeda")+(Inputs!$G$5:$G$230="acoes"))*Inputs!$B$1+((Inputs!$G$5:$G$230&lt;&gt;"moeda")*(Inputs!$G$5:$G$230&lt;&gt;"acoes")))*INDEX(Inputs!$K$5:$AJ$230,0,MATCH(U$2,Inputs!$K$4:$AJ$4,0)))))</f>
        <v>2166.941</v>
      </c>
      <c r="V39" s="6">
        <f>IF(ISNA(MATCH(V$2,Inputs!$K$4:$AJ$4,0)),NA(),IF(SUMPRODUCT((Inputs!$A$5:$A$230=$B39)*ISNUMBER(INDEX(Inputs!$K$5:$AJ$230,0,MATCH(V$2,Inputs!$K$4:$AJ$4,0))))+SUMPRODUCT((Inputs!$C$5:$C$230=$B39)*ISNUMBER(INDEX(Inputs!$K$5:$AJ$230,0,MATCH(V$2,Inputs!$K$4:$AJ$4,0))))+SUMPRODUCT((Inputs!$E$5:$E$230=$B39)*ISNUMBER(INDEX(Inputs!$K$5:$AJ$230,0,MATCH(V$2,Inputs!$K$4:$AJ$4,0))))=0,NA(),SUMPRODUCT((Inputs!$A$5:$A$230=$B39)*Inputs!$B$5:$B$230*(((Inputs!$G$5:$G$230="moeda")+(Inputs!$G$5:$G$230="acoes"))*Inputs!$B$1+((Inputs!$G$5:$G$230&lt;&gt;"moeda")*(Inputs!$G$5:$G$230&lt;&gt;"acoes")))*INDEX(Inputs!$K$5:$AJ$230,0,MATCH(V$2,Inputs!$K$4:$AJ$4,0)))+SUMPRODUCT((Inputs!$C$5:$C$230=$B39)*Inputs!$D$5:$D$230*(((Inputs!$G$5:$G$230="moeda")+(Inputs!$G$5:$G$230="acoes"))*Inputs!$B$1+((Inputs!$G$5:$G$230&lt;&gt;"moeda")*(Inputs!$G$5:$G$230&lt;&gt;"acoes")))*INDEX(Inputs!$K$5:$AJ$230,0,MATCH(V$2,Inputs!$K$4:$AJ$4,0)))+SUMPRODUCT((Inputs!$E$5:$E$230=$B39)*Inputs!$F$5:$F$230*(((Inputs!$G$5:$G$230="moeda")+(Inputs!$G$5:$G$230="acoes"))*Inputs!$B$1+((Inputs!$G$5:$G$230&lt;&gt;"moeda")*(Inputs!$G$5:$G$230&lt;&gt;"acoes")))*INDEX(Inputs!$K$5:$AJ$230,0,MATCH(V$2,Inputs!$K$4:$AJ$4,0)))))</f>
        <v>2279.101</v>
      </c>
      <c r="W39" s="3">
        <f>V39</f>
        <v>2279.101</v>
      </c>
      <c r="X39" s="6">
        <f>IF(ISNA(MATCH(X$2,Inputs!$K$4:$AJ$4,0)),NA(),IF(SUMPRODUCT((Inputs!$A$5:$A$230=$B39)*ISNUMBER(INDEX(Inputs!$K$5:$AJ$230,0,MATCH(X$2,Inputs!$K$4:$AJ$4,0))))+SUMPRODUCT((Inputs!$C$5:$C$230=$B39)*ISNUMBER(INDEX(Inputs!$K$5:$AJ$230,0,MATCH(X$2,Inputs!$K$4:$AJ$4,0))))+SUMPRODUCT((Inputs!$E$5:$E$230=$B39)*ISNUMBER(INDEX(Inputs!$K$5:$AJ$230,0,MATCH(X$2,Inputs!$K$4:$AJ$4,0))))=0,NA(),SUMPRODUCT((Inputs!$A$5:$A$230=$B39)*Inputs!$B$5:$B$230*(((Inputs!$G$5:$G$230="moeda")+(Inputs!$G$5:$G$230="acoes"))*Inputs!$B$1+((Inputs!$G$5:$G$230&lt;&gt;"moeda")*(Inputs!$G$5:$G$230&lt;&gt;"acoes")))*INDEX(Inputs!$K$5:$AJ$230,0,MATCH(X$2,Inputs!$K$4:$AJ$4,0)))+SUMPRODUCT((Inputs!$C$5:$C$230=$B39)*Inputs!$D$5:$D$230*(((Inputs!$G$5:$G$230="moeda")+(Inputs!$G$5:$G$230="acoes"))*Inputs!$B$1+((Inputs!$G$5:$G$230&lt;&gt;"moeda")*(Inputs!$G$5:$G$230&lt;&gt;"acoes")))*INDEX(Inputs!$K$5:$AJ$230,0,MATCH(X$2,Inputs!$K$4:$AJ$4,0)))+SUMPRODUCT((Inputs!$E$5:$E$230=$B39)*Inputs!$F$5:$F$230*(((Inputs!$G$5:$G$230="moeda")+(Inputs!$G$5:$G$230="acoes"))*Inputs!$B$1+((Inputs!$G$5:$G$230&lt;&gt;"moeda")*(Inputs!$G$5:$G$230&lt;&gt;"acoes")))*INDEX(Inputs!$K$5:$AJ$230,0,MATCH(X$2,Inputs!$K$4:$AJ$4,0)))))</f>
        <v>2309.319</v>
      </c>
      <c r="Y39" s="6">
        <f>IF(ISNA(MATCH(Y$2,Inputs!$K$4:$AJ$4,0)),NA(),IF(SUMPRODUCT((Inputs!$A$5:$A$230=$B39)*ISNUMBER(INDEX(Inputs!$K$5:$AJ$230,0,MATCH(Y$2,Inputs!$K$4:$AJ$4,0))))+SUMPRODUCT((Inputs!$C$5:$C$230=$B39)*ISNUMBER(INDEX(Inputs!$K$5:$AJ$230,0,MATCH(Y$2,Inputs!$K$4:$AJ$4,0))))+SUMPRODUCT((Inputs!$E$5:$E$230=$B39)*ISNUMBER(INDEX(Inputs!$K$5:$AJ$230,0,MATCH(Y$2,Inputs!$K$4:$AJ$4,0))))=0,NA(),SUMPRODUCT((Inputs!$A$5:$A$230=$B39)*Inputs!$B$5:$B$230*(((Inputs!$G$5:$G$230="moeda")+(Inputs!$G$5:$G$230="acoes"))*Inputs!$B$1+((Inputs!$G$5:$G$230&lt;&gt;"moeda")*(Inputs!$G$5:$G$230&lt;&gt;"acoes")))*INDEX(Inputs!$K$5:$AJ$230,0,MATCH(Y$2,Inputs!$K$4:$AJ$4,0)))+SUMPRODUCT((Inputs!$C$5:$C$230=$B39)*Inputs!$D$5:$D$230*(((Inputs!$G$5:$G$230="moeda")+(Inputs!$G$5:$G$230="acoes"))*Inputs!$B$1+((Inputs!$G$5:$G$230&lt;&gt;"moeda")*(Inputs!$G$5:$G$230&lt;&gt;"acoes")))*INDEX(Inputs!$K$5:$AJ$230,0,MATCH(Y$2,Inputs!$K$4:$AJ$4,0)))+SUMPRODUCT((Inputs!$E$5:$E$230=$B39)*Inputs!$F$5:$F$230*(((Inputs!$G$5:$G$230="moeda")+(Inputs!$G$5:$G$230="acoes"))*Inputs!$B$1+((Inputs!$G$5:$G$230&lt;&gt;"moeda")*(Inputs!$G$5:$G$230&lt;&gt;"acoes")))*INDEX(Inputs!$K$5:$AJ$230,0,MATCH(Y$2,Inputs!$K$4:$AJ$4,0)))))</f>
        <v>2347.373</v>
      </c>
      <c r="Z39" s="6">
        <f>IF(ISNA(MATCH(Z$2,Inputs!$K$4:$AJ$4,0)),NA(),IF(SUMPRODUCT((Inputs!$A$5:$A$230=$B39)*ISNUMBER(INDEX(Inputs!$K$5:$AJ$230,0,MATCH(Z$2,Inputs!$K$4:$AJ$4,0))))+SUMPRODUCT((Inputs!$C$5:$C$230=$B39)*ISNUMBER(INDEX(Inputs!$K$5:$AJ$230,0,MATCH(Z$2,Inputs!$K$4:$AJ$4,0))))+SUMPRODUCT((Inputs!$E$5:$E$230=$B39)*ISNUMBER(INDEX(Inputs!$K$5:$AJ$230,0,MATCH(Z$2,Inputs!$K$4:$AJ$4,0))))=0,NA(),SUMPRODUCT((Inputs!$A$5:$A$230=$B39)*Inputs!$B$5:$B$230*(((Inputs!$G$5:$G$230="moeda")+(Inputs!$G$5:$G$230="acoes"))*Inputs!$B$1+((Inputs!$G$5:$G$230&lt;&gt;"moeda")*(Inputs!$G$5:$G$230&lt;&gt;"acoes")))*INDEX(Inputs!$K$5:$AJ$230,0,MATCH(Z$2,Inputs!$K$4:$AJ$4,0)))+SUMPRODUCT((Inputs!$C$5:$C$230=$B39)*Inputs!$D$5:$D$230*(((Inputs!$G$5:$G$230="moeda")+(Inputs!$G$5:$G$230="acoes"))*Inputs!$B$1+((Inputs!$G$5:$G$230&lt;&gt;"moeda")*(Inputs!$G$5:$G$230&lt;&gt;"acoes")))*INDEX(Inputs!$K$5:$AJ$230,0,MATCH(Z$2,Inputs!$K$4:$AJ$4,0)))+SUMPRODUCT((Inputs!$E$5:$E$230=$B39)*Inputs!$F$5:$F$230*(((Inputs!$G$5:$G$230="moeda")+(Inputs!$G$5:$G$230="acoes"))*Inputs!$B$1+((Inputs!$G$5:$G$230&lt;&gt;"moeda")*(Inputs!$G$5:$G$230&lt;&gt;"acoes")))*INDEX(Inputs!$K$5:$AJ$230,0,MATCH(Z$2,Inputs!$K$4:$AJ$4,0)))))</f>
        <v>2443.419</v>
      </c>
      <c r="AA39" s="6">
        <f>IF(ISNA(MATCH(AA$2,Inputs!$K$4:$AJ$4,0)),NA(),IF(SUMPRODUCT((Inputs!$A$5:$A$230=$B39)*ISNUMBER(INDEX(Inputs!$K$5:$AJ$230,0,MATCH(AA$2,Inputs!$K$4:$AJ$4,0))))+SUMPRODUCT((Inputs!$C$5:$C$230=$B39)*ISNUMBER(INDEX(Inputs!$K$5:$AJ$230,0,MATCH(AA$2,Inputs!$K$4:$AJ$4,0))))+SUMPRODUCT((Inputs!$E$5:$E$230=$B39)*ISNUMBER(INDEX(Inputs!$K$5:$AJ$230,0,MATCH(AA$2,Inputs!$K$4:$AJ$4,0))))=0,NA(),SUMPRODUCT((Inputs!$A$5:$A$230=$B39)*Inputs!$B$5:$B$230*(((Inputs!$G$5:$G$230="moeda")+(Inputs!$G$5:$G$230="acoes"))*Inputs!$B$1+((Inputs!$G$5:$G$230&lt;&gt;"moeda")*(Inputs!$G$5:$G$230&lt;&gt;"acoes")))*INDEX(Inputs!$K$5:$AJ$230,0,MATCH(AA$2,Inputs!$K$4:$AJ$4,0)))+SUMPRODUCT((Inputs!$C$5:$C$230=$B39)*Inputs!$D$5:$D$230*(((Inputs!$G$5:$G$230="moeda")+(Inputs!$G$5:$G$230="acoes"))*Inputs!$B$1+((Inputs!$G$5:$G$230&lt;&gt;"moeda")*(Inputs!$G$5:$G$230&lt;&gt;"acoes")))*INDEX(Inputs!$K$5:$AJ$230,0,MATCH(AA$2,Inputs!$K$4:$AJ$4,0)))+SUMPRODUCT((Inputs!$E$5:$E$230=$B39)*Inputs!$F$5:$F$230*(((Inputs!$G$5:$G$230="moeda")+(Inputs!$G$5:$G$230="acoes"))*Inputs!$B$1+((Inputs!$G$5:$G$230&lt;&gt;"moeda")*(Inputs!$G$5:$G$230&lt;&gt;"acoes")))*INDEX(Inputs!$K$5:$AJ$230,0,MATCH(AA$2,Inputs!$K$4:$AJ$4,0)))))</f>
        <v>2499.63</v>
      </c>
      <c r="AB39" s="3">
        <f>AA39</f>
        <v>2499.63</v>
      </c>
      <c r="AC39" s="6">
        <f>IF(ISNA(MATCH(AC$2,Inputs!$K$4:$AJ$4,0)),NA(),IF(SUMPRODUCT((Inputs!$A$5:$A$230=$B39)*ISNUMBER(INDEX(Inputs!$K$5:$AJ$230,0,MATCH(AC$2,Inputs!$K$4:$AJ$4,0))))+SUMPRODUCT((Inputs!$C$5:$C$230=$B39)*ISNUMBER(INDEX(Inputs!$K$5:$AJ$230,0,MATCH(AC$2,Inputs!$K$4:$AJ$4,0))))+SUMPRODUCT((Inputs!$E$5:$E$230=$B39)*ISNUMBER(INDEX(Inputs!$K$5:$AJ$230,0,MATCH(AC$2,Inputs!$K$4:$AJ$4,0))))=0,NA(),SUMPRODUCT((Inputs!$A$5:$A$230=$B39)*Inputs!$B$5:$B$230*(((Inputs!$G$5:$G$230="moeda")+(Inputs!$G$5:$G$230="acoes"))*Inputs!$B$1+((Inputs!$G$5:$G$230&lt;&gt;"moeda")*(Inputs!$G$5:$G$230&lt;&gt;"acoes")))*INDEX(Inputs!$K$5:$AJ$230,0,MATCH(AC$2,Inputs!$K$4:$AJ$4,0)))+SUMPRODUCT((Inputs!$C$5:$C$230=$B39)*Inputs!$D$5:$D$230*(((Inputs!$G$5:$G$230="moeda")+(Inputs!$G$5:$G$230="acoes"))*Inputs!$B$1+((Inputs!$G$5:$G$230&lt;&gt;"moeda")*(Inputs!$G$5:$G$230&lt;&gt;"acoes")))*INDEX(Inputs!$K$5:$AJ$230,0,MATCH(AC$2,Inputs!$K$4:$AJ$4,0)))+SUMPRODUCT((Inputs!$E$5:$E$230=$B39)*Inputs!$F$5:$F$230*(((Inputs!$G$5:$G$230="moeda")+(Inputs!$G$5:$G$230="acoes"))*Inputs!$B$1+((Inputs!$G$5:$G$230&lt;&gt;"moeda")*(Inputs!$G$5:$G$230&lt;&gt;"acoes")))*INDEX(Inputs!$K$5:$AJ$230,0,MATCH(AC$2,Inputs!$K$4:$AJ$4,0)))))</f>
        <v>2544.728</v>
      </c>
      <c r="AD39" s="6">
        <f>IF(ISNA(MATCH(AD$2,Inputs!$K$4:$AJ$4,0)),NA(),IF(SUMPRODUCT((Inputs!$A$5:$A$230=$B39)*ISNUMBER(INDEX(Inputs!$K$5:$AJ$230,0,MATCH(AD$2,Inputs!$K$4:$AJ$4,0))))+SUMPRODUCT((Inputs!$C$5:$C$230=$B39)*ISNUMBER(INDEX(Inputs!$K$5:$AJ$230,0,MATCH(AD$2,Inputs!$K$4:$AJ$4,0))))+SUMPRODUCT((Inputs!$E$5:$E$230=$B39)*ISNUMBER(INDEX(Inputs!$K$5:$AJ$230,0,MATCH(AD$2,Inputs!$K$4:$AJ$4,0))))=0,NA(),SUMPRODUCT((Inputs!$A$5:$A$230=$B39)*Inputs!$B$5:$B$230*(((Inputs!$G$5:$G$230="moeda")+(Inputs!$G$5:$G$230="acoes"))*Inputs!$B$1+((Inputs!$G$5:$G$230&lt;&gt;"moeda")*(Inputs!$G$5:$G$230&lt;&gt;"acoes")))*INDEX(Inputs!$K$5:$AJ$230,0,MATCH(AD$2,Inputs!$K$4:$AJ$4,0)))+SUMPRODUCT((Inputs!$C$5:$C$230=$B39)*Inputs!$D$5:$D$230*(((Inputs!$G$5:$G$230="moeda")+(Inputs!$G$5:$G$230="acoes"))*Inputs!$B$1+((Inputs!$G$5:$G$230&lt;&gt;"moeda")*(Inputs!$G$5:$G$230&lt;&gt;"acoes")))*INDEX(Inputs!$K$5:$AJ$230,0,MATCH(AD$2,Inputs!$K$4:$AJ$4,0)))+SUMPRODUCT((Inputs!$E$5:$E$230=$B39)*Inputs!$F$5:$F$230*(((Inputs!$G$5:$G$230="moeda")+(Inputs!$G$5:$G$230="acoes"))*Inputs!$B$1+((Inputs!$G$5:$G$230&lt;&gt;"moeda")*(Inputs!$G$5:$G$230&lt;&gt;"acoes")))*INDEX(Inputs!$K$5:$AJ$230,0,MATCH(AD$2,Inputs!$K$4:$AJ$4,0)))))</f>
        <v>2626.736</v>
      </c>
      <c r="AE39" s="6" t="e">
        <f>IF(ISNA(MATCH(AE$2,Inputs!$K$4:$AJ$4,0)),NA(),IF(SUMPRODUCT((Inputs!$A$5:$A$230=$B39)*ISNUMBER(INDEX(Inputs!$K$5:$AJ$230,0,MATCH(AE$2,Inputs!$K$4:$AJ$4,0))))+SUMPRODUCT((Inputs!$C$5:$C$230=$B39)*ISNUMBER(INDEX(Inputs!$K$5:$AJ$230,0,MATCH(AE$2,Inputs!$K$4:$AJ$4,0))))+SUMPRODUCT((Inputs!$E$5:$E$230=$B39)*ISNUMBER(INDEX(Inputs!$K$5:$AJ$230,0,MATCH(AE$2,Inputs!$K$4:$AJ$4,0))))=0,NA(),SUMPRODUCT((Inputs!$A$5:$A$230=$B39)*Inputs!$B$5:$B$230*(((Inputs!$G$5:$G$230="moeda")+(Inputs!$G$5:$G$230="acoes"))*Inputs!$B$1+((Inputs!$G$5:$G$230&lt;&gt;"moeda")*(Inputs!$G$5:$G$230&lt;&gt;"acoes")))*INDEX(Inputs!$K$5:$AJ$230,0,MATCH(AE$2,Inputs!$K$4:$AJ$4,0)))+SUMPRODUCT((Inputs!$C$5:$C$230=$B39)*Inputs!$D$5:$D$230*(((Inputs!$G$5:$G$230="moeda")+(Inputs!$G$5:$G$230="acoes"))*Inputs!$B$1+((Inputs!$G$5:$G$230&lt;&gt;"moeda")*(Inputs!$G$5:$G$230&lt;&gt;"acoes")))*INDEX(Inputs!$K$5:$AJ$230,0,MATCH(AE$2,Inputs!$K$4:$AJ$4,0)))+SUMPRODUCT((Inputs!$E$5:$E$230=$B39)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39" s="6" t="e">
        <f>IF(ISNA(MATCH(AF$2,Inputs!$K$4:$AJ$4,0)),NA(),IF(SUMPRODUCT((Inputs!$A$5:$A$230=$B39)*ISNUMBER(INDEX(Inputs!$K$5:$AJ$230,0,MATCH(AF$2,Inputs!$K$4:$AJ$4,0))))+SUMPRODUCT((Inputs!$C$5:$C$230=$B39)*ISNUMBER(INDEX(Inputs!$K$5:$AJ$230,0,MATCH(AF$2,Inputs!$K$4:$AJ$4,0))))+SUMPRODUCT((Inputs!$E$5:$E$230=$B39)*ISNUMBER(INDEX(Inputs!$K$5:$AJ$230,0,MATCH(AF$2,Inputs!$K$4:$AJ$4,0))))=0,NA(),SUMPRODUCT((Inputs!$A$5:$A$230=$B39)*Inputs!$B$5:$B$230*(((Inputs!$G$5:$G$230="moeda")+(Inputs!$G$5:$G$230="acoes"))*Inputs!$B$1+((Inputs!$G$5:$G$230&lt;&gt;"moeda")*(Inputs!$G$5:$G$230&lt;&gt;"acoes")))*INDEX(Inputs!$K$5:$AJ$230,0,MATCH(AF$2,Inputs!$K$4:$AJ$4,0)))+SUMPRODUCT((Inputs!$C$5:$C$230=$B39)*Inputs!$D$5:$D$230*(((Inputs!$G$5:$G$230="moeda")+(Inputs!$G$5:$G$230="acoes"))*Inputs!$B$1+((Inputs!$G$5:$G$230&lt;&gt;"moeda")*(Inputs!$G$5:$G$230&lt;&gt;"acoes")))*INDEX(Inputs!$K$5:$AJ$230,0,MATCH(AF$2,Inputs!$K$4:$AJ$4,0)))+SUMPRODUCT((Inputs!$E$5:$E$230=$B39)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39" s="3" t="e">
        <f>AF39</f>
        <v>#N/A</v>
      </c>
      <c r="AH39" s="6">
        <f>IF(ISNA(MATCH(AH$2,Inputs!$K$4:$AJ$4,0)),NA(),IF(SUMPRODUCT((Inputs!$A$5:$A$230=$B39)*ISNUMBER(INDEX(Inputs!$K$5:$AJ$230,0,MATCH(AH$2,Inputs!$K$4:$AJ$4,0))))+SUMPRODUCT((Inputs!$C$5:$C$230=$B39)*ISNUMBER(INDEX(Inputs!$K$5:$AJ$230,0,MATCH(AH$2,Inputs!$K$4:$AJ$4,0))))+SUMPRODUCT((Inputs!$E$5:$E$230=$B39)*ISNUMBER(INDEX(Inputs!$K$5:$AJ$230,0,MATCH(AH$2,Inputs!$K$4:$AJ$4,0))))=0,NA(),SUMPRODUCT((Inputs!$A$5:$A$230=$B39)*Inputs!$B$5:$B$230*(((Inputs!$G$5:$G$230="moeda")+(Inputs!$G$5:$G$230="acoes"))*Inputs!$B$1+((Inputs!$G$5:$G$230&lt;&gt;"moeda")*(Inputs!$G$5:$G$230&lt;&gt;"acoes")))*INDEX(Inputs!$K$5:$AJ$230,0,MATCH(AH$2,Inputs!$K$4:$AJ$4,0)))+SUMPRODUCT((Inputs!$C$5:$C$230=$B39)*Inputs!$D$5:$D$230*(((Inputs!$G$5:$G$230="moeda")+(Inputs!$G$5:$G$230="acoes"))*Inputs!$B$1+((Inputs!$G$5:$G$230&lt;&gt;"moeda")*(Inputs!$G$5:$G$230&lt;&gt;"acoes")))*INDEX(Inputs!$K$5:$AJ$230,0,MATCH(AH$2,Inputs!$K$4:$AJ$4,0)))+SUMPRODUCT((Inputs!$E$5:$E$230=$B39)*Inputs!$F$5:$F$230*(((Inputs!$G$5:$G$230="moeda")+(Inputs!$G$5:$G$230="acoes"))*Inputs!$B$1+((Inputs!$G$5:$G$230&lt;&gt;"moeda")*(Inputs!$G$5:$G$230&lt;&gt;"acoes")))*INDEX(Inputs!$K$5:$AJ$230,0,MATCH(AH$2,Inputs!$K$4:$AJ$4,0)))))</f>
        <v>932.22</v>
      </c>
      <c r="AI39" s="6">
        <f>IF(ISNA(MATCH(AI$2,Inputs!$K$4:$AJ$4,0)),NA(),IF(SUMPRODUCT((Inputs!$A$5:$A$230=$B39)*ISNUMBER(INDEX(Inputs!$K$5:$AJ$230,0,MATCH(AI$2,Inputs!$K$4:$AJ$4,0))))+SUMPRODUCT((Inputs!$C$5:$C$230=$B39)*ISNUMBER(INDEX(Inputs!$K$5:$AJ$230,0,MATCH(AI$2,Inputs!$K$4:$AJ$4,0))))+SUMPRODUCT((Inputs!$E$5:$E$230=$B39)*ISNUMBER(INDEX(Inputs!$K$5:$AJ$230,0,MATCH(AI$2,Inputs!$K$4:$AJ$4,0))))=0,NA(),SUMPRODUCT((Inputs!$A$5:$A$230=$B39)*Inputs!$B$5:$B$230*(((Inputs!$G$5:$G$230="moeda")+(Inputs!$G$5:$G$230="acoes"))*Inputs!$B$1+((Inputs!$G$5:$G$230&lt;&gt;"moeda")*(Inputs!$G$5:$G$230&lt;&gt;"acoes")))*INDEX(Inputs!$K$5:$AJ$230,0,MATCH(AI$2,Inputs!$K$4:$AJ$4,0)))+SUMPRODUCT((Inputs!$C$5:$C$230=$B39)*Inputs!$D$5:$D$230*(((Inputs!$G$5:$G$230="moeda")+(Inputs!$G$5:$G$230="acoes"))*Inputs!$B$1+((Inputs!$G$5:$G$230&lt;&gt;"moeda")*(Inputs!$G$5:$G$230&lt;&gt;"acoes")))*INDEX(Inputs!$K$5:$AJ$230,0,MATCH(AI$2,Inputs!$K$4:$AJ$4,0)))+SUMPRODUCT((Inputs!$E$5:$E$230=$B39)*Inputs!$F$5:$F$230*(((Inputs!$G$5:$G$230="moeda")+(Inputs!$G$5:$G$230="acoes"))*Inputs!$B$1+((Inputs!$G$5:$G$230&lt;&gt;"moeda")*(Inputs!$G$5:$G$230&lt;&gt;"acoes")))*INDEX(Inputs!$K$5:$AJ$230,0,MATCH(AI$2,Inputs!$K$4:$AJ$4,0)))))</f>
        <v>984.053</v>
      </c>
      <c r="AJ39" s="6">
        <f>IF(ISNA(MATCH(AJ$2,Inputs!$K$4:$AJ$4,0)),NA(),IF(SUMPRODUCT((Inputs!$A$5:$A$230=$B39)*ISNUMBER(INDEX(Inputs!$K$5:$AJ$230,0,MATCH(AJ$2,Inputs!$K$4:$AJ$4,0))))+SUMPRODUCT((Inputs!$C$5:$C$230=$B39)*ISNUMBER(INDEX(Inputs!$K$5:$AJ$230,0,MATCH(AJ$2,Inputs!$K$4:$AJ$4,0))))+SUMPRODUCT((Inputs!$E$5:$E$230=$B39)*ISNUMBER(INDEX(Inputs!$K$5:$AJ$230,0,MATCH(AJ$2,Inputs!$K$4:$AJ$4,0))))=0,NA(),SUMPRODUCT((Inputs!$A$5:$A$230=$B39)*Inputs!$B$5:$B$230*(((Inputs!$G$5:$G$230="moeda")+(Inputs!$G$5:$G$230="acoes"))*Inputs!$B$1+((Inputs!$G$5:$G$230&lt;&gt;"moeda")*(Inputs!$G$5:$G$230&lt;&gt;"acoes")))*INDEX(Inputs!$K$5:$AJ$230,0,MATCH(AJ$2,Inputs!$K$4:$AJ$4,0)))+SUMPRODUCT((Inputs!$C$5:$C$230=$B39)*Inputs!$D$5:$D$230*(((Inputs!$G$5:$G$230="moeda")+(Inputs!$G$5:$G$230="acoes"))*Inputs!$B$1+((Inputs!$G$5:$G$230&lt;&gt;"moeda")*(Inputs!$G$5:$G$230&lt;&gt;"acoes")))*INDEX(Inputs!$K$5:$AJ$230,0,MATCH(AJ$2,Inputs!$K$4:$AJ$4,0)))+SUMPRODUCT((Inputs!$E$5:$E$230=$B39)*Inputs!$F$5:$F$230*(((Inputs!$G$5:$G$230="moeda")+(Inputs!$G$5:$G$230="acoes"))*Inputs!$B$1+((Inputs!$G$5:$G$230&lt;&gt;"moeda")*(Inputs!$G$5:$G$230&lt;&gt;"acoes")))*INDEX(Inputs!$K$5:$AJ$230,0,MATCH(AJ$2,Inputs!$K$4:$AJ$4,0)))))</f>
        <v>1082.088</v>
      </c>
      <c r="AK39" s="6">
        <f>IF(ISNA(MATCH(AK$2,Inputs!$K$4:$AJ$4,0)),NA(),IF(SUMPRODUCT((Inputs!$A$5:$A$230=$B39)*ISNUMBER(INDEX(Inputs!$K$5:$AJ$230,0,MATCH(AK$2,Inputs!$K$4:$AJ$4,0))))+SUMPRODUCT((Inputs!$C$5:$C$230=$B39)*ISNUMBER(INDEX(Inputs!$K$5:$AJ$230,0,MATCH(AK$2,Inputs!$K$4:$AJ$4,0))))+SUMPRODUCT((Inputs!$E$5:$E$230=$B39)*ISNUMBER(INDEX(Inputs!$K$5:$AJ$230,0,MATCH(AK$2,Inputs!$K$4:$AJ$4,0))))=0,NA(),SUMPRODUCT((Inputs!$A$5:$A$230=$B39)*Inputs!$B$5:$B$230*(((Inputs!$G$5:$G$230="moeda")+(Inputs!$G$5:$G$230="acoes"))*Inputs!$B$1+((Inputs!$G$5:$G$230&lt;&gt;"moeda")*(Inputs!$G$5:$G$230&lt;&gt;"acoes")))*INDEX(Inputs!$K$5:$AJ$230,0,MATCH(AK$2,Inputs!$K$4:$AJ$4,0)))+SUMPRODUCT((Inputs!$C$5:$C$230=$B39)*Inputs!$D$5:$D$230*(((Inputs!$G$5:$G$230="moeda")+(Inputs!$G$5:$G$230="acoes"))*Inputs!$B$1+((Inputs!$G$5:$G$230&lt;&gt;"moeda")*(Inputs!$G$5:$G$230&lt;&gt;"acoes")))*INDEX(Inputs!$K$5:$AJ$230,0,MATCH(AK$2,Inputs!$K$4:$AJ$4,0)))+SUMPRODUCT((Inputs!$E$5:$E$230=$B39)*Inputs!$F$5:$F$230*(((Inputs!$G$5:$G$230="moeda")+(Inputs!$G$5:$G$230="acoes"))*Inputs!$B$1+((Inputs!$G$5:$G$230&lt;&gt;"moeda")*(Inputs!$G$5:$G$230&lt;&gt;"acoes")))*INDEX(Inputs!$K$5:$AJ$230,0,MATCH(AK$2,Inputs!$K$4:$AJ$4,0)))))</f>
        <v>1235.714</v>
      </c>
      <c r="AL39" s="3">
        <f>AK39</f>
        <v>1235.714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$230=$B41)*ISNUMBER(INDEX(Inputs!$K$5:$AJ$230,0,MATCH(D$2,Inputs!$K$4:$AJ$4,0))))+SUMPRODUCT((Inputs!$C$5:$C$230=$B41)*ISNUMBER(INDEX(Inputs!$K$5:$AJ$230,0,MATCH(D$2,Inputs!$K$4:$AJ$4,0))))+SUMPRODUCT((Inputs!$E$5:$E$230=$B41)*ISNUMBER(INDEX(Inputs!$K$5:$AJ$230,0,MATCH(D$2,Inputs!$K$4:$AJ$4,0))))=0,NA(),SUMPRODUCT((Inputs!$A$5:$A$230=$B41)*Inputs!$B$5:$B$230*(((Inputs!$G$5:$G$230="moeda")+(Inputs!$G$5:$G$230="acoes"))*Inputs!$B$1+((Inputs!$G$5:$G$230&lt;&gt;"moeda")*(Inputs!$G$5:$G$230&lt;&gt;"acoes")))*INDEX(Inputs!$K$5:$AJ$230,0,MATCH(D$2,Inputs!$K$4:$AJ$4,0)))+SUMPRODUCT((Inputs!$C$5:$C$230=$B41)*Inputs!$D$5:$D$230*(((Inputs!$G$5:$G$230="moeda")+(Inputs!$G$5:$G$230="acoes"))*Inputs!$B$1+((Inputs!$G$5:$G$230&lt;&gt;"moeda")*(Inputs!$G$5:$G$230&lt;&gt;"acoes")))*INDEX(Inputs!$K$5:$AJ$230,0,MATCH(D$2,Inputs!$K$4:$AJ$4,0)))+SUMPRODUCT((Inputs!$E$5:$E$230=$B41)*Inputs!$F$5:$F$230*(((Inputs!$G$5:$G$230="moeda")+(Inputs!$G$5:$G$230="acoes"))*Inputs!$B$1+((Inputs!$G$5:$G$230&lt;&gt;"moeda")*(Inputs!$G$5:$G$230&lt;&gt;"acoes")))*INDEX(Inputs!$K$5:$AJ$230,0,MATCH(D$2,Inputs!$K$4:$AJ$4,0)))))</f>
        <v>3518.758</v>
      </c>
      <c r="E41" s="6">
        <f>IF(ISNA(MATCH(E$2,Inputs!$K$4:$AJ$4,0)),NA(),IF(SUMPRODUCT((Inputs!$A$5:$A$230=$B41)*ISNUMBER(INDEX(Inputs!$K$5:$AJ$230,0,MATCH(E$2,Inputs!$K$4:$AJ$4,0))))+SUMPRODUCT((Inputs!$C$5:$C$230=$B41)*ISNUMBER(INDEX(Inputs!$K$5:$AJ$230,0,MATCH(E$2,Inputs!$K$4:$AJ$4,0))))+SUMPRODUCT((Inputs!$E$5:$E$230=$B41)*ISNUMBER(INDEX(Inputs!$K$5:$AJ$230,0,MATCH(E$2,Inputs!$K$4:$AJ$4,0))))=0,NA(),SUMPRODUCT((Inputs!$A$5:$A$230=$B41)*Inputs!$B$5:$B$230*(((Inputs!$G$5:$G$230="moeda")+(Inputs!$G$5:$G$230="acoes"))*Inputs!$B$1+((Inputs!$G$5:$G$230&lt;&gt;"moeda")*(Inputs!$G$5:$G$230&lt;&gt;"acoes")))*INDEX(Inputs!$K$5:$AJ$230,0,MATCH(E$2,Inputs!$K$4:$AJ$4,0)))+SUMPRODUCT((Inputs!$C$5:$C$230=$B41)*Inputs!$D$5:$D$230*(((Inputs!$G$5:$G$230="moeda")+(Inputs!$G$5:$G$230="acoes"))*Inputs!$B$1+((Inputs!$G$5:$G$230&lt;&gt;"moeda")*(Inputs!$G$5:$G$230&lt;&gt;"acoes")))*INDEX(Inputs!$K$5:$AJ$230,0,MATCH(E$2,Inputs!$K$4:$AJ$4,0)))+SUMPRODUCT((Inputs!$E$5:$E$230=$B41)*Inputs!$F$5:$F$230*(((Inputs!$G$5:$G$230="moeda")+(Inputs!$G$5:$G$230="acoes"))*Inputs!$B$1+((Inputs!$G$5:$G$230&lt;&gt;"moeda")*(Inputs!$G$5:$G$230&lt;&gt;"acoes")))*INDEX(Inputs!$K$5:$AJ$230,0,MATCH(E$2,Inputs!$K$4:$AJ$4,0)))))</f>
        <v>3613.423</v>
      </c>
      <c r="F41" s="6">
        <f>IF(ISNA(MATCH(F$2,Inputs!$K$4:$AJ$4,0)),NA(),IF(SUMPRODUCT((Inputs!$A$5:$A$230=$B41)*ISNUMBER(INDEX(Inputs!$K$5:$AJ$230,0,MATCH(F$2,Inputs!$K$4:$AJ$4,0))))+SUMPRODUCT((Inputs!$C$5:$C$230=$B41)*ISNUMBER(INDEX(Inputs!$K$5:$AJ$230,0,MATCH(F$2,Inputs!$K$4:$AJ$4,0))))+SUMPRODUCT((Inputs!$E$5:$E$230=$B41)*ISNUMBER(INDEX(Inputs!$K$5:$AJ$230,0,MATCH(F$2,Inputs!$K$4:$AJ$4,0))))=0,NA(),SUMPRODUCT((Inputs!$A$5:$A$230=$B41)*Inputs!$B$5:$B$230*(((Inputs!$G$5:$G$230="moeda")+(Inputs!$G$5:$G$230="acoes"))*Inputs!$B$1+((Inputs!$G$5:$G$230&lt;&gt;"moeda")*(Inputs!$G$5:$G$230&lt;&gt;"acoes")))*INDEX(Inputs!$K$5:$AJ$230,0,MATCH(F$2,Inputs!$K$4:$AJ$4,0)))+SUMPRODUCT((Inputs!$C$5:$C$230=$B41)*Inputs!$D$5:$D$230*(((Inputs!$G$5:$G$230="moeda")+(Inputs!$G$5:$G$230="acoes"))*Inputs!$B$1+((Inputs!$G$5:$G$230&lt;&gt;"moeda")*(Inputs!$G$5:$G$230&lt;&gt;"acoes")))*INDEX(Inputs!$K$5:$AJ$230,0,MATCH(F$2,Inputs!$K$4:$AJ$4,0)))+SUMPRODUCT((Inputs!$E$5:$E$230=$B41)*Inputs!$F$5:$F$230*(((Inputs!$G$5:$G$230="moeda")+(Inputs!$G$5:$G$230="acoes"))*Inputs!$B$1+((Inputs!$G$5:$G$230&lt;&gt;"moeda")*(Inputs!$G$5:$G$230&lt;&gt;"acoes")))*INDEX(Inputs!$K$5:$AJ$230,0,MATCH(F$2,Inputs!$K$4:$AJ$4,0)))))</f>
        <v>3681.275</v>
      </c>
      <c r="G41" s="6">
        <f>IF(ISNA(MATCH(G$2,Inputs!$K$4:$AJ$4,0)),NA(),IF(SUMPRODUCT((Inputs!$A$5:$A$230=$B41)*ISNUMBER(INDEX(Inputs!$K$5:$AJ$230,0,MATCH(G$2,Inputs!$K$4:$AJ$4,0))))+SUMPRODUCT((Inputs!$C$5:$C$230=$B41)*ISNUMBER(INDEX(Inputs!$K$5:$AJ$230,0,MATCH(G$2,Inputs!$K$4:$AJ$4,0))))+SUMPRODUCT((Inputs!$E$5:$E$230=$B41)*ISNUMBER(INDEX(Inputs!$K$5:$AJ$230,0,MATCH(G$2,Inputs!$K$4:$AJ$4,0))))=0,NA(),SUMPRODUCT((Inputs!$A$5:$A$230=$B41)*Inputs!$B$5:$B$230*(((Inputs!$G$5:$G$230="moeda")+(Inputs!$G$5:$G$230="acoes"))*Inputs!$B$1+((Inputs!$G$5:$G$230&lt;&gt;"moeda")*(Inputs!$G$5:$G$230&lt;&gt;"acoes")))*INDEX(Inputs!$K$5:$AJ$230,0,MATCH(G$2,Inputs!$K$4:$AJ$4,0)))+SUMPRODUCT((Inputs!$C$5:$C$230=$B41)*Inputs!$D$5:$D$230*(((Inputs!$G$5:$G$230="moeda")+(Inputs!$G$5:$G$230="acoes"))*Inputs!$B$1+((Inputs!$G$5:$G$230&lt;&gt;"moeda")*(Inputs!$G$5:$G$230&lt;&gt;"acoes")))*INDEX(Inputs!$K$5:$AJ$230,0,MATCH(G$2,Inputs!$K$4:$AJ$4,0)))+SUMPRODUCT((Inputs!$E$5:$E$230=$B41)*Inputs!$F$5:$F$230*(((Inputs!$G$5:$G$230="moeda")+(Inputs!$G$5:$G$230="acoes"))*Inputs!$B$1+((Inputs!$G$5:$G$230&lt;&gt;"moeda")*(Inputs!$G$5:$G$230&lt;&gt;"acoes")))*INDEX(Inputs!$K$5:$AJ$230,0,MATCH(G$2,Inputs!$K$4:$AJ$4,0)))))</f>
        <v>3450.486</v>
      </c>
      <c r="H41" s="3">
        <f>G41</f>
        <v>3450.486</v>
      </c>
      <c r="I41" s="6">
        <f>IF(ISNA(MATCH(I$2,Inputs!$K$4:$AJ$4,0)),NA(),IF(SUMPRODUCT((Inputs!$A$5:$A$230=$B41)*ISNUMBER(INDEX(Inputs!$K$5:$AJ$230,0,MATCH(I$2,Inputs!$K$4:$AJ$4,0))))+SUMPRODUCT((Inputs!$C$5:$C$230=$B41)*ISNUMBER(INDEX(Inputs!$K$5:$AJ$230,0,MATCH(I$2,Inputs!$K$4:$AJ$4,0))))+SUMPRODUCT((Inputs!$E$5:$E$230=$B41)*ISNUMBER(INDEX(Inputs!$K$5:$AJ$230,0,MATCH(I$2,Inputs!$K$4:$AJ$4,0))))=0,NA(),SUMPRODUCT((Inputs!$A$5:$A$230=$B41)*Inputs!$B$5:$B$230*(((Inputs!$G$5:$G$230="moeda")+(Inputs!$G$5:$G$230="acoes"))*Inputs!$B$1+((Inputs!$G$5:$G$230&lt;&gt;"moeda")*(Inputs!$G$5:$G$230&lt;&gt;"acoes")))*INDEX(Inputs!$K$5:$AJ$230,0,MATCH(I$2,Inputs!$K$4:$AJ$4,0)))+SUMPRODUCT((Inputs!$C$5:$C$230=$B41)*Inputs!$D$5:$D$230*(((Inputs!$G$5:$G$230="moeda")+(Inputs!$G$5:$G$230="acoes"))*Inputs!$B$1+((Inputs!$G$5:$G$230&lt;&gt;"moeda")*(Inputs!$G$5:$G$230&lt;&gt;"acoes")))*INDEX(Inputs!$K$5:$AJ$230,0,MATCH(I$2,Inputs!$K$4:$AJ$4,0)))+SUMPRODUCT((Inputs!$E$5:$E$230=$B41)*Inputs!$F$5:$F$230*(((Inputs!$G$5:$G$230="moeda")+(Inputs!$G$5:$G$230="acoes"))*Inputs!$B$1+((Inputs!$G$5:$G$230&lt;&gt;"moeda")*(Inputs!$G$5:$G$230&lt;&gt;"acoes")))*INDEX(Inputs!$K$5:$AJ$230,0,MATCH(I$2,Inputs!$K$4:$AJ$4,0)))))</f>
        <v>3649.408</v>
      </c>
      <c r="J41" s="6">
        <f>IF(ISNA(MATCH(J$2,Inputs!$K$4:$AJ$4,0)),NA(),IF(SUMPRODUCT((Inputs!$A$5:$A$230=$B41)*ISNUMBER(INDEX(Inputs!$K$5:$AJ$230,0,MATCH(J$2,Inputs!$K$4:$AJ$4,0))))+SUMPRODUCT((Inputs!$C$5:$C$230=$B41)*ISNUMBER(INDEX(Inputs!$K$5:$AJ$230,0,MATCH(J$2,Inputs!$K$4:$AJ$4,0))))+SUMPRODUCT((Inputs!$E$5:$E$230=$B41)*ISNUMBER(INDEX(Inputs!$K$5:$AJ$230,0,MATCH(J$2,Inputs!$K$4:$AJ$4,0))))=0,NA(),SUMPRODUCT((Inputs!$A$5:$A$230=$B41)*Inputs!$B$5:$B$230*(((Inputs!$G$5:$G$230="moeda")+(Inputs!$G$5:$G$230="acoes"))*Inputs!$B$1+((Inputs!$G$5:$G$230&lt;&gt;"moeda")*(Inputs!$G$5:$G$230&lt;&gt;"acoes")))*INDEX(Inputs!$K$5:$AJ$230,0,MATCH(J$2,Inputs!$K$4:$AJ$4,0)))+SUMPRODUCT((Inputs!$C$5:$C$230=$B41)*Inputs!$D$5:$D$230*(((Inputs!$G$5:$G$230="moeda")+(Inputs!$G$5:$G$230="acoes"))*Inputs!$B$1+((Inputs!$G$5:$G$230&lt;&gt;"moeda")*(Inputs!$G$5:$G$230&lt;&gt;"acoes")))*INDEX(Inputs!$K$5:$AJ$230,0,MATCH(J$2,Inputs!$K$4:$AJ$4,0)))+SUMPRODUCT((Inputs!$E$5:$E$230=$B41)*Inputs!$F$5:$F$230*(((Inputs!$G$5:$G$230="moeda")+(Inputs!$G$5:$G$230="acoes"))*Inputs!$B$1+((Inputs!$G$5:$G$230&lt;&gt;"moeda")*(Inputs!$G$5:$G$230&lt;&gt;"acoes")))*INDEX(Inputs!$K$5:$AJ$230,0,MATCH(J$2,Inputs!$K$4:$AJ$4,0)))))</f>
        <v>3594.617</v>
      </c>
      <c r="K41" s="6">
        <f>IF(ISNA(MATCH(K$2,Inputs!$K$4:$AJ$4,0)),NA(),IF(SUMPRODUCT((Inputs!$A$5:$A$230=$B41)*ISNUMBER(INDEX(Inputs!$K$5:$AJ$230,0,MATCH(K$2,Inputs!$K$4:$AJ$4,0))))+SUMPRODUCT((Inputs!$C$5:$C$230=$B41)*ISNUMBER(INDEX(Inputs!$K$5:$AJ$230,0,MATCH(K$2,Inputs!$K$4:$AJ$4,0))))+SUMPRODUCT((Inputs!$E$5:$E$230=$B41)*ISNUMBER(INDEX(Inputs!$K$5:$AJ$230,0,MATCH(K$2,Inputs!$K$4:$AJ$4,0))))=0,NA(),SUMPRODUCT((Inputs!$A$5:$A$230=$B41)*Inputs!$B$5:$B$230*(((Inputs!$G$5:$G$230="moeda")+(Inputs!$G$5:$G$230="acoes"))*Inputs!$B$1+((Inputs!$G$5:$G$230&lt;&gt;"moeda")*(Inputs!$G$5:$G$230&lt;&gt;"acoes")))*INDEX(Inputs!$K$5:$AJ$230,0,MATCH(K$2,Inputs!$K$4:$AJ$4,0)))+SUMPRODUCT((Inputs!$C$5:$C$230=$B41)*Inputs!$D$5:$D$230*(((Inputs!$G$5:$G$230="moeda")+(Inputs!$G$5:$G$230="acoes"))*Inputs!$B$1+((Inputs!$G$5:$G$230&lt;&gt;"moeda")*(Inputs!$G$5:$G$230&lt;&gt;"acoes")))*INDEX(Inputs!$K$5:$AJ$230,0,MATCH(K$2,Inputs!$K$4:$AJ$4,0)))+SUMPRODUCT((Inputs!$E$5:$E$230=$B41)*Inputs!$F$5:$F$230*(((Inputs!$G$5:$G$230="moeda")+(Inputs!$G$5:$G$230="acoes"))*Inputs!$B$1+((Inputs!$G$5:$G$230&lt;&gt;"moeda")*(Inputs!$G$5:$G$230&lt;&gt;"acoes")))*INDEX(Inputs!$K$5:$AJ$230,0,MATCH(K$2,Inputs!$K$4:$AJ$4,0)))))</f>
        <v>3476.338</v>
      </c>
      <c r="L41" s="6">
        <f>IF(ISNA(MATCH(L$2,Inputs!$K$4:$AJ$4,0)),NA(),IF(SUMPRODUCT((Inputs!$A$5:$A$230=$B41)*ISNUMBER(INDEX(Inputs!$K$5:$AJ$230,0,MATCH(L$2,Inputs!$K$4:$AJ$4,0))))+SUMPRODUCT((Inputs!$C$5:$C$230=$B41)*ISNUMBER(INDEX(Inputs!$K$5:$AJ$230,0,MATCH(L$2,Inputs!$K$4:$AJ$4,0))))+SUMPRODUCT((Inputs!$E$5:$E$230=$B41)*ISNUMBER(INDEX(Inputs!$K$5:$AJ$230,0,MATCH(L$2,Inputs!$K$4:$AJ$4,0))))=0,NA(),SUMPRODUCT((Inputs!$A$5:$A$230=$B41)*Inputs!$B$5:$B$230*(((Inputs!$G$5:$G$230="moeda")+(Inputs!$G$5:$G$230="acoes"))*Inputs!$B$1+((Inputs!$G$5:$G$230&lt;&gt;"moeda")*(Inputs!$G$5:$G$230&lt;&gt;"acoes")))*INDEX(Inputs!$K$5:$AJ$230,0,MATCH(L$2,Inputs!$K$4:$AJ$4,0)))+SUMPRODUCT((Inputs!$C$5:$C$230=$B41)*Inputs!$D$5:$D$230*(((Inputs!$G$5:$G$230="moeda")+(Inputs!$G$5:$G$230="acoes"))*Inputs!$B$1+((Inputs!$G$5:$G$230&lt;&gt;"moeda")*(Inputs!$G$5:$G$230&lt;&gt;"acoes")))*INDEX(Inputs!$K$5:$AJ$230,0,MATCH(L$2,Inputs!$K$4:$AJ$4,0)))+SUMPRODUCT((Inputs!$E$5:$E$230=$B41)*Inputs!$F$5:$F$230*(((Inputs!$G$5:$G$230="moeda")+(Inputs!$G$5:$G$230="acoes"))*Inputs!$B$1+((Inputs!$G$5:$G$230&lt;&gt;"moeda")*(Inputs!$G$5:$G$230&lt;&gt;"acoes")))*INDEX(Inputs!$K$5:$AJ$230,0,MATCH(L$2,Inputs!$K$4:$AJ$4,0)))))</f>
        <v>3413.556</v>
      </c>
      <c r="M41" s="3">
        <f>L41</f>
        <v>3413.556</v>
      </c>
      <c r="N41" s="6">
        <f>IF(ISNA(MATCH(N$2,Inputs!$K$4:$AJ$4,0)),NA(),IF(SUMPRODUCT((Inputs!$A$5:$A$230=$B41)*ISNUMBER(INDEX(Inputs!$K$5:$AJ$230,0,MATCH(N$2,Inputs!$K$4:$AJ$4,0))))+SUMPRODUCT((Inputs!$C$5:$C$230=$B41)*ISNUMBER(INDEX(Inputs!$K$5:$AJ$230,0,MATCH(N$2,Inputs!$K$4:$AJ$4,0))))+SUMPRODUCT((Inputs!$E$5:$E$230=$B41)*ISNUMBER(INDEX(Inputs!$K$5:$AJ$230,0,MATCH(N$2,Inputs!$K$4:$AJ$4,0))))=0,NA(),SUMPRODUCT((Inputs!$A$5:$A$230=$B41)*Inputs!$B$5:$B$230*(((Inputs!$G$5:$G$230="moeda")+(Inputs!$G$5:$G$230="acoes"))*Inputs!$B$1+((Inputs!$G$5:$G$230&lt;&gt;"moeda")*(Inputs!$G$5:$G$230&lt;&gt;"acoes")))*INDEX(Inputs!$K$5:$AJ$230,0,MATCH(N$2,Inputs!$K$4:$AJ$4,0)))+SUMPRODUCT((Inputs!$C$5:$C$230=$B41)*Inputs!$D$5:$D$230*(((Inputs!$G$5:$G$230="moeda")+(Inputs!$G$5:$G$230="acoes"))*Inputs!$B$1+((Inputs!$G$5:$G$230&lt;&gt;"moeda")*(Inputs!$G$5:$G$230&lt;&gt;"acoes")))*INDEX(Inputs!$K$5:$AJ$230,0,MATCH(N$2,Inputs!$K$4:$AJ$4,0)))+SUMPRODUCT((Inputs!$E$5:$E$230=$B41)*Inputs!$F$5:$F$230*(((Inputs!$G$5:$G$230="moeda")+(Inputs!$G$5:$G$230="acoes"))*Inputs!$B$1+((Inputs!$G$5:$G$230&lt;&gt;"moeda")*(Inputs!$G$5:$G$230&lt;&gt;"acoes")))*INDEX(Inputs!$K$5:$AJ$230,0,MATCH(N$2,Inputs!$K$4:$AJ$4,0)))))</f>
        <v>3560.059</v>
      </c>
      <c r="O41" s="6">
        <f>IF(ISNA(MATCH(O$2,Inputs!$K$4:$AJ$4,0)),NA(),IF(SUMPRODUCT((Inputs!$A$5:$A$230=$B41)*ISNUMBER(INDEX(Inputs!$K$5:$AJ$230,0,MATCH(O$2,Inputs!$K$4:$AJ$4,0))))+SUMPRODUCT((Inputs!$C$5:$C$230=$B41)*ISNUMBER(INDEX(Inputs!$K$5:$AJ$230,0,MATCH(O$2,Inputs!$K$4:$AJ$4,0))))+SUMPRODUCT((Inputs!$E$5:$E$230=$B41)*ISNUMBER(INDEX(Inputs!$K$5:$AJ$230,0,MATCH(O$2,Inputs!$K$4:$AJ$4,0))))=0,NA(),SUMPRODUCT((Inputs!$A$5:$A$230=$B41)*Inputs!$B$5:$B$230*(((Inputs!$G$5:$G$230="moeda")+(Inputs!$G$5:$G$230="acoes"))*Inputs!$B$1+((Inputs!$G$5:$G$230&lt;&gt;"moeda")*(Inputs!$G$5:$G$230&lt;&gt;"acoes")))*INDEX(Inputs!$K$5:$AJ$230,0,MATCH(O$2,Inputs!$K$4:$AJ$4,0)))+SUMPRODUCT((Inputs!$C$5:$C$230=$B41)*Inputs!$D$5:$D$230*(((Inputs!$G$5:$G$230="moeda")+(Inputs!$G$5:$G$230="acoes"))*Inputs!$B$1+((Inputs!$G$5:$G$230&lt;&gt;"moeda")*(Inputs!$G$5:$G$230&lt;&gt;"acoes")))*INDEX(Inputs!$K$5:$AJ$230,0,MATCH(O$2,Inputs!$K$4:$AJ$4,0)))+SUMPRODUCT((Inputs!$E$5:$E$230=$B41)*Inputs!$F$5:$F$230*(((Inputs!$G$5:$G$230="moeda")+(Inputs!$G$5:$G$230="acoes"))*Inputs!$B$1+((Inputs!$G$5:$G$230&lt;&gt;"moeda")*(Inputs!$G$5:$G$230&lt;&gt;"acoes")))*INDEX(Inputs!$K$5:$AJ$230,0,MATCH(O$2,Inputs!$K$4:$AJ$4,0)))))</f>
        <v>3384.892</v>
      </c>
      <c r="P41" s="6">
        <f>IF(ISNA(MATCH(P$2,Inputs!$K$4:$AJ$4,0)),NA(),IF(SUMPRODUCT((Inputs!$A$5:$A$230=$B41)*ISNUMBER(INDEX(Inputs!$K$5:$AJ$230,0,MATCH(P$2,Inputs!$K$4:$AJ$4,0))))+SUMPRODUCT((Inputs!$C$5:$C$230=$B41)*ISNUMBER(INDEX(Inputs!$K$5:$AJ$230,0,MATCH(P$2,Inputs!$K$4:$AJ$4,0))))+SUMPRODUCT((Inputs!$E$5:$E$230=$B41)*ISNUMBER(INDEX(Inputs!$K$5:$AJ$230,0,MATCH(P$2,Inputs!$K$4:$AJ$4,0))))=0,NA(),SUMPRODUCT((Inputs!$A$5:$A$230=$B41)*Inputs!$B$5:$B$230*(((Inputs!$G$5:$G$230="moeda")+(Inputs!$G$5:$G$230="acoes"))*Inputs!$B$1+((Inputs!$G$5:$G$230&lt;&gt;"moeda")*(Inputs!$G$5:$G$230&lt;&gt;"acoes")))*INDEX(Inputs!$K$5:$AJ$230,0,MATCH(P$2,Inputs!$K$4:$AJ$4,0)))+SUMPRODUCT((Inputs!$C$5:$C$230=$B41)*Inputs!$D$5:$D$230*(((Inputs!$G$5:$G$230="moeda")+(Inputs!$G$5:$G$230="acoes"))*Inputs!$B$1+((Inputs!$G$5:$G$230&lt;&gt;"moeda")*(Inputs!$G$5:$G$230&lt;&gt;"acoes")))*INDEX(Inputs!$K$5:$AJ$230,0,MATCH(P$2,Inputs!$K$4:$AJ$4,0)))+SUMPRODUCT((Inputs!$E$5:$E$230=$B41)*Inputs!$F$5:$F$230*(((Inputs!$G$5:$G$230="moeda")+(Inputs!$G$5:$G$230="acoes"))*Inputs!$B$1+((Inputs!$G$5:$G$230&lt;&gt;"moeda")*(Inputs!$G$5:$G$230&lt;&gt;"acoes")))*INDEX(Inputs!$K$5:$AJ$230,0,MATCH(P$2,Inputs!$K$4:$AJ$4,0)))))</f>
        <v>3320.519</v>
      </c>
      <c r="Q41" s="6">
        <f>IF(ISNA(MATCH(Q$2,Inputs!$K$4:$AJ$4,0)),NA(),IF(SUMPRODUCT((Inputs!$A$5:$A$230=$B41)*ISNUMBER(INDEX(Inputs!$K$5:$AJ$230,0,MATCH(Q$2,Inputs!$K$4:$AJ$4,0))))+SUMPRODUCT((Inputs!$C$5:$C$230=$B41)*ISNUMBER(INDEX(Inputs!$K$5:$AJ$230,0,MATCH(Q$2,Inputs!$K$4:$AJ$4,0))))+SUMPRODUCT((Inputs!$E$5:$E$230=$B41)*ISNUMBER(INDEX(Inputs!$K$5:$AJ$230,0,MATCH(Q$2,Inputs!$K$4:$AJ$4,0))))=0,NA(),SUMPRODUCT((Inputs!$A$5:$A$230=$B41)*Inputs!$B$5:$B$230*(((Inputs!$G$5:$G$230="moeda")+(Inputs!$G$5:$G$230="acoes"))*Inputs!$B$1+((Inputs!$G$5:$G$230&lt;&gt;"moeda")*(Inputs!$G$5:$G$230&lt;&gt;"acoes")))*INDEX(Inputs!$K$5:$AJ$230,0,MATCH(Q$2,Inputs!$K$4:$AJ$4,0)))+SUMPRODUCT((Inputs!$C$5:$C$230=$B41)*Inputs!$D$5:$D$230*(((Inputs!$G$5:$G$230="moeda")+(Inputs!$G$5:$G$230="acoes"))*Inputs!$B$1+((Inputs!$G$5:$G$230&lt;&gt;"moeda")*(Inputs!$G$5:$G$230&lt;&gt;"acoes")))*INDEX(Inputs!$K$5:$AJ$230,0,MATCH(Q$2,Inputs!$K$4:$AJ$4,0)))+SUMPRODUCT((Inputs!$E$5:$E$230=$B41)*Inputs!$F$5:$F$230*(((Inputs!$G$5:$G$230="moeda")+(Inputs!$G$5:$G$230="acoes"))*Inputs!$B$1+((Inputs!$G$5:$G$230&lt;&gt;"moeda")*(Inputs!$G$5:$G$230&lt;&gt;"acoes")))*INDEX(Inputs!$K$5:$AJ$230,0,MATCH(Q$2,Inputs!$K$4:$AJ$4,0)))))</f>
        <v>3273.249</v>
      </c>
      <c r="R41" s="3">
        <f>Q41</f>
        <v>3273.249</v>
      </c>
      <c r="S41" s="6">
        <f>IF(ISNA(MATCH(S$2,Inputs!$K$4:$AJ$4,0)),NA(),IF(SUMPRODUCT((Inputs!$A$5:$A$230=$B41)*ISNUMBER(INDEX(Inputs!$K$5:$AJ$230,0,MATCH(S$2,Inputs!$K$4:$AJ$4,0))))+SUMPRODUCT((Inputs!$C$5:$C$230=$B41)*ISNUMBER(INDEX(Inputs!$K$5:$AJ$230,0,MATCH(S$2,Inputs!$K$4:$AJ$4,0))))+SUMPRODUCT((Inputs!$E$5:$E$230=$B41)*ISNUMBER(INDEX(Inputs!$K$5:$AJ$230,0,MATCH(S$2,Inputs!$K$4:$AJ$4,0))))=0,NA(),SUMPRODUCT((Inputs!$A$5:$A$230=$B41)*Inputs!$B$5:$B$230*(((Inputs!$G$5:$G$230="moeda")+(Inputs!$G$5:$G$230="acoes"))*Inputs!$B$1+((Inputs!$G$5:$G$230&lt;&gt;"moeda")*(Inputs!$G$5:$G$230&lt;&gt;"acoes")))*INDEX(Inputs!$K$5:$AJ$230,0,MATCH(S$2,Inputs!$K$4:$AJ$4,0)))+SUMPRODUCT((Inputs!$C$5:$C$230=$B41)*Inputs!$D$5:$D$230*(((Inputs!$G$5:$G$230="moeda")+(Inputs!$G$5:$G$230="acoes"))*Inputs!$B$1+((Inputs!$G$5:$G$230&lt;&gt;"moeda")*(Inputs!$G$5:$G$230&lt;&gt;"acoes")))*INDEX(Inputs!$K$5:$AJ$230,0,MATCH(S$2,Inputs!$K$4:$AJ$4,0)))+SUMPRODUCT((Inputs!$E$5:$E$230=$B41)*Inputs!$F$5:$F$230*(((Inputs!$G$5:$G$230="moeda")+(Inputs!$G$5:$G$230="acoes"))*Inputs!$B$1+((Inputs!$G$5:$G$230&lt;&gt;"moeda")*(Inputs!$G$5:$G$230&lt;&gt;"acoes")))*INDEX(Inputs!$K$5:$AJ$230,0,MATCH(S$2,Inputs!$K$4:$AJ$4,0)))))</f>
        <v>3423.454</v>
      </c>
      <c r="T41" s="6">
        <f>IF(ISNA(MATCH(T$2,Inputs!$K$4:$AJ$4,0)),NA(),IF(SUMPRODUCT((Inputs!$A$5:$A$230=$B41)*ISNUMBER(INDEX(Inputs!$K$5:$AJ$230,0,MATCH(T$2,Inputs!$K$4:$AJ$4,0))))+SUMPRODUCT((Inputs!$C$5:$C$230=$B41)*ISNUMBER(INDEX(Inputs!$K$5:$AJ$230,0,MATCH(T$2,Inputs!$K$4:$AJ$4,0))))+SUMPRODUCT((Inputs!$E$5:$E$230=$B41)*ISNUMBER(INDEX(Inputs!$K$5:$AJ$230,0,MATCH(T$2,Inputs!$K$4:$AJ$4,0))))=0,NA(),SUMPRODUCT((Inputs!$A$5:$A$230=$B41)*Inputs!$B$5:$B$230*(((Inputs!$G$5:$G$230="moeda")+(Inputs!$G$5:$G$230="acoes"))*Inputs!$B$1+((Inputs!$G$5:$G$230&lt;&gt;"moeda")*(Inputs!$G$5:$G$230&lt;&gt;"acoes")))*INDEX(Inputs!$K$5:$AJ$230,0,MATCH(T$2,Inputs!$K$4:$AJ$4,0)))+SUMPRODUCT((Inputs!$C$5:$C$230=$B41)*Inputs!$D$5:$D$230*(((Inputs!$G$5:$G$230="moeda")+(Inputs!$G$5:$G$230="acoes"))*Inputs!$B$1+((Inputs!$G$5:$G$230&lt;&gt;"moeda")*(Inputs!$G$5:$G$230&lt;&gt;"acoes")))*INDEX(Inputs!$K$5:$AJ$230,0,MATCH(T$2,Inputs!$K$4:$AJ$4,0)))+SUMPRODUCT((Inputs!$E$5:$E$230=$B41)*Inputs!$F$5:$F$230*(((Inputs!$G$5:$G$230="moeda")+(Inputs!$G$5:$G$230="acoes"))*Inputs!$B$1+((Inputs!$G$5:$G$230&lt;&gt;"moeda")*(Inputs!$G$5:$G$230&lt;&gt;"acoes")))*INDEX(Inputs!$K$5:$AJ$230,0,MATCH(T$2,Inputs!$K$4:$AJ$4,0)))))</f>
        <v>3448.681</v>
      </c>
      <c r="U41" s="6">
        <f>IF(ISNA(MATCH(U$2,Inputs!$K$4:$AJ$4,0)),NA(),IF(SUMPRODUCT((Inputs!$A$5:$A$230=$B41)*ISNUMBER(INDEX(Inputs!$K$5:$AJ$230,0,MATCH(U$2,Inputs!$K$4:$AJ$4,0))))+SUMPRODUCT((Inputs!$C$5:$C$230=$B41)*ISNUMBER(INDEX(Inputs!$K$5:$AJ$230,0,MATCH(U$2,Inputs!$K$4:$AJ$4,0))))+SUMPRODUCT((Inputs!$E$5:$E$230=$B41)*ISNUMBER(INDEX(Inputs!$K$5:$AJ$230,0,MATCH(U$2,Inputs!$K$4:$AJ$4,0))))=0,NA(),SUMPRODUCT((Inputs!$A$5:$A$230=$B41)*Inputs!$B$5:$B$230*(((Inputs!$G$5:$G$230="moeda")+(Inputs!$G$5:$G$230="acoes"))*Inputs!$B$1+((Inputs!$G$5:$G$230&lt;&gt;"moeda")*(Inputs!$G$5:$G$230&lt;&gt;"acoes")))*INDEX(Inputs!$K$5:$AJ$230,0,MATCH(U$2,Inputs!$K$4:$AJ$4,0)))+SUMPRODUCT((Inputs!$C$5:$C$230=$B41)*Inputs!$D$5:$D$230*(((Inputs!$G$5:$G$230="moeda")+(Inputs!$G$5:$G$230="acoes"))*Inputs!$B$1+((Inputs!$G$5:$G$230&lt;&gt;"moeda")*(Inputs!$G$5:$G$230&lt;&gt;"acoes")))*INDEX(Inputs!$K$5:$AJ$230,0,MATCH(U$2,Inputs!$K$4:$AJ$4,0)))+SUMPRODUCT((Inputs!$E$5:$E$230=$B41)*Inputs!$F$5:$F$230*(((Inputs!$G$5:$G$230="moeda")+(Inputs!$G$5:$G$230="acoes"))*Inputs!$B$1+((Inputs!$G$5:$G$230&lt;&gt;"moeda")*(Inputs!$G$5:$G$230&lt;&gt;"acoes")))*INDEX(Inputs!$K$5:$AJ$230,0,MATCH(U$2,Inputs!$K$4:$AJ$4,0)))))</f>
        <v>3695.059</v>
      </c>
      <c r="V41" s="6">
        <f>IF(ISNA(MATCH(V$2,Inputs!$K$4:$AJ$4,0)),NA(),IF(SUMPRODUCT((Inputs!$A$5:$A$230=$B41)*ISNUMBER(INDEX(Inputs!$K$5:$AJ$230,0,MATCH(V$2,Inputs!$K$4:$AJ$4,0))))+SUMPRODUCT((Inputs!$C$5:$C$230=$B41)*ISNUMBER(INDEX(Inputs!$K$5:$AJ$230,0,MATCH(V$2,Inputs!$K$4:$AJ$4,0))))+SUMPRODUCT((Inputs!$E$5:$E$230=$B41)*ISNUMBER(INDEX(Inputs!$K$5:$AJ$230,0,MATCH(V$2,Inputs!$K$4:$AJ$4,0))))=0,NA(),SUMPRODUCT((Inputs!$A$5:$A$230=$B41)*Inputs!$B$5:$B$230*(((Inputs!$G$5:$G$230="moeda")+(Inputs!$G$5:$G$230="acoes"))*Inputs!$B$1+((Inputs!$G$5:$G$230&lt;&gt;"moeda")*(Inputs!$G$5:$G$230&lt;&gt;"acoes")))*INDEX(Inputs!$K$5:$AJ$230,0,MATCH(V$2,Inputs!$K$4:$AJ$4,0)))+SUMPRODUCT((Inputs!$C$5:$C$230=$B41)*Inputs!$D$5:$D$230*(((Inputs!$G$5:$G$230="moeda")+(Inputs!$G$5:$G$230="acoes"))*Inputs!$B$1+((Inputs!$G$5:$G$230&lt;&gt;"moeda")*(Inputs!$G$5:$G$230&lt;&gt;"acoes")))*INDEX(Inputs!$K$5:$AJ$230,0,MATCH(V$2,Inputs!$K$4:$AJ$4,0)))+SUMPRODUCT((Inputs!$E$5:$E$230=$B41)*Inputs!$F$5:$F$230*(((Inputs!$G$5:$G$230="moeda")+(Inputs!$G$5:$G$230="acoes"))*Inputs!$B$1+((Inputs!$G$5:$G$230&lt;&gt;"moeda")*(Inputs!$G$5:$G$230&lt;&gt;"acoes")))*INDEX(Inputs!$K$5:$AJ$230,0,MATCH(V$2,Inputs!$K$4:$AJ$4,0)))))</f>
        <v>3483.372</v>
      </c>
      <c r="W41" s="3">
        <f>V41</f>
        <v>3483.372</v>
      </c>
      <c r="X41" s="6">
        <f>IF(ISNA(MATCH(X$2,Inputs!$K$4:$AJ$4,0)),NA(),IF(SUMPRODUCT((Inputs!$A$5:$A$230=$B41)*ISNUMBER(INDEX(Inputs!$K$5:$AJ$230,0,MATCH(X$2,Inputs!$K$4:$AJ$4,0))))+SUMPRODUCT((Inputs!$C$5:$C$230=$B41)*ISNUMBER(INDEX(Inputs!$K$5:$AJ$230,0,MATCH(X$2,Inputs!$K$4:$AJ$4,0))))+SUMPRODUCT((Inputs!$E$5:$E$230=$B41)*ISNUMBER(INDEX(Inputs!$K$5:$AJ$230,0,MATCH(X$2,Inputs!$K$4:$AJ$4,0))))=0,NA(),SUMPRODUCT((Inputs!$A$5:$A$230=$B41)*Inputs!$B$5:$B$230*(((Inputs!$G$5:$G$230="moeda")+(Inputs!$G$5:$G$230="acoes"))*Inputs!$B$1+((Inputs!$G$5:$G$230&lt;&gt;"moeda")*(Inputs!$G$5:$G$230&lt;&gt;"acoes")))*INDEX(Inputs!$K$5:$AJ$230,0,MATCH(X$2,Inputs!$K$4:$AJ$4,0)))+SUMPRODUCT((Inputs!$C$5:$C$230=$B41)*Inputs!$D$5:$D$230*(((Inputs!$G$5:$G$230="moeda")+(Inputs!$G$5:$G$230="acoes"))*Inputs!$B$1+((Inputs!$G$5:$G$230&lt;&gt;"moeda")*(Inputs!$G$5:$G$230&lt;&gt;"acoes")))*INDEX(Inputs!$K$5:$AJ$230,0,MATCH(X$2,Inputs!$K$4:$AJ$4,0)))+SUMPRODUCT((Inputs!$E$5:$E$230=$B41)*Inputs!$F$5:$F$230*(((Inputs!$G$5:$G$230="moeda")+(Inputs!$G$5:$G$230="acoes"))*Inputs!$B$1+((Inputs!$G$5:$G$230&lt;&gt;"moeda")*(Inputs!$G$5:$G$230&lt;&gt;"acoes")))*INDEX(Inputs!$K$5:$AJ$230,0,MATCH(X$2,Inputs!$K$4:$AJ$4,0)))))</f>
        <v>3664.272</v>
      </c>
      <c r="Y41" s="6">
        <f>IF(ISNA(MATCH(Y$2,Inputs!$K$4:$AJ$4,0)),NA(),IF(SUMPRODUCT((Inputs!$A$5:$A$230=$B41)*ISNUMBER(INDEX(Inputs!$K$5:$AJ$230,0,MATCH(Y$2,Inputs!$K$4:$AJ$4,0))))+SUMPRODUCT((Inputs!$C$5:$C$230=$B41)*ISNUMBER(INDEX(Inputs!$K$5:$AJ$230,0,MATCH(Y$2,Inputs!$K$4:$AJ$4,0))))+SUMPRODUCT((Inputs!$E$5:$E$230=$B41)*ISNUMBER(INDEX(Inputs!$K$5:$AJ$230,0,MATCH(Y$2,Inputs!$K$4:$AJ$4,0))))=0,NA(),SUMPRODUCT((Inputs!$A$5:$A$230=$B41)*Inputs!$B$5:$B$230*(((Inputs!$G$5:$G$230="moeda")+(Inputs!$G$5:$G$230="acoes"))*Inputs!$B$1+((Inputs!$G$5:$G$230&lt;&gt;"moeda")*(Inputs!$G$5:$G$230&lt;&gt;"acoes")))*INDEX(Inputs!$K$5:$AJ$230,0,MATCH(Y$2,Inputs!$K$4:$AJ$4,0)))+SUMPRODUCT((Inputs!$C$5:$C$230=$B41)*Inputs!$D$5:$D$230*(((Inputs!$G$5:$G$230="moeda")+(Inputs!$G$5:$G$230="acoes"))*Inputs!$B$1+((Inputs!$G$5:$G$230&lt;&gt;"moeda")*(Inputs!$G$5:$G$230&lt;&gt;"acoes")))*INDEX(Inputs!$K$5:$AJ$230,0,MATCH(Y$2,Inputs!$K$4:$AJ$4,0)))+SUMPRODUCT((Inputs!$E$5:$E$230=$B41)*Inputs!$F$5:$F$230*(((Inputs!$G$5:$G$230="moeda")+(Inputs!$G$5:$G$230="acoes"))*Inputs!$B$1+((Inputs!$G$5:$G$230&lt;&gt;"moeda")*(Inputs!$G$5:$G$230&lt;&gt;"acoes")))*INDEX(Inputs!$K$5:$AJ$230,0,MATCH(Y$2,Inputs!$K$4:$AJ$4,0)))))</f>
        <v>3483.293</v>
      </c>
      <c r="Z41" s="6">
        <f>IF(ISNA(MATCH(Z$2,Inputs!$K$4:$AJ$4,0)),NA(),IF(SUMPRODUCT((Inputs!$A$5:$A$230=$B41)*ISNUMBER(INDEX(Inputs!$K$5:$AJ$230,0,MATCH(Z$2,Inputs!$K$4:$AJ$4,0))))+SUMPRODUCT((Inputs!$C$5:$C$230=$B41)*ISNUMBER(INDEX(Inputs!$K$5:$AJ$230,0,MATCH(Z$2,Inputs!$K$4:$AJ$4,0))))+SUMPRODUCT((Inputs!$E$5:$E$230=$B41)*ISNUMBER(INDEX(Inputs!$K$5:$AJ$230,0,MATCH(Z$2,Inputs!$K$4:$AJ$4,0))))=0,NA(),SUMPRODUCT((Inputs!$A$5:$A$230=$B41)*Inputs!$B$5:$B$230*(((Inputs!$G$5:$G$230="moeda")+(Inputs!$G$5:$G$230="acoes"))*Inputs!$B$1+((Inputs!$G$5:$G$230&lt;&gt;"moeda")*(Inputs!$G$5:$G$230&lt;&gt;"acoes")))*INDEX(Inputs!$K$5:$AJ$230,0,MATCH(Z$2,Inputs!$K$4:$AJ$4,0)))+SUMPRODUCT((Inputs!$C$5:$C$230=$B41)*Inputs!$D$5:$D$230*(((Inputs!$G$5:$G$230="moeda")+(Inputs!$G$5:$G$230="acoes"))*Inputs!$B$1+((Inputs!$G$5:$G$230&lt;&gt;"moeda")*(Inputs!$G$5:$G$230&lt;&gt;"acoes")))*INDEX(Inputs!$K$5:$AJ$230,0,MATCH(Z$2,Inputs!$K$4:$AJ$4,0)))+SUMPRODUCT((Inputs!$E$5:$E$230=$B41)*Inputs!$F$5:$F$230*(((Inputs!$G$5:$G$230="moeda")+(Inputs!$G$5:$G$230="acoes"))*Inputs!$B$1+((Inputs!$G$5:$G$230&lt;&gt;"moeda")*(Inputs!$G$5:$G$230&lt;&gt;"acoes")))*INDEX(Inputs!$K$5:$AJ$230,0,MATCH(Z$2,Inputs!$K$4:$AJ$4,0)))))</f>
        <v>3360.623</v>
      </c>
      <c r="AA41" s="6">
        <f>IF(ISNA(MATCH(AA$2,Inputs!$K$4:$AJ$4,0)),NA(),IF(SUMPRODUCT((Inputs!$A$5:$A$230=$B41)*ISNUMBER(INDEX(Inputs!$K$5:$AJ$230,0,MATCH(AA$2,Inputs!$K$4:$AJ$4,0))))+SUMPRODUCT((Inputs!$C$5:$C$230=$B41)*ISNUMBER(INDEX(Inputs!$K$5:$AJ$230,0,MATCH(AA$2,Inputs!$K$4:$AJ$4,0))))+SUMPRODUCT((Inputs!$E$5:$E$230=$B41)*ISNUMBER(INDEX(Inputs!$K$5:$AJ$230,0,MATCH(AA$2,Inputs!$K$4:$AJ$4,0))))=0,NA(),SUMPRODUCT((Inputs!$A$5:$A$230=$B41)*Inputs!$B$5:$B$230*(((Inputs!$G$5:$G$230="moeda")+(Inputs!$G$5:$G$230="acoes"))*Inputs!$B$1+((Inputs!$G$5:$G$230&lt;&gt;"moeda")*(Inputs!$G$5:$G$230&lt;&gt;"acoes")))*INDEX(Inputs!$K$5:$AJ$230,0,MATCH(AA$2,Inputs!$K$4:$AJ$4,0)))+SUMPRODUCT((Inputs!$C$5:$C$230=$B41)*Inputs!$D$5:$D$230*(((Inputs!$G$5:$G$230="moeda")+(Inputs!$G$5:$G$230="acoes"))*Inputs!$B$1+((Inputs!$G$5:$G$230&lt;&gt;"moeda")*(Inputs!$G$5:$G$230&lt;&gt;"acoes")))*INDEX(Inputs!$K$5:$AJ$230,0,MATCH(AA$2,Inputs!$K$4:$AJ$4,0)))+SUMPRODUCT((Inputs!$E$5:$E$230=$B41)*Inputs!$F$5:$F$230*(((Inputs!$G$5:$G$230="moeda")+(Inputs!$G$5:$G$230="acoes"))*Inputs!$B$1+((Inputs!$G$5:$G$230&lt;&gt;"moeda")*(Inputs!$G$5:$G$230&lt;&gt;"acoes")))*INDEX(Inputs!$K$5:$AJ$230,0,MATCH(AA$2,Inputs!$K$4:$AJ$4,0)))))</f>
        <v>3412.62</v>
      </c>
      <c r="AB41" s="3">
        <f>AA41</f>
        <v>3412.62</v>
      </c>
      <c r="AC41" s="6">
        <f>IF(ISNA(MATCH(AC$2,Inputs!$K$4:$AJ$4,0)),NA(),IF(SUMPRODUCT((Inputs!$A$5:$A$230=$B41)*ISNUMBER(INDEX(Inputs!$K$5:$AJ$230,0,MATCH(AC$2,Inputs!$K$4:$AJ$4,0))))+SUMPRODUCT((Inputs!$C$5:$C$230=$B41)*ISNUMBER(INDEX(Inputs!$K$5:$AJ$230,0,MATCH(AC$2,Inputs!$K$4:$AJ$4,0))))+SUMPRODUCT((Inputs!$E$5:$E$230=$B41)*ISNUMBER(INDEX(Inputs!$K$5:$AJ$230,0,MATCH(AC$2,Inputs!$K$4:$AJ$4,0))))=0,NA(),SUMPRODUCT((Inputs!$A$5:$A$230=$B41)*Inputs!$B$5:$B$230*(((Inputs!$G$5:$G$230="moeda")+(Inputs!$G$5:$G$230="acoes"))*Inputs!$B$1+((Inputs!$G$5:$G$230&lt;&gt;"moeda")*(Inputs!$G$5:$G$230&lt;&gt;"acoes")))*INDEX(Inputs!$K$5:$AJ$230,0,MATCH(AC$2,Inputs!$K$4:$AJ$4,0)))+SUMPRODUCT((Inputs!$C$5:$C$230=$B41)*Inputs!$D$5:$D$230*(((Inputs!$G$5:$G$230="moeda")+(Inputs!$G$5:$G$230="acoes"))*Inputs!$B$1+((Inputs!$G$5:$G$230&lt;&gt;"moeda")*(Inputs!$G$5:$G$230&lt;&gt;"acoes")))*INDEX(Inputs!$K$5:$AJ$230,0,MATCH(AC$2,Inputs!$K$4:$AJ$4,0)))+SUMPRODUCT((Inputs!$E$5:$E$230=$B41)*Inputs!$F$5:$F$230*(((Inputs!$G$5:$G$230="moeda")+(Inputs!$G$5:$G$230="acoes"))*Inputs!$B$1+((Inputs!$G$5:$G$230&lt;&gt;"moeda")*(Inputs!$G$5:$G$230&lt;&gt;"acoes")))*INDEX(Inputs!$K$5:$AJ$230,0,MATCH(AC$2,Inputs!$K$4:$AJ$4,0)))))</f>
        <v>3543.062</v>
      </c>
      <c r="AD41" s="6">
        <f>IF(ISNA(MATCH(AD$2,Inputs!$K$4:$AJ$4,0)),NA(),IF(SUMPRODUCT((Inputs!$A$5:$A$230=$B41)*ISNUMBER(INDEX(Inputs!$K$5:$AJ$230,0,MATCH(AD$2,Inputs!$K$4:$AJ$4,0))))+SUMPRODUCT((Inputs!$C$5:$C$230=$B41)*ISNUMBER(INDEX(Inputs!$K$5:$AJ$230,0,MATCH(AD$2,Inputs!$K$4:$AJ$4,0))))+SUMPRODUCT((Inputs!$E$5:$E$230=$B41)*ISNUMBER(INDEX(Inputs!$K$5:$AJ$230,0,MATCH(AD$2,Inputs!$K$4:$AJ$4,0))))=0,NA(),SUMPRODUCT((Inputs!$A$5:$A$230=$B41)*Inputs!$B$5:$B$230*(((Inputs!$G$5:$G$230="moeda")+(Inputs!$G$5:$G$230="acoes"))*Inputs!$B$1+((Inputs!$G$5:$G$230&lt;&gt;"moeda")*(Inputs!$G$5:$G$230&lt;&gt;"acoes")))*INDEX(Inputs!$K$5:$AJ$230,0,MATCH(AD$2,Inputs!$K$4:$AJ$4,0)))+SUMPRODUCT((Inputs!$C$5:$C$230=$B41)*Inputs!$D$5:$D$230*(((Inputs!$G$5:$G$230="moeda")+(Inputs!$G$5:$G$230="acoes"))*Inputs!$B$1+((Inputs!$G$5:$G$230&lt;&gt;"moeda")*(Inputs!$G$5:$G$230&lt;&gt;"acoes")))*INDEX(Inputs!$K$5:$AJ$230,0,MATCH(AD$2,Inputs!$K$4:$AJ$4,0)))+SUMPRODUCT((Inputs!$E$5:$E$230=$B41)*Inputs!$F$5:$F$230*(((Inputs!$G$5:$G$230="moeda")+(Inputs!$G$5:$G$230="acoes"))*Inputs!$B$1+((Inputs!$G$5:$G$230&lt;&gt;"moeda")*(Inputs!$G$5:$G$230&lt;&gt;"acoes")))*INDEX(Inputs!$K$5:$AJ$230,0,MATCH(AD$2,Inputs!$K$4:$AJ$4,0)))))</f>
        <v>3738.333</v>
      </c>
      <c r="AE41" s="6" t="e">
        <f>IF(ISNA(MATCH(AE$2,Inputs!$K$4:$AJ$4,0)),NA(),IF(SUMPRODUCT((Inputs!$A$5:$A$230=$B41)*ISNUMBER(INDEX(Inputs!$K$5:$AJ$230,0,MATCH(AE$2,Inputs!$K$4:$AJ$4,0))))+SUMPRODUCT((Inputs!$C$5:$C$230=$B41)*ISNUMBER(INDEX(Inputs!$K$5:$AJ$230,0,MATCH(AE$2,Inputs!$K$4:$AJ$4,0))))+SUMPRODUCT((Inputs!$E$5:$E$230=$B41)*ISNUMBER(INDEX(Inputs!$K$5:$AJ$230,0,MATCH(AE$2,Inputs!$K$4:$AJ$4,0))))=0,NA(),SUMPRODUCT((Inputs!$A$5:$A$230=$B41)*Inputs!$B$5:$B$230*(((Inputs!$G$5:$G$230="moeda")+(Inputs!$G$5:$G$230="acoes"))*Inputs!$B$1+((Inputs!$G$5:$G$230&lt;&gt;"moeda")*(Inputs!$G$5:$G$230&lt;&gt;"acoes")))*INDEX(Inputs!$K$5:$AJ$230,0,MATCH(AE$2,Inputs!$K$4:$AJ$4,0)))+SUMPRODUCT((Inputs!$C$5:$C$230=$B41)*Inputs!$D$5:$D$230*(((Inputs!$G$5:$G$230="moeda")+(Inputs!$G$5:$G$230="acoes"))*Inputs!$B$1+((Inputs!$G$5:$G$230&lt;&gt;"moeda")*(Inputs!$G$5:$G$230&lt;&gt;"acoes")))*INDEX(Inputs!$K$5:$AJ$230,0,MATCH(AE$2,Inputs!$K$4:$AJ$4,0)))+SUMPRODUCT((Inputs!$E$5:$E$230=$B41)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41" s="6" t="e">
        <f>IF(ISNA(MATCH(AF$2,Inputs!$K$4:$AJ$4,0)),NA(),IF(SUMPRODUCT((Inputs!$A$5:$A$230=$B41)*ISNUMBER(INDEX(Inputs!$K$5:$AJ$230,0,MATCH(AF$2,Inputs!$K$4:$AJ$4,0))))+SUMPRODUCT((Inputs!$C$5:$C$230=$B41)*ISNUMBER(INDEX(Inputs!$K$5:$AJ$230,0,MATCH(AF$2,Inputs!$K$4:$AJ$4,0))))+SUMPRODUCT((Inputs!$E$5:$E$230=$B41)*ISNUMBER(INDEX(Inputs!$K$5:$AJ$230,0,MATCH(AF$2,Inputs!$K$4:$AJ$4,0))))=0,NA(),SUMPRODUCT((Inputs!$A$5:$A$230=$B41)*Inputs!$B$5:$B$230*(((Inputs!$G$5:$G$230="moeda")+(Inputs!$G$5:$G$230="acoes"))*Inputs!$B$1+((Inputs!$G$5:$G$230&lt;&gt;"moeda")*(Inputs!$G$5:$G$230&lt;&gt;"acoes")))*INDEX(Inputs!$K$5:$AJ$230,0,MATCH(AF$2,Inputs!$K$4:$AJ$4,0)))+SUMPRODUCT((Inputs!$C$5:$C$230=$B41)*Inputs!$D$5:$D$230*(((Inputs!$G$5:$G$230="moeda")+(Inputs!$G$5:$G$230="acoes"))*Inputs!$B$1+((Inputs!$G$5:$G$230&lt;&gt;"moeda")*(Inputs!$G$5:$G$230&lt;&gt;"acoes")))*INDEX(Inputs!$K$5:$AJ$230,0,MATCH(AF$2,Inputs!$K$4:$AJ$4,0)))+SUMPRODUCT((Inputs!$E$5:$E$230=$B41)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41" s="3" t="e">
        <f>AF41</f>
        <v>#N/A</v>
      </c>
      <c r="AH41" s="6">
        <f>IF(ISNA(MATCH(AH$2,Inputs!$K$4:$AJ$4,0)),NA(),IF(SUMPRODUCT((Inputs!$A$5:$A$230=$B41)*ISNUMBER(INDEX(Inputs!$K$5:$AJ$230,0,MATCH(AH$2,Inputs!$K$4:$AJ$4,0))))+SUMPRODUCT((Inputs!$C$5:$C$230=$B41)*ISNUMBER(INDEX(Inputs!$K$5:$AJ$230,0,MATCH(AH$2,Inputs!$K$4:$AJ$4,0))))+SUMPRODUCT((Inputs!$E$5:$E$230=$B41)*ISNUMBER(INDEX(Inputs!$K$5:$AJ$230,0,MATCH(AH$2,Inputs!$K$4:$AJ$4,0))))=0,NA(),SUMPRODUCT((Inputs!$A$5:$A$230=$B41)*Inputs!$B$5:$B$230*(((Inputs!$G$5:$G$230="moeda")+(Inputs!$G$5:$G$230="acoes"))*Inputs!$B$1+((Inputs!$G$5:$G$230&lt;&gt;"moeda")*(Inputs!$G$5:$G$230&lt;&gt;"acoes")))*INDEX(Inputs!$K$5:$AJ$230,0,MATCH(AH$2,Inputs!$K$4:$AJ$4,0)))+SUMPRODUCT((Inputs!$C$5:$C$230=$B41)*Inputs!$D$5:$D$230*(((Inputs!$G$5:$G$230="moeda")+(Inputs!$G$5:$G$230="acoes"))*Inputs!$B$1+((Inputs!$G$5:$G$230&lt;&gt;"moeda")*(Inputs!$G$5:$G$230&lt;&gt;"acoes")))*INDEX(Inputs!$K$5:$AJ$230,0,MATCH(AH$2,Inputs!$K$4:$AJ$4,0)))+SUMPRODUCT((Inputs!$E$5:$E$230=$B41)*Inputs!$F$5:$F$230*(((Inputs!$G$5:$G$230="moeda")+(Inputs!$G$5:$G$230="acoes"))*Inputs!$B$1+((Inputs!$G$5:$G$230&lt;&gt;"moeda")*(Inputs!$G$5:$G$230&lt;&gt;"acoes")))*INDEX(Inputs!$K$5:$AJ$230,0,MATCH(AH$2,Inputs!$K$4:$AJ$4,0)))))</f>
        <v>2615.278</v>
      </c>
      <c r="AI41" s="6">
        <f>IF(ISNA(MATCH(AI$2,Inputs!$K$4:$AJ$4,0)),NA(),IF(SUMPRODUCT((Inputs!$A$5:$A$230=$B41)*ISNUMBER(INDEX(Inputs!$K$5:$AJ$230,0,MATCH(AI$2,Inputs!$K$4:$AJ$4,0))))+SUMPRODUCT((Inputs!$C$5:$C$230=$B41)*ISNUMBER(INDEX(Inputs!$K$5:$AJ$230,0,MATCH(AI$2,Inputs!$K$4:$AJ$4,0))))+SUMPRODUCT((Inputs!$E$5:$E$230=$B41)*ISNUMBER(INDEX(Inputs!$K$5:$AJ$230,0,MATCH(AI$2,Inputs!$K$4:$AJ$4,0))))=0,NA(),SUMPRODUCT((Inputs!$A$5:$A$230=$B41)*Inputs!$B$5:$B$230*(((Inputs!$G$5:$G$230="moeda")+(Inputs!$G$5:$G$230="acoes"))*Inputs!$B$1+((Inputs!$G$5:$G$230&lt;&gt;"moeda")*(Inputs!$G$5:$G$230&lt;&gt;"acoes")))*INDEX(Inputs!$K$5:$AJ$230,0,MATCH(AI$2,Inputs!$K$4:$AJ$4,0)))+SUMPRODUCT((Inputs!$C$5:$C$230=$B41)*Inputs!$D$5:$D$230*(((Inputs!$G$5:$G$230="moeda")+(Inputs!$G$5:$G$230="acoes"))*Inputs!$B$1+((Inputs!$G$5:$G$230&lt;&gt;"moeda")*(Inputs!$G$5:$G$230&lt;&gt;"acoes")))*INDEX(Inputs!$K$5:$AJ$230,0,MATCH(AI$2,Inputs!$K$4:$AJ$4,0)))+SUMPRODUCT((Inputs!$E$5:$E$230=$B41)*Inputs!$F$5:$F$230*(((Inputs!$G$5:$G$230="moeda")+(Inputs!$G$5:$G$230="acoes"))*Inputs!$B$1+((Inputs!$G$5:$G$230&lt;&gt;"moeda")*(Inputs!$G$5:$G$230&lt;&gt;"acoes")))*INDEX(Inputs!$K$5:$AJ$230,0,MATCH(AI$2,Inputs!$K$4:$AJ$4,0)))))</f>
        <v>2695.718</v>
      </c>
      <c r="AJ41" s="6">
        <f>IF(ISNA(MATCH(AJ$2,Inputs!$K$4:$AJ$4,0)),NA(),IF(SUMPRODUCT((Inputs!$A$5:$A$230=$B41)*ISNUMBER(INDEX(Inputs!$K$5:$AJ$230,0,MATCH(AJ$2,Inputs!$K$4:$AJ$4,0))))+SUMPRODUCT((Inputs!$C$5:$C$230=$B41)*ISNUMBER(INDEX(Inputs!$K$5:$AJ$230,0,MATCH(AJ$2,Inputs!$K$4:$AJ$4,0))))+SUMPRODUCT((Inputs!$E$5:$E$230=$B41)*ISNUMBER(INDEX(Inputs!$K$5:$AJ$230,0,MATCH(AJ$2,Inputs!$K$4:$AJ$4,0))))=0,NA(),SUMPRODUCT((Inputs!$A$5:$A$230=$B41)*Inputs!$B$5:$B$230*(((Inputs!$G$5:$G$230="moeda")+(Inputs!$G$5:$G$230="acoes"))*Inputs!$B$1+((Inputs!$G$5:$G$230&lt;&gt;"moeda")*(Inputs!$G$5:$G$230&lt;&gt;"acoes")))*INDEX(Inputs!$K$5:$AJ$230,0,MATCH(AJ$2,Inputs!$K$4:$AJ$4,0)))+SUMPRODUCT((Inputs!$C$5:$C$230=$B41)*Inputs!$D$5:$D$230*(((Inputs!$G$5:$G$230="moeda")+(Inputs!$G$5:$G$230="acoes"))*Inputs!$B$1+((Inputs!$G$5:$G$230&lt;&gt;"moeda")*(Inputs!$G$5:$G$230&lt;&gt;"acoes")))*INDEX(Inputs!$K$5:$AJ$230,0,MATCH(AJ$2,Inputs!$K$4:$AJ$4,0)))+SUMPRODUCT((Inputs!$E$5:$E$230=$B41)*Inputs!$F$5:$F$230*(((Inputs!$G$5:$G$230="moeda")+(Inputs!$G$5:$G$230="acoes"))*Inputs!$B$1+((Inputs!$G$5:$G$230&lt;&gt;"moeda")*(Inputs!$G$5:$G$230&lt;&gt;"acoes")))*INDEX(Inputs!$K$5:$AJ$230,0,MATCH(AJ$2,Inputs!$K$4:$AJ$4,0)))))</f>
        <v>2904.541</v>
      </c>
      <c r="AK41" s="6">
        <f>IF(ISNA(MATCH(AK$2,Inputs!$K$4:$AJ$4,0)),NA(),IF(SUMPRODUCT((Inputs!$A$5:$A$230=$B41)*ISNUMBER(INDEX(Inputs!$K$5:$AJ$230,0,MATCH(AK$2,Inputs!$K$4:$AJ$4,0))))+SUMPRODUCT((Inputs!$C$5:$C$230=$B41)*ISNUMBER(INDEX(Inputs!$K$5:$AJ$230,0,MATCH(AK$2,Inputs!$K$4:$AJ$4,0))))+SUMPRODUCT((Inputs!$E$5:$E$230=$B41)*ISNUMBER(INDEX(Inputs!$K$5:$AJ$230,0,MATCH(AK$2,Inputs!$K$4:$AJ$4,0))))=0,NA(),SUMPRODUCT((Inputs!$A$5:$A$230=$B41)*Inputs!$B$5:$B$230*(((Inputs!$G$5:$G$230="moeda")+(Inputs!$G$5:$G$230="acoes"))*Inputs!$B$1+((Inputs!$G$5:$G$230&lt;&gt;"moeda")*(Inputs!$G$5:$G$230&lt;&gt;"acoes")))*INDEX(Inputs!$K$5:$AJ$230,0,MATCH(AK$2,Inputs!$K$4:$AJ$4,0)))+SUMPRODUCT((Inputs!$C$5:$C$230=$B41)*Inputs!$D$5:$D$230*(((Inputs!$G$5:$G$230="moeda")+(Inputs!$G$5:$G$230="acoes"))*Inputs!$B$1+((Inputs!$G$5:$G$230&lt;&gt;"moeda")*(Inputs!$G$5:$G$230&lt;&gt;"acoes")))*INDEX(Inputs!$K$5:$AJ$230,0,MATCH(AK$2,Inputs!$K$4:$AJ$4,0)))+SUMPRODUCT((Inputs!$E$5:$E$230=$B41)*Inputs!$F$5:$F$230*(((Inputs!$G$5:$G$230="moeda")+(Inputs!$G$5:$G$230="acoes"))*Inputs!$B$1+((Inputs!$G$5:$G$230&lt;&gt;"moeda")*(Inputs!$G$5:$G$230&lt;&gt;"acoes")))*INDEX(Inputs!$K$5:$AJ$230,0,MATCH(AK$2,Inputs!$K$4:$AJ$4,0)))))</f>
        <v>3194.564</v>
      </c>
      <c r="AL41" s="3">
        <f>AK41</f>
        <v>3194.564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$230=$B42)*ISNUMBER(INDEX(Inputs!$K$5:$AJ$230,0,MATCH(D$2,Inputs!$K$4:$AJ$4,0))))+SUMPRODUCT((Inputs!$C$5:$C$230=$B42)*ISNUMBER(INDEX(Inputs!$K$5:$AJ$230,0,MATCH(D$2,Inputs!$K$4:$AJ$4,0))))+SUMPRODUCT((Inputs!$E$5:$E$230=$B42)*ISNUMBER(INDEX(Inputs!$K$5:$AJ$230,0,MATCH(D$2,Inputs!$K$4:$AJ$4,0))))=0,NA(),SUMPRODUCT((Inputs!$A$5:$A$230=$B42)*Inputs!$B$5:$B$230*(((Inputs!$G$5:$G$230="moeda")+(Inputs!$G$5:$G$230="acoes"))*Inputs!$B$1+((Inputs!$G$5:$G$230&lt;&gt;"moeda")*(Inputs!$G$5:$G$230&lt;&gt;"acoes")))*INDEX(Inputs!$K$5:$AJ$230,0,MATCH(D$2,Inputs!$K$4:$AJ$4,0)))+SUMPRODUCT((Inputs!$C$5:$C$230=$B42)*Inputs!$D$5:$D$230*(((Inputs!$G$5:$G$230="moeda")+(Inputs!$G$5:$G$230="acoes"))*Inputs!$B$1+((Inputs!$G$5:$G$230&lt;&gt;"moeda")*(Inputs!$G$5:$G$230&lt;&gt;"acoes")))*INDEX(Inputs!$K$5:$AJ$230,0,MATCH(D$2,Inputs!$K$4:$AJ$4,0)))+SUMPRODUCT((Inputs!$E$5:$E$230=$B42)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42" s="6" t="e">
        <f>IF(ISNA(MATCH(E$2,Inputs!$K$4:$AJ$4,0)),NA(),IF(SUMPRODUCT((Inputs!$A$5:$A$230=$B42)*ISNUMBER(INDEX(Inputs!$K$5:$AJ$230,0,MATCH(E$2,Inputs!$K$4:$AJ$4,0))))+SUMPRODUCT((Inputs!$C$5:$C$230=$B42)*ISNUMBER(INDEX(Inputs!$K$5:$AJ$230,0,MATCH(E$2,Inputs!$K$4:$AJ$4,0))))+SUMPRODUCT((Inputs!$E$5:$E$230=$B42)*ISNUMBER(INDEX(Inputs!$K$5:$AJ$230,0,MATCH(E$2,Inputs!$K$4:$AJ$4,0))))=0,NA(),SUMPRODUCT((Inputs!$A$5:$A$230=$B42)*Inputs!$B$5:$B$230*(((Inputs!$G$5:$G$230="moeda")+(Inputs!$G$5:$G$230="acoes"))*Inputs!$B$1+((Inputs!$G$5:$G$230&lt;&gt;"moeda")*(Inputs!$G$5:$G$230&lt;&gt;"acoes")))*INDEX(Inputs!$K$5:$AJ$230,0,MATCH(E$2,Inputs!$K$4:$AJ$4,0)))+SUMPRODUCT((Inputs!$C$5:$C$230=$B42)*Inputs!$D$5:$D$230*(((Inputs!$G$5:$G$230="moeda")+(Inputs!$G$5:$G$230="acoes"))*Inputs!$B$1+((Inputs!$G$5:$G$230&lt;&gt;"moeda")*(Inputs!$G$5:$G$230&lt;&gt;"acoes")))*INDEX(Inputs!$K$5:$AJ$230,0,MATCH(E$2,Inputs!$K$4:$AJ$4,0)))+SUMPRODUCT((Inputs!$E$5:$E$230=$B42)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42" s="6" t="e">
        <f>IF(ISNA(MATCH(F$2,Inputs!$K$4:$AJ$4,0)),NA(),IF(SUMPRODUCT((Inputs!$A$5:$A$230=$B42)*ISNUMBER(INDEX(Inputs!$K$5:$AJ$230,0,MATCH(F$2,Inputs!$K$4:$AJ$4,0))))+SUMPRODUCT((Inputs!$C$5:$C$230=$B42)*ISNUMBER(INDEX(Inputs!$K$5:$AJ$230,0,MATCH(F$2,Inputs!$K$4:$AJ$4,0))))+SUMPRODUCT((Inputs!$E$5:$E$230=$B42)*ISNUMBER(INDEX(Inputs!$K$5:$AJ$230,0,MATCH(F$2,Inputs!$K$4:$AJ$4,0))))=0,NA(),SUMPRODUCT((Inputs!$A$5:$A$230=$B42)*Inputs!$B$5:$B$230*(((Inputs!$G$5:$G$230="moeda")+(Inputs!$G$5:$G$230="acoes"))*Inputs!$B$1+((Inputs!$G$5:$G$230&lt;&gt;"moeda")*(Inputs!$G$5:$G$230&lt;&gt;"acoes")))*INDEX(Inputs!$K$5:$AJ$230,0,MATCH(F$2,Inputs!$K$4:$AJ$4,0)))+SUMPRODUCT((Inputs!$C$5:$C$230=$B42)*Inputs!$D$5:$D$230*(((Inputs!$G$5:$G$230="moeda")+(Inputs!$G$5:$G$230="acoes"))*Inputs!$B$1+((Inputs!$G$5:$G$230&lt;&gt;"moeda")*(Inputs!$G$5:$G$230&lt;&gt;"acoes")))*INDEX(Inputs!$K$5:$AJ$230,0,MATCH(F$2,Inputs!$K$4:$AJ$4,0)))+SUMPRODUCT((Inputs!$E$5:$E$230=$B42)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42" s="6" t="e">
        <f>IF(ISNA(MATCH(G$2,Inputs!$K$4:$AJ$4,0)),NA(),IF(SUMPRODUCT((Inputs!$A$5:$A$230=$B42)*ISNUMBER(INDEX(Inputs!$K$5:$AJ$230,0,MATCH(G$2,Inputs!$K$4:$AJ$4,0))))+SUMPRODUCT((Inputs!$C$5:$C$230=$B42)*ISNUMBER(INDEX(Inputs!$K$5:$AJ$230,0,MATCH(G$2,Inputs!$K$4:$AJ$4,0))))+SUMPRODUCT((Inputs!$E$5:$E$230=$B42)*ISNUMBER(INDEX(Inputs!$K$5:$AJ$230,0,MATCH(G$2,Inputs!$K$4:$AJ$4,0))))=0,NA(),SUMPRODUCT((Inputs!$A$5:$A$230=$B42)*Inputs!$B$5:$B$230*(((Inputs!$G$5:$G$230="moeda")+(Inputs!$G$5:$G$230="acoes"))*Inputs!$B$1+((Inputs!$G$5:$G$230&lt;&gt;"moeda")*(Inputs!$G$5:$G$230&lt;&gt;"acoes")))*INDEX(Inputs!$K$5:$AJ$230,0,MATCH(G$2,Inputs!$K$4:$AJ$4,0)))+SUMPRODUCT((Inputs!$C$5:$C$230=$B42)*Inputs!$D$5:$D$230*(((Inputs!$G$5:$G$230="moeda")+(Inputs!$G$5:$G$230="acoes"))*Inputs!$B$1+((Inputs!$G$5:$G$230&lt;&gt;"moeda")*(Inputs!$G$5:$G$230&lt;&gt;"acoes")))*INDEX(Inputs!$K$5:$AJ$230,0,MATCH(G$2,Inputs!$K$4:$AJ$4,0)))+SUMPRODUCT((Inputs!$E$5:$E$230=$B42)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42" s="3" t="e">
        <f>G42</f>
        <v>#N/A</v>
      </c>
      <c r="I42" s="6" t="e">
        <f>IF(ISNA(MATCH(I$2,Inputs!$K$4:$AJ$4,0)),NA(),IF(SUMPRODUCT((Inputs!$A$5:$A$230=$B42)*ISNUMBER(INDEX(Inputs!$K$5:$AJ$230,0,MATCH(I$2,Inputs!$K$4:$AJ$4,0))))+SUMPRODUCT((Inputs!$C$5:$C$230=$B42)*ISNUMBER(INDEX(Inputs!$K$5:$AJ$230,0,MATCH(I$2,Inputs!$K$4:$AJ$4,0))))+SUMPRODUCT((Inputs!$E$5:$E$230=$B42)*ISNUMBER(INDEX(Inputs!$K$5:$AJ$230,0,MATCH(I$2,Inputs!$K$4:$AJ$4,0))))=0,NA(),SUMPRODUCT((Inputs!$A$5:$A$230=$B42)*Inputs!$B$5:$B$230*(((Inputs!$G$5:$G$230="moeda")+(Inputs!$G$5:$G$230="acoes"))*Inputs!$B$1+((Inputs!$G$5:$G$230&lt;&gt;"moeda")*(Inputs!$G$5:$G$230&lt;&gt;"acoes")))*INDEX(Inputs!$K$5:$AJ$230,0,MATCH(I$2,Inputs!$K$4:$AJ$4,0)))+SUMPRODUCT((Inputs!$C$5:$C$230=$B42)*Inputs!$D$5:$D$230*(((Inputs!$G$5:$G$230="moeda")+(Inputs!$G$5:$G$230="acoes"))*Inputs!$B$1+((Inputs!$G$5:$G$230&lt;&gt;"moeda")*(Inputs!$G$5:$G$230&lt;&gt;"acoes")))*INDEX(Inputs!$K$5:$AJ$230,0,MATCH(I$2,Inputs!$K$4:$AJ$4,0)))+SUMPRODUCT((Inputs!$E$5:$E$230=$B42)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42" s="6" t="e">
        <f>IF(ISNA(MATCH(J$2,Inputs!$K$4:$AJ$4,0)),NA(),IF(SUMPRODUCT((Inputs!$A$5:$A$230=$B42)*ISNUMBER(INDEX(Inputs!$K$5:$AJ$230,0,MATCH(J$2,Inputs!$K$4:$AJ$4,0))))+SUMPRODUCT((Inputs!$C$5:$C$230=$B42)*ISNUMBER(INDEX(Inputs!$K$5:$AJ$230,0,MATCH(J$2,Inputs!$K$4:$AJ$4,0))))+SUMPRODUCT((Inputs!$E$5:$E$230=$B42)*ISNUMBER(INDEX(Inputs!$K$5:$AJ$230,0,MATCH(J$2,Inputs!$K$4:$AJ$4,0))))=0,NA(),SUMPRODUCT((Inputs!$A$5:$A$230=$B42)*Inputs!$B$5:$B$230*(((Inputs!$G$5:$G$230="moeda")+(Inputs!$G$5:$G$230="acoes"))*Inputs!$B$1+((Inputs!$G$5:$G$230&lt;&gt;"moeda")*(Inputs!$G$5:$G$230&lt;&gt;"acoes")))*INDEX(Inputs!$K$5:$AJ$230,0,MATCH(J$2,Inputs!$K$4:$AJ$4,0)))+SUMPRODUCT((Inputs!$C$5:$C$230=$B42)*Inputs!$D$5:$D$230*(((Inputs!$G$5:$G$230="moeda")+(Inputs!$G$5:$G$230="acoes"))*Inputs!$B$1+((Inputs!$G$5:$G$230&lt;&gt;"moeda")*(Inputs!$G$5:$G$230&lt;&gt;"acoes")))*INDEX(Inputs!$K$5:$AJ$230,0,MATCH(J$2,Inputs!$K$4:$AJ$4,0)))+SUMPRODUCT((Inputs!$E$5:$E$230=$B42)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42" s="6" t="e">
        <f>IF(ISNA(MATCH(K$2,Inputs!$K$4:$AJ$4,0)),NA(),IF(SUMPRODUCT((Inputs!$A$5:$A$230=$B42)*ISNUMBER(INDEX(Inputs!$K$5:$AJ$230,0,MATCH(K$2,Inputs!$K$4:$AJ$4,0))))+SUMPRODUCT((Inputs!$C$5:$C$230=$B42)*ISNUMBER(INDEX(Inputs!$K$5:$AJ$230,0,MATCH(K$2,Inputs!$K$4:$AJ$4,0))))+SUMPRODUCT((Inputs!$E$5:$E$230=$B42)*ISNUMBER(INDEX(Inputs!$K$5:$AJ$230,0,MATCH(K$2,Inputs!$K$4:$AJ$4,0))))=0,NA(),SUMPRODUCT((Inputs!$A$5:$A$230=$B42)*Inputs!$B$5:$B$230*(((Inputs!$G$5:$G$230="moeda")+(Inputs!$G$5:$G$230="acoes"))*Inputs!$B$1+((Inputs!$G$5:$G$230&lt;&gt;"moeda")*(Inputs!$G$5:$G$230&lt;&gt;"acoes")))*INDEX(Inputs!$K$5:$AJ$230,0,MATCH(K$2,Inputs!$K$4:$AJ$4,0)))+SUMPRODUCT((Inputs!$C$5:$C$230=$B42)*Inputs!$D$5:$D$230*(((Inputs!$G$5:$G$230="moeda")+(Inputs!$G$5:$G$230="acoes"))*Inputs!$B$1+((Inputs!$G$5:$G$230&lt;&gt;"moeda")*(Inputs!$G$5:$G$230&lt;&gt;"acoes")))*INDEX(Inputs!$K$5:$AJ$230,0,MATCH(K$2,Inputs!$K$4:$AJ$4,0)))+SUMPRODUCT((Inputs!$E$5:$E$230=$B42)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42" s="6" t="e">
        <f>IF(ISNA(MATCH(L$2,Inputs!$K$4:$AJ$4,0)),NA(),IF(SUMPRODUCT((Inputs!$A$5:$A$230=$B42)*ISNUMBER(INDEX(Inputs!$K$5:$AJ$230,0,MATCH(L$2,Inputs!$K$4:$AJ$4,0))))+SUMPRODUCT((Inputs!$C$5:$C$230=$B42)*ISNUMBER(INDEX(Inputs!$K$5:$AJ$230,0,MATCH(L$2,Inputs!$K$4:$AJ$4,0))))+SUMPRODUCT((Inputs!$E$5:$E$230=$B42)*ISNUMBER(INDEX(Inputs!$K$5:$AJ$230,0,MATCH(L$2,Inputs!$K$4:$AJ$4,0))))=0,NA(),SUMPRODUCT((Inputs!$A$5:$A$230=$B42)*Inputs!$B$5:$B$230*(((Inputs!$G$5:$G$230="moeda")+(Inputs!$G$5:$G$230="acoes"))*Inputs!$B$1+((Inputs!$G$5:$G$230&lt;&gt;"moeda")*(Inputs!$G$5:$G$230&lt;&gt;"acoes")))*INDEX(Inputs!$K$5:$AJ$230,0,MATCH(L$2,Inputs!$K$4:$AJ$4,0)))+SUMPRODUCT((Inputs!$C$5:$C$230=$B42)*Inputs!$D$5:$D$230*(((Inputs!$G$5:$G$230="moeda")+(Inputs!$G$5:$G$230="acoes"))*Inputs!$B$1+((Inputs!$G$5:$G$230&lt;&gt;"moeda")*(Inputs!$G$5:$G$230&lt;&gt;"acoes")))*INDEX(Inputs!$K$5:$AJ$230,0,MATCH(L$2,Inputs!$K$4:$AJ$4,0)))+SUMPRODUCT((Inputs!$E$5:$E$230=$B42)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42" s="3" t="e">
        <f>L42</f>
        <v>#N/A</v>
      </c>
      <c r="N42" s="6" t="e">
        <f>IF(ISNA(MATCH(N$2,Inputs!$K$4:$AJ$4,0)),NA(),IF(SUMPRODUCT((Inputs!$A$5:$A$230=$B42)*ISNUMBER(INDEX(Inputs!$K$5:$AJ$230,0,MATCH(N$2,Inputs!$K$4:$AJ$4,0))))+SUMPRODUCT((Inputs!$C$5:$C$230=$B42)*ISNUMBER(INDEX(Inputs!$K$5:$AJ$230,0,MATCH(N$2,Inputs!$K$4:$AJ$4,0))))+SUMPRODUCT((Inputs!$E$5:$E$230=$B42)*ISNUMBER(INDEX(Inputs!$K$5:$AJ$230,0,MATCH(N$2,Inputs!$K$4:$AJ$4,0))))=0,NA(),SUMPRODUCT((Inputs!$A$5:$A$230=$B42)*Inputs!$B$5:$B$230*(((Inputs!$G$5:$G$230="moeda")+(Inputs!$G$5:$G$230="acoes"))*Inputs!$B$1+((Inputs!$G$5:$G$230&lt;&gt;"moeda")*(Inputs!$G$5:$G$230&lt;&gt;"acoes")))*INDEX(Inputs!$K$5:$AJ$230,0,MATCH(N$2,Inputs!$K$4:$AJ$4,0)))+SUMPRODUCT((Inputs!$C$5:$C$230=$B42)*Inputs!$D$5:$D$230*(((Inputs!$G$5:$G$230="moeda")+(Inputs!$G$5:$G$230="acoes"))*Inputs!$B$1+((Inputs!$G$5:$G$230&lt;&gt;"moeda")*(Inputs!$G$5:$G$230&lt;&gt;"acoes")))*INDEX(Inputs!$K$5:$AJ$230,0,MATCH(N$2,Inputs!$K$4:$AJ$4,0)))+SUMPRODUCT((Inputs!$E$5:$E$230=$B42)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42" s="6" t="e">
        <f>IF(ISNA(MATCH(O$2,Inputs!$K$4:$AJ$4,0)),NA(),IF(SUMPRODUCT((Inputs!$A$5:$A$230=$B42)*ISNUMBER(INDEX(Inputs!$K$5:$AJ$230,0,MATCH(O$2,Inputs!$K$4:$AJ$4,0))))+SUMPRODUCT((Inputs!$C$5:$C$230=$B42)*ISNUMBER(INDEX(Inputs!$K$5:$AJ$230,0,MATCH(O$2,Inputs!$K$4:$AJ$4,0))))+SUMPRODUCT((Inputs!$E$5:$E$230=$B42)*ISNUMBER(INDEX(Inputs!$K$5:$AJ$230,0,MATCH(O$2,Inputs!$K$4:$AJ$4,0))))=0,NA(),SUMPRODUCT((Inputs!$A$5:$A$230=$B42)*Inputs!$B$5:$B$230*(((Inputs!$G$5:$G$230="moeda")+(Inputs!$G$5:$G$230="acoes"))*Inputs!$B$1+((Inputs!$G$5:$G$230&lt;&gt;"moeda")*(Inputs!$G$5:$G$230&lt;&gt;"acoes")))*INDEX(Inputs!$K$5:$AJ$230,0,MATCH(O$2,Inputs!$K$4:$AJ$4,0)))+SUMPRODUCT((Inputs!$C$5:$C$230=$B42)*Inputs!$D$5:$D$230*(((Inputs!$G$5:$G$230="moeda")+(Inputs!$G$5:$G$230="acoes"))*Inputs!$B$1+((Inputs!$G$5:$G$230&lt;&gt;"moeda")*(Inputs!$G$5:$G$230&lt;&gt;"acoes")))*INDEX(Inputs!$K$5:$AJ$230,0,MATCH(O$2,Inputs!$K$4:$AJ$4,0)))+SUMPRODUCT((Inputs!$E$5:$E$230=$B42)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42" s="6" t="e">
        <f>IF(ISNA(MATCH(P$2,Inputs!$K$4:$AJ$4,0)),NA(),IF(SUMPRODUCT((Inputs!$A$5:$A$230=$B42)*ISNUMBER(INDEX(Inputs!$K$5:$AJ$230,0,MATCH(P$2,Inputs!$K$4:$AJ$4,0))))+SUMPRODUCT((Inputs!$C$5:$C$230=$B42)*ISNUMBER(INDEX(Inputs!$K$5:$AJ$230,0,MATCH(P$2,Inputs!$K$4:$AJ$4,0))))+SUMPRODUCT((Inputs!$E$5:$E$230=$B42)*ISNUMBER(INDEX(Inputs!$K$5:$AJ$230,0,MATCH(P$2,Inputs!$K$4:$AJ$4,0))))=0,NA(),SUMPRODUCT((Inputs!$A$5:$A$230=$B42)*Inputs!$B$5:$B$230*(((Inputs!$G$5:$G$230="moeda")+(Inputs!$G$5:$G$230="acoes"))*Inputs!$B$1+((Inputs!$G$5:$G$230&lt;&gt;"moeda")*(Inputs!$G$5:$G$230&lt;&gt;"acoes")))*INDEX(Inputs!$K$5:$AJ$230,0,MATCH(P$2,Inputs!$K$4:$AJ$4,0)))+SUMPRODUCT((Inputs!$C$5:$C$230=$B42)*Inputs!$D$5:$D$230*(((Inputs!$G$5:$G$230="moeda")+(Inputs!$G$5:$G$230="acoes"))*Inputs!$B$1+((Inputs!$G$5:$G$230&lt;&gt;"moeda")*(Inputs!$G$5:$G$230&lt;&gt;"acoes")))*INDEX(Inputs!$K$5:$AJ$230,0,MATCH(P$2,Inputs!$K$4:$AJ$4,0)))+SUMPRODUCT((Inputs!$E$5:$E$230=$B42)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42" s="6" t="e">
        <f>IF(ISNA(MATCH(Q$2,Inputs!$K$4:$AJ$4,0)),NA(),IF(SUMPRODUCT((Inputs!$A$5:$A$230=$B42)*ISNUMBER(INDEX(Inputs!$K$5:$AJ$230,0,MATCH(Q$2,Inputs!$K$4:$AJ$4,0))))+SUMPRODUCT((Inputs!$C$5:$C$230=$B42)*ISNUMBER(INDEX(Inputs!$K$5:$AJ$230,0,MATCH(Q$2,Inputs!$K$4:$AJ$4,0))))+SUMPRODUCT((Inputs!$E$5:$E$230=$B42)*ISNUMBER(INDEX(Inputs!$K$5:$AJ$230,0,MATCH(Q$2,Inputs!$K$4:$AJ$4,0))))=0,NA(),SUMPRODUCT((Inputs!$A$5:$A$230=$B42)*Inputs!$B$5:$B$230*(((Inputs!$G$5:$G$230="moeda")+(Inputs!$G$5:$G$230="acoes"))*Inputs!$B$1+((Inputs!$G$5:$G$230&lt;&gt;"moeda")*(Inputs!$G$5:$G$230&lt;&gt;"acoes")))*INDEX(Inputs!$K$5:$AJ$230,0,MATCH(Q$2,Inputs!$K$4:$AJ$4,0)))+SUMPRODUCT((Inputs!$C$5:$C$230=$B42)*Inputs!$D$5:$D$230*(((Inputs!$G$5:$G$230="moeda")+(Inputs!$G$5:$G$230="acoes"))*Inputs!$B$1+((Inputs!$G$5:$G$230&lt;&gt;"moeda")*(Inputs!$G$5:$G$230&lt;&gt;"acoes")))*INDEX(Inputs!$K$5:$AJ$230,0,MATCH(Q$2,Inputs!$K$4:$AJ$4,0)))+SUMPRODUCT((Inputs!$E$5:$E$230=$B42)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42" s="3" t="e">
        <f>Q42</f>
        <v>#N/A</v>
      </c>
      <c r="S42" s="6" t="e">
        <f>IF(ISNA(MATCH(S$2,Inputs!$K$4:$AJ$4,0)),NA(),IF(SUMPRODUCT((Inputs!$A$5:$A$230=$B42)*ISNUMBER(INDEX(Inputs!$K$5:$AJ$230,0,MATCH(S$2,Inputs!$K$4:$AJ$4,0))))+SUMPRODUCT((Inputs!$C$5:$C$230=$B42)*ISNUMBER(INDEX(Inputs!$K$5:$AJ$230,0,MATCH(S$2,Inputs!$K$4:$AJ$4,0))))+SUMPRODUCT((Inputs!$E$5:$E$230=$B42)*ISNUMBER(INDEX(Inputs!$K$5:$AJ$230,0,MATCH(S$2,Inputs!$K$4:$AJ$4,0))))=0,NA(),SUMPRODUCT((Inputs!$A$5:$A$230=$B42)*Inputs!$B$5:$B$230*(((Inputs!$G$5:$G$230="moeda")+(Inputs!$G$5:$G$230="acoes"))*Inputs!$B$1+((Inputs!$G$5:$G$230&lt;&gt;"moeda")*(Inputs!$G$5:$G$230&lt;&gt;"acoes")))*INDEX(Inputs!$K$5:$AJ$230,0,MATCH(S$2,Inputs!$K$4:$AJ$4,0)))+SUMPRODUCT((Inputs!$C$5:$C$230=$B42)*Inputs!$D$5:$D$230*(((Inputs!$G$5:$G$230="moeda")+(Inputs!$G$5:$G$230="acoes"))*Inputs!$B$1+((Inputs!$G$5:$G$230&lt;&gt;"moeda")*(Inputs!$G$5:$G$230&lt;&gt;"acoes")))*INDEX(Inputs!$K$5:$AJ$230,0,MATCH(S$2,Inputs!$K$4:$AJ$4,0)))+SUMPRODUCT((Inputs!$E$5:$E$230=$B42)*Inputs!$F$5:$F$230*(((Inputs!$G$5:$G$230="moeda")+(Inputs!$G$5:$G$230="acoes"))*Inputs!$B$1+((Inputs!$G$5:$G$230&lt;&gt;"moeda")*(Inputs!$G$5:$G$230&lt;&gt;"acoes")))*INDEX(Inputs!$K$5:$AJ$230,0,MATCH(S$2,Inputs!$K$4:$AJ$4,0)))))</f>
        <v>#N/A</v>
      </c>
      <c r="T42" s="6" t="e">
        <f>IF(ISNA(MATCH(T$2,Inputs!$K$4:$AJ$4,0)),NA(),IF(SUMPRODUCT((Inputs!$A$5:$A$230=$B42)*ISNUMBER(INDEX(Inputs!$K$5:$AJ$230,0,MATCH(T$2,Inputs!$K$4:$AJ$4,0))))+SUMPRODUCT((Inputs!$C$5:$C$230=$B42)*ISNUMBER(INDEX(Inputs!$K$5:$AJ$230,0,MATCH(T$2,Inputs!$K$4:$AJ$4,0))))+SUMPRODUCT((Inputs!$E$5:$E$230=$B42)*ISNUMBER(INDEX(Inputs!$K$5:$AJ$230,0,MATCH(T$2,Inputs!$K$4:$AJ$4,0))))=0,NA(),SUMPRODUCT((Inputs!$A$5:$A$230=$B42)*Inputs!$B$5:$B$230*(((Inputs!$G$5:$G$230="moeda")+(Inputs!$G$5:$G$230="acoes"))*Inputs!$B$1+((Inputs!$G$5:$G$230&lt;&gt;"moeda")*(Inputs!$G$5:$G$230&lt;&gt;"acoes")))*INDEX(Inputs!$K$5:$AJ$230,0,MATCH(T$2,Inputs!$K$4:$AJ$4,0)))+SUMPRODUCT((Inputs!$C$5:$C$230=$B42)*Inputs!$D$5:$D$230*(((Inputs!$G$5:$G$230="moeda")+(Inputs!$G$5:$G$230="acoes"))*Inputs!$B$1+((Inputs!$G$5:$G$230&lt;&gt;"moeda")*(Inputs!$G$5:$G$230&lt;&gt;"acoes")))*INDEX(Inputs!$K$5:$AJ$230,0,MATCH(T$2,Inputs!$K$4:$AJ$4,0)))+SUMPRODUCT((Inputs!$E$5:$E$230=$B42)*Inputs!$F$5:$F$230*(((Inputs!$G$5:$G$230="moeda")+(Inputs!$G$5:$G$230="acoes"))*Inputs!$B$1+((Inputs!$G$5:$G$230&lt;&gt;"moeda")*(Inputs!$G$5:$G$230&lt;&gt;"acoes")))*INDEX(Inputs!$K$5:$AJ$230,0,MATCH(T$2,Inputs!$K$4:$AJ$4,0)))))</f>
        <v>#N/A</v>
      </c>
      <c r="U42" s="6" t="e">
        <f>IF(ISNA(MATCH(U$2,Inputs!$K$4:$AJ$4,0)),NA(),IF(SUMPRODUCT((Inputs!$A$5:$A$230=$B42)*ISNUMBER(INDEX(Inputs!$K$5:$AJ$230,0,MATCH(U$2,Inputs!$K$4:$AJ$4,0))))+SUMPRODUCT((Inputs!$C$5:$C$230=$B42)*ISNUMBER(INDEX(Inputs!$K$5:$AJ$230,0,MATCH(U$2,Inputs!$K$4:$AJ$4,0))))+SUMPRODUCT((Inputs!$E$5:$E$230=$B42)*ISNUMBER(INDEX(Inputs!$K$5:$AJ$230,0,MATCH(U$2,Inputs!$K$4:$AJ$4,0))))=0,NA(),SUMPRODUCT((Inputs!$A$5:$A$230=$B42)*Inputs!$B$5:$B$230*(((Inputs!$G$5:$G$230="moeda")+(Inputs!$G$5:$G$230="acoes"))*Inputs!$B$1+((Inputs!$G$5:$G$230&lt;&gt;"moeda")*(Inputs!$G$5:$G$230&lt;&gt;"acoes")))*INDEX(Inputs!$K$5:$AJ$230,0,MATCH(U$2,Inputs!$K$4:$AJ$4,0)))+SUMPRODUCT((Inputs!$C$5:$C$230=$B42)*Inputs!$D$5:$D$230*(((Inputs!$G$5:$G$230="moeda")+(Inputs!$G$5:$G$230="acoes"))*Inputs!$B$1+((Inputs!$G$5:$G$230&lt;&gt;"moeda")*(Inputs!$G$5:$G$230&lt;&gt;"acoes")))*INDEX(Inputs!$K$5:$AJ$230,0,MATCH(U$2,Inputs!$K$4:$AJ$4,0)))+SUMPRODUCT((Inputs!$E$5:$E$230=$B42)*Inputs!$F$5:$F$230*(((Inputs!$G$5:$G$230="moeda")+(Inputs!$G$5:$G$230="acoes"))*Inputs!$B$1+((Inputs!$G$5:$G$230&lt;&gt;"moeda")*(Inputs!$G$5:$G$230&lt;&gt;"acoes")))*INDEX(Inputs!$K$5:$AJ$230,0,MATCH(U$2,Inputs!$K$4:$AJ$4,0)))))</f>
        <v>#N/A</v>
      </c>
      <c r="V42" s="6" t="e">
        <f>IF(ISNA(MATCH(V$2,Inputs!$K$4:$AJ$4,0)),NA(),IF(SUMPRODUCT((Inputs!$A$5:$A$230=$B42)*ISNUMBER(INDEX(Inputs!$K$5:$AJ$230,0,MATCH(V$2,Inputs!$K$4:$AJ$4,0))))+SUMPRODUCT((Inputs!$C$5:$C$230=$B42)*ISNUMBER(INDEX(Inputs!$K$5:$AJ$230,0,MATCH(V$2,Inputs!$K$4:$AJ$4,0))))+SUMPRODUCT((Inputs!$E$5:$E$230=$B42)*ISNUMBER(INDEX(Inputs!$K$5:$AJ$230,0,MATCH(V$2,Inputs!$K$4:$AJ$4,0))))=0,NA(),SUMPRODUCT((Inputs!$A$5:$A$230=$B42)*Inputs!$B$5:$B$230*(((Inputs!$G$5:$G$230="moeda")+(Inputs!$G$5:$G$230="acoes"))*Inputs!$B$1+((Inputs!$G$5:$G$230&lt;&gt;"moeda")*(Inputs!$G$5:$G$230&lt;&gt;"acoes")))*INDEX(Inputs!$K$5:$AJ$230,0,MATCH(V$2,Inputs!$K$4:$AJ$4,0)))+SUMPRODUCT((Inputs!$C$5:$C$230=$B42)*Inputs!$D$5:$D$230*(((Inputs!$G$5:$G$230="moeda")+(Inputs!$G$5:$G$230="acoes"))*Inputs!$B$1+((Inputs!$G$5:$G$230&lt;&gt;"moeda")*(Inputs!$G$5:$G$230&lt;&gt;"acoes")))*INDEX(Inputs!$K$5:$AJ$230,0,MATCH(V$2,Inputs!$K$4:$AJ$4,0)))+SUMPRODUCT((Inputs!$E$5:$E$230=$B42)*Inputs!$F$5:$F$230*(((Inputs!$G$5:$G$230="moeda")+(Inputs!$G$5:$G$230="acoes"))*Inputs!$B$1+((Inputs!$G$5:$G$230&lt;&gt;"moeda")*(Inputs!$G$5:$G$230&lt;&gt;"acoes")))*INDEX(Inputs!$K$5:$AJ$230,0,MATCH(V$2,Inputs!$K$4:$AJ$4,0)))))</f>
        <v>#N/A</v>
      </c>
      <c r="W42" s="3" t="e">
        <f>V42</f>
        <v>#N/A</v>
      </c>
      <c r="X42" s="6" t="e">
        <f>IF(ISNA(MATCH(X$2,Inputs!$K$4:$AJ$4,0)),NA(),IF(SUMPRODUCT((Inputs!$A$5:$A$230=$B42)*ISNUMBER(INDEX(Inputs!$K$5:$AJ$230,0,MATCH(X$2,Inputs!$K$4:$AJ$4,0))))+SUMPRODUCT((Inputs!$C$5:$C$230=$B42)*ISNUMBER(INDEX(Inputs!$K$5:$AJ$230,0,MATCH(X$2,Inputs!$K$4:$AJ$4,0))))+SUMPRODUCT((Inputs!$E$5:$E$230=$B42)*ISNUMBER(INDEX(Inputs!$K$5:$AJ$230,0,MATCH(X$2,Inputs!$K$4:$AJ$4,0))))=0,NA(),SUMPRODUCT((Inputs!$A$5:$A$230=$B42)*Inputs!$B$5:$B$230*(((Inputs!$G$5:$G$230="moeda")+(Inputs!$G$5:$G$230="acoes"))*Inputs!$B$1+((Inputs!$G$5:$G$230&lt;&gt;"moeda")*(Inputs!$G$5:$G$230&lt;&gt;"acoes")))*INDEX(Inputs!$K$5:$AJ$230,0,MATCH(X$2,Inputs!$K$4:$AJ$4,0)))+SUMPRODUCT((Inputs!$C$5:$C$230=$B42)*Inputs!$D$5:$D$230*(((Inputs!$G$5:$G$230="moeda")+(Inputs!$G$5:$G$230="acoes"))*Inputs!$B$1+((Inputs!$G$5:$G$230&lt;&gt;"moeda")*(Inputs!$G$5:$G$230&lt;&gt;"acoes")))*INDEX(Inputs!$K$5:$AJ$230,0,MATCH(X$2,Inputs!$K$4:$AJ$4,0)))+SUMPRODUCT((Inputs!$E$5:$E$230=$B42)*Inputs!$F$5:$F$230*(((Inputs!$G$5:$G$230="moeda")+(Inputs!$G$5:$G$230="acoes"))*Inputs!$B$1+((Inputs!$G$5:$G$230&lt;&gt;"moeda")*(Inputs!$G$5:$G$230&lt;&gt;"acoes")))*INDEX(Inputs!$K$5:$AJ$230,0,MATCH(X$2,Inputs!$K$4:$AJ$4,0)))))</f>
        <v>#N/A</v>
      </c>
      <c r="Y42" s="6" t="e">
        <f>IF(ISNA(MATCH(Y$2,Inputs!$K$4:$AJ$4,0)),NA(),IF(SUMPRODUCT((Inputs!$A$5:$A$230=$B42)*ISNUMBER(INDEX(Inputs!$K$5:$AJ$230,0,MATCH(Y$2,Inputs!$K$4:$AJ$4,0))))+SUMPRODUCT((Inputs!$C$5:$C$230=$B42)*ISNUMBER(INDEX(Inputs!$K$5:$AJ$230,0,MATCH(Y$2,Inputs!$K$4:$AJ$4,0))))+SUMPRODUCT((Inputs!$E$5:$E$230=$B42)*ISNUMBER(INDEX(Inputs!$K$5:$AJ$230,0,MATCH(Y$2,Inputs!$K$4:$AJ$4,0))))=0,NA(),SUMPRODUCT((Inputs!$A$5:$A$230=$B42)*Inputs!$B$5:$B$230*(((Inputs!$G$5:$G$230="moeda")+(Inputs!$G$5:$G$230="acoes"))*Inputs!$B$1+((Inputs!$G$5:$G$230&lt;&gt;"moeda")*(Inputs!$G$5:$G$230&lt;&gt;"acoes")))*INDEX(Inputs!$K$5:$AJ$230,0,MATCH(Y$2,Inputs!$K$4:$AJ$4,0)))+SUMPRODUCT((Inputs!$C$5:$C$230=$B42)*Inputs!$D$5:$D$230*(((Inputs!$G$5:$G$230="moeda")+(Inputs!$G$5:$G$230="acoes"))*Inputs!$B$1+((Inputs!$G$5:$G$230&lt;&gt;"moeda")*(Inputs!$G$5:$G$230&lt;&gt;"acoes")))*INDEX(Inputs!$K$5:$AJ$230,0,MATCH(Y$2,Inputs!$K$4:$AJ$4,0)))+SUMPRODUCT((Inputs!$E$5:$E$230=$B42)*Inputs!$F$5:$F$230*(((Inputs!$G$5:$G$230="moeda")+(Inputs!$G$5:$G$230="acoes"))*Inputs!$B$1+((Inputs!$G$5:$G$230&lt;&gt;"moeda")*(Inputs!$G$5:$G$230&lt;&gt;"acoes")))*INDEX(Inputs!$K$5:$AJ$230,0,MATCH(Y$2,Inputs!$K$4:$AJ$4,0)))))</f>
        <v>#N/A</v>
      </c>
      <c r="Z42" s="6" t="e">
        <f>IF(ISNA(MATCH(Z$2,Inputs!$K$4:$AJ$4,0)),NA(),IF(SUMPRODUCT((Inputs!$A$5:$A$230=$B42)*ISNUMBER(INDEX(Inputs!$K$5:$AJ$230,0,MATCH(Z$2,Inputs!$K$4:$AJ$4,0))))+SUMPRODUCT((Inputs!$C$5:$C$230=$B42)*ISNUMBER(INDEX(Inputs!$K$5:$AJ$230,0,MATCH(Z$2,Inputs!$K$4:$AJ$4,0))))+SUMPRODUCT((Inputs!$E$5:$E$230=$B42)*ISNUMBER(INDEX(Inputs!$K$5:$AJ$230,0,MATCH(Z$2,Inputs!$K$4:$AJ$4,0))))=0,NA(),SUMPRODUCT((Inputs!$A$5:$A$230=$B42)*Inputs!$B$5:$B$230*(((Inputs!$G$5:$G$230="moeda")+(Inputs!$G$5:$G$230="acoes"))*Inputs!$B$1+((Inputs!$G$5:$G$230&lt;&gt;"moeda")*(Inputs!$G$5:$G$230&lt;&gt;"acoes")))*INDEX(Inputs!$K$5:$AJ$230,0,MATCH(Z$2,Inputs!$K$4:$AJ$4,0)))+SUMPRODUCT((Inputs!$C$5:$C$230=$B42)*Inputs!$D$5:$D$230*(((Inputs!$G$5:$G$230="moeda")+(Inputs!$G$5:$G$230="acoes"))*Inputs!$B$1+((Inputs!$G$5:$G$230&lt;&gt;"moeda")*(Inputs!$G$5:$G$230&lt;&gt;"acoes")))*INDEX(Inputs!$K$5:$AJ$230,0,MATCH(Z$2,Inputs!$K$4:$AJ$4,0)))+SUMPRODUCT((Inputs!$E$5:$E$230=$B42)*Inputs!$F$5:$F$230*(((Inputs!$G$5:$G$230="moeda")+(Inputs!$G$5:$G$230="acoes"))*Inputs!$B$1+((Inputs!$G$5:$G$230&lt;&gt;"moeda")*(Inputs!$G$5:$G$230&lt;&gt;"acoes")))*INDEX(Inputs!$K$5:$AJ$230,0,MATCH(Z$2,Inputs!$K$4:$AJ$4,0)))))</f>
        <v>#N/A</v>
      </c>
      <c r="AA42" s="6" t="e">
        <f>IF(ISNA(MATCH(AA$2,Inputs!$K$4:$AJ$4,0)),NA(),IF(SUMPRODUCT((Inputs!$A$5:$A$230=$B42)*ISNUMBER(INDEX(Inputs!$K$5:$AJ$230,0,MATCH(AA$2,Inputs!$K$4:$AJ$4,0))))+SUMPRODUCT((Inputs!$C$5:$C$230=$B42)*ISNUMBER(INDEX(Inputs!$K$5:$AJ$230,0,MATCH(AA$2,Inputs!$K$4:$AJ$4,0))))+SUMPRODUCT((Inputs!$E$5:$E$230=$B42)*ISNUMBER(INDEX(Inputs!$K$5:$AJ$230,0,MATCH(AA$2,Inputs!$K$4:$AJ$4,0))))=0,NA(),SUMPRODUCT((Inputs!$A$5:$A$230=$B42)*Inputs!$B$5:$B$230*(((Inputs!$G$5:$G$230="moeda")+(Inputs!$G$5:$G$230="acoes"))*Inputs!$B$1+((Inputs!$G$5:$G$230&lt;&gt;"moeda")*(Inputs!$G$5:$G$230&lt;&gt;"acoes")))*INDEX(Inputs!$K$5:$AJ$230,0,MATCH(AA$2,Inputs!$K$4:$AJ$4,0)))+SUMPRODUCT((Inputs!$C$5:$C$230=$B42)*Inputs!$D$5:$D$230*(((Inputs!$G$5:$G$230="moeda")+(Inputs!$G$5:$G$230="acoes"))*Inputs!$B$1+((Inputs!$G$5:$G$230&lt;&gt;"moeda")*(Inputs!$G$5:$G$230&lt;&gt;"acoes")))*INDEX(Inputs!$K$5:$AJ$230,0,MATCH(AA$2,Inputs!$K$4:$AJ$4,0)))+SUMPRODUCT((Inputs!$E$5:$E$230=$B42)*Inputs!$F$5:$F$230*(((Inputs!$G$5:$G$230="moeda")+(Inputs!$G$5:$G$230="acoes"))*Inputs!$B$1+((Inputs!$G$5:$G$230&lt;&gt;"moeda")*(Inputs!$G$5:$G$230&lt;&gt;"acoes")))*INDEX(Inputs!$K$5:$AJ$230,0,MATCH(AA$2,Inputs!$K$4:$AJ$4,0)))))</f>
        <v>#N/A</v>
      </c>
      <c r="AB42" s="3" t="e">
        <f>AA42</f>
        <v>#N/A</v>
      </c>
      <c r="AC42" s="6" t="e">
        <f>IF(ISNA(MATCH(AC$2,Inputs!$K$4:$AJ$4,0)),NA(),IF(SUMPRODUCT((Inputs!$A$5:$A$230=$B42)*ISNUMBER(INDEX(Inputs!$K$5:$AJ$230,0,MATCH(AC$2,Inputs!$K$4:$AJ$4,0))))+SUMPRODUCT((Inputs!$C$5:$C$230=$B42)*ISNUMBER(INDEX(Inputs!$K$5:$AJ$230,0,MATCH(AC$2,Inputs!$K$4:$AJ$4,0))))+SUMPRODUCT((Inputs!$E$5:$E$230=$B42)*ISNUMBER(INDEX(Inputs!$K$5:$AJ$230,0,MATCH(AC$2,Inputs!$K$4:$AJ$4,0))))=0,NA(),SUMPRODUCT((Inputs!$A$5:$A$230=$B42)*Inputs!$B$5:$B$230*(((Inputs!$G$5:$G$230="moeda")+(Inputs!$G$5:$G$230="acoes"))*Inputs!$B$1+((Inputs!$G$5:$G$230&lt;&gt;"moeda")*(Inputs!$G$5:$G$230&lt;&gt;"acoes")))*INDEX(Inputs!$K$5:$AJ$230,0,MATCH(AC$2,Inputs!$K$4:$AJ$4,0)))+SUMPRODUCT((Inputs!$C$5:$C$230=$B42)*Inputs!$D$5:$D$230*(((Inputs!$G$5:$G$230="moeda")+(Inputs!$G$5:$G$230="acoes"))*Inputs!$B$1+((Inputs!$G$5:$G$230&lt;&gt;"moeda")*(Inputs!$G$5:$G$230&lt;&gt;"acoes")))*INDEX(Inputs!$K$5:$AJ$230,0,MATCH(AC$2,Inputs!$K$4:$AJ$4,0)))+SUMPRODUCT((Inputs!$E$5:$E$230=$B42)*Inputs!$F$5:$F$230*(((Inputs!$G$5:$G$230="moeda")+(Inputs!$G$5:$G$230="acoes"))*Inputs!$B$1+((Inputs!$G$5:$G$230&lt;&gt;"moeda")*(Inputs!$G$5:$G$230&lt;&gt;"acoes")))*INDEX(Inputs!$K$5:$AJ$230,0,MATCH(AC$2,Inputs!$K$4:$AJ$4,0)))))</f>
        <v>#N/A</v>
      </c>
      <c r="AD42" s="6" t="e">
        <f>IF(ISNA(MATCH(AD$2,Inputs!$K$4:$AJ$4,0)),NA(),IF(SUMPRODUCT((Inputs!$A$5:$A$230=$B42)*ISNUMBER(INDEX(Inputs!$K$5:$AJ$230,0,MATCH(AD$2,Inputs!$K$4:$AJ$4,0))))+SUMPRODUCT((Inputs!$C$5:$C$230=$B42)*ISNUMBER(INDEX(Inputs!$K$5:$AJ$230,0,MATCH(AD$2,Inputs!$K$4:$AJ$4,0))))+SUMPRODUCT((Inputs!$E$5:$E$230=$B42)*ISNUMBER(INDEX(Inputs!$K$5:$AJ$230,0,MATCH(AD$2,Inputs!$K$4:$AJ$4,0))))=0,NA(),SUMPRODUCT((Inputs!$A$5:$A$230=$B42)*Inputs!$B$5:$B$230*(((Inputs!$G$5:$G$230="moeda")+(Inputs!$G$5:$G$230="acoes"))*Inputs!$B$1+((Inputs!$G$5:$G$230&lt;&gt;"moeda")*(Inputs!$G$5:$G$230&lt;&gt;"acoes")))*INDEX(Inputs!$K$5:$AJ$230,0,MATCH(AD$2,Inputs!$K$4:$AJ$4,0)))+SUMPRODUCT((Inputs!$C$5:$C$230=$B42)*Inputs!$D$5:$D$230*(((Inputs!$G$5:$G$230="moeda")+(Inputs!$G$5:$G$230="acoes"))*Inputs!$B$1+((Inputs!$G$5:$G$230&lt;&gt;"moeda")*(Inputs!$G$5:$G$230&lt;&gt;"acoes")))*INDEX(Inputs!$K$5:$AJ$230,0,MATCH(AD$2,Inputs!$K$4:$AJ$4,0)))+SUMPRODUCT((Inputs!$E$5:$E$230=$B42)*Inputs!$F$5:$F$230*(((Inputs!$G$5:$G$230="moeda")+(Inputs!$G$5:$G$230="acoes"))*Inputs!$B$1+((Inputs!$G$5:$G$230&lt;&gt;"moeda")*(Inputs!$G$5:$G$230&lt;&gt;"acoes")))*INDEX(Inputs!$K$5:$AJ$230,0,MATCH(AD$2,Inputs!$K$4:$AJ$4,0)))))</f>
        <v>#N/A</v>
      </c>
      <c r="AE42" s="6" t="e">
        <f>IF(ISNA(MATCH(AE$2,Inputs!$K$4:$AJ$4,0)),NA(),IF(SUMPRODUCT((Inputs!$A$5:$A$230=$B42)*ISNUMBER(INDEX(Inputs!$K$5:$AJ$230,0,MATCH(AE$2,Inputs!$K$4:$AJ$4,0))))+SUMPRODUCT((Inputs!$C$5:$C$230=$B42)*ISNUMBER(INDEX(Inputs!$K$5:$AJ$230,0,MATCH(AE$2,Inputs!$K$4:$AJ$4,0))))+SUMPRODUCT((Inputs!$E$5:$E$230=$B42)*ISNUMBER(INDEX(Inputs!$K$5:$AJ$230,0,MATCH(AE$2,Inputs!$K$4:$AJ$4,0))))=0,NA(),SUMPRODUCT((Inputs!$A$5:$A$230=$B42)*Inputs!$B$5:$B$230*(((Inputs!$G$5:$G$230="moeda")+(Inputs!$G$5:$G$230="acoes"))*Inputs!$B$1+((Inputs!$G$5:$G$230&lt;&gt;"moeda")*(Inputs!$G$5:$G$230&lt;&gt;"acoes")))*INDEX(Inputs!$K$5:$AJ$230,0,MATCH(AE$2,Inputs!$K$4:$AJ$4,0)))+SUMPRODUCT((Inputs!$C$5:$C$230=$B42)*Inputs!$D$5:$D$230*(((Inputs!$G$5:$G$230="moeda")+(Inputs!$G$5:$G$230="acoes"))*Inputs!$B$1+((Inputs!$G$5:$G$230&lt;&gt;"moeda")*(Inputs!$G$5:$G$230&lt;&gt;"acoes")))*INDEX(Inputs!$K$5:$AJ$230,0,MATCH(AE$2,Inputs!$K$4:$AJ$4,0)))+SUMPRODUCT((Inputs!$E$5:$E$230=$B42)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42" s="6" t="e">
        <f>IF(ISNA(MATCH(AF$2,Inputs!$K$4:$AJ$4,0)),NA(),IF(SUMPRODUCT((Inputs!$A$5:$A$230=$B42)*ISNUMBER(INDEX(Inputs!$K$5:$AJ$230,0,MATCH(AF$2,Inputs!$K$4:$AJ$4,0))))+SUMPRODUCT((Inputs!$C$5:$C$230=$B42)*ISNUMBER(INDEX(Inputs!$K$5:$AJ$230,0,MATCH(AF$2,Inputs!$K$4:$AJ$4,0))))+SUMPRODUCT((Inputs!$E$5:$E$230=$B42)*ISNUMBER(INDEX(Inputs!$K$5:$AJ$230,0,MATCH(AF$2,Inputs!$K$4:$AJ$4,0))))=0,NA(),SUMPRODUCT((Inputs!$A$5:$A$230=$B42)*Inputs!$B$5:$B$230*(((Inputs!$G$5:$G$230="moeda")+(Inputs!$G$5:$G$230="acoes"))*Inputs!$B$1+((Inputs!$G$5:$G$230&lt;&gt;"moeda")*(Inputs!$G$5:$G$230&lt;&gt;"acoes")))*INDEX(Inputs!$K$5:$AJ$230,0,MATCH(AF$2,Inputs!$K$4:$AJ$4,0)))+SUMPRODUCT((Inputs!$C$5:$C$230=$B42)*Inputs!$D$5:$D$230*(((Inputs!$G$5:$G$230="moeda")+(Inputs!$G$5:$G$230="acoes"))*Inputs!$B$1+((Inputs!$G$5:$G$230&lt;&gt;"moeda")*(Inputs!$G$5:$G$230&lt;&gt;"acoes")))*INDEX(Inputs!$K$5:$AJ$230,0,MATCH(AF$2,Inputs!$K$4:$AJ$4,0)))+SUMPRODUCT((Inputs!$E$5:$E$230=$B42)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42" s="3" t="e">
        <f>AF42</f>
        <v>#N/A</v>
      </c>
      <c r="AH42" s="6" t="e">
        <f>IF(ISNA(MATCH(AH$2,Inputs!$K$4:$AJ$4,0)),NA(),IF(SUMPRODUCT((Inputs!$A$5:$A$230=$B42)*ISNUMBER(INDEX(Inputs!$K$5:$AJ$230,0,MATCH(AH$2,Inputs!$K$4:$AJ$4,0))))+SUMPRODUCT((Inputs!$C$5:$C$230=$B42)*ISNUMBER(INDEX(Inputs!$K$5:$AJ$230,0,MATCH(AH$2,Inputs!$K$4:$AJ$4,0))))+SUMPRODUCT((Inputs!$E$5:$E$230=$B42)*ISNUMBER(INDEX(Inputs!$K$5:$AJ$230,0,MATCH(AH$2,Inputs!$K$4:$AJ$4,0))))=0,NA(),SUMPRODUCT((Inputs!$A$5:$A$230=$B42)*Inputs!$B$5:$B$230*(((Inputs!$G$5:$G$230="moeda")+(Inputs!$G$5:$G$230="acoes"))*Inputs!$B$1+((Inputs!$G$5:$G$230&lt;&gt;"moeda")*(Inputs!$G$5:$G$230&lt;&gt;"acoes")))*INDEX(Inputs!$K$5:$AJ$230,0,MATCH(AH$2,Inputs!$K$4:$AJ$4,0)))+SUMPRODUCT((Inputs!$C$5:$C$230=$B42)*Inputs!$D$5:$D$230*(((Inputs!$G$5:$G$230="moeda")+(Inputs!$G$5:$G$230="acoes"))*Inputs!$B$1+((Inputs!$G$5:$G$230&lt;&gt;"moeda")*(Inputs!$G$5:$G$230&lt;&gt;"acoes")))*INDEX(Inputs!$K$5:$AJ$230,0,MATCH(AH$2,Inputs!$K$4:$AJ$4,0)))+SUMPRODUCT((Inputs!$E$5:$E$230=$B42)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42" s="6" t="e">
        <f>IF(ISNA(MATCH(AI$2,Inputs!$K$4:$AJ$4,0)),NA(),IF(SUMPRODUCT((Inputs!$A$5:$A$230=$B42)*ISNUMBER(INDEX(Inputs!$K$5:$AJ$230,0,MATCH(AI$2,Inputs!$K$4:$AJ$4,0))))+SUMPRODUCT((Inputs!$C$5:$C$230=$B42)*ISNUMBER(INDEX(Inputs!$K$5:$AJ$230,0,MATCH(AI$2,Inputs!$K$4:$AJ$4,0))))+SUMPRODUCT((Inputs!$E$5:$E$230=$B42)*ISNUMBER(INDEX(Inputs!$K$5:$AJ$230,0,MATCH(AI$2,Inputs!$K$4:$AJ$4,0))))=0,NA(),SUMPRODUCT((Inputs!$A$5:$A$230=$B42)*Inputs!$B$5:$B$230*(((Inputs!$G$5:$G$230="moeda")+(Inputs!$G$5:$G$230="acoes"))*Inputs!$B$1+((Inputs!$G$5:$G$230&lt;&gt;"moeda")*(Inputs!$G$5:$G$230&lt;&gt;"acoes")))*INDEX(Inputs!$K$5:$AJ$230,0,MATCH(AI$2,Inputs!$K$4:$AJ$4,0)))+SUMPRODUCT((Inputs!$C$5:$C$230=$B42)*Inputs!$D$5:$D$230*(((Inputs!$G$5:$G$230="moeda")+(Inputs!$G$5:$G$230="acoes"))*Inputs!$B$1+((Inputs!$G$5:$G$230&lt;&gt;"moeda")*(Inputs!$G$5:$G$230&lt;&gt;"acoes")))*INDEX(Inputs!$K$5:$AJ$230,0,MATCH(AI$2,Inputs!$K$4:$AJ$4,0)))+SUMPRODUCT((Inputs!$E$5:$E$230=$B42)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42" s="6" t="e">
        <f>IF(ISNA(MATCH(AJ$2,Inputs!$K$4:$AJ$4,0)),NA(),IF(SUMPRODUCT((Inputs!$A$5:$A$230=$B42)*ISNUMBER(INDEX(Inputs!$K$5:$AJ$230,0,MATCH(AJ$2,Inputs!$K$4:$AJ$4,0))))+SUMPRODUCT((Inputs!$C$5:$C$230=$B42)*ISNUMBER(INDEX(Inputs!$K$5:$AJ$230,0,MATCH(AJ$2,Inputs!$K$4:$AJ$4,0))))+SUMPRODUCT((Inputs!$E$5:$E$230=$B42)*ISNUMBER(INDEX(Inputs!$K$5:$AJ$230,0,MATCH(AJ$2,Inputs!$K$4:$AJ$4,0))))=0,NA(),SUMPRODUCT((Inputs!$A$5:$A$230=$B42)*Inputs!$B$5:$B$230*(((Inputs!$G$5:$G$230="moeda")+(Inputs!$G$5:$G$230="acoes"))*Inputs!$B$1+((Inputs!$G$5:$G$230&lt;&gt;"moeda")*(Inputs!$G$5:$G$230&lt;&gt;"acoes")))*INDEX(Inputs!$K$5:$AJ$230,0,MATCH(AJ$2,Inputs!$K$4:$AJ$4,0)))+SUMPRODUCT((Inputs!$C$5:$C$230=$B42)*Inputs!$D$5:$D$230*(((Inputs!$G$5:$G$230="moeda")+(Inputs!$G$5:$G$230="acoes"))*Inputs!$B$1+((Inputs!$G$5:$G$230&lt;&gt;"moeda")*(Inputs!$G$5:$G$230&lt;&gt;"acoes")))*INDEX(Inputs!$K$5:$AJ$230,0,MATCH(AJ$2,Inputs!$K$4:$AJ$4,0)))+SUMPRODUCT((Inputs!$E$5:$E$230=$B42)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42" s="6" t="e">
        <f>IF(ISNA(MATCH(AK$2,Inputs!$K$4:$AJ$4,0)),NA(),IF(SUMPRODUCT((Inputs!$A$5:$A$230=$B42)*ISNUMBER(INDEX(Inputs!$K$5:$AJ$230,0,MATCH(AK$2,Inputs!$K$4:$AJ$4,0))))+SUMPRODUCT((Inputs!$C$5:$C$230=$B42)*ISNUMBER(INDEX(Inputs!$K$5:$AJ$230,0,MATCH(AK$2,Inputs!$K$4:$AJ$4,0))))+SUMPRODUCT((Inputs!$E$5:$E$230=$B42)*ISNUMBER(INDEX(Inputs!$K$5:$AJ$230,0,MATCH(AK$2,Inputs!$K$4:$AJ$4,0))))=0,NA(),SUMPRODUCT((Inputs!$A$5:$A$230=$B42)*Inputs!$B$5:$B$230*(((Inputs!$G$5:$G$230="moeda")+(Inputs!$G$5:$G$230="acoes"))*Inputs!$B$1+((Inputs!$G$5:$G$230&lt;&gt;"moeda")*(Inputs!$G$5:$G$230&lt;&gt;"acoes")))*INDEX(Inputs!$K$5:$AJ$230,0,MATCH(AK$2,Inputs!$K$4:$AJ$4,0)))+SUMPRODUCT((Inputs!$C$5:$C$230=$B42)*Inputs!$D$5:$D$230*(((Inputs!$G$5:$G$230="moeda")+(Inputs!$G$5:$G$230="acoes"))*Inputs!$B$1+((Inputs!$G$5:$G$230&lt;&gt;"moeda")*(Inputs!$G$5:$G$230&lt;&gt;"acoes")))*INDEX(Inputs!$K$5:$AJ$230,0,MATCH(AK$2,Inputs!$K$4:$AJ$4,0)))+SUMPRODUCT((Inputs!$E$5:$E$230=$B42)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$230=$B43)*ISNUMBER(INDEX(Inputs!$K$5:$AJ$230,0,MATCH(D$2,Inputs!$K$4:$AJ$4,0))))+SUMPRODUCT((Inputs!$C$5:$C$230=$B43)*ISNUMBER(INDEX(Inputs!$K$5:$AJ$230,0,MATCH(D$2,Inputs!$K$4:$AJ$4,0))))+SUMPRODUCT((Inputs!$E$5:$E$230=$B43)*ISNUMBER(INDEX(Inputs!$K$5:$AJ$230,0,MATCH(D$2,Inputs!$K$4:$AJ$4,0))))=0,NA(),SUMPRODUCT((Inputs!$A$5:$A$230=$B43)*Inputs!$B$5:$B$230*(((Inputs!$G$5:$G$230="moeda")+(Inputs!$G$5:$G$230="acoes"))*Inputs!$B$1+((Inputs!$G$5:$G$230&lt;&gt;"moeda")*(Inputs!$G$5:$G$230&lt;&gt;"acoes")))*INDEX(Inputs!$K$5:$AJ$230,0,MATCH(D$2,Inputs!$K$4:$AJ$4,0)))+SUMPRODUCT((Inputs!$C$5:$C$230=$B43)*Inputs!$D$5:$D$230*(((Inputs!$G$5:$G$230="moeda")+(Inputs!$G$5:$G$230="acoes"))*Inputs!$B$1+((Inputs!$G$5:$G$230&lt;&gt;"moeda")*(Inputs!$G$5:$G$230&lt;&gt;"acoes")))*INDEX(Inputs!$K$5:$AJ$230,0,MATCH(D$2,Inputs!$K$4:$AJ$4,0)))+SUMPRODUCT((Inputs!$E$5:$E$230=$B43)*Inputs!$F$5:$F$230*(((Inputs!$G$5:$G$230="moeda")+(Inputs!$G$5:$G$230="acoes"))*Inputs!$B$1+((Inputs!$G$5:$G$230&lt;&gt;"moeda")*(Inputs!$G$5:$G$230&lt;&gt;"acoes")))*INDEX(Inputs!$K$5:$AJ$230,0,MATCH(D$2,Inputs!$K$4:$AJ$4,0)))))</f>
        <v>2937.286</v>
      </c>
      <c r="E43" s="6">
        <f>IF(ISNA(MATCH(E$2,Inputs!$K$4:$AJ$4,0)),NA(),IF(SUMPRODUCT((Inputs!$A$5:$A$230=$B43)*ISNUMBER(INDEX(Inputs!$K$5:$AJ$230,0,MATCH(E$2,Inputs!$K$4:$AJ$4,0))))+SUMPRODUCT((Inputs!$C$5:$C$230=$B43)*ISNUMBER(INDEX(Inputs!$K$5:$AJ$230,0,MATCH(E$2,Inputs!$K$4:$AJ$4,0))))+SUMPRODUCT((Inputs!$E$5:$E$230=$B43)*ISNUMBER(INDEX(Inputs!$K$5:$AJ$230,0,MATCH(E$2,Inputs!$K$4:$AJ$4,0))))=0,NA(),SUMPRODUCT((Inputs!$A$5:$A$230=$B43)*Inputs!$B$5:$B$230*(((Inputs!$G$5:$G$230="moeda")+(Inputs!$G$5:$G$230="acoes"))*Inputs!$B$1+((Inputs!$G$5:$G$230&lt;&gt;"moeda")*(Inputs!$G$5:$G$230&lt;&gt;"acoes")))*INDEX(Inputs!$K$5:$AJ$230,0,MATCH(E$2,Inputs!$K$4:$AJ$4,0)))+SUMPRODUCT((Inputs!$C$5:$C$230=$B43)*Inputs!$D$5:$D$230*(((Inputs!$G$5:$G$230="moeda")+(Inputs!$G$5:$G$230="acoes"))*Inputs!$B$1+((Inputs!$G$5:$G$230&lt;&gt;"moeda")*(Inputs!$G$5:$G$230&lt;&gt;"acoes")))*INDEX(Inputs!$K$5:$AJ$230,0,MATCH(E$2,Inputs!$K$4:$AJ$4,0)))+SUMPRODUCT((Inputs!$E$5:$E$230=$B43)*Inputs!$F$5:$F$230*(((Inputs!$G$5:$G$230="moeda")+(Inputs!$G$5:$G$230="acoes"))*Inputs!$B$1+((Inputs!$G$5:$G$230&lt;&gt;"moeda")*(Inputs!$G$5:$G$230&lt;&gt;"acoes")))*INDEX(Inputs!$K$5:$AJ$230,0,MATCH(E$2,Inputs!$K$4:$AJ$4,0)))))</f>
        <v>2937.286</v>
      </c>
      <c r="F43" s="6">
        <f>IF(ISNA(MATCH(F$2,Inputs!$K$4:$AJ$4,0)),NA(),IF(SUMPRODUCT((Inputs!$A$5:$A$230=$B43)*ISNUMBER(INDEX(Inputs!$K$5:$AJ$230,0,MATCH(F$2,Inputs!$K$4:$AJ$4,0))))+SUMPRODUCT((Inputs!$C$5:$C$230=$B43)*ISNUMBER(INDEX(Inputs!$K$5:$AJ$230,0,MATCH(F$2,Inputs!$K$4:$AJ$4,0))))+SUMPRODUCT((Inputs!$E$5:$E$230=$B43)*ISNUMBER(INDEX(Inputs!$K$5:$AJ$230,0,MATCH(F$2,Inputs!$K$4:$AJ$4,0))))=0,NA(),SUMPRODUCT((Inputs!$A$5:$A$230=$B43)*Inputs!$B$5:$B$230*(((Inputs!$G$5:$G$230="moeda")+(Inputs!$G$5:$G$230="acoes"))*Inputs!$B$1+((Inputs!$G$5:$G$230&lt;&gt;"moeda")*(Inputs!$G$5:$G$230&lt;&gt;"acoes")))*INDEX(Inputs!$K$5:$AJ$230,0,MATCH(F$2,Inputs!$K$4:$AJ$4,0)))+SUMPRODUCT((Inputs!$C$5:$C$230=$B43)*Inputs!$D$5:$D$230*(((Inputs!$G$5:$G$230="moeda")+(Inputs!$G$5:$G$230="acoes"))*Inputs!$B$1+((Inputs!$G$5:$G$230&lt;&gt;"moeda")*(Inputs!$G$5:$G$230&lt;&gt;"acoes")))*INDEX(Inputs!$K$5:$AJ$230,0,MATCH(F$2,Inputs!$K$4:$AJ$4,0)))+SUMPRODUCT((Inputs!$E$5:$E$230=$B43)*Inputs!$F$5:$F$230*(((Inputs!$G$5:$G$230="moeda")+(Inputs!$G$5:$G$230="acoes"))*Inputs!$B$1+((Inputs!$G$5:$G$230&lt;&gt;"moeda")*(Inputs!$G$5:$G$230&lt;&gt;"acoes")))*INDEX(Inputs!$K$5:$AJ$230,0,MATCH(F$2,Inputs!$K$4:$AJ$4,0)))))</f>
        <v>2918.42</v>
      </c>
      <c r="G43" s="6">
        <f>IF(ISNA(MATCH(G$2,Inputs!$K$4:$AJ$4,0)),NA(),IF(SUMPRODUCT((Inputs!$A$5:$A$230=$B43)*ISNUMBER(INDEX(Inputs!$K$5:$AJ$230,0,MATCH(G$2,Inputs!$K$4:$AJ$4,0))))+SUMPRODUCT((Inputs!$C$5:$C$230=$B43)*ISNUMBER(INDEX(Inputs!$K$5:$AJ$230,0,MATCH(G$2,Inputs!$K$4:$AJ$4,0))))+SUMPRODUCT((Inputs!$E$5:$E$230=$B43)*ISNUMBER(INDEX(Inputs!$K$5:$AJ$230,0,MATCH(G$2,Inputs!$K$4:$AJ$4,0))))=0,NA(),SUMPRODUCT((Inputs!$A$5:$A$230=$B43)*Inputs!$B$5:$B$230*(((Inputs!$G$5:$G$230="moeda")+(Inputs!$G$5:$G$230="acoes"))*Inputs!$B$1+((Inputs!$G$5:$G$230&lt;&gt;"moeda")*(Inputs!$G$5:$G$230&lt;&gt;"acoes")))*INDEX(Inputs!$K$5:$AJ$230,0,MATCH(G$2,Inputs!$K$4:$AJ$4,0)))+SUMPRODUCT((Inputs!$C$5:$C$230=$B43)*Inputs!$D$5:$D$230*(((Inputs!$G$5:$G$230="moeda")+(Inputs!$G$5:$G$230="acoes"))*Inputs!$B$1+((Inputs!$G$5:$G$230&lt;&gt;"moeda")*(Inputs!$G$5:$G$230&lt;&gt;"acoes")))*INDEX(Inputs!$K$5:$AJ$230,0,MATCH(G$2,Inputs!$K$4:$AJ$4,0)))+SUMPRODUCT((Inputs!$E$5:$E$230=$B43)*Inputs!$F$5:$F$230*(((Inputs!$G$5:$G$230="moeda")+(Inputs!$G$5:$G$230="acoes"))*Inputs!$B$1+((Inputs!$G$5:$G$230&lt;&gt;"moeda")*(Inputs!$G$5:$G$230&lt;&gt;"acoes")))*INDEX(Inputs!$K$5:$AJ$230,0,MATCH(G$2,Inputs!$K$4:$AJ$4,0)))))</f>
        <v>2998.03</v>
      </c>
      <c r="H43" s="3">
        <f>G43</f>
        <v>2998.03</v>
      </c>
      <c r="I43" s="6">
        <f>IF(ISNA(MATCH(I$2,Inputs!$K$4:$AJ$4,0)),NA(),IF(SUMPRODUCT((Inputs!$A$5:$A$230=$B43)*ISNUMBER(INDEX(Inputs!$K$5:$AJ$230,0,MATCH(I$2,Inputs!$K$4:$AJ$4,0))))+SUMPRODUCT((Inputs!$C$5:$C$230=$B43)*ISNUMBER(INDEX(Inputs!$K$5:$AJ$230,0,MATCH(I$2,Inputs!$K$4:$AJ$4,0))))+SUMPRODUCT((Inputs!$E$5:$E$230=$B43)*ISNUMBER(INDEX(Inputs!$K$5:$AJ$230,0,MATCH(I$2,Inputs!$K$4:$AJ$4,0))))=0,NA(),SUMPRODUCT((Inputs!$A$5:$A$230=$B43)*Inputs!$B$5:$B$230*(((Inputs!$G$5:$G$230="moeda")+(Inputs!$G$5:$G$230="acoes"))*Inputs!$B$1+((Inputs!$G$5:$G$230&lt;&gt;"moeda")*(Inputs!$G$5:$G$230&lt;&gt;"acoes")))*INDEX(Inputs!$K$5:$AJ$230,0,MATCH(I$2,Inputs!$K$4:$AJ$4,0)))+SUMPRODUCT((Inputs!$C$5:$C$230=$B43)*Inputs!$D$5:$D$230*(((Inputs!$G$5:$G$230="moeda")+(Inputs!$G$5:$G$230="acoes"))*Inputs!$B$1+((Inputs!$G$5:$G$230&lt;&gt;"moeda")*(Inputs!$G$5:$G$230&lt;&gt;"acoes")))*INDEX(Inputs!$K$5:$AJ$230,0,MATCH(I$2,Inputs!$K$4:$AJ$4,0)))+SUMPRODUCT((Inputs!$E$5:$E$230=$B43)*Inputs!$F$5:$F$230*(((Inputs!$G$5:$G$230="moeda")+(Inputs!$G$5:$G$230="acoes"))*Inputs!$B$1+((Inputs!$G$5:$G$230&lt;&gt;"moeda")*(Inputs!$G$5:$G$230&lt;&gt;"acoes")))*INDEX(Inputs!$K$5:$AJ$230,0,MATCH(I$2,Inputs!$K$4:$AJ$4,0)))))</f>
        <v>3135.312</v>
      </c>
      <c r="J43" s="6">
        <f>IF(ISNA(MATCH(J$2,Inputs!$K$4:$AJ$4,0)),NA(),IF(SUMPRODUCT((Inputs!$A$5:$A$230=$B43)*ISNUMBER(INDEX(Inputs!$K$5:$AJ$230,0,MATCH(J$2,Inputs!$K$4:$AJ$4,0))))+SUMPRODUCT((Inputs!$C$5:$C$230=$B43)*ISNUMBER(INDEX(Inputs!$K$5:$AJ$230,0,MATCH(J$2,Inputs!$K$4:$AJ$4,0))))+SUMPRODUCT((Inputs!$E$5:$E$230=$B43)*ISNUMBER(INDEX(Inputs!$K$5:$AJ$230,0,MATCH(J$2,Inputs!$K$4:$AJ$4,0))))=0,NA(),SUMPRODUCT((Inputs!$A$5:$A$230=$B43)*Inputs!$B$5:$B$230*(((Inputs!$G$5:$G$230="moeda")+(Inputs!$G$5:$G$230="acoes"))*Inputs!$B$1+((Inputs!$G$5:$G$230&lt;&gt;"moeda")*(Inputs!$G$5:$G$230&lt;&gt;"acoes")))*INDEX(Inputs!$K$5:$AJ$230,0,MATCH(J$2,Inputs!$K$4:$AJ$4,0)))+SUMPRODUCT((Inputs!$C$5:$C$230=$B43)*Inputs!$D$5:$D$230*(((Inputs!$G$5:$G$230="moeda")+(Inputs!$G$5:$G$230="acoes"))*Inputs!$B$1+((Inputs!$G$5:$G$230&lt;&gt;"moeda")*(Inputs!$G$5:$G$230&lt;&gt;"acoes")))*INDEX(Inputs!$K$5:$AJ$230,0,MATCH(J$2,Inputs!$K$4:$AJ$4,0)))+SUMPRODUCT((Inputs!$E$5:$E$230=$B43)*Inputs!$F$5:$F$230*(((Inputs!$G$5:$G$230="moeda")+(Inputs!$G$5:$G$230="acoes"))*Inputs!$B$1+((Inputs!$G$5:$G$230&lt;&gt;"moeda")*(Inputs!$G$5:$G$230&lt;&gt;"acoes")))*INDEX(Inputs!$K$5:$AJ$230,0,MATCH(J$2,Inputs!$K$4:$AJ$4,0)))))</f>
        <v>3135.312</v>
      </c>
      <c r="K43" s="6">
        <f>IF(ISNA(MATCH(K$2,Inputs!$K$4:$AJ$4,0)),NA(),IF(SUMPRODUCT((Inputs!$A$5:$A$230=$B43)*ISNUMBER(INDEX(Inputs!$K$5:$AJ$230,0,MATCH(K$2,Inputs!$K$4:$AJ$4,0))))+SUMPRODUCT((Inputs!$C$5:$C$230=$B43)*ISNUMBER(INDEX(Inputs!$K$5:$AJ$230,0,MATCH(K$2,Inputs!$K$4:$AJ$4,0))))+SUMPRODUCT((Inputs!$E$5:$E$230=$B43)*ISNUMBER(INDEX(Inputs!$K$5:$AJ$230,0,MATCH(K$2,Inputs!$K$4:$AJ$4,0))))=0,NA(),SUMPRODUCT((Inputs!$A$5:$A$230=$B43)*Inputs!$B$5:$B$230*(((Inputs!$G$5:$G$230="moeda")+(Inputs!$G$5:$G$230="acoes"))*Inputs!$B$1+((Inputs!$G$5:$G$230&lt;&gt;"moeda")*(Inputs!$G$5:$G$230&lt;&gt;"acoes")))*INDEX(Inputs!$K$5:$AJ$230,0,MATCH(K$2,Inputs!$K$4:$AJ$4,0)))+SUMPRODUCT((Inputs!$C$5:$C$230=$B43)*Inputs!$D$5:$D$230*(((Inputs!$G$5:$G$230="moeda")+(Inputs!$G$5:$G$230="acoes"))*Inputs!$B$1+((Inputs!$G$5:$G$230&lt;&gt;"moeda")*(Inputs!$G$5:$G$230&lt;&gt;"acoes")))*INDEX(Inputs!$K$5:$AJ$230,0,MATCH(K$2,Inputs!$K$4:$AJ$4,0)))+SUMPRODUCT((Inputs!$E$5:$E$230=$B43)*Inputs!$F$5:$F$230*(((Inputs!$G$5:$G$230="moeda")+(Inputs!$G$5:$G$230="acoes"))*Inputs!$B$1+((Inputs!$G$5:$G$230&lt;&gt;"moeda")*(Inputs!$G$5:$G$230&lt;&gt;"acoes")))*INDEX(Inputs!$K$5:$AJ$230,0,MATCH(K$2,Inputs!$K$4:$AJ$4,0)))))</f>
        <v>2933.737</v>
      </c>
      <c r="L43" s="6">
        <f>IF(ISNA(MATCH(L$2,Inputs!$K$4:$AJ$4,0)),NA(),IF(SUMPRODUCT((Inputs!$A$5:$A$230=$B43)*ISNUMBER(INDEX(Inputs!$K$5:$AJ$230,0,MATCH(L$2,Inputs!$K$4:$AJ$4,0))))+SUMPRODUCT((Inputs!$C$5:$C$230=$B43)*ISNUMBER(INDEX(Inputs!$K$5:$AJ$230,0,MATCH(L$2,Inputs!$K$4:$AJ$4,0))))+SUMPRODUCT((Inputs!$E$5:$E$230=$B43)*ISNUMBER(INDEX(Inputs!$K$5:$AJ$230,0,MATCH(L$2,Inputs!$K$4:$AJ$4,0))))=0,NA(),SUMPRODUCT((Inputs!$A$5:$A$230=$B43)*Inputs!$B$5:$B$230*(((Inputs!$G$5:$G$230="moeda")+(Inputs!$G$5:$G$230="acoes"))*Inputs!$B$1+((Inputs!$G$5:$G$230&lt;&gt;"moeda")*(Inputs!$G$5:$G$230&lt;&gt;"acoes")))*INDEX(Inputs!$K$5:$AJ$230,0,MATCH(L$2,Inputs!$K$4:$AJ$4,0)))+SUMPRODUCT((Inputs!$C$5:$C$230=$B43)*Inputs!$D$5:$D$230*(((Inputs!$G$5:$G$230="moeda")+(Inputs!$G$5:$G$230="acoes"))*Inputs!$B$1+((Inputs!$G$5:$G$230&lt;&gt;"moeda")*(Inputs!$G$5:$G$230&lt;&gt;"acoes")))*INDEX(Inputs!$K$5:$AJ$230,0,MATCH(L$2,Inputs!$K$4:$AJ$4,0)))+SUMPRODUCT((Inputs!$E$5:$E$230=$B43)*Inputs!$F$5:$F$230*(((Inputs!$G$5:$G$230="moeda")+(Inputs!$G$5:$G$230="acoes"))*Inputs!$B$1+((Inputs!$G$5:$G$230&lt;&gt;"moeda")*(Inputs!$G$5:$G$230&lt;&gt;"acoes")))*INDEX(Inputs!$K$5:$AJ$230,0,MATCH(L$2,Inputs!$K$4:$AJ$4,0)))))</f>
        <v>2933.737</v>
      </c>
      <c r="M43" s="3">
        <f>L43</f>
        <v>2933.737</v>
      </c>
      <c r="N43" s="6">
        <f>IF(ISNA(MATCH(N$2,Inputs!$K$4:$AJ$4,0)),NA(),IF(SUMPRODUCT((Inputs!$A$5:$A$230=$B43)*ISNUMBER(INDEX(Inputs!$K$5:$AJ$230,0,MATCH(N$2,Inputs!$K$4:$AJ$4,0))))+SUMPRODUCT((Inputs!$C$5:$C$230=$B43)*ISNUMBER(INDEX(Inputs!$K$5:$AJ$230,0,MATCH(N$2,Inputs!$K$4:$AJ$4,0))))+SUMPRODUCT((Inputs!$E$5:$E$230=$B43)*ISNUMBER(INDEX(Inputs!$K$5:$AJ$230,0,MATCH(N$2,Inputs!$K$4:$AJ$4,0))))=0,NA(),SUMPRODUCT((Inputs!$A$5:$A$230=$B43)*Inputs!$B$5:$B$230*(((Inputs!$G$5:$G$230="moeda")+(Inputs!$G$5:$G$230="acoes"))*Inputs!$B$1+((Inputs!$G$5:$G$230&lt;&gt;"moeda")*(Inputs!$G$5:$G$230&lt;&gt;"acoes")))*INDEX(Inputs!$K$5:$AJ$230,0,MATCH(N$2,Inputs!$K$4:$AJ$4,0)))+SUMPRODUCT((Inputs!$C$5:$C$230=$B43)*Inputs!$D$5:$D$230*(((Inputs!$G$5:$G$230="moeda")+(Inputs!$G$5:$G$230="acoes"))*Inputs!$B$1+((Inputs!$G$5:$G$230&lt;&gt;"moeda")*(Inputs!$G$5:$G$230&lt;&gt;"acoes")))*INDEX(Inputs!$K$5:$AJ$230,0,MATCH(N$2,Inputs!$K$4:$AJ$4,0)))+SUMPRODUCT((Inputs!$E$5:$E$230=$B43)*Inputs!$F$5:$F$230*(((Inputs!$G$5:$G$230="moeda")+(Inputs!$G$5:$G$230="acoes"))*Inputs!$B$1+((Inputs!$G$5:$G$230&lt;&gt;"moeda")*(Inputs!$G$5:$G$230&lt;&gt;"acoes")))*INDEX(Inputs!$K$5:$AJ$230,0,MATCH(N$2,Inputs!$K$4:$AJ$4,0)))))</f>
        <v>2933.737</v>
      </c>
      <c r="O43" s="6">
        <f>IF(ISNA(MATCH(O$2,Inputs!$K$4:$AJ$4,0)),NA(),IF(SUMPRODUCT((Inputs!$A$5:$A$230=$B43)*ISNUMBER(INDEX(Inputs!$K$5:$AJ$230,0,MATCH(O$2,Inputs!$K$4:$AJ$4,0))))+SUMPRODUCT((Inputs!$C$5:$C$230=$B43)*ISNUMBER(INDEX(Inputs!$K$5:$AJ$230,0,MATCH(O$2,Inputs!$K$4:$AJ$4,0))))+SUMPRODUCT((Inputs!$E$5:$E$230=$B43)*ISNUMBER(INDEX(Inputs!$K$5:$AJ$230,0,MATCH(O$2,Inputs!$K$4:$AJ$4,0))))=0,NA(),SUMPRODUCT((Inputs!$A$5:$A$230=$B43)*Inputs!$B$5:$B$230*(((Inputs!$G$5:$G$230="moeda")+(Inputs!$G$5:$G$230="acoes"))*Inputs!$B$1+((Inputs!$G$5:$G$230&lt;&gt;"moeda")*(Inputs!$G$5:$G$230&lt;&gt;"acoes")))*INDEX(Inputs!$K$5:$AJ$230,0,MATCH(O$2,Inputs!$K$4:$AJ$4,0)))+SUMPRODUCT((Inputs!$C$5:$C$230=$B43)*Inputs!$D$5:$D$230*(((Inputs!$G$5:$G$230="moeda")+(Inputs!$G$5:$G$230="acoes"))*Inputs!$B$1+((Inputs!$G$5:$G$230&lt;&gt;"moeda")*(Inputs!$G$5:$G$230&lt;&gt;"acoes")))*INDEX(Inputs!$K$5:$AJ$230,0,MATCH(O$2,Inputs!$K$4:$AJ$4,0)))+SUMPRODUCT((Inputs!$E$5:$E$230=$B43)*Inputs!$F$5:$F$230*(((Inputs!$G$5:$G$230="moeda")+(Inputs!$G$5:$G$230="acoes"))*Inputs!$B$1+((Inputs!$G$5:$G$230&lt;&gt;"moeda")*(Inputs!$G$5:$G$230&lt;&gt;"acoes")))*INDEX(Inputs!$K$5:$AJ$230,0,MATCH(O$2,Inputs!$K$4:$AJ$4,0)))))</f>
        <v>3312.918</v>
      </c>
      <c r="P43" s="6">
        <f>IF(ISNA(MATCH(P$2,Inputs!$K$4:$AJ$4,0)),NA(),IF(SUMPRODUCT((Inputs!$A$5:$A$230=$B43)*ISNUMBER(INDEX(Inputs!$K$5:$AJ$230,0,MATCH(P$2,Inputs!$K$4:$AJ$4,0))))+SUMPRODUCT((Inputs!$C$5:$C$230=$B43)*ISNUMBER(INDEX(Inputs!$K$5:$AJ$230,0,MATCH(P$2,Inputs!$K$4:$AJ$4,0))))+SUMPRODUCT((Inputs!$E$5:$E$230=$B43)*ISNUMBER(INDEX(Inputs!$K$5:$AJ$230,0,MATCH(P$2,Inputs!$K$4:$AJ$4,0))))=0,NA(),SUMPRODUCT((Inputs!$A$5:$A$230=$B43)*Inputs!$B$5:$B$230*(((Inputs!$G$5:$G$230="moeda")+(Inputs!$G$5:$G$230="acoes"))*Inputs!$B$1+((Inputs!$G$5:$G$230&lt;&gt;"moeda")*(Inputs!$G$5:$G$230&lt;&gt;"acoes")))*INDEX(Inputs!$K$5:$AJ$230,0,MATCH(P$2,Inputs!$K$4:$AJ$4,0)))+SUMPRODUCT((Inputs!$C$5:$C$230=$B43)*Inputs!$D$5:$D$230*(((Inputs!$G$5:$G$230="moeda")+(Inputs!$G$5:$G$230="acoes"))*Inputs!$B$1+((Inputs!$G$5:$G$230&lt;&gt;"moeda")*(Inputs!$G$5:$G$230&lt;&gt;"acoes")))*INDEX(Inputs!$K$5:$AJ$230,0,MATCH(P$2,Inputs!$K$4:$AJ$4,0)))+SUMPRODUCT((Inputs!$E$5:$E$230=$B43)*Inputs!$F$5:$F$230*(((Inputs!$G$5:$G$230="moeda")+(Inputs!$G$5:$G$230="acoes"))*Inputs!$B$1+((Inputs!$G$5:$G$230&lt;&gt;"moeda")*(Inputs!$G$5:$G$230&lt;&gt;"acoes")))*INDEX(Inputs!$K$5:$AJ$230,0,MATCH(P$2,Inputs!$K$4:$AJ$4,0)))))</f>
        <v>3312.918</v>
      </c>
      <c r="Q43" s="6">
        <f>IF(ISNA(MATCH(Q$2,Inputs!$K$4:$AJ$4,0)),NA(),IF(SUMPRODUCT((Inputs!$A$5:$A$230=$B43)*ISNUMBER(INDEX(Inputs!$K$5:$AJ$230,0,MATCH(Q$2,Inputs!$K$4:$AJ$4,0))))+SUMPRODUCT((Inputs!$C$5:$C$230=$B43)*ISNUMBER(INDEX(Inputs!$K$5:$AJ$230,0,MATCH(Q$2,Inputs!$K$4:$AJ$4,0))))+SUMPRODUCT((Inputs!$E$5:$E$230=$B43)*ISNUMBER(INDEX(Inputs!$K$5:$AJ$230,0,MATCH(Q$2,Inputs!$K$4:$AJ$4,0))))=0,NA(),SUMPRODUCT((Inputs!$A$5:$A$230=$B43)*Inputs!$B$5:$B$230*(((Inputs!$G$5:$G$230="moeda")+(Inputs!$G$5:$G$230="acoes"))*Inputs!$B$1+((Inputs!$G$5:$G$230&lt;&gt;"moeda")*(Inputs!$G$5:$G$230&lt;&gt;"acoes")))*INDEX(Inputs!$K$5:$AJ$230,0,MATCH(Q$2,Inputs!$K$4:$AJ$4,0)))+SUMPRODUCT((Inputs!$C$5:$C$230=$B43)*Inputs!$D$5:$D$230*(((Inputs!$G$5:$G$230="moeda")+(Inputs!$G$5:$G$230="acoes"))*Inputs!$B$1+((Inputs!$G$5:$G$230&lt;&gt;"moeda")*(Inputs!$G$5:$G$230&lt;&gt;"acoes")))*INDEX(Inputs!$K$5:$AJ$230,0,MATCH(Q$2,Inputs!$K$4:$AJ$4,0)))+SUMPRODUCT((Inputs!$E$5:$E$230=$B43)*Inputs!$F$5:$F$230*(((Inputs!$G$5:$G$230="moeda")+(Inputs!$G$5:$G$230="acoes"))*Inputs!$B$1+((Inputs!$G$5:$G$230&lt;&gt;"moeda")*(Inputs!$G$5:$G$230&lt;&gt;"acoes")))*INDEX(Inputs!$K$5:$AJ$230,0,MATCH(Q$2,Inputs!$K$4:$AJ$4,0)))))</f>
        <v>3312.918</v>
      </c>
      <c r="R43" s="3">
        <f>Q43</f>
        <v>3312.918</v>
      </c>
      <c r="S43" s="6">
        <f>IF(ISNA(MATCH(S$2,Inputs!$K$4:$AJ$4,0)),NA(),IF(SUMPRODUCT((Inputs!$A$5:$A$230=$B43)*ISNUMBER(INDEX(Inputs!$K$5:$AJ$230,0,MATCH(S$2,Inputs!$K$4:$AJ$4,0))))+SUMPRODUCT((Inputs!$C$5:$C$230=$B43)*ISNUMBER(INDEX(Inputs!$K$5:$AJ$230,0,MATCH(S$2,Inputs!$K$4:$AJ$4,0))))+SUMPRODUCT((Inputs!$E$5:$E$230=$B43)*ISNUMBER(INDEX(Inputs!$K$5:$AJ$230,0,MATCH(S$2,Inputs!$K$4:$AJ$4,0))))=0,NA(),SUMPRODUCT((Inputs!$A$5:$A$230=$B43)*Inputs!$B$5:$B$230*(((Inputs!$G$5:$G$230="moeda")+(Inputs!$G$5:$G$230="acoes"))*Inputs!$B$1+((Inputs!$G$5:$G$230&lt;&gt;"moeda")*(Inputs!$G$5:$G$230&lt;&gt;"acoes")))*INDEX(Inputs!$K$5:$AJ$230,0,MATCH(S$2,Inputs!$K$4:$AJ$4,0)))+SUMPRODUCT((Inputs!$C$5:$C$230=$B43)*Inputs!$D$5:$D$230*(((Inputs!$G$5:$G$230="moeda")+(Inputs!$G$5:$G$230="acoes"))*Inputs!$B$1+((Inputs!$G$5:$G$230&lt;&gt;"moeda")*(Inputs!$G$5:$G$230&lt;&gt;"acoes")))*INDEX(Inputs!$K$5:$AJ$230,0,MATCH(S$2,Inputs!$K$4:$AJ$4,0)))+SUMPRODUCT((Inputs!$E$5:$E$230=$B43)*Inputs!$F$5:$F$230*(((Inputs!$G$5:$G$230="moeda")+(Inputs!$G$5:$G$230="acoes"))*Inputs!$B$1+((Inputs!$G$5:$G$230&lt;&gt;"moeda")*(Inputs!$G$5:$G$230&lt;&gt;"acoes")))*INDEX(Inputs!$K$5:$AJ$230,0,MATCH(S$2,Inputs!$K$4:$AJ$4,0)))))</f>
        <v>3312.918</v>
      </c>
      <c r="T43" s="6">
        <f>IF(ISNA(MATCH(T$2,Inputs!$K$4:$AJ$4,0)),NA(),IF(SUMPRODUCT((Inputs!$A$5:$A$230=$B43)*ISNUMBER(INDEX(Inputs!$K$5:$AJ$230,0,MATCH(T$2,Inputs!$K$4:$AJ$4,0))))+SUMPRODUCT((Inputs!$C$5:$C$230=$B43)*ISNUMBER(INDEX(Inputs!$K$5:$AJ$230,0,MATCH(T$2,Inputs!$K$4:$AJ$4,0))))+SUMPRODUCT((Inputs!$E$5:$E$230=$B43)*ISNUMBER(INDEX(Inputs!$K$5:$AJ$230,0,MATCH(T$2,Inputs!$K$4:$AJ$4,0))))=0,NA(),SUMPRODUCT((Inputs!$A$5:$A$230=$B43)*Inputs!$B$5:$B$230*(((Inputs!$G$5:$G$230="moeda")+(Inputs!$G$5:$G$230="acoes"))*Inputs!$B$1+((Inputs!$G$5:$G$230&lt;&gt;"moeda")*(Inputs!$G$5:$G$230&lt;&gt;"acoes")))*INDEX(Inputs!$K$5:$AJ$230,0,MATCH(T$2,Inputs!$K$4:$AJ$4,0)))+SUMPRODUCT((Inputs!$C$5:$C$230=$B43)*Inputs!$D$5:$D$230*(((Inputs!$G$5:$G$230="moeda")+(Inputs!$G$5:$G$230="acoes"))*Inputs!$B$1+((Inputs!$G$5:$G$230&lt;&gt;"moeda")*(Inputs!$G$5:$G$230&lt;&gt;"acoes")))*INDEX(Inputs!$K$5:$AJ$230,0,MATCH(T$2,Inputs!$K$4:$AJ$4,0)))+SUMPRODUCT((Inputs!$E$5:$E$230=$B43)*Inputs!$F$5:$F$230*(((Inputs!$G$5:$G$230="moeda")+(Inputs!$G$5:$G$230="acoes"))*Inputs!$B$1+((Inputs!$G$5:$G$230&lt;&gt;"moeda")*(Inputs!$G$5:$G$230&lt;&gt;"acoes")))*INDEX(Inputs!$K$5:$AJ$230,0,MATCH(T$2,Inputs!$K$4:$AJ$4,0)))))</f>
        <v>3675.703</v>
      </c>
      <c r="U43" s="6">
        <f>IF(ISNA(MATCH(U$2,Inputs!$K$4:$AJ$4,0)),NA(),IF(SUMPRODUCT((Inputs!$A$5:$A$230=$B43)*ISNUMBER(INDEX(Inputs!$K$5:$AJ$230,0,MATCH(U$2,Inputs!$K$4:$AJ$4,0))))+SUMPRODUCT((Inputs!$C$5:$C$230=$B43)*ISNUMBER(INDEX(Inputs!$K$5:$AJ$230,0,MATCH(U$2,Inputs!$K$4:$AJ$4,0))))+SUMPRODUCT((Inputs!$E$5:$E$230=$B43)*ISNUMBER(INDEX(Inputs!$K$5:$AJ$230,0,MATCH(U$2,Inputs!$K$4:$AJ$4,0))))=0,NA(),SUMPRODUCT((Inputs!$A$5:$A$230=$B43)*Inputs!$B$5:$B$230*(((Inputs!$G$5:$G$230="moeda")+(Inputs!$G$5:$G$230="acoes"))*Inputs!$B$1+((Inputs!$G$5:$G$230&lt;&gt;"moeda")*(Inputs!$G$5:$G$230&lt;&gt;"acoes")))*INDEX(Inputs!$K$5:$AJ$230,0,MATCH(U$2,Inputs!$K$4:$AJ$4,0)))+SUMPRODUCT((Inputs!$C$5:$C$230=$B43)*Inputs!$D$5:$D$230*(((Inputs!$G$5:$G$230="moeda")+(Inputs!$G$5:$G$230="acoes"))*Inputs!$B$1+((Inputs!$G$5:$G$230&lt;&gt;"moeda")*(Inputs!$G$5:$G$230&lt;&gt;"acoes")))*INDEX(Inputs!$K$5:$AJ$230,0,MATCH(U$2,Inputs!$K$4:$AJ$4,0)))+SUMPRODUCT((Inputs!$E$5:$E$230=$B43)*Inputs!$F$5:$F$230*(((Inputs!$G$5:$G$230="moeda")+(Inputs!$G$5:$G$230="acoes"))*Inputs!$B$1+((Inputs!$G$5:$G$230&lt;&gt;"moeda")*(Inputs!$G$5:$G$230&lt;&gt;"acoes")))*INDEX(Inputs!$K$5:$AJ$230,0,MATCH(U$2,Inputs!$K$4:$AJ$4,0)))))</f>
        <v>3675.703</v>
      </c>
      <c r="V43" s="6">
        <f>IF(ISNA(MATCH(V$2,Inputs!$K$4:$AJ$4,0)),NA(),IF(SUMPRODUCT((Inputs!$A$5:$A$230=$B43)*ISNUMBER(INDEX(Inputs!$K$5:$AJ$230,0,MATCH(V$2,Inputs!$K$4:$AJ$4,0))))+SUMPRODUCT((Inputs!$C$5:$C$230=$B43)*ISNUMBER(INDEX(Inputs!$K$5:$AJ$230,0,MATCH(V$2,Inputs!$K$4:$AJ$4,0))))+SUMPRODUCT((Inputs!$E$5:$E$230=$B43)*ISNUMBER(INDEX(Inputs!$K$5:$AJ$230,0,MATCH(V$2,Inputs!$K$4:$AJ$4,0))))=0,NA(),SUMPRODUCT((Inputs!$A$5:$A$230=$B43)*Inputs!$B$5:$B$230*(((Inputs!$G$5:$G$230="moeda")+(Inputs!$G$5:$G$230="acoes"))*Inputs!$B$1+((Inputs!$G$5:$G$230&lt;&gt;"moeda")*(Inputs!$G$5:$G$230&lt;&gt;"acoes")))*INDEX(Inputs!$K$5:$AJ$230,0,MATCH(V$2,Inputs!$K$4:$AJ$4,0)))+SUMPRODUCT((Inputs!$C$5:$C$230=$B43)*Inputs!$D$5:$D$230*(((Inputs!$G$5:$G$230="moeda")+(Inputs!$G$5:$G$230="acoes"))*Inputs!$B$1+((Inputs!$G$5:$G$230&lt;&gt;"moeda")*(Inputs!$G$5:$G$230&lt;&gt;"acoes")))*INDEX(Inputs!$K$5:$AJ$230,0,MATCH(V$2,Inputs!$K$4:$AJ$4,0)))+SUMPRODUCT((Inputs!$E$5:$E$230=$B43)*Inputs!$F$5:$F$230*(((Inputs!$G$5:$G$230="moeda")+(Inputs!$G$5:$G$230="acoes"))*Inputs!$B$1+((Inputs!$G$5:$G$230&lt;&gt;"moeda")*(Inputs!$G$5:$G$230&lt;&gt;"acoes")))*INDEX(Inputs!$K$5:$AJ$230,0,MATCH(V$2,Inputs!$K$4:$AJ$4,0)))))</f>
        <v>3675.703</v>
      </c>
      <c r="W43" s="3">
        <f>V43</f>
        <v>3675.703</v>
      </c>
      <c r="X43" s="6">
        <f>IF(ISNA(MATCH(X$2,Inputs!$K$4:$AJ$4,0)),NA(),IF(SUMPRODUCT((Inputs!$A$5:$A$230=$B43)*ISNUMBER(INDEX(Inputs!$K$5:$AJ$230,0,MATCH(X$2,Inputs!$K$4:$AJ$4,0))))+SUMPRODUCT((Inputs!$C$5:$C$230=$B43)*ISNUMBER(INDEX(Inputs!$K$5:$AJ$230,0,MATCH(X$2,Inputs!$K$4:$AJ$4,0))))+SUMPRODUCT((Inputs!$E$5:$E$230=$B43)*ISNUMBER(INDEX(Inputs!$K$5:$AJ$230,0,MATCH(X$2,Inputs!$K$4:$AJ$4,0))))=0,NA(),SUMPRODUCT((Inputs!$A$5:$A$230=$B43)*Inputs!$B$5:$B$230*(((Inputs!$G$5:$G$230="moeda")+(Inputs!$G$5:$G$230="acoes"))*Inputs!$B$1+((Inputs!$G$5:$G$230&lt;&gt;"moeda")*(Inputs!$G$5:$G$230&lt;&gt;"acoes")))*INDEX(Inputs!$K$5:$AJ$230,0,MATCH(X$2,Inputs!$K$4:$AJ$4,0)))+SUMPRODUCT((Inputs!$C$5:$C$230=$B43)*Inputs!$D$5:$D$230*(((Inputs!$G$5:$G$230="moeda")+(Inputs!$G$5:$G$230="acoes"))*Inputs!$B$1+((Inputs!$G$5:$G$230&lt;&gt;"moeda")*(Inputs!$G$5:$G$230&lt;&gt;"acoes")))*INDEX(Inputs!$K$5:$AJ$230,0,MATCH(X$2,Inputs!$K$4:$AJ$4,0)))+SUMPRODUCT((Inputs!$E$5:$E$230=$B43)*Inputs!$F$5:$F$230*(((Inputs!$G$5:$G$230="moeda")+(Inputs!$G$5:$G$230="acoes"))*Inputs!$B$1+((Inputs!$G$5:$G$230&lt;&gt;"moeda")*(Inputs!$G$5:$G$230&lt;&gt;"acoes")))*INDEX(Inputs!$K$5:$AJ$230,0,MATCH(X$2,Inputs!$K$4:$AJ$4,0)))))</f>
        <v>3675.703</v>
      </c>
      <c r="Y43" s="6">
        <f>IF(ISNA(MATCH(Y$2,Inputs!$K$4:$AJ$4,0)),NA(),IF(SUMPRODUCT((Inputs!$A$5:$A$230=$B43)*ISNUMBER(INDEX(Inputs!$K$5:$AJ$230,0,MATCH(Y$2,Inputs!$K$4:$AJ$4,0))))+SUMPRODUCT((Inputs!$C$5:$C$230=$B43)*ISNUMBER(INDEX(Inputs!$K$5:$AJ$230,0,MATCH(Y$2,Inputs!$K$4:$AJ$4,0))))+SUMPRODUCT((Inputs!$E$5:$E$230=$B43)*ISNUMBER(INDEX(Inputs!$K$5:$AJ$230,0,MATCH(Y$2,Inputs!$K$4:$AJ$4,0))))=0,NA(),SUMPRODUCT((Inputs!$A$5:$A$230=$B43)*Inputs!$B$5:$B$230*(((Inputs!$G$5:$G$230="moeda")+(Inputs!$G$5:$G$230="acoes"))*Inputs!$B$1+((Inputs!$G$5:$G$230&lt;&gt;"moeda")*(Inputs!$G$5:$G$230&lt;&gt;"acoes")))*INDEX(Inputs!$K$5:$AJ$230,0,MATCH(Y$2,Inputs!$K$4:$AJ$4,0)))+SUMPRODUCT((Inputs!$C$5:$C$230=$B43)*Inputs!$D$5:$D$230*(((Inputs!$G$5:$G$230="moeda")+(Inputs!$G$5:$G$230="acoes"))*Inputs!$B$1+((Inputs!$G$5:$G$230&lt;&gt;"moeda")*(Inputs!$G$5:$G$230&lt;&gt;"acoes")))*INDEX(Inputs!$K$5:$AJ$230,0,MATCH(Y$2,Inputs!$K$4:$AJ$4,0)))+SUMPRODUCT((Inputs!$E$5:$E$230=$B43)*Inputs!$F$5:$F$230*(((Inputs!$G$5:$G$230="moeda")+(Inputs!$G$5:$G$230="acoes"))*Inputs!$B$1+((Inputs!$G$5:$G$230&lt;&gt;"moeda")*(Inputs!$G$5:$G$230&lt;&gt;"acoes")))*INDEX(Inputs!$K$5:$AJ$230,0,MATCH(Y$2,Inputs!$K$4:$AJ$4,0)))))</f>
        <v>4025.234</v>
      </c>
      <c r="Z43" s="6">
        <f>IF(ISNA(MATCH(Z$2,Inputs!$K$4:$AJ$4,0)),NA(),IF(SUMPRODUCT((Inputs!$A$5:$A$230=$B43)*ISNUMBER(INDEX(Inputs!$K$5:$AJ$230,0,MATCH(Z$2,Inputs!$K$4:$AJ$4,0))))+SUMPRODUCT((Inputs!$C$5:$C$230=$B43)*ISNUMBER(INDEX(Inputs!$K$5:$AJ$230,0,MATCH(Z$2,Inputs!$K$4:$AJ$4,0))))+SUMPRODUCT((Inputs!$E$5:$E$230=$B43)*ISNUMBER(INDEX(Inputs!$K$5:$AJ$230,0,MATCH(Z$2,Inputs!$K$4:$AJ$4,0))))=0,NA(),SUMPRODUCT((Inputs!$A$5:$A$230=$B43)*Inputs!$B$5:$B$230*(((Inputs!$G$5:$G$230="moeda")+(Inputs!$G$5:$G$230="acoes"))*Inputs!$B$1+((Inputs!$G$5:$G$230&lt;&gt;"moeda")*(Inputs!$G$5:$G$230&lt;&gt;"acoes")))*INDEX(Inputs!$K$5:$AJ$230,0,MATCH(Z$2,Inputs!$K$4:$AJ$4,0)))+SUMPRODUCT((Inputs!$C$5:$C$230=$B43)*Inputs!$D$5:$D$230*(((Inputs!$G$5:$G$230="moeda")+(Inputs!$G$5:$G$230="acoes"))*Inputs!$B$1+((Inputs!$G$5:$G$230&lt;&gt;"moeda")*(Inputs!$G$5:$G$230&lt;&gt;"acoes")))*INDEX(Inputs!$K$5:$AJ$230,0,MATCH(Z$2,Inputs!$K$4:$AJ$4,0)))+SUMPRODUCT((Inputs!$E$5:$E$230=$B43)*Inputs!$F$5:$F$230*(((Inputs!$G$5:$G$230="moeda")+(Inputs!$G$5:$G$230="acoes"))*Inputs!$B$1+((Inputs!$G$5:$G$230&lt;&gt;"moeda")*(Inputs!$G$5:$G$230&lt;&gt;"acoes")))*INDEX(Inputs!$K$5:$AJ$230,0,MATCH(Z$2,Inputs!$K$4:$AJ$4,0)))))</f>
        <v>4025.234</v>
      </c>
      <c r="AA43" s="6">
        <f>IF(ISNA(MATCH(AA$2,Inputs!$K$4:$AJ$4,0)),NA(),IF(SUMPRODUCT((Inputs!$A$5:$A$230=$B43)*ISNUMBER(INDEX(Inputs!$K$5:$AJ$230,0,MATCH(AA$2,Inputs!$K$4:$AJ$4,0))))+SUMPRODUCT((Inputs!$C$5:$C$230=$B43)*ISNUMBER(INDEX(Inputs!$K$5:$AJ$230,0,MATCH(AA$2,Inputs!$K$4:$AJ$4,0))))+SUMPRODUCT((Inputs!$E$5:$E$230=$B43)*ISNUMBER(INDEX(Inputs!$K$5:$AJ$230,0,MATCH(AA$2,Inputs!$K$4:$AJ$4,0))))=0,NA(),SUMPRODUCT((Inputs!$A$5:$A$230=$B43)*Inputs!$B$5:$B$230*(((Inputs!$G$5:$G$230="moeda")+(Inputs!$G$5:$G$230="acoes"))*Inputs!$B$1+((Inputs!$G$5:$G$230&lt;&gt;"moeda")*(Inputs!$G$5:$G$230&lt;&gt;"acoes")))*INDEX(Inputs!$K$5:$AJ$230,0,MATCH(AA$2,Inputs!$K$4:$AJ$4,0)))+SUMPRODUCT((Inputs!$C$5:$C$230=$B43)*Inputs!$D$5:$D$230*(((Inputs!$G$5:$G$230="moeda")+(Inputs!$G$5:$G$230="acoes"))*Inputs!$B$1+((Inputs!$G$5:$G$230&lt;&gt;"moeda")*(Inputs!$G$5:$G$230&lt;&gt;"acoes")))*INDEX(Inputs!$K$5:$AJ$230,0,MATCH(AA$2,Inputs!$K$4:$AJ$4,0)))+SUMPRODUCT((Inputs!$E$5:$E$230=$B43)*Inputs!$F$5:$F$230*(((Inputs!$G$5:$G$230="moeda")+(Inputs!$G$5:$G$230="acoes"))*Inputs!$B$1+((Inputs!$G$5:$G$230&lt;&gt;"moeda")*(Inputs!$G$5:$G$230&lt;&gt;"acoes")))*INDEX(Inputs!$K$5:$AJ$230,0,MATCH(AA$2,Inputs!$K$4:$AJ$4,0)))))</f>
        <v>4025.234</v>
      </c>
      <c r="AB43" s="3">
        <f>AA43</f>
        <v>4025.234</v>
      </c>
      <c r="AC43" s="6">
        <f>IF(ISNA(MATCH(AC$2,Inputs!$K$4:$AJ$4,0)),NA(),IF(SUMPRODUCT((Inputs!$A$5:$A$230=$B43)*ISNUMBER(INDEX(Inputs!$K$5:$AJ$230,0,MATCH(AC$2,Inputs!$K$4:$AJ$4,0))))+SUMPRODUCT((Inputs!$C$5:$C$230=$B43)*ISNUMBER(INDEX(Inputs!$K$5:$AJ$230,0,MATCH(AC$2,Inputs!$K$4:$AJ$4,0))))+SUMPRODUCT((Inputs!$E$5:$E$230=$B43)*ISNUMBER(INDEX(Inputs!$K$5:$AJ$230,0,MATCH(AC$2,Inputs!$K$4:$AJ$4,0))))=0,NA(),SUMPRODUCT((Inputs!$A$5:$A$230=$B43)*Inputs!$B$5:$B$230*(((Inputs!$G$5:$G$230="moeda")+(Inputs!$G$5:$G$230="acoes"))*Inputs!$B$1+((Inputs!$G$5:$G$230&lt;&gt;"moeda")*(Inputs!$G$5:$G$230&lt;&gt;"acoes")))*INDEX(Inputs!$K$5:$AJ$230,0,MATCH(AC$2,Inputs!$K$4:$AJ$4,0)))+SUMPRODUCT((Inputs!$C$5:$C$230=$B43)*Inputs!$D$5:$D$230*(((Inputs!$G$5:$G$230="moeda")+(Inputs!$G$5:$G$230="acoes"))*Inputs!$B$1+((Inputs!$G$5:$G$230&lt;&gt;"moeda")*(Inputs!$G$5:$G$230&lt;&gt;"acoes")))*INDEX(Inputs!$K$5:$AJ$230,0,MATCH(AC$2,Inputs!$K$4:$AJ$4,0)))+SUMPRODUCT((Inputs!$E$5:$E$230=$B43)*Inputs!$F$5:$F$230*(((Inputs!$G$5:$G$230="moeda")+(Inputs!$G$5:$G$230="acoes"))*Inputs!$B$1+((Inputs!$G$5:$G$230&lt;&gt;"moeda")*(Inputs!$G$5:$G$230&lt;&gt;"acoes")))*INDEX(Inputs!$K$5:$AJ$230,0,MATCH(AC$2,Inputs!$K$4:$AJ$4,0)))))</f>
        <v>4025.234</v>
      </c>
      <c r="AD43" s="6">
        <f>IF(ISNA(MATCH(AD$2,Inputs!$K$4:$AJ$4,0)),NA(),IF(SUMPRODUCT((Inputs!$A$5:$A$230=$B43)*ISNUMBER(INDEX(Inputs!$K$5:$AJ$230,0,MATCH(AD$2,Inputs!$K$4:$AJ$4,0))))+SUMPRODUCT((Inputs!$C$5:$C$230=$B43)*ISNUMBER(INDEX(Inputs!$K$5:$AJ$230,0,MATCH(AD$2,Inputs!$K$4:$AJ$4,0))))+SUMPRODUCT((Inputs!$E$5:$E$230=$B43)*ISNUMBER(INDEX(Inputs!$K$5:$AJ$230,0,MATCH(AD$2,Inputs!$K$4:$AJ$4,0))))=0,NA(),SUMPRODUCT((Inputs!$A$5:$A$230=$B43)*Inputs!$B$5:$B$230*(((Inputs!$G$5:$G$230="moeda")+(Inputs!$G$5:$G$230="acoes"))*Inputs!$B$1+((Inputs!$G$5:$G$230&lt;&gt;"moeda")*(Inputs!$G$5:$G$230&lt;&gt;"acoes")))*INDEX(Inputs!$K$5:$AJ$230,0,MATCH(AD$2,Inputs!$K$4:$AJ$4,0)))+SUMPRODUCT((Inputs!$C$5:$C$230=$B43)*Inputs!$D$5:$D$230*(((Inputs!$G$5:$G$230="moeda")+(Inputs!$G$5:$G$230="acoes"))*Inputs!$B$1+((Inputs!$G$5:$G$230&lt;&gt;"moeda")*(Inputs!$G$5:$G$230&lt;&gt;"acoes")))*INDEX(Inputs!$K$5:$AJ$230,0,MATCH(AD$2,Inputs!$K$4:$AJ$4,0)))+SUMPRODUCT((Inputs!$E$5:$E$230=$B43)*Inputs!$F$5:$F$230*(((Inputs!$G$5:$G$230="moeda")+(Inputs!$G$5:$G$230="acoes"))*Inputs!$B$1+((Inputs!$G$5:$G$230&lt;&gt;"moeda")*(Inputs!$G$5:$G$230&lt;&gt;"acoes")))*INDEX(Inputs!$K$5:$AJ$230,0,MATCH(AD$2,Inputs!$K$4:$AJ$4,0)))))</f>
        <v>4025.234</v>
      </c>
      <c r="AE43" s="6" t="e">
        <f>IF(ISNA(MATCH(AE$2,Inputs!$K$4:$AJ$4,0)),NA(),IF(SUMPRODUCT((Inputs!$A$5:$A$230=$B43)*ISNUMBER(INDEX(Inputs!$K$5:$AJ$230,0,MATCH(AE$2,Inputs!$K$4:$AJ$4,0))))+SUMPRODUCT((Inputs!$C$5:$C$230=$B43)*ISNUMBER(INDEX(Inputs!$K$5:$AJ$230,0,MATCH(AE$2,Inputs!$K$4:$AJ$4,0))))+SUMPRODUCT((Inputs!$E$5:$E$230=$B43)*ISNUMBER(INDEX(Inputs!$K$5:$AJ$230,0,MATCH(AE$2,Inputs!$K$4:$AJ$4,0))))=0,NA(),SUMPRODUCT((Inputs!$A$5:$A$230=$B43)*Inputs!$B$5:$B$230*(((Inputs!$G$5:$G$230="moeda")+(Inputs!$G$5:$G$230="acoes"))*Inputs!$B$1+((Inputs!$G$5:$G$230&lt;&gt;"moeda")*(Inputs!$G$5:$G$230&lt;&gt;"acoes")))*INDEX(Inputs!$K$5:$AJ$230,0,MATCH(AE$2,Inputs!$K$4:$AJ$4,0)))+SUMPRODUCT((Inputs!$C$5:$C$230=$B43)*Inputs!$D$5:$D$230*(((Inputs!$G$5:$G$230="moeda")+(Inputs!$G$5:$G$230="acoes"))*Inputs!$B$1+((Inputs!$G$5:$G$230&lt;&gt;"moeda")*(Inputs!$G$5:$G$230&lt;&gt;"acoes")))*INDEX(Inputs!$K$5:$AJ$230,0,MATCH(AE$2,Inputs!$K$4:$AJ$4,0)))+SUMPRODUCT((Inputs!$E$5:$E$230=$B43)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43" s="6" t="e">
        <f>IF(ISNA(MATCH(AF$2,Inputs!$K$4:$AJ$4,0)),NA(),IF(SUMPRODUCT((Inputs!$A$5:$A$230=$B43)*ISNUMBER(INDEX(Inputs!$K$5:$AJ$230,0,MATCH(AF$2,Inputs!$K$4:$AJ$4,0))))+SUMPRODUCT((Inputs!$C$5:$C$230=$B43)*ISNUMBER(INDEX(Inputs!$K$5:$AJ$230,0,MATCH(AF$2,Inputs!$K$4:$AJ$4,0))))+SUMPRODUCT((Inputs!$E$5:$E$230=$B43)*ISNUMBER(INDEX(Inputs!$K$5:$AJ$230,0,MATCH(AF$2,Inputs!$K$4:$AJ$4,0))))=0,NA(),SUMPRODUCT((Inputs!$A$5:$A$230=$B43)*Inputs!$B$5:$B$230*(((Inputs!$G$5:$G$230="moeda")+(Inputs!$G$5:$G$230="acoes"))*Inputs!$B$1+((Inputs!$G$5:$G$230&lt;&gt;"moeda")*(Inputs!$G$5:$G$230&lt;&gt;"acoes")))*INDEX(Inputs!$K$5:$AJ$230,0,MATCH(AF$2,Inputs!$K$4:$AJ$4,0)))+SUMPRODUCT((Inputs!$C$5:$C$230=$B43)*Inputs!$D$5:$D$230*(((Inputs!$G$5:$G$230="moeda")+(Inputs!$G$5:$G$230="acoes"))*Inputs!$B$1+((Inputs!$G$5:$G$230&lt;&gt;"moeda")*(Inputs!$G$5:$G$230&lt;&gt;"acoes")))*INDEX(Inputs!$K$5:$AJ$230,0,MATCH(AF$2,Inputs!$K$4:$AJ$4,0)))+SUMPRODUCT((Inputs!$E$5:$E$230=$B43)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43" s="3" t="e">
        <f>AF43</f>
        <v>#N/A</v>
      </c>
      <c r="AH43" s="6">
        <f>IF(ISNA(MATCH(AH$2,Inputs!$K$4:$AJ$4,0)),NA(),IF(SUMPRODUCT((Inputs!$A$5:$A$230=$B43)*ISNUMBER(INDEX(Inputs!$K$5:$AJ$230,0,MATCH(AH$2,Inputs!$K$4:$AJ$4,0))))+SUMPRODUCT((Inputs!$C$5:$C$230=$B43)*ISNUMBER(INDEX(Inputs!$K$5:$AJ$230,0,MATCH(AH$2,Inputs!$K$4:$AJ$4,0))))+SUMPRODUCT((Inputs!$E$5:$E$230=$B43)*ISNUMBER(INDEX(Inputs!$K$5:$AJ$230,0,MATCH(AH$2,Inputs!$K$4:$AJ$4,0))))=0,NA(),SUMPRODUCT((Inputs!$A$5:$A$230=$B43)*Inputs!$B$5:$B$230*(((Inputs!$G$5:$G$230="moeda")+(Inputs!$G$5:$G$230="acoes"))*Inputs!$B$1+((Inputs!$G$5:$G$230&lt;&gt;"moeda")*(Inputs!$G$5:$G$230&lt;&gt;"acoes")))*INDEX(Inputs!$K$5:$AJ$230,0,MATCH(AH$2,Inputs!$K$4:$AJ$4,0)))+SUMPRODUCT((Inputs!$C$5:$C$230=$B43)*Inputs!$D$5:$D$230*(((Inputs!$G$5:$G$230="moeda")+(Inputs!$G$5:$G$230="acoes"))*Inputs!$B$1+((Inputs!$G$5:$G$230&lt;&gt;"moeda")*(Inputs!$G$5:$G$230&lt;&gt;"acoes")))*INDEX(Inputs!$K$5:$AJ$230,0,MATCH(AH$2,Inputs!$K$4:$AJ$4,0)))+SUMPRODUCT((Inputs!$E$5:$E$230=$B43)*Inputs!$F$5:$F$230*(((Inputs!$G$5:$G$230="moeda")+(Inputs!$G$5:$G$230="acoes"))*Inputs!$B$1+((Inputs!$G$5:$G$230&lt;&gt;"moeda")*(Inputs!$G$5:$G$230&lt;&gt;"acoes")))*INDEX(Inputs!$K$5:$AJ$230,0,MATCH(AH$2,Inputs!$K$4:$AJ$4,0)))))</f>
        <v>2932.221</v>
      </c>
      <c r="AI43" s="6">
        <f>IF(ISNA(MATCH(AI$2,Inputs!$K$4:$AJ$4,0)),NA(),IF(SUMPRODUCT((Inputs!$A$5:$A$230=$B43)*ISNUMBER(INDEX(Inputs!$K$5:$AJ$230,0,MATCH(AI$2,Inputs!$K$4:$AJ$4,0))))+SUMPRODUCT((Inputs!$C$5:$C$230=$B43)*ISNUMBER(INDEX(Inputs!$K$5:$AJ$230,0,MATCH(AI$2,Inputs!$K$4:$AJ$4,0))))+SUMPRODUCT((Inputs!$E$5:$E$230=$B43)*ISNUMBER(INDEX(Inputs!$K$5:$AJ$230,0,MATCH(AI$2,Inputs!$K$4:$AJ$4,0))))=0,NA(),SUMPRODUCT((Inputs!$A$5:$A$230=$B43)*Inputs!$B$5:$B$230*(((Inputs!$G$5:$G$230="moeda")+(Inputs!$G$5:$G$230="acoes"))*Inputs!$B$1+((Inputs!$G$5:$G$230&lt;&gt;"moeda")*(Inputs!$G$5:$G$230&lt;&gt;"acoes")))*INDEX(Inputs!$K$5:$AJ$230,0,MATCH(AI$2,Inputs!$K$4:$AJ$4,0)))+SUMPRODUCT((Inputs!$C$5:$C$230=$B43)*Inputs!$D$5:$D$230*(((Inputs!$G$5:$G$230="moeda")+(Inputs!$G$5:$G$230="acoes"))*Inputs!$B$1+((Inputs!$G$5:$G$230&lt;&gt;"moeda")*(Inputs!$G$5:$G$230&lt;&gt;"acoes")))*INDEX(Inputs!$K$5:$AJ$230,0,MATCH(AI$2,Inputs!$K$4:$AJ$4,0)))+SUMPRODUCT((Inputs!$E$5:$E$230=$B43)*Inputs!$F$5:$F$230*(((Inputs!$G$5:$G$230="moeda")+(Inputs!$G$5:$G$230="acoes"))*Inputs!$B$1+((Inputs!$G$5:$G$230&lt;&gt;"moeda")*(Inputs!$G$5:$G$230&lt;&gt;"acoes")))*INDEX(Inputs!$K$5:$AJ$230,0,MATCH(AI$2,Inputs!$K$4:$AJ$4,0)))))</f>
        <v>2932.221</v>
      </c>
      <c r="AJ43" s="6">
        <f>IF(ISNA(MATCH(AJ$2,Inputs!$K$4:$AJ$4,0)),NA(),IF(SUMPRODUCT((Inputs!$A$5:$A$230=$B43)*ISNUMBER(INDEX(Inputs!$K$5:$AJ$230,0,MATCH(AJ$2,Inputs!$K$4:$AJ$4,0))))+SUMPRODUCT((Inputs!$C$5:$C$230=$B43)*ISNUMBER(INDEX(Inputs!$K$5:$AJ$230,0,MATCH(AJ$2,Inputs!$K$4:$AJ$4,0))))+SUMPRODUCT((Inputs!$E$5:$E$230=$B43)*ISNUMBER(INDEX(Inputs!$K$5:$AJ$230,0,MATCH(AJ$2,Inputs!$K$4:$AJ$4,0))))=0,NA(),SUMPRODUCT((Inputs!$A$5:$A$230=$B43)*Inputs!$B$5:$B$230*(((Inputs!$G$5:$G$230="moeda")+(Inputs!$G$5:$G$230="acoes"))*Inputs!$B$1+((Inputs!$G$5:$G$230&lt;&gt;"moeda")*(Inputs!$G$5:$G$230&lt;&gt;"acoes")))*INDEX(Inputs!$K$5:$AJ$230,0,MATCH(AJ$2,Inputs!$K$4:$AJ$4,0)))+SUMPRODUCT((Inputs!$C$5:$C$230=$B43)*Inputs!$D$5:$D$230*(((Inputs!$G$5:$G$230="moeda")+(Inputs!$G$5:$G$230="acoes"))*Inputs!$B$1+((Inputs!$G$5:$G$230&lt;&gt;"moeda")*(Inputs!$G$5:$G$230&lt;&gt;"acoes")))*INDEX(Inputs!$K$5:$AJ$230,0,MATCH(AJ$2,Inputs!$K$4:$AJ$4,0)))+SUMPRODUCT((Inputs!$E$5:$E$230=$B43)*Inputs!$F$5:$F$230*(((Inputs!$G$5:$G$230="moeda")+(Inputs!$G$5:$G$230="acoes"))*Inputs!$B$1+((Inputs!$G$5:$G$230&lt;&gt;"moeda")*(Inputs!$G$5:$G$230&lt;&gt;"acoes")))*INDEX(Inputs!$K$5:$AJ$230,0,MATCH(AJ$2,Inputs!$K$4:$AJ$4,0)))))</f>
        <v>2936.252</v>
      </c>
      <c r="AK43" s="6">
        <f>IF(ISNA(MATCH(AK$2,Inputs!$K$4:$AJ$4,0)),NA(),IF(SUMPRODUCT((Inputs!$A$5:$A$230=$B43)*ISNUMBER(INDEX(Inputs!$K$5:$AJ$230,0,MATCH(AK$2,Inputs!$K$4:$AJ$4,0))))+SUMPRODUCT((Inputs!$C$5:$C$230=$B43)*ISNUMBER(INDEX(Inputs!$K$5:$AJ$230,0,MATCH(AK$2,Inputs!$K$4:$AJ$4,0))))+SUMPRODUCT((Inputs!$E$5:$E$230=$B43)*ISNUMBER(INDEX(Inputs!$K$5:$AJ$230,0,MATCH(AK$2,Inputs!$K$4:$AJ$4,0))))=0,NA(),SUMPRODUCT((Inputs!$A$5:$A$230=$B43)*Inputs!$B$5:$B$230*(((Inputs!$G$5:$G$230="moeda")+(Inputs!$G$5:$G$230="acoes"))*Inputs!$B$1+((Inputs!$G$5:$G$230&lt;&gt;"moeda")*(Inputs!$G$5:$G$230&lt;&gt;"acoes")))*INDEX(Inputs!$K$5:$AJ$230,0,MATCH(AK$2,Inputs!$K$4:$AJ$4,0)))+SUMPRODUCT((Inputs!$C$5:$C$230=$B43)*Inputs!$D$5:$D$230*(((Inputs!$G$5:$G$230="moeda")+(Inputs!$G$5:$G$230="acoes"))*Inputs!$B$1+((Inputs!$G$5:$G$230&lt;&gt;"moeda")*(Inputs!$G$5:$G$230&lt;&gt;"acoes")))*INDEX(Inputs!$K$5:$AJ$230,0,MATCH(AK$2,Inputs!$K$4:$AJ$4,0)))+SUMPRODUCT((Inputs!$E$5:$E$230=$B43)*Inputs!$F$5:$F$230*(((Inputs!$G$5:$G$230="moeda")+(Inputs!$G$5:$G$230="acoes"))*Inputs!$B$1+((Inputs!$G$5:$G$230&lt;&gt;"moeda")*(Inputs!$G$5:$G$230&lt;&gt;"acoes")))*INDEX(Inputs!$K$5:$AJ$230,0,MATCH(AK$2,Inputs!$K$4:$AJ$4,0)))))</f>
        <v>2937.286</v>
      </c>
      <c r="AL43" s="3">
        <f>AK43</f>
        <v>2937.286</v>
      </c>
    </row>
    <row r="44">
      <c r="B44" s="46" t="n">
        <v>38</v>
      </c>
      <c r="C44" s="26" t="inlineStr">
        <is>
          <t>Treasury stock (contra account)</t>
        </is>
      </c>
      <c r="D44" s="6" t="e">
        <f>IF(ISNA(MATCH(D$2,Inputs!$K$4:$AJ$4,0)),NA(),IF(SUMPRODUCT((Inputs!$A$5:$A$230=$B44)*ISNUMBER(INDEX(Inputs!$K$5:$AJ$230,0,MATCH(D$2,Inputs!$K$4:$AJ$4,0))))+SUMPRODUCT((Inputs!$C$5:$C$230=$B44)*ISNUMBER(INDEX(Inputs!$K$5:$AJ$230,0,MATCH(D$2,Inputs!$K$4:$AJ$4,0))))+SUMPRODUCT((Inputs!$E$5:$E$230=$B44)*ISNUMBER(INDEX(Inputs!$K$5:$AJ$230,0,MATCH(D$2,Inputs!$K$4:$AJ$4,0))))=0,NA(),SUMPRODUCT((Inputs!$A$5:$A$230=$B44)*Inputs!$B$5:$B$230*(((Inputs!$G$5:$G$230="moeda")+(Inputs!$G$5:$G$230="acoes"))*Inputs!$B$1+((Inputs!$G$5:$G$230&lt;&gt;"moeda")*(Inputs!$G$5:$G$230&lt;&gt;"acoes")))*INDEX(Inputs!$K$5:$AJ$230,0,MATCH(D$2,Inputs!$K$4:$AJ$4,0)))+SUMPRODUCT((Inputs!$C$5:$C$230=$B44)*Inputs!$D$5:$D$230*(((Inputs!$G$5:$G$230="moeda")+(Inputs!$G$5:$G$230="acoes"))*Inputs!$B$1+((Inputs!$G$5:$G$230&lt;&gt;"moeda")*(Inputs!$G$5:$G$230&lt;&gt;"acoes")))*INDEX(Inputs!$K$5:$AJ$230,0,MATCH(D$2,Inputs!$K$4:$AJ$4,0)))+SUMPRODUCT((Inputs!$E$5:$E$230=$B44)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44" s="6" t="e">
        <f>IF(ISNA(MATCH(E$2,Inputs!$K$4:$AJ$4,0)),NA(),IF(SUMPRODUCT((Inputs!$A$5:$A$230=$B44)*ISNUMBER(INDEX(Inputs!$K$5:$AJ$230,0,MATCH(E$2,Inputs!$K$4:$AJ$4,0))))+SUMPRODUCT((Inputs!$C$5:$C$230=$B44)*ISNUMBER(INDEX(Inputs!$K$5:$AJ$230,0,MATCH(E$2,Inputs!$K$4:$AJ$4,0))))+SUMPRODUCT((Inputs!$E$5:$E$230=$B44)*ISNUMBER(INDEX(Inputs!$K$5:$AJ$230,0,MATCH(E$2,Inputs!$K$4:$AJ$4,0))))=0,NA(),SUMPRODUCT((Inputs!$A$5:$A$230=$B44)*Inputs!$B$5:$B$230*(((Inputs!$G$5:$G$230="moeda")+(Inputs!$G$5:$G$230="acoes"))*Inputs!$B$1+((Inputs!$G$5:$G$230&lt;&gt;"moeda")*(Inputs!$G$5:$G$230&lt;&gt;"acoes")))*INDEX(Inputs!$K$5:$AJ$230,0,MATCH(E$2,Inputs!$K$4:$AJ$4,0)))+SUMPRODUCT((Inputs!$C$5:$C$230=$B44)*Inputs!$D$5:$D$230*(((Inputs!$G$5:$G$230="moeda")+(Inputs!$G$5:$G$230="acoes"))*Inputs!$B$1+((Inputs!$G$5:$G$230&lt;&gt;"moeda")*(Inputs!$G$5:$G$230&lt;&gt;"acoes")))*INDEX(Inputs!$K$5:$AJ$230,0,MATCH(E$2,Inputs!$K$4:$AJ$4,0)))+SUMPRODUCT((Inputs!$E$5:$E$230=$B44)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44" s="6" t="e">
        <f>IF(ISNA(MATCH(F$2,Inputs!$K$4:$AJ$4,0)),NA(),IF(SUMPRODUCT((Inputs!$A$5:$A$230=$B44)*ISNUMBER(INDEX(Inputs!$K$5:$AJ$230,0,MATCH(F$2,Inputs!$K$4:$AJ$4,0))))+SUMPRODUCT((Inputs!$C$5:$C$230=$B44)*ISNUMBER(INDEX(Inputs!$K$5:$AJ$230,0,MATCH(F$2,Inputs!$K$4:$AJ$4,0))))+SUMPRODUCT((Inputs!$E$5:$E$230=$B44)*ISNUMBER(INDEX(Inputs!$K$5:$AJ$230,0,MATCH(F$2,Inputs!$K$4:$AJ$4,0))))=0,NA(),SUMPRODUCT((Inputs!$A$5:$A$230=$B44)*Inputs!$B$5:$B$230*(((Inputs!$G$5:$G$230="moeda")+(Inputs!$G$5:$G$230="acoes"))*Inputs!$B$1+((Inputs!$G$5:$G$230&lt;&gt;"moeda")*(Inputs!$G$5:$G$230&lt;&gt;"acoes")))*INDEX(Inputs!$K$5:$AJ$230,0,MATCH(F$2,Inputs!$K$4:$AJ$4,0)))+SUMPRODUCT((Inputs!$C$5:$C$230=$B44)*Inputs!$D$5:$D$230*(((Inputs!$G$5:$G$230="moeda")+(Inputs!$G$5:$G$230="acoes"))*Inputs!$B$1+((Inputs!$G$5:$G$230&lt;&gt;"moeda")*(Inputs!$G$5:$G$230&lt;&gt;"acoes")))*INDEX(Inputs!$K$5:$AJ$230,0,MATCH(F$2,Inputs!$K$4:$AJ$4,0)))+SUMPRODUCT((Inputs!$E$5:$E$230=$B44)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44" s="6" t="e">
        <f>IF(ISNA(MATCH(G$2,Inputs!$K$4:$AJ$4,0)),NA(),IF(SUMPRODUCT((Inputs!$A$5:$A$230=$B44)*ISNUMBER(INDEX(Inputs!$K$5:$AJ$230,0,MATCH(G$2,Inputs!$K$4:$AJ$4,0))))+SUMPRODUCT((Inputs!$C$5:$C$230=$B44)*ISNUMBER(INDEX(Inputs!$K$5:$AJ$230,0,MATCH(G$2,Inputs!$K$4:$AJ$4,0))))+SUMPRODUCT((Inputs!$E$5:$E$230=$B44)*ISNUMBER(INDEX(Inputs!$K$5:$AJ$230,0,MATCH(G$2,Inputs!$K$4:$AJ$4,0))))=0,NA(),SUMPRODUCT((Inputs!$A$5:$A$230=$B44)*Inputs!$B$5:$B$230*(((Inputs!$G$5:$G$230="moeda")+(Inputs!$G$5:$G$230="acoes"))*Inputs!$B$1+((Inputs!$G$5:$G$230&lt;&gt;"moeda")*(Inputs!$G$5:$G$230&lt;&gt;"acoes")))*INDEX(Inputs!$K$5:$AJ$230,0,MATCH(G$2,Inputs!$K$4:$AJ$4,0)))+SUMPRODUCT((Inputs!$C$5:$C$230=$B44)*Inputs!$D$5:$D$230*(((Inputs!$G$5:$G$230="moeda")+(Inputs!$G$5:$G$230="acoes"))*Inputs!$B$1+((Inputs!$G$5:$G$230&lt;&gt;"moeda")*(Inputs!$G$5:$G$230&lt;&gt;"acoes")))*INDEX(Inputs!$K$5:$AJ$230,0,MATCH(G$2,Inputs!$K$4:$AJ$4,0)))+SUMPRODUCT((Inputs!$E$5:$E$230=$B44)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44" s="3" t="e">
        <f>G44</f>
        <v>#N/A</v>
      </c>
      <c r="I44" s="6" t="e">
        <f>IF(ISNA(MATCH(I$2,Inputs!$K$4:$AJ$4,0)),NA(),IF(SUMPRODUCT((Inputs!$A$5:$A$230=$B44)*ISNUMBER(INDEX(Inputs!$K$5:$AJ$230,0,MATCH(I$2,Inputs!$K$4:$AJ$4,0))))+SUMPRODUCT((Inputs!$C$5:$C$230=$B44)*ISNUMBER(INDEX(Inputs!$K$5:$AJ$230,0,MATCH(I$2,Inputs!$K$4:$AJ$4,0))))+SUMPRODUCT((Inputs!$E$5:$E$230=$B44)*ISNUMBER(INDEX(Inputs!$K$5:$AJ$230,0,MATCH(I$2,Inputs!$K$4:$AJ$4,0))))=0,NA(),SUMPRODUCT((Inputs!$A$5:$A$230=$B44)*Inputs!$B$5:$B$230*(((Inputs!$G$5:$G$230="moeda")+(Inputs!$G$5:$G$230="acoes"))*Inputs!$B$1+((Inputs!$G$5:$G$230&lt;&gt;"moeda")*(Inputs!$G$5:$G$230&lt;&gt;"acoes")))*INDEX(Inputs!$K$5:$AJ$230,0,MATCH(I$2,Inputs!$K$4:$AJ$4,0)))+SUMPRODUCT((Inputs!$C$5:$C$230=$B44)*Inputs!$D$5:$D$230*(((Inputs!$G$5:$G$230="moeda")+(Inputs!$G$5:$G$230="acoes"))*Inputs!$B$1+((Inputs!$G$5:$G$230&lt;&gt;"moeda")*(Inputs!$G$5:$G$230&lt;&gt;"acoes")))*INDEX(Inputs!$K$5:$AJ$230,0,MATCH(I$2,Inputs!$K$4:$AJ$4,0)))+SUMPRODUCT((Inputs!$E$5:$E$230=$B44)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44" s="6" t="e">
        <f>IF(ISNA(MATCH(J$2,Inputs!$K$4:$AJ$4,0)),NA(),IF(SUMPRODUCT((Inputs!$A$5:$A$230=$B44)*ISNUMBER(INDEX(Inputs!$K$5:$AJ$230,0,MATCH(J$2,Inputs!$K$4:$AJ$4,0))))+SUMPRODUCT((Inputs!$C$5:$C$230=$B44)*ISNUMBER(INDEX(Inputs!$K$5:$AJ$230,0,MATCH(J$2,Inputs!$K$4:$AJ$4,0))))+SUMPRODUCT((Inputs!$E$5:$E$230=$B44)*ISNUMBER(INDEX(Inputs!$K$5:$AJ$230,0,MATCH(J$2,Inputs!$K$4:$AJ$4,0))))=0,NA(),SUMPRODUCT((Inputs!$A$5:$A$230=$B44)*Inputs!$B$5:$B$230*(((Inputs!$G$5:$G$230="moeda")+(Inputs!$G$5:$G$230="acoes"))*Inputs!$B$1+((Inputs!$G$5:$G$230&lt;&gt;"moeda")*(Inputs!$G$5:$G$230&lt;&gt;"acoes")))*INDEX(Inputs!$K$5:$AJ$230,0,MATCH(J$2,Inputs!$K$4:$AJ$4,0)))+SUMPRODUCT((Inputs!$C$5:$C$230=$B44)*Inputs!$D$5:$D$230*(((Inputs!$G$5:$G$230="moeda")+(Inputs!$G$5:$G$230="acoes"))*Inputs!$B$1+((Inputs!$G$5:$G$230&lt;&gt;"moeda")*(Inputs!$G$5:$G$230&lt;&gt;"acoes")))*INDEX(Inputs!$K$5:$AJ$230,0,MATCH(J$2,Inputs!$K$4:$AJ$4,0)))+SUMPRODUCT((Inputs!$E$5:$E$230=$B44)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44" s="6" t="e">
        <f>IF(ISNA(MATCH(K$2,Inputs!$K$4:$AJ$4,0)),NA(),IF(SUMPRODUCT((Inputs!$A$5:$A$230=$B44)*ISNUMBER(INDEX(Inputs!$K$5:$AJ$230,0,MATCH(K$2,Inputs!$K$4:$AJ$4,0))))+SUMPRODUCT((Inputs!$C$5:$C$230=$B44)*ISNUMBER(INDEX(Inputs!$K$5:$AJ$230,0,MATCH(K$2,Inputs!$K$4:$AJ$4,0))))+SUMPRODUCT((Inputs!$E$5:$E$230=$B44)*ISNUMBER(INDEX(Inputs!$K$5:$AJ$230,0,MATCH(K$2,Inputs!$K$4:$AJ$4,0))))=0,NA(),SUMPRODUCT((Inputs!$A$5:$A$230=$B44)*Inputs!$B$5:$B$230*(((Inputs!$G$5:$G$230="moeda")+(Inputs!$G$5:$G$230="acoes"))*Inputs!$B$1+((Inputs!$G$5:$G$230&lt;&gt;"moeda")*(Inputs!$G$5:$G$230&lt;&gt;"acoes")))*INDEX(Inputs!$K$5:$AJ$230,0,MATCH(K$2,Inputs!$K$4:$AJ$4,0)))+SUMPRODUCT((Inputs!$C$5:$C$230=$B44)*Inputs!$D$5:$D$230*(((Inputs!$G$5:$G$230="moeda")+(Inputs!$G$5:$G$230="acoes"))*Inputs!$B$1+((Inputs!$G$5:$G$230&lt;&gt;"moeda")*(Inputs!$G$5:$G$230&lt;&gt;"acoes")))*INDEX(Inputs!$K$5:$AJ$230,0,MATCH(K$2,Inputs!$K$4:$AJ$4,0)))+SUMPRODUCT((Inputs!$E$5:$E$230=$B44)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44" s="6" t="e">
        <f>IF(ISNA(MATCH(L$2,Inputs!$K$4:$AJ$4,0)),NA(),IF(SUMPRODUCT((Inputs!$A$5:$A$230=$B44)*ISNUMBER(INDEX(Inputs!$K$5:$AJ$230,0,MATCH(L$2,Inputs!$K$4:$AJ$4,0))))+SUMPRODUCT((Inputs!$C$5:$C$230=$B44)*ISNUMBER(INDEX(Inputs!$K$5:$AJ$230,0,MATCH(L$2,Inputs!$K$4:$AJ$4,0))))+SUMPRODUCT((Inputs!$E$5:$E$230=$B44)*ISNUMBER(INDEX(Inputs!$K$5:$AJ$230,0,MATCH(L$2,Inputs!$K$4:$AJ$4,0))))=0,NA(),SUMPRODUCT((Inputs!$A$5:$A$230=$B44)*Inputs!$B$5:$B$230*(((Inputs!$G$5:$G$230="moeda")+(Inputs!$G$5:$G$230="acoes"))*Inputs!$B$1+((Inputs!$G$5:$G$230&lt;&gt;"moeda")*(Inputs!$G$5:$G$230&lt;&gt;"acoes")))*INDEX(Inputs!$K$5:$AJ$230,0,MATCH(L$2,Inputs!$K$4:$AJ$4,0)))+SUMPRODUCT((Inputs!$C$5:$C$230=$B44)*Inputs!$D$5:$D$230*(((Inputs!$G$5:$G$230="moeda")+(Inputs!$G$5:$G$230="acoes"))*Inputs!$B$1+((Inputs!$G$5:$G$230&lt;&gt;"moeda")*(Inputs!$G$5:$G$230&lt;&gt;"acoes")))*INDEX(Inputs!$K$5:$AJ$230,0,MATCH(L$2,Inputs!$K$4:$AJ$4,0)))+SUMPRODUCT((Inputs!$E$5:$E$230=$B44)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44" s="3" t="e">
        <f>L44</f>
        <v>#N/A</v>
      </c>
      <c r="N44" s="6" t="e">
        <f>IF(ISNA(MATCH(N$2,Inputs!$K$4:$AJ$4,0)),NA(),IF(SUMPRODUCT((Inputs!$A$5:$A$230=$B44)*ISNUMBER(INDEX(Inputs!$K$5:$AJ$230,0,MATCH(N$2,Inputs!$K$4:$AJ$4,0))))+SUMPRODUCT((Inputs!$C$5:$C$230=$B44)*ISNUMBER(INDEX(Inputs!$K$5:$AJ$230,0,MATCH(N$2,Inputs!$K$4:$AJ$4,0))))+SUMPRODUCT((Inputs!$E$5:$E$230=$B44)*ISNUMBER(INDEX(Inputs!$K$5:$AJ$230,0,MATCH(N$2,Inputs!$K$4:$AJ$4,0))))=0,NA(),SUMPRODUCT((Inputs!$A$5:$A$230=$B44)*Inputs!$B$5:$B$230*(((Inputs!$G$5:$G$230="moeda")+(Inputs!$G$5:$G$230="acoes"))*Inputs!$B$1+((Inputs!$G$5:$G$230&lt;&gt;"moeda")*(Inputs!$G$5:$G$230&lt;&gt;"acoes")))*INDEX(Inputs!$K$5:$AJ$230,0,MATCH(N$2,Inputs!$K$4:$AJ$4,0)))+SUMPRODUCT((Inputs!$C$5:$C$230=$B44)*Inputs!$D$5:$D$230*(((Inputs!$G$5:$G$230="moeda")+(Inputs!$G$5:$G$230="acoes"))*Inputs!$B$1+((Inputs!$G$5:$G$230&lt;&gt;"moeda")*(Inputs!$G$5:$G$230&lt;&gt;"acoes")))*INDEX(Inputs!$K$5:$AJ$230,0,MATCH(N$2,Inputs!$K$4:$AJ$4,0)))+SUMPRODUCT((Inputs!$E$5:$E$230=$B44)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44" s="6" t="e">
        <f>IF(ISNA(MATCH(O$2,Inputs!$K$4:$AJ$4,0)),NA(),IF(SUMPRODUCT((Inputs!$A$5:$A$230=$B44)*ISNUMBER(INDEX(Inputs!$K$5:$AJ$230,0,MATCH(O$2,Inputs!$K$4:$AJ$4,0))))+SUMPRODUCT((Inputs!$C$5:$C$230=$B44)*ISNUMBER(INDEX(Inputs!$K$5:$AJ$230,0,MATCH(O$2,Inputs!$K$4:$AJ$4,0))))+SUMPRODUCT((Inputs!$E$5:$E$230=$B44)*ISNUMBER(INDEX(Inputs!$K$5:$AJ$230,0,MATCH(O$2,Inputs!$K$4:$AJ$4,0))))=0,NA(),SUMPRODUCT((Inputs!$A$5:$A$230=$B44)*Inputs!$B$5:$B$230*(((Inputs!$G$5:$G$230="moeda")+(Inputs!$G$5:$G$230="acoes"))*Inputs!$B$1+((Inputs!$G$5:$G$230&lt;&gt;"moeda")*(Inputs!$G$5:$G$230&lt;&gt;"acoes")))*INDEX(Inputs!$K$5:$AJ$230,0,MATCH(O$2,Inputs!$K$4:$AJ$4,0)))+SUMPRODUCT((Inputs!$C$5:$C$230=$B44)*Inputs!$D$5:$D$230*(((Inputs!$G$5:$G$230="moeda")+(Inputs!$G$5:$G$230="acoes"))*Inputs!$B$1+((Inputs!$G$5:$G$230&lt;&gt;"moeda")*(Inputs!$G$5:$G$230&lt;&gt;"acoes")))*INDEX(Inputs!$K$5:$AJ$230,0,MATCH(O$2,Inputs!$K$4:$AJ$4,0)))+SUMPRODUCT((Inputs!$E$5:$E$230=$B44)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44" s="6" t="e">
        <f>IF(ISNA(MATCH(P$2,Inputs!$K$4:$AJ$4,0)),NA(),IF(SUMPRODUCT((Inputs!$A$5:$A$230=$B44)*ISNUMBER(INDEX(Inputs!$K$5:$AJ$230,0,MATCH(P$2,Inputs!$K$4:$AJ$4,0))))+SUMPRODUCT((Inputs!$C$5:$C$230=$B44)*ISNUMBER(INDEX(Inputs!$K$5:$AJ$230,0,MATCH(P$2,Inputs!$K$4:$AJ$4,0))))+SUMPRODUCT((Inputs!$E$5:$E$230=$B44)*ISNUMBER(INDEX(Inputs!$K$5:$AJ$230,0,MATCH(P$2,Inputs!$K$4:$AJ$4,0))))=0,NA(),SUMPRODUCT((Inputs!$A$5:$A$230=$B44)*Inputs!$B$5:$B$230*(((Inputs!$G$5:$G$230="moeda")+(Inputs!$G$5:$G$230="acoes"))*Inputs!$B$1+((Inputs!$G$5:$G$230&lt;&gt;"moeda")*(Inputs!$G$5:$G$230&lt;&gt;"acoes")))*INDEX(Inputs!$K$5:$AJ$230,0,MATCH(P$2,Inputs!$K$4:$AJ$4,0)))+SUMPRODUCT((Inputs!$C$5:$C$230=$B44)*Inputs!$D$5:$D$230*(((Inputs!$G$5:$G$230="moeda")+(Inputs!$G$5:$G$230="acoes"))*Inputs!$B$1+((Inputs!$G$5:$G$230&lt;&gt;"moeda")*(Inputs!$G$5:$G$230&lt;&gt;"acoes")))*INDEX(Inputs!$K$5:$AJ$230,0,MATCH(P$2,Inputs!$K$4:$AJ$4,0)))+SUMPRODUCT((Inputs!$E$5:$E$230=$B44)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44" s="6" t="e">
        <f>IF(ISNA(MATCH(Q$2,Inputs!$K$4:$AJ$4,0)),NA(),IF(SUMPRODUCT((Inputs!$A$5:$A$230=$B44)*ISNUMBER(INDEX(Inputs!$K$5:$AJ$230,0,MATCH(Q$2,Inputs!$K$4:$AJ$4,0))))+SUMPRODUCT((Inputs!$C$5:$C$230=$B44)*ISNUMBER(INDEX(Inputs!$K$5:$AJ$230,0,MATCH(Q$2,Inputs!$K$4:$AJ$4,0))))+SUMPRODUCT((Inputs!$E$5:$E$230=$B44)*ISNUMBER(INDEX(Inputs!$K$5:$AJ$230,0,MATCH(Q$2,Inputs!$K$4:$AJ$4,0))))=0,NA(),SUMPRODUCT((Inputs!$A$5:$A$230=$B44)*Inputs!$B$5:$B$230*(((Inputs!$G$5:$G$230="moeda")+(Inputs!$G$5:$G$230="acoes"))*Inputs!$B$1+((Inputs!$G$5:$G$230&lt;&gt;"moeda")*(Inputs!$G$5:$G$230&lt;&gt;"acoes")))*INDEX(Inputs!$K$5:$AJ$230,0,MATCH(Q$2,Inputs!$K$4:$AJ$4,0)))+SUMPRODUCT((Inputs!$C$5:$C$230=$B44)*Inputs!$D$5:$D$230*(((Inputs!$G$5:$G$230="moeda")+(Inputs!$G$5:$G$230="acoes"))*Inputs!$B$1+((Inputs!$G$5:$G$230&lt;&gt;"moeda")*(Inputs!$G$5:$G$230&lt;&gt;"acoes")))*INDEX(Inputs!$K$5:$AJ$230,0,MATCH(Q$2,Inputs!$K$4:$AJ$4,0)))+SUMPRODUCT((Inputs!$E$5:$E$230=$B44)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44" s="3" t="e">
        <f>Q44</f>
        <v>#N/A</v>
      </c>
      <c r="S44" s="6" t="e">
        <f>IF(ISNA(MATCH(S$2,Inputs!$K$4:$AJ$4,0)),NA(),IF(SUMPRODUCT((Inputs!$A$5:$A$230=$B44)*ISNUMBER(INDEX(Inputs!$K$5:$AJ$230,0,MATCH(S$2,Inputs!$K$4:$AJ$4,0))))+SUMPRODUCT((Inputs!$C$5:$C$230=$B44)*ISNUMBER(INDEX(Inputs!$K$5:$AJ$230,0,MATCH(S$2,Inputs!$K$4:$AJ$4,0))))+SUMPRODUCT((Inputs!$E$5:$E$230=$B44)*ISNUMBER(INDEX(Inputs!$K$5:$AJ$230,0,MATCH(S$2,Inputs!$K$4:$AJ$4,0))))=0,NA(),SUMPRODUCT((Inputs!$A$5:$A$230=$B44)*Inputs!$B$5:$B$230*(((Inputs!$G$5:$G$230="moeda")+(Inputs!$G$5:$G$230="acoes"))*Inputs!$B$1+((Inputs!$G$5:$G$230&lt;&gt;"moeda")*(Inputs!$G$5:$G$230&lt;&gt;"acoes")))*INDEX(Inputs!$K$5:$AJ$230,0,MATCH(S$2,Inputs!$K$4:$AJ$4,0)))+SUMPRODUCT((Inputs!$C$5:$C$230=$B44)*Inputs!$D$5:$D$230*(((Inputs!$G$5:$G$230="moeda")+(Inputs!$G$5:$G$230="acoes"))*Inputs!$B$1+((Inputs!$G$5:$G$230&lt;&gt;"moeda")*(Inputs!$G$5:$G$230&lt;&gt;"acoes")))*INDEX(Inputs!$K$5:$AJ$230,0,MATCH(S$2,Inputs!$K$4:$AJ$4,0)))+SUMPRODUCT((Inputs!$E$5:$E$230=$B44)*Inputs!$F$5:$F$230*(((Inputs!$G$5:$G$230="moeda")+(Inputs!$G$5:$G$230="acoes"))*Inputs!$B$1+((Inputs!$G$5:$G$230&lt;&gt;"moeda")*(Inputs!$G$5:$G$230&lt;&gt;"acoes")))*INDEX(Inputs!$K$5:$AJ$230,0,MATCH(S$2,Inputs!$K$4:$AJ$4,0)))))</f>
        <v>#N/A</v>
      </c>
      <c r="T44" s="6" t="e">
        <f>IF(ISNA(MATCH(T$2,Inputs!$K$4:$AJ$4,0)),NA(),IF(SUMPRODUCT((Inputs!$A$5:$A$230=$B44)*ISNUMBER(INDEX(Inputs!$K$5:$AJ$230,0,MATCH(T$2,Inputs!$K$4:$AJ$4,0))))+SUMPRODUCT((Inputs!$C$5:$C$230=$B44)*ISNUMBER(INDEX(Inputs!$K$5:$AJ$230,0,MATCH(T$2,Inputs!$K$4:$AJ$4,0))))+SUMPRODUCT((Inputs!$E$5:$E$230=$B44)*ISNUMBER(INDEX(Inputs!$K$5:$AJ$230,0,MATCH(T$2,Inputs!$K$4:$AJ$4,0))))=0,NA(),SUMPRODUCT((Inputs!$A$5:$A$230=$B44)*Inputs!$B$5:$B$230*(((Inputs!$G$5:$G$230="moeda")+(Inputs!$G$5:$G$230="acoes"))*Inputs!$B$1+((Inputs!$G$5:$G$230&lt;&gt;"moeda")*(Inputs!$G$5:$G$230&lt;&gt;"acoes")))*INDEX(Inputs!$K$5:$AJ$230,0,MATCH(T$2,Inputs!$K$4:$AJ$4,0)))+SUMPRODUCT((Inputs!$C$5:$C$230=$B44)*Inputs!$D$5:$D$230*(((Inputs!$G$5:$G$230="moeda")+(Inputs!$G$5:$G$230="acoes"))*Inputs!$B$1+((Inputs!$G$5:$G$230&lt;&gt;"moeda")*(Inputs!$G$5:$G$230&lt;&gt;"acoes")))*INDEX(Inputs!$K$5:$AJ$230,0,MATCH(T$2,Inputs!$K$4:$AJ$4,0)))+SUMPRODUCT((Inputs!$E$5:$E$230=$B44)*Inputs!$F$5:$F$230*(((Inputs!$G$5:$G$230="moeda")+(Inputs!$G$5:$G$230="acoes"))*Inputs!$B$1+((Inputs!$G$5:$G$230&lt;&gt;"moeda")*(Inputs!$G$5:$G$230&lt;&gt;"acoes")))*INDEX(Inputs!$K$5:$AJ$230,0,MATCH(T$2,Inputs!$K$4:$AJ$4,0)))))</f>
        <v>#N/A</v>
      </c>
      <c r="U44" s="6" t="e">
        <f>IF(ISNA(MATCH(U$2,Inputs!$K$4:$AJ$4,0)),NA(),IF(SUMPRODUCT((Inputs!$A$5:$A$230=$B44)*ISNUMBER(INDEX(Inputs!$K$5:$AJ$230,0,MATCH(U$2,Inputs!$K$4:$AJ$4,0))))+SUMPRODUCT((Inputs!$C$5:$C$230=$B44)*ISNUMBER(INDEX(Inputs!$K$5:$AJ$230,0,MATCH(U$2,Inputs!$K$4:$AJ$4,0))))+SUMPRODUCT((Inputs!$E$5:$E$230=$B44)*ISNUMBER(INDEX(Inputs!$K$5:$AJ$230,0,MATCH(U$2,Inputs!$K$4:$AJ$4,0))))=0,NA(),SUMPRODUCT((Inputs!$A$5:$A$230=$B44)*Inputs!$B$5:$B$230*(((Inputs!$G$5:$G$230="moeda")+(Inputs!$G$5:$G$230="acoes"))*Inputs!$B$1+((Inputs!$G$5:$G$230&lt;&gt;"moeda")*(Inputs!$G$5:$G$230&lt;&gt;"acoes")))*INDEX(Inputs!$K$5:$AJ$230,0,MATCH(U$2,Inputs!$K$4:$AJ$4,0)))+SUMPRODUCT((Inputs!$C$5:$C$230=$B44)*Inputs!$D$5:$D$230*(((Inputs!$G$5:$G$230="moeda")+(Inputs!$G$5:$G$230="acoes"))*Inputs!$B$1+((Inputs!$G$5:$G$230&lt;&gt;"moeda")*(Inputs!$G$5:$G$230&lt;&gt;"acoes")))*INDEX(Inputs!$K$5:$AJ$230,0,MATCH(U$2,Inputs!$K$4:$AJ$4,0)))+SUMPRODUCT((Inputs!$E$5:$E$230=$B44)*Inputs!$F$5:$F$230*(((Inputs!$G$5:$G$230="moeda")+(Inputs!$G$5:$G$230="acoes"))*Inputs!$B$1+((Inputs!$G$5:$G$230&lt;&gt;"moeda")*(Inputs!$G$5:$G$230&lt;&gt;"acoes")))*INDEX(Inputs!$K$5:$AJ$230,0,MATCH(U$2,Inputs!$K$4:$AJ$4,0)))))</f>
        <v>#N/A</v>
      </c>
      <c r="V44" s="6" t="e">
        <f>IF(ISNA(MATCH(V$2,Inputs!$K$4:$AJ$4,0)),NA(),IF(SUMPRODUCT((Inputs!$A$5:$A$230=$B44)*ISNUMBER(INDEX(Inputs!$K$5:$AJ$230,0,MATCH(V$2,Inputs!$K$4:$AJ$4,0))))+SUMPRODUCT((Inputs!$C$5:$C$230=$B44)*ISNUMBER(INDEX(Inputs!$K$5:$AJ$230,0,MATCH(V$2,Inputs!$K$4:$AJ$4,0))))+SUMPRODUCT((Inputs!$E$5:$E$230=$B44)*ISNUMBER(INDEX(Inputs!$K$5:$AJ$230,0,MATCH(V$2,Inputs!$K$4:$AJ$4,0))))=0,NA(),SUMPRODUCT((Inputs!$A$5:$A$230=$B44)*Inputs!$B$5:$B$230*(((Inputs!$G$5:$G$230="moeda")+(Inputs!$G$5:$G$230="acoes"))*Inputs!$B$1+((Inputs!$G$5:$G$230&lt;&gt;"moeda")*(Inputs!$G$5:$G$230&lt;&gt;"acoes")))*INDEX(Inputs!$K$5:$AJ$230,0,MATCH(V$2,Inputs!$K$4:$AJ$4,0)))+SUMPRODUCT((Inputs!$C$5:$C$230=$B44)*Inputs!$D$5:$D$230*(((Inputs!$G$5:$G$230="moeda")+(Inputs!$G$5:$G$230="acoes"))*Inputs!$B$1+((Inputs!$G$5:$G$230&lt;&gt;"moeda")*(Inputs!$G$5:$G$230&lt;&gt;"acoes")))*INDEX(Inputs!$K$5:$AJ$230,0,MATCH(V$2,Inputs!$K$4:$AJ$4,0)))+SUMPRODUCT((Inputs!$E$5:$E$230=$B44)*Inputs!$F$5:$F$230*(((Inputs!$G$5:$G$230="moeda")+(Inputs!$G$5:$G$230="acoes"))*Inputs!$B$1+((Inputs!$G$5:$G$230&lt;&gt;"moeda")*(Inputs!$G$5:$G$230&lt;&gt;"acoes")))*INDEX(Inputs!$K$5:$AJ$230,0,MATCH(V$2,Inputs!$K$4:$AJ$4,0)))))</f>
        <v>#N/A</v>
      </c>
      <c r="W44" s="3" t="e">
        <f>V44</f>
        <v>#N/A</v>
      </c>
      <c r="X44" s="6" t="e">
        <f>IF(ISNA(MATCH(X$2,Inputs!$K$4:$AJ$4,0)),NA(),IF(SUMPRODUCT((Inputs!$A$5:$A$230=$B44)*ISNUMBER(INDEX(Inputs!$K$5:$AJ$230,0,MATCH(X$2,Inputs!$K$4:$AJ$4,0))))+SUMPRODUCT((Inputs!$C$5:$C$230=$B44)*ISNUMBER(INDEX(Inputs!$K$5:$AJ$230,0,MATCH(X$2,Inputs!$K$4:$AJ$4,0))))+SUMPRODUCT((Inputs!$E$5:$E$230=$B44)*ISNUMBER(INDEX(Inputs!$K$5:$AJ$230,0,MATCH(X$2,Inputs!$K$4:$AJ$4,0))))=0,NA(),SUMPRODUCT((Inputs!$A$5:$A$230=$B44)*Inputs!$B$5:$B$230*(((Inputs!$G$5:$G$230="moeda")+(Inputs!$G$5:$G$230="acoes"))*Inputs!$B$1+((Inputs!$G$5:$G$230&lt;&gt;"moeda")*(Inputs!$G$5:$G$230&lt;&gt;"acoes")))*INDEX(Inputs!$K$5:$AJ$230,0,MATCH(X$2,Inputs!$K$4:$AJ$4,0)))+SUMPRODUCT((Inputs!$C$5:$C$230=$B44)*Inputs!$D$5:$D$230*(((Inputs!$G$5:$G$230="moeda")+(Inputs!$G$5:$G$230="acoes"))*Inputs!$B$1+((Inputs!$G$5:$G$230&lt;&gt;"moeda")*(Inputs!$G$5:$G$230&lt;&gt;"acoes")))*INDEX(Inputs!$K$5:$AJ$230,0,MATCH(X$2,Inputs!$K$4:$AJ$4,0)))+SUMPRODUCT((Inputs!$E$5:$E$230=$B44)*Inputs!$F$5:$F$230*(((Inputs!$G$5:$G$230="moeda")+(Inputs!$G$5:$G$230="acoes"))*Inputs!$B$1+((Inputs!$G$5:$G$230&lt;&gt;"moeda")*(Inputs!$G$5:$G$230&lt;&gt;"acoes")))*INDEX(Inputs!$K$5:$AJ$230,0,MATCH(X$2,Inputs!$K$4:$AJ$4,0)))))</f>
        <v>#N/A</v>
      </c>
      <c r="Y44" s="6" t="e">
        <f>IF(ISNA(MATCH(Y$2,Inputs!$K$4:$AJ$4,0)),NA(),IF(SUMPRODUCT((Inputs!$A$5:$A$230=$B44)*ISNUMBER(INDEX(Inputs!$K$5:$AJ$230,0,MATCH(Y$2,Inputs!$K$4:$AJ$4,0))))+SUMPRODUCT((Inputs!$C$5:$C$230=$B44)*ISNUMBER(INDEX(Inputs!$K$5:$AJ$230,0,MATCH(Y$2,Inputs!$K$4:$AJ$4,0))))+SUMPRODUCT((Inputs!$E$5:$E$230=$B44)*ISNUMBER(INDEX(Inputs!$K$5:$AJ$230,0,MATCH(Y$2,Inputs!$K$4:$AJ$4,0))))=0,NA(),SUMPRODUCT((Inputs!$A$5:$A$230=$B44)*Inputs!$B$5:$B$230*(((Inputs!$G$5:$G$230="moeda")+(Inputs!$G$5:$G$230="acoes"))*Inputs!$B$1+((Inputs!$G$5:$G$230&lt;&gt;"moeda")*(Inputs!$G$5:$G$230&lt;&gt;"acoes")))*INDEX(Inputs!$K$5:$AJ$230,0,MATCH(Y$2,Inputs!$K$4:$AJ$4,0)))+SUMPRODUCT((Inputs!$C$5:$C$230=$B44)*Inputs!$D$5:$D$230*(((Inputs!$G$5:$G$230="moeda")+(Inputs!$G$5:$G$230="acoes"))*Inputs!$B$1+((Inputs!$G$5:$G$230&lt;&gt;"moeda")*(Inputs!$G$5:$G$230&lt;&gt;"acoes")))*INDEX(Inputs!$K$5:$AJ$230,0,MATCH(Y$2,Inputs!$K$4:$AJ$4,0)))+SUMPRODUCT((Inputs!$E$5:$E$230=$B44)*Inputs!$F$5:$F$230*(((Inputs!$G$5:$G$230="moeda")+(Inputs!$G$5:$G$230="acoes"))*Inputs!$B$1+((Inputs!$G$5:$G$230&lt;&gt;"moeda")*(Inputs!$G$5:$G$230&lt;&gt;"acoes")))*INDEX(Inputs!$K$5:$AJ$230,0,MATCH(Y$2,Inputs!$K$4:$AJ$4,0)))))</f>
        <v>#N/A</v>
      </c>
      <c r="Z44" s="6" t="e">
        <f>IF(ISNA(MATCH(Z$2,Inputs!$K$4:$AJ$4,0)),NA(),IF(SUMPRODUCT((Inputs!$A$5:$A$230=$B44)*ISNUMBER(INDEX(Inputs!$K$5:$AJ$230,0,MATCH(Z$2,Inputs!$K$4:$AJ$4,0))))+SUMPRODUCT((Inputs!$C$5:$C$230=$B44)*ISNUMBER(INDEX(Inputs!$K$5:$AJ$230,0,MATCH(Z$2,Inputs!$K$4:$AJ$4,0))))+SUMPRODUCT((Inputs!$E$5:$E$230=$B44)*ISNUMBER(INDEX(Inputs!$K$5:$AJ$230,0,MATCH(Z$2,Inputs!$K$4:$AJ$4,0))))=0,NA(),SUMPRODUCT((Inputs!$A$5:$A$230=$B44)*Inputs!$B$5:$B$230*(((Inputs!$G$5:$G$230="moeda")+(Inputs!$G$5:$G$230="acoes"))*Inputs!$B$1+((Inputs!$G$5:$G$230&lt;&gt;"moeda")*(Inputs!$G$5:$G$230&lt;&gt;"acoes")))*INDEX(Inputs!$K$5:$AJ$230,0,MATCH(Z$2,Inputs!$K$4:$AJ$4,0)))+SUMPRODUCT((Inputs!$C$5:$C$230=$B44)*Inputs!$D$5:$D$230*(((Inputs!$G$5:$G$230="moeda")+(Inputs!$G$5:$G$230="acoes"))*Inputs!$B$1+((Inputs!$G$5:$G$230&lt;&gt;"moeda")*(Inputs!$G$5:$G$230&lt;&gt;"acoes")))*INDEX(Inputs!$K$5:$AJ$230,0,MATCH(Z$2,Inputs!$K$4:$AJ$4,0)))+SUMPRODUCT((Inputs!$E$5:$E$230=$B44)*Inputs!$F$5:$F$230*(((Inputs!$G$5:$G$230="moeda")+(Inputs!$G$5:$G$230="acoes"))*Inputs!$B$1+((Inputs!$G$5:$G$230&lt;&gt;"moeda")*(Inputs!$G$5:$G$230&lt;&gt;"acoes")))*INDEX(Inputs!$K$5:$AJ$230,0,MATCH(Z$2,Inputs!$K$4:$AJ$4,0)))))</f>
        <v>#N/A</v>
      </c>
      <c r="AA44" s="6" t="e">
        <f>IF(ISNA(MATCH(AA$2,Inputs!$K$4:$AJ$4,0)),NA(),IF(SUMPRODUCT((Inputs!$A$5:$A$230=$B44)*ISNUMBER(INDEX(Inputs!$K$5:$AJ$230,0,MATCH(AA$2,Inputs!$K$4:$AJ$4,0))))+SUMPRODUCT((Inputs!$C$5:$C$230=$B44)*ISNUMBER(INDEX(Inputs!$K$5:$AJ$230,0,MATCH(AA$2,Inputs!$K$4:$AJ$4,0))))+SUMPRODUCT((Inputs!$E$5:$E$230=$B44)*ISNUMBER(INDEX(Inputs!$K$5:$AJ$230,0,MATCH(AA$2,Inputs!$K$4:$AJ$4,0))))=0,NA(),SUMPRODUCT((Inputs!$A$5:$A$230=$B44)*Inputs!$B$5:$B$230*(((Inputs!$G$5:$G$230="moeda")+(Inputs!$G$5:$G$230="acoes"))*Inputs!$B$1+((Inputs!$G$5:$G$230&lt;&gt;"moeda")*(Inputs!$G$5:$G$230&lt;&gt;"acoes")))*INDEX(Inputs!$K$5:$AJ$230,0,MATCH(AA$2,Inputs!$K$4:$AJ$4,0)))+SUMPRODUCT((Inputs!$C$5:$C$230=$B44)*Inputs!$D$5:$D$230*(((Inputs!$G$5:$G$230="moeda")+(Inputs!$G$5:$G$230="acoes"))*Inputs!$B$1+((Inputs!$G$5:$G$230&lt;&gt;"moeda")*(Inputs!$G$5:$G$230&lt;&gt;"acoes")))*INDEX(Inputs!$K$5:$AJ$230,0,MATCH(AA$2,Inputs!$K$4:$AJ$4,0)))+SUMPRODUCT((Inputs!$E$5:$E$230=$B44)*Inputs!$F$5:$F$230*(((Inputs!$G$5:$G$230="moeda")+(Inputs!$G$5:$G$230="acoes"))*Inputs!$B$1+((Inputs!$G$5:$G$230&lt;&gt;"moeda")*(Inputs!$G$5:$G$230&lt;&gt;"acoes")))*INDEX(Inputs!$K$5:$AJ$230,0,MATCH(AA$2,Inputs!$K$4:$AJ$4,0)))))</f>
        <v>#N/A</v>
      </c>
      <c r="AB44" s="3" t="e">
        <f>AA44</f>
        <v>#N/A</v>
      </c>
      <c r="AC44" s="6" t="e">
        <f>IF(ISNA(MATCH(AC$2,Inputs!$K$4:$AJ$4,0)),NA(),IF(SUMPRODUCT((Inputs!$A$5:$A$230=$B44)*ISNUMBER(INDEX(Inputs!$K$5:$AJ$230,0,MATCH(AC$2,Inputs!$K$4:$AJ$4,0))))+SUMPRODUCT((Inputs!$C$5:$C$230=$B44)*ISNUMBER(INDEX(Inputs!$K$5:$AJ$230,0,MATCH(AC$2,Inputs!$K$4:$AJ$4,0))))+SUMPRODUCT((Inputs!$E$5:$E$230=$B44)*ISNUMBER(INDEX(Inputs!$K$5:$AJ$230,0,MATCH(AC$2,Inputs!$K$4:$AJ$4,0))))=0,NA(),SUMPRODUCT((Inputs!$A$5:$A$230=$B44)*Inputs!$B$5:$B$230*(((Inputs!$G$5:$G$230="moeda")+(Inputs!$G$5:$G$230="acoes"))*Inputs!$B$1+((Inputs!$G$5:$G$230&lt;&gt;"moeda")*(Inputs!$G$5:$G$230&lt;&gt;"acoes")))*INDEX(Inputs!$K$5:$AJ$230,0,MATCH(AC$2,Inputs!$K$4:$AJ$4,0)))+SUMPRODUCT((Inputs!$C$5:$C$230=$B44)*Inputs!$D$5:$D$230*(((Inputs!$G$5:$G$230="moeda")+(Inputs!$G$5:$G$230="acoes"))*Inputs!$B$1+((Inputs!$G$5:$G$230&lt;&gt;"moeda")*(Inputs!$G$5:$G$230&lt;&gt;"acoes")))*INDEX(Inputs!$K$5:$AJ$230,0,MATCH(AC$2,Inputs!$K$4:$AJ$4,0)))+SUMPRODUCT((Inputs!$E$5:$E$230=$B44)*Inputs!$F$5:$F$230*(((Inputs!$G$5:$G$230="moeda")+(Inputs!$G$5:$G$230="acoes"))*Inputs!$B$1+((Inputs!$G$5:$G$230&lt;&gt;"moeda")*(Inputs!$G$5:$G$230&lt;&gt;"acoes")))*INDEX(Inputs!$K$5:$AJ$230,0,MATCH(AC$2,Inputs!$K$4:$AJ$4,0)))))</f>
        <v>#N/A</v>
      </c>
      <c r="AD44" s="6" t="e">
        <f>IF(ISNA(MATCH(AD$2,Inputs!$K$4:$AJ$4,0)),NA(),IF(SUMPRODUCT((Inputs!$A$5:$A$230=$B44)*ISNUMBER(INDEX(Inputs!$K$5:$AJ$230,0,MATCH(AD$2,Inputs!$K$4:$AJ$4,0))))+SUMPRODUCT((Inputs!$C$5:$C$230=$B44)*ISNUMBER(INDEX(Inputs!$K$5:$AJ$230,0,MATCH(AD$2,Inputs!$K$4:$AJ$4,0))))+SUMPRODUCT((Inputs!$E$5:$E$230=$B44)*ISNUMBER(INDEX(Inputs!$K$5:$AJ$230,0,MATCH(AD$2,Inputs!$K$4:$AJ$4,0))))=0,NA(),SUMPRODUCT((Inputs!$A$5:$A$230=$B44)*Inputs!$B$5:$B$230*(((Inputs!$G$5:$G$230="moeda")+(Inputs!$G$5:$G$230="acoes"))*Inputs!$B$1+((Inputs!$G$5:$G$230&lt;&gt;"moeda")*(Inputs!$G$5:$G$230&lt;&gt;"acoes")))*INDEX(Inputs!$K$5:$AJ$230,0,MATCH(AD$2,Inputs!$K$4:$AJ$4,0)))+SUMPRODUCT((Inputs!$C$5:$C$230=$B44)*Inputs!$D$5:$D$230*(((Inputs!$G$5:$G$230="moeda")+(Inputs!$G$5:$G$230="acoes"))*Inputs!$B$1+((Inputs!$G$5:$G$230&lt;&gt;"moeda")*(Inputs!$G$5:$G$230&lt;&gt;"acoes")))*INDEX(Inputs!$K$5:$AJ$230,0,MATCH(AD$2,Inputs!$K$4:$AJ$4,0)))+SUMPRODUCT((Inputs!$E$5:$E$230=$B44)*Inputs!$F$5:$F$230*(((Inputs!$G$5:$G$230="moeda")+(Inputs!$G$5:$G$230="acoes"))*Inputs!$B$1+((Inputs!$G$5:$G$230&lt;&gt;"moeda")*(Inputs!$G$5:$G$230&lt;&gt;"acoes")))*INDEX(Inputs!$K$5:$AJ$230,0,MATCH(AD$2,Inputs!$K$4:$AJ$4,0)))))</f>
        <v>#N/A</v>
      </c>
      <c r="AE44" s="6" t="e">
        <f>IF(ISNA(MATCH(AE$2,Inputs!$K$4:$AJ$4,0)),NA(),IF(SUMPRODUCT((Inputs!$A$5:$A$230=$B44)*ISNUMBER(INDEX(Inputs!$K$5:$AJ$230,0,MATCH(AE$2,Inputs!$K$4:$AJ$4,0))))+SUMPRODUCT((Inputs!$C$5:$C$230=$B44)*ISNUMBER(INDEX(Inputs!$K$5:$AJ$230,0,MATCH(AE$2,Inputs!$K$4:$AJ$4,0))))+SUMPRODUCT((Inputs!$E$5:$E$230=$B44)*ISNUMBER(INDEX(Inputs!$K$5:$AJ$230,0,MATCH(AE$2,Inputs!$K$4:$AJ$4,0))))=0,NA(),SUMPRODUCT((Inputs!$A$5:$A$230=$B44)*Inputs!$B$5:$B$230*(((Inputs!$G$5:$G$230="moeda")+(Inputs!$G$5:$G$230="acoes"))*Inputs!$B$1+((Inputs!$G$5:$G$230&lt;&gt;"moeda")*(Inputs!$G$5:$G$230&lt;&gt;"acoes")))*INDEX(Inputs!$K$5:$AJ$230,0,MATCH(AE$2,Inputs!$K$4:$AJ$4,0)))+SUMPRODUCT((Inputs!$C$5:$C$230=$B44)*Inputs!$D$5:$D$230*(((Inputs!$G$5:$G$230="moeda")+(Inputs!$G$5:$G$230="acoes"))*Inputs!$B$1+((Inputs!$G$5:$G$230&lt;&gt;"moeda")*(Inputs!$G$5:$G$230&lt;&gt;"acoes")))*INDEX(Inputs!$K$5:$AJ$230,0,MATCH(AE$2,Inputs!$K$4:$AJ$4,0)))+SUMPRODUCT((Inputs!$E$5:$E$230=$B44)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44" s="6" t="e">
        <f>IF(ISNA(MATCH(AF$2,Inputs!$K$4:$AJ$4,0)),NA(),IF(SUMPRODUCT((Inputs!$A$5:$A$230=$B44)*ISNUMBER(INDEX(Inputs!$K$5:$AJ$230,0,MATCH(AF$2,Inputs!$K$4:$AJ$4,0))))+SUMPRODUCT((Inputs!$C$5:$C$230=$B44)*ISNUMBER(INDEX(Inputs!$K$5:$AJ$230,0,MATCH(AF$2,Inputs!$K$4:$AJ$4,0))))+SUMPRODUCT((Inputs!$E$5:$E$230=$B44)*ISNUMBER(INDEX(Inputs!$K$5:$AJ$230,0,MATCH(AF$2,Inputs!$K$4:$AJ$4,0))))=0,NA(),SUMPRODUCT((Inputs!$A$5:$A$230=$B44)*Inputs!$B$5:$B$230*(((Inputs!$G$5:$G$230="moeda")+(Inputs!$G$5:$G$230="acoes"))*Inputs!$B$1+((Inputs!$G$5:$G$230&lt;&gt;"moeda")*(Inputs!$G$5:$G$230&lt;&gt;"acoes")))*INDEX(Inputs!$K$5:$AJ$230,0,MATCH(AF$2,Inputs!$K$4:$AJ$4,0)))+SUMPRODUCT((Inputs!$C$5:$C$230=$B44)*Inputs!$D$5:$D$230*(((Inputs!$G$5:$G$230="moeda")+(Inputs!$G$5:$G$230="acoes"))*Inputs!$B$1+((Inputs!$G$5:$G$230&lt;&gt;"moeda")*(Inputs!$G$5:$G$230&lt;&gt;"acoes")))*INDEX(Inputs!$K$5:$AJ$230,0,MATCH(AF$2,Inputs!$K$4:$AJ$4,0)))+SUMPRODUCT((Inputs!$E$5:$E$230=$B44)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44" s="3" t="e">
        <f>AF44</f>
        <v>#N/A</v>
      </c>
      <c r="AH44" s="6" t="e">
        <f>IF(ISNA(MATCH(AH$2,Inputs!$K$4:$AJ$4,0)),NA(),IF(SUMPRODUCT((Inputs!$A$5:$A$230=$B44)*ISNUMBER(INDEX(Inputs!$K$5:$AJ$230,0,MATCH(AH$2,Inputs!$K$4:$AJ$4,0))))+SUMPRODUCT((Inputs!$C$5:$C$230=$B44)*ISNUMBER(INDEX(Inputs!$K$5:$AJ$230,0,MATCH(AH$2,Inputs!$K$4:$AJ$4,0))))+SUMPRODUCT((Inputs!$E$5:$E$230=$B44)*ISNUMBER(INDEX(Inputs!$K$5:$AJ$230,0,MATCH(AH$2,Inputs!$K$4:$AJ$4,0))))=0,NA(),SUMPRODUCT((Inputs!$A$5:$A$230=$B44)*Inputs!$B$5:$B$230*(((Inputs!$G$5:$G$230="moeda")+(Inputs!$G$5:$G$230="acoes"))*Inputs!$B$1+((Inputs!$G$5:$G$230&lt;&gt;"moeda")*(Inputs!$G$5:$G$230&lt;&gt;"acoes")))*INDEX(Inputs!$K$5:$AJ$230,0,MATCH(AH$2,Inputs!$K$4:$AJ$4,0)))+SUMPRODUCT((Inputs!$C$5:$C$230=$B44)*Inputs!$D$5:$D$230*(((Inputs!$G$5:$G$230="moeda")+(Inputs!$G$5:$G$230="acoes"))*Inputs!$B$1+((Inputs!$G$5:$G$230&lt;&gt;"moeda")*(Inputs!$G$5:$G$230&lt;&gt;"acoes")))*INDEX(Inputs!$K$5:$AJ$230,0,MATCH(AH$2,Inputs!$K$4:$AJ$4,0)))+SUMPRODUCT((Inputs!$E$5:$E$230=$B44)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44" s="6" t="e">
        <f>IF(ISNA(MATCH(AI$2,Inputs!$K$4:$AJ$4,0)),NA(),IF(SUMPRODUCT((Inputs!$A$5:$A$230=$B44)*ISNUMBER(INDEX(Inputs!$K$5:$AJ$230,0,MATCH(AI$2,Inputs!$K$4:$AJ$4,0))))+SUMPRODUCT((Inputs!$C$5:$C$230=$B44)*ISNUMBER(INDEX(Inputs!$K$5:$AJ$230,0,MATCH(AI$2,Inputs!$K$4:$AJ$4,0))))+SUMPRODUCT((Inputs!$E$5:$E$230=$B44)*ISNUMBER(INDEX(Inputs!$K$5:$AJ$230,0,MATCH(AI$2,Inputs!$K$4:$AJ$4,0))))=0,NA(),SUMPRODUCT((Inputs!$A$5:$A$230=$B44)*Inputs!$B$5:$B$230*(((Inputs!$G$5:$G$230="moeda")+(Inputs!$G$5:$G$230="acoes"))*Inputs!$B$1+((Inputs!$G$5:$G$230&lt;&gt;"moeda")*(Inputs!$G$5:$G$230&lt;&gt;"acoes")))*INDEX(Inputs!$K$5:$AJ$230,0,MATCH(AI$2,Inputs!$K$4:$AJ$4,0)))+SUMPRODUCT((Inputs!$C$5:$C$230=$B44)*Inputs!$D$5:$D$230*(((Inputs!$G$5:$G$230="moeda")+(Inputs!$G$5:$G$230="acoes"))*Inputs!$B$1+((Inputs!$G$5:$G$230&lt;&gt;"moeda")*(Inputs!$G$5:$G$230&lt;&gt;"acoes")))*INDEX(Inputs!$K$5:$AJ$230,0,MATCH(AI$2,Inputs!$K$4:$AJ$4,0)))+SUMPRODUCT((Inputs!$E$5:$E$230=$B44)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44" s="6" t="e">
        <f>IF(ISNA(MATCH(AJ$2,Inputs!$K$4:$AJ$4,0)),NA(),IF(SUMPRODUCT((Inputs!$A$5:$A$230=$B44)*ISNUMBER(INDEX(Inputs!$K$5:$AJ$230,0,MATCH(AJ$2,Inputs!$K$4:$AJ$4,0))))+SUMPRODUCT((Inputs!$C$5:$C$230=$B44)*ISNUMBER(INDEX(Inputs!$K$5:$AJ$230,0,MATCH(AJ$2,Inputs!$K$4:$AJ$4,0))))+SUMPRODUCT((Inputs!$E$5:$E$230=$B44)*ISNUMBER(INDEX(Inputs!$K$5:$AJ$230,0,MATCH(AJ$2,Inputs!$K$4:$AJ$4,0))))=0,NA(),SUMPRODUCT((Inputs!$A$5:$A$230=$B44)*Inputs!$B$5:$B$230*(((Inputs!$G$5:$G$230="moeda")+(Inputs!$G$5:$G$230="acoes"))*Inputs!$B$1+((Inputs!$G$5:$G$230&lt;&gt;"moeda")*(Inputs!$G$5:$G$230&lt;&gt;"acoes")))*INDEX(Inputs!$K$5:$AJ$230,0,MATCH(AJ$2,Inputs!$K$4:$AJ$4,0)))+SUMPRODUCT((Inputs!$C$5:$C$230=$B44)*Inputs!$D$5:$D$230*(((Inputs!$G$5:$G$230="moeda")+(Inputs!$G$5:$G$230="acoes"))*Inputs!$B$1+((Inputs!$G$5:$G$230&lt;&gt;"moeda")*(Inputs!$G$5:$G$230&lt;&gt;"acoes")))*INDEX(Inputs!$K$5:$AJ$230,0,MATCH(AJ$2,Inputs!$K$4:$AJ$4,0)))+SUMPRODUCT((Inputs!$E$5:$E$230=$B44)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44" s="6" t="e">
        <f>IF(ISNA(MATCH(AK$2,Inputs!$K$4:$AJ$4,0)),NA(),IF(SUMPRODUCT((Inputs!$A$5:$A$230=$B44)*ISNUMBER(INDEX(Inputs!$K$5:$AJ$230,0,MATCH(AK$2,Inputs!$K$4:$AJ$4,0))))+SUMPRODUCT((Inputs!$C$5:$C$230=$B44)*ISNUMBER(INDEX(Inputs!$K$5:$AJ$230,0,MATCH(AK$2,Inputs!$K$4:$AJ$4,0))))+SUMPRODUCT((Inputs!$E$5:$E$230=$B44)*ISNUMBER(INDEX(Inputs!$K$5:$AJ$230,0,MATCH(AK$2,Inputs!$K$4:$AJ$4,0))))=0,NA(),SUMPRODUCT((Inputs!$A$5:$A$230=$B44)*Inputs!$B$5:$B$230*(((Inputs!$G$5:$G$230="moeda")+(Inputs!$G$5:$G$230="acoes"))*Inputs!$B$1+((Inputs!$G$5:$G$230&lt;&gt;"moeda")*(Inputs!$G$5:$G$230&lt;&gt;"acoes")))*INDEX(Inputs!$K$5:$AJ$230,0,MATCH(AK$2,Inputs!$K$4:$AJ$4,0)))+SUMPRODUCT((Inputs!$C$5:$C$230=$B44)*Inputs!$D$5:$D$230*(((Inputs!$G$5:$G$230="moeda")+(Inputs!$G$5:$G$230="acoes"))*Inputs!$B$1+((Inputs!$G$5:$G$230&lt;&gt;"moeda")*(Inputs!$G$5:$G$230&lt;&gt;"acoes")))*INDEX(Inputs!$K$5:$AJ$230,0,MATCH(AK$2,Inputs!$K$4:$AJ$4,0)))+SUMPRODUCT((Inputs!$E$5:$E$230=$B44)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44" s="3" t="e">
        <f>AK44</f>
        <v>#N/A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$230=$B45)*ISNUMBER(INDEX(Inputs!$K$5:$AJ$230,0,MATCH(D$2,Inputs!$K$4:$AJ$4,0))))+SUMPRODUCT((Inputs!$C$5:$C$230=$B45)*ISNUMBER(INDEX(Inputs!$K$5:$AJ$230,0,MATCH(D$2,Inputs!$K$4:$AJ$4,0))))+SUMPRODUCT((Inputs!$E$5:$E$230=$B45)*ISNUMBER(INDEX(Inputs!$K$5:$AJ$230,0,MATCH(D$2,Inputs!$K$4:$AJ$4,0))))=0,NA(),SUMPRODUCT((Inputs!$A$5:$A$230=$B45)*Inputs!$B$5:$B$230*(((Inputs!$G$5:$G$230="moeda")+(Inputs!$G$5:$G$230="acoes"))*Inputs!$B$1+((Inputs!$G$5:$G$230&lt;&gt;"moeda")*(Inputs!$G$5:$G$230&lt;&gt;"acoes")))*INDEX(Inputs!$K$5:$AJ$230,0,MATCH(D$2,Inputs!$K$4:$AJ$4,0)))+SUMPRODUCT((Inputs!$C$5:$C$230=$B45)*Inputs!$D$5:$D$230*(((Inputs!$G$5:$G$230="moeda")+(Inputs!$G$5:$G$230="acoes"))*Inputs!$B$1+((Inputs!$G$5:$G$230&lt;&gt;"moeda")*(Inputs!$G$5:$G$230&lt;&gt;"acoes")))*INDEX(Inputs!$K$5:$AJ$230,0,MATCH(D$2,Inputs!$K$4:$AJ$4,0)))+SUMPRODUCT((Inputs!$E$5:$E$230=$B45)*Inputs!$F$5:$F$230*(((Inputs!$G$5:$G$230="moeda")+(Inputs!$G$5:$G$230="acoes"))*Inputs!$B$1+((Inputs!$G$5:$G$230&lt;&gt;"moeda")*(Inputs!$G$5:$G$230&lt;&gt;"acoes")))*INDEX(Inputs!$K$5:$AJ$230,0,MATCH(D$2,Inputs!$K$4:$AJ$4,0)))))</f>
        <v>103.694</v>
      </c>
      <c r="E45" s="6">
        <f>IF(ISNA(MATCH(E$2,Inputs!$K$4:$AJ$4,0)),NA(),IF(SUMPRODUCT((Inputs!$A$5:$A$230=$B45)*ISNUMBER(INDEX(Inputs!$K$5:$AJ$230,0,MATCH(E$2,Inputs!$K$4:$AJ$4,0))))+SUMPRODUCT((Inputs!$C$5:$C$230=$B45)*ISNUMBER(INDEX(Inputs!$K$5:$AJ$230,0,MATCH(E$2,Inputs!$K$4:$AJ$4,0))))+SUMPRODUCT((Inputs!$E$5:$E$230=$B45)*ISNUMBER(INDEX(Inputs!$K$5:$AJ$230,0,MATCH(E$2,Inputs!$K$4:$AJ$4,0))))=0,NA(),SUMPRODUCT((Inputs!$A$5:$A$230=$B45)*Inputs!$B$5:$B$230*(((Inputs!$G$5:$G$230="moeda")+(Inputs!$G$5:$G$230="acoes"))*Inputs!$B$1+((Inputs!$G$5:$G$230&lt;&gt;"moeda")*(Inputs!$G$5:$G$230&lt;&gt;"acoes")))*INDEX(Inputs!$K$5:$AJ$230,0,MATCH(E$2,Inputs!$K$4:$AJ$4,0)))+SUMPRODUCT((Inputs!$C$5:$C$230=$B45)*Inputs!$D$5:$D$230*(((Inputs!$G$5:$G$230="moeda")+(Inputs!$G$5:$G$230="acoes"))*Inputs!$B$1+((Inputs!$G$5:$G$230&lt;&gt;"moeda")*(Inputs!$G$5:$G$230&lt;&gt;"acoes")))*INDEX(Inputs!$K$5:$AJ$230,0,MATCH(E$2,Inputs!$K$4:$AJ$4,0)))+SUMPRODUCT((Inputs!$E$5:$E$230=$B45)*Inputs!$F$5:$F$230*(((Inputs!$G$5:$G$230="moeda")+(Inputs!$G$5:$G$230="acoes"))*Inputs!$B$1+((Inputs!$G$5:$G$230&lt;&gt;"moeda")*(Inputs!$G$5:$G$230&lt;&gt;"acoes")))*INDEX(Inputs!$K$5:$AJ$230,0,MATCH(E$2,Inputs!$K$4:$AJ$4,0)))))</f>
        <v>51.922</v>
      </c>
      <c r="F45" s="6">
        <f>IF(ISNA(MATCH(F$2,Inputs!$K$4:$AJ$4,0)),NA(),IF(SUMPRODUCT((Inputs!$A$5:$A$230=$B45)*ISNUMBER(INDEX(Inputs!$K$5:$AJ$230,0,MATCH(F$2,Inputs!$K$4:$AJ$4,0))))+SUMPRODUCT((Inputs!$C$5:$C$230=$B45)*ISNUMBER(INDEX(Inputs!$K$5:$AJ$230,0,MATCH(F$2,Inputs!$K$4:$AJ$4,0))))+SUMPRODUCT((Inputs!$E$5:$E$230=$B45)*ISNUMBER(INDEX(Inputs!$K$5:$AJ$230,0,MATCH(F$2,Inputs!$K$4:$AJ$4,0))))=0,NA(),SUMPRODUCT((Inputs!$A$5:$A$230=$B45)*Inputs!$B$5:$B$230*(((Inputs!$G$5:$G$230="moeda")+(Inputs!$G$5:$G$230="acoes"))*Inputs!$B$1+((Inputs!$G$5:$G$230&lt;&gt;"moeda")*(Inputs!$G$5:$G$230&lt;&gt;"acoes")))*INDEX(Inputs!$K$5:$AJ$230,0,MATCH(F$2,Inputs!$K$4:$AJ$4,0)))+SUMPRODUCT((Inputs!$C$5:$C$230=$B45)*Inputs!$D$5:$D$230*(((Inputs!$G$5:$G$230="moeda")+(Inputs!$G$5:$G$230="acoes"))*Inputs!$B$1+((Inputs!$G$5:$G$230&lt;&gt;"moeda")*(Inputs!$G$5:$G$230&lt;&gt;"acoes")))*INDEX(Inputs!$K$5:$AJ$230,0,MATCH(F$2,Inputs!$K$4:$AJ$4,0)))+SUMPRODUCT((Inputs!$E$5:$E$230=$B45)*Inputs!$F$5:$F$230*(((Inputs!$G$5:$G$230="moeda")+(Inputs!$G$5:$G$230="acoes"))*Inputs!$B$1+((Inputs!$G$5:$G$230&lt;&gt;"moeda")*(Inputs!$G$5:$G$230&lt;&gt;"acoes")))*INDEX(Inputs!$K$5:$AJ$230,0,MATCH(F$2,Inputs!$K$4:$AJ$4,0)))))</f>
        <v>62.016</v>
      </c>
      <c r="G45" s="6">
        <f>IF(ISNA(MATCH(G$2,Inputs!$K$4:$AJ$4,0)),NA(),IF(SUMPRODUCT((Inputs!$A$5:$A$230=$B45)*ISNUMBER(INDEX(Inputs!$K$5:$AJ$230,0,MATCH(G$2,Inputs!$K$4:$AJ$4,0))))+SUMPRODUCT((Inputs!$C$5:$C$230=$B45)*ISNUMBER(INDEX(Inputs!$K$5:$AJ$230,0,MATCH(G$2,Inputs!$K$4:$AJ$4,0))))+SUMPRODUCT((Inputs!$E$5:$E$230=$B45)*ISNUMBER(INDEX(Inputs!$K$5:$AJ$230,0,MATCH(G$2,Inputs!$K$4:$AJ$4,0))))=0,NA(),SUMPRODUCT((Inputs!$A$5:$A$230=$B45)*Inputs!$B$5:$B$230*(((Inputs!$G$5:$G$230="moeda")+(Inputs!$G$5:$G$230="acoes"))*Inputs!$B$1+((Inputs!$G$5:$G$230&lt;&gt;"moeda")*(Inputs!$G$5:$G$230&lt;&gt;"acoes")))*INDEX(Inputs!$K$5:$AJ$230,0,MATCH(G$2,Inputs!$K$4:$AJ$4,0)))+SUMPRODUCT((Inputs!$C$5:$C$230=$B45)*Inputs!$D$5:$D$230*(((Inputs!$G$5:$G$230="moeda")+(Inputs!$G$5:$G$230="acoes"))*Inputs!$B$1+((Inputs!$G$5:$G$230&lt;&gt;"moeda")*(Inputs!$G$5:$G$230&lt;&gt;"acoes")))*INDEX(Inputs!$K$5:$AJ$230,0,MATCH(G$2,Inputs!$K$4:$AJ$4,0)))+SUMPRODUCT((Inputs!$E$5:$E$230=$B45)*Inputs!$F$5:$F$230*(((Inputs!$G$5:$G$230="moeda")+(Inputs!$G$5:$G$230="acoes"))*Inputs!$B$1+((Inputs!$G$5:$G$230&lt;&gt;"moeda")*(Inputs!$G$5:$G$230&lt;&gt;"acoes")))*INDEX(Inputs!$K$5:$AJ$230,0,MATCH(G$2,Inputs!$K$4:$AJ$4,0)))))</f>
        <v>70.865</v>
      </c>
      <c r="H45" s="3">
        <f>G45</f>
        <v>70.865</v>
      </c>
      <c r="I45" s="6">
        <f>IF(ISNA(MATCH(I$2,Inputs!$K$4:$AJ$4,0)),NA(),IF(SUMPRODUCT((Inputs!$A$5:$A$230=$B45)*ISNUMBER(INDEX(Inputs!$K$5:$AJ$230,0,MATCH(I$2,Inputs!$K$4:$AJ$4,0))))+SUMPRODUCT((Inputs!$C$5:$C$230=$B45)*ISNUMBER(INDEX(Inputs!$K$5:$AJ$230,0,MATCH(I$2,Inputs!$K$4:$AJ$4,0))))+SUMPRODUCT((Inputs!$E$5:$E$230=$B45)*ISNUMBER(INDEX(Inputs!$K$5:$AJ$230,0,MATCH(I$2,Inputs!$K$4:$AJ$4,0))))=0,NA(),SUMPRODUCT((Inputs!$A$5:$A$230=$B45)*Inputs!$B$5:$B$230*(((Inputs!$G$5:$G$230="moeda")+(Inputs!$G$5:$G$230="acoes"))*Inputs!$B$1+((Inputs!$G$5:$G$230&lt;&gt;"moeda")*(Inputs!$G$5:$G$230&lt;&gt;"acoes")))*INDEX(Inputs!$K$5:$AJ$230,0,MATCH(I$2,Inputs!$K$4:$AJ$4,0)))+SUMPRODUCT((Inputs!$C$5:$C$230=$B45)*Inputs!$D$5:$D$230*(((Inputs!$G$5:$G$230="moeda")+(Inputs!$G$5:$G$230="acoes"))*Inputs!$B$1+((Inputs!$G$5:$G$230&lt;&gt;"moeda")*(Inputs!$G$5:$G$230&lt;&gt;"acoes")))*INDEX(Inputs!$K$5:$AJ$230,0,MATCH(I$2,Inputs!$K$4:$AJ$4,0)))+SUMPRODUCT((Inputs!$E$5:$E$230=$B45)*Inputs!$F$5:$F$230*(((Inputs!$G$5:$G$230="moeda")+(Inputs!$G$5:$G$230="acoes"))*Inputs!$B$1+((Inputs!$G$5:$G$230&lt;&gt;"moeda")*(Inputs!$G$5:$G$230&lt;&gt;"acoes")))*INDEX(Inputs!$K$5:$AJ$230,0,MATCH(I$2,Inputs!$K$4:$AJ$4,0)))))</f>
        <v>35.501</v>
      </c>
      <c r="J45" s="6">
        <f>IF(ISNA(MATCH(J$2,Inputs!$K$4:$AJ$4,0)),NA(),IF(SUMPRODUCT((Inputs!$A$5:$A$230=$B45)*ISNUMBER(INDEX(Inputs!$K$5:$AJ$230,0,MATCH(J$2,Inputs!$K$4:$AJ$4,0))))+SUMPRODUCT((Inputs!$C$5:$C$230=$B45)*ISNUMBER(INDEX(Inputs!$K$5:$AJ$230,0,MATCH(J$2,Inputs!$K$4:$AJ$4,0))))+SUMPRODUCT((Inputs!$E$5:$E$230=$B45)*ISNUMBER(INDEX(Inputs!$K$5:$AJ$230,0,MATCH(J$2,Inputs!$K$4:$AJ$4,0))))=0,NA(),SUMPRODUCT((Inputs!$A$5:$A$230=$B45)*Inputs!$B$5:$B$230*(((Inputs!$G$5:$G$230="moeda")+(Inputs!$G$5:$G$230="acoes"))*Inputs!$B$1+((Inputs!$G$5:$G$230&lt;&gt;"moeda")*(Inputs!$G$5:$G$230&lt;&gt;"acoes")))*INDEX(Inputs!$K$5:$AJ$230,0,MATCH(J$2,Inputs!$K$4:$AJ$4,0)))+SUMPRODUCT((Inputs!$C$5:$C$230=$B45)*Inputs!$D$5:$D$230*(((Inputs!$G$5:$G$230="moeda")+(Inputs!$G$5:$G$230="acoes"))*Inputs!$B$1+((Inputs!$G$5:$G$230&lt;&gt;"moeda")*(Inputs!$G$5:$G$230&lt;&gt;"acoes")))*INDEX(Inputs!$K$5:$AJ$230,0,MATCH(J$2,Inputs!$K$4:$AJ$4,0)))+SUMPRODUCT((Inputs!$E$5:$E$230=$B45)*Inputs!$F$5:$F$230*(((Inputs!$G$5:$G$230="moeda")+(Inputs!$G$5:$G$230="acoes"))*Inputs!$B$1+((Inputs!$G$5:$G$230&lt;&gt;"moeda")*(Inputs!$G$5:$G$230&lt;&gt;"acoes")))*INDEX(Inputs!$K$5:$AJ$230,0,MATCH(J$2,Inputs!$K$4:$AJ$4,0)))))</f>
        <v>54.159</v>
      </c>
      <c r="K45" s="6">
        <f>IF(ISNA(MATCH(K$2,Inputs!$K$4:$AJ$4,0)),NA(),IF(SUMPRODUCT((Inputs!$A$5:$A$230=$B45)*ISNUMBER(INDEX(Inputs!$K$5:$AJ$230,0,MATCH(K$2,Inputs!$K$4:$AJ$4,0))))+SUMPRODUCT((Inputs!$C$5:$C$230=$B45)*ISNUMBER(INDEX(Inputs!$K$5:$AJ$230,0,MATCH(K$2,Inputs!$K$4:$AJ$4,0))))+SUMPRODUCT((Inputs!$E$5:$E$230=$B45)*ISNUMBER(INDEX(Inputs!$K$5:$AJ$230,0,MATCH(K$2,Inputs!$K$4:$AJ$4,0))))=0,NA(),SUMPRODUCT((Inputs!$A$5:$A$230=$B45)*Inputs!$B$5:$B$230*(((Inputs!$G$5:$G$230="moeda")+(Inputs!$G$5:$G$230="acoes"))*Inputs!$B$1+((Inputs!$G$5:$G$230&lt;&gt;"moeda")*(Inputs!$G$5:$G$230&lt;&gt;"acoes")))*INDEX(Inputs!$K$5:$AJ$230,0,MATCH(K$2,Inputs!$K$4:$AJ$4,0)))+SUMPRODUCT((Inputs!$C$5:$C$230=$B45)*Inputs!$D$5:$D$230*(((Inputs!$G$5:$G$230="moeda")+(Inputs!$G$5:$G$230="acoes"))*Inputs!$B$1+((Inputs!$G$5:$G$230&lt;&gt;"moeda")*(Inputs!$G$5:$G$230&lt;&gt;"acoes")))*INDEX(Inputs!$K$5:$AJ$230,0,MATCH(K$2,Inputs!$K$4:$AJ$4,0)))+SUMPRODUCT((Inputs!$E$5:$E$230=$B45)*Inputs!$F$5:$F$230*(((Inputs!$G$5:$G$230="moeda")+(Inputs!$G$5:$G$230="acoes"))*Inputs!$B$1+((Inputs!$G$5:$G$230&lt;&gt;"moeda")*(Inputs!$G$5:$G$230&lt;&gt;"acoes")))*INDEX(Inputs!$K$5:$AJ$230,0,MATCH(K$2,Inputs!$K$4:$AJ$4,0)))))</f>
        <v>45.86</v>
      </c>
      <c r="L45" s="6">
        <f>IF(ISNA(MATCH(L$2,Inputs!$K$4:$AJ$4,0)),NA(),IF(SUMPRODUCT((Inputs!$A$5:$A$230=$B45)*ISNUMBER(INDEX(Inputs!$K$5:$AJ$230,0,MATCH(L$2,Inputs!$K$4:$AJ$4,0))))+SUMPRODUCT((Inputs!$C$5:$C$230=$B45)*ISNUMBER(INDEX(Inputs!$K$5:$AJ$230,0,MATCH(L$2,Inputs!$K$4:$AJ$4,0))))+SUMPRODUCT((Inputs!$E$5:$E$230=$B45)*ISNUMBER(INDEX(Inputs!$K$5:$AJ$230,0,MATCH(L$2,Inputs!$K$4:$AJ$4,0))))=0,NA(),SUMPRODUCT((Inputs!$A$5:$A$230=$B45)*Inputs!$B$5:$B$230*(((Inputs!$G$5:$G$230="moeda")+(Inputs!$G$5:$G$230="acoes"))*Inputs!$B$1+((Inputs!$G$5:$G$230&lt;&gt;"moeda")*(Inputs!$G$5:$G$230&lt;&gt;"acoes")))*INDEX(Inputs!$K$5:$AJ$230,0,MATCH(L$2,Inputs!$K$4:$AJ$4,0)))+SUMPRODUCT((Inputs!$C$5:$C$230=$B45)*Inputs!$D$5:$D$230*(((Inputs!$G$5:$G$230="moeda")+(Inputs!$G$5:$G$230="acoes"))*Inputs!$B$1+((Inputs!$G$5:$G$230&lt;&gt;"moeda")*(Inputs!$G$5:$G$230&lt;&gt;"acoes")))*INDEX(Inputs!$K$5:$AJ$230,0,MATCH(L$2,Inputs!$K$4:$AJ$4,0)))+SUMPRODUCT((Inputs!$E$5:$E$230=$B45)*Inputs!$F$5:$F$230*(((Inputs!$G$5:$G$230="moeda")+(Inputs!$G$5:$G$230="acoes"))*Inputs!$B$1+((Inputs!$G$5:$G$230&lt;&gt;"moeda")*(Inputs!$G$5:$G$230&lt;&gt;"acoes")))*INDEX(Inputs!$K$5:$AJ$230,0,MATCH(L$2,Inputs!$K$4:$AJ$4,0)))))</f>
        <v>45.492</v>
      </c>
      <c r="M45" s="3">
        <f>L45</f>
        <v>45.492</v>
      </c>
      <c r="N45" s="6">
        <f>IF(ISNA(MATCH(N$2,Inputs!$K$4:$AJ$4,0)),NA(),IF(SUMPRODUCT((Inputs!$A$5:$A$230=$B45)*ISNUMBER(INDEX(Inputs!$K$5:$AJ$230,0,MATCH(N$2,Inputs!$K$4:$AJ$4,0))))+SUMPRODUCT((Inputs!$C$5:$C$230=$B45)*ISNUMBER(INDEX(Inputs!$K$5:$AJ$230,0,MATCH(N$2,Inputs!$K$4:$AJ$4,0))))+SUMPRODUCT((Inputs!$E$5:$E$230=$B45)*ISNUMBER(INDEX(Inputs!$K$5:$AJ$230,0,MATCH(N$2,Inputs!$K$4:$AJ$4,0))))=0,NA(),SUMPRODUCT((Inputs!$A$5:$A$230=$B45)*Inputs!$B$5:$B$230*(((Inputs!$G$5:$G$230="moeda")+(Inputs!$G$5:$G$230="acoes"))*Inputs!$B$1+((Inputs!$G$5:$G$230&lt;&gt;"moeda")*(Inputs!$G$5:$G$230&lt;&gt;"acoes")))*INDEX(Inputs!$K$5:$AJ$230,0,MATCH(N$2,Inputs!$K$4:$AJ$4,0)))+SUMPRODUCT((Inputs!$C$5:$C$230=$B45)*Inputs!$D$5:$D$230*(((Inputs!$G$5:$G$230="moeda")+(Inputs!$G$5:$G$230="acoes"))*Inputs!$B$1+((Inputs!$G$5:$G$230&lt;&gt;"moeda")*(Inputs!$G$5:$G$230&lt;&gt;"acoes")))*INDEX(Inputs!$K$5:$AJ$230,0,MATCH(N$2,Inputs!$K$4:$AJ$4,0)))+SUMPRODUCT((Inputs!$E$5:$E$230=$B45)*Inputs!$F$5:$F$230*(((Inputs!$G$5:$G$230="moeda")+(Inputs!$G$5:$G$230="acoes"))*Inputs!$B$1+((Inputs!$G$5:$G$230&lt;&gt;"moeda")*(Inputs!$G$5:$G$230&lt;&gt;"acoes")))*INDEX(Inputs!$K$5:$AJ$230,0,MATCH(N$2,Inputs!$K$4:$AJ$4,0)))))</f>
        <v>39.811</v>
      </c>
      <c r="O45" s="6">
        <f>IF(ISNA(MATCH(O$2,Inputs!$K$4:$AJ$4,0)),NA(),IF(SUMPRODUCT((Inputs!$A$5:$A$230=$B45)*ISNUMBER(INDEX(Inputs!$K$5:$AJ$230,0,MATCH(O$2,Inputs!$K$4:$AJ$4,0))))+SUMPRODUCT((Inputs!$C$5:$C$230=$B45)*ISNUMBER(INDEX(Inputs!$K$5:$AJ$230,0,MATCH(O$2,Inputs!$K$4:$AJ$4,0))))+SUMPRODUCT((Inputs!$E$5:$E$230=$B45)*ISNUMBER(INDEX(Inputs!$K$5:$AJ$230,0,MATCH(O$2,Inputs!$K$4:$AJ$4,0))))=0,NA(),SUMPRODUCT((Inputs!$A$5:$A$230=$B45)*Inputs!$B$5:$B$230*(((Inputs!$G$5:$G$230="moeda")+(Inputs!$G$5:$G$230="acoes"))*Inputs!$B$1+((Inputs!$G$5:$G$230&lt;&gt;"moeda")*(Inputs!$G$5:$G$230&lt;&gt;"acoes")))*INDEX(Inputs!$K$5:$AJ$230,0,MATCH(O$2,Inputs!$K$4:$AJ$4,0)))+SUMPRODUCT((Inputs!$C$5:$C$230=$B45)*Inputs!$D$5:$D$230*(((Inputs!$G$5:$G$230="moeda")+(Inputs!$G$5:$G$230="acoes"))*Inputs!$B$1+((Inputs!$G$5:$G$230&lt;&gt;"moeda")*(Inputs!$G$5:$G$230&lt;&gt;"acoes")))*INDEX(Inputs!$K$5:$AJ$230,0,MATCH(O$2,Inputs!$K$4:$AJ$4,0)))+SUMPRODUCT((Inputs!$E$5:$E$230=$B45)*Inputs!$F$5:$F$230*(((Inputs!$G$5:$G$230="moeda")+(Inputs!$G$5:$G$230="acoes"))*Inputs!$B$1+((Inputs!$G$5:$G$230&lt;&gt;"moeda")*(Inputs!$G$5:$G$230&lt;&gt;"acoes")))*INDEX(Inputs!$K$5:$AJ$230,0,MATCH(O$2,Inputs!$K$4:$AJ$4,0)))))</f>
        <v>48.546</v>
      </c>
      <c r="P45" s="6">
        <f>IF(ISNA(MATCH(P$2,Inputs!$K$4:$AJ$4,0)),NA(),IF(SUMPRODUCT((Inputs!$A$5:$A$230=$B45)*ISNUMBER(INDEX(Inputs!$K$5:$AJ$230,0,MATCH(P$2,Inputs!$K$4:$AJ$4,0))))+SUMPRODUCT((Inputs!$C$5:$C$230=$B45)*ISNUMBER(INDEX(Inputs!$K$5:$AJ$230,0,MATCH(P$2,Inputs!$K$4:$AJ$4,0))))+SUMPRODUCT((Inputs!$E$5:$E$230=$B45)*ISNUMBER(INDEX(Inputs!$K$5:$AJ$230,0,MATCH(P$2,Inputs!$K$4:$AJ$4,0))))=0,NA(),SUMPRODUCT((Inputs!$A$5:$A$230=$B45)*Inputs!$B$5:$B$230*(((Inputs!$G$5:$G$230="moeda")+(Inputs!$G$5:$G$230="acoes"))*Inputs!$B$1+((Inputs!$G$5:$G$230&lt;&gt;"moeda")*(Inputs!$G$5:$G$230&lt;&gt;"acoes")))*INDEX(Inputs!$K$5:$AJ$230,0,MATCH(P$2,Inputs!$K$4:$AJ$4,0)))+SUMPRODUCT((Inputs!$C$5:$C$230=$B45)*Inputs!$D$5:$D$230*(((Inputs!$G$5:$G$230="moeda")+(Inputs!$G$5:$G$230="acoes"))*Inputs!$B$1+((Inputs!$G$5:$G$230&lt;&gt;"moeda")*(Inputs!$G$5:$G$230&lt;&gt;"acoes")))*INDEX(Inputs!$K$5:$AJ$230,0,MATCH(P$2,Inputs!$K$4:$AJ$4,0)))+SUMPRODUCT((Inputs!$E$5:$E$230=$B45)*Inputs!$F$5:$F$230*(((Inputs!$G$5:$G$230="moeda")+(Inputs!$G$5:$G$230="acoes"))*Inputs!$B$1+((Inputs!$G$5:$G$230&lt;&gt;"moeda")*(Inputs!$G$5:$G$230&lt;&gt;"acoes")))*INDEX(Inputs!$K$5:$AJ$230,0,MATCH(P$2,Inputs!$K$4:$AJ$4,0)))))</f>
        <v>62.164</v>
      </c>
      <c r="Q45" s="6">
        <f>IF(ISNA(MATCH(Q$2,Inputs!$K$4:$AJ$4,0)),NA(),IF(SUMPRODUCT((Inputs!$A$5:$A$230=$B45)*ISNUMBER(INDEX(Inputs!$K$5:$AJ$230,0,MATCH(Q$2,Inputs!$K$4:$AJ$4,0))))+SUMPRODUCT((Inputs!$C$5:$C$230=$B45)*ISNUMBER(INDEX(Inputs!$K$5:$AJ$230,0,MATCH(Q$2,Inputs!$K$4:$AJ$4,0))))+SUMPRODUCT((Inputs!$E$5:$E$230=$B45)*ISNUMBER(INDEX(Inputs!$K$5:$AJ$230,0,MATCH(Q$2,Inputs!$K$4:$AJ$4,0))))=0,NA(),SUMPRODUCT((Inputs!$A$5:$A$230=$B45)*Inputs!$B$5:$B$230*(((Inputs!$G$5:$G$230="moeda")+(Inputs!$G$5:$G$230="acoes"))*Inputs!$B$1+((Inputs!$G$5:$G$230&lt;&gt;"moeda")*(Inputs!$G$5:$G$230&lt;&gt;"acoes")))*INDEX(Inputs!$K$5:$AJ$230,0,MATCH(Q$2,Inputs!$K$4:$AJ$4,0)))+SUMPRODUCT((Inputs!$C$5:$C$230=$B45)*Inputs!$D$5:$D$230*(((Inputs!$G$5:$G$230="moeda")+(Inputs!$G$5:$G$230="acoes"))*Inputs!$B$1+((Inputs!$G$5:$G$230&lt;&gt;"moeda")*(Inputs!$G$5:$G$230&lt;&gt;"acoes")))*INDEX(Inputs!$K$5:$AJ$230,0,MATCH(Q$2,Inputs!$K$4:$AJ$4,0)))+SUMPRODUCT((Inputs!$E$5:$E$230=$B45)*Inputs!$F$5:$F$230*(((Inputs!$G$5:$G$230="moeda")+(Inputs!$G$5:$G$230="acoes"))*Inputs!$B$1+((Inputs!$G$5:$G$230&lt;&gt;"moeda")*(Inputs!$G$5:$G$230&lt;&gt;"acoes")))*INDEX(Inputs!$K$5:$AJ$230,0,MATCH(Q$2,Inputs!$K$4:$AJ$4,0)))))</f>
        <v>45.937</v>
      </c>
      <c r="R45" s="3">
        <f>Q45</f>
        <v>45.937</v>
      </c>
      <c r="S45" s="6">
        <f>IF(ISNA(MATCH(S$2,Inputs!$K$4:$AJ$4,0)),NA(),IF(SUMPRODUCT((Inputs!$A$5:$A$230=$B45)*ISNUMBER(INDEX(Inputs!$K$5:$AJ$230,0,MATCH(S$2,Inputs!$K$4:$AJ$4,0))))+SUMPRODUCT((Inputs!$C$5:$C$230=$B45)*ISNUMBER(INDEX(Inputs!$K$5:$AJ$230,0,MATCH(S$2,Inputs!$K$4:$AJ$4,0))))+SUMPRODUCT((Inputs!$E$5:$E$230=$B45)*ISNUMBER(INDEX(Inputs!$K$5:$AJ$230,0,MATCH(S$2,Inputs!$K$4:$AJ$4,0))))=0,NA(),SUMPRODUCT((Inputs!$A$5:$A$230=$B45)*Inputs!$B$5:$B$230*(((Inputs!$G$5:$G$230="moeda")+(Inputs!$G$5:$G$230="acoes"))*Inputs!$B$1+((Inputs!$G$5:$G$230&lt;&gt;"moeda")*(Inputs!$G$5:$G$230&lt;&gt;"acoes")))*INDEX(Inputs!$K$5:$AJ$230,0,MATCH(S$2,Inputs!$K$4:$AJ$4,0)))+SUMPRODUCT((Inputs!$C$5:$C$230=$B45)*Inputs!$D$5:$D$230*(((Inputs!$G$5:$G$230="moeda")+(Inputs!$G$5:$G$230="acoes"))*Inputs!$B$1+((Inputs!$G$5:$G$230&lt;&gt;"moeda")*(Inputs!$G$5:$G$230&lt;&gt;"acoes")))*INDEX(Inputs!$K$5:$AJ$230,0,MATCH(S$2,Inputs!$K$4:$AJ$4,0)))+SUMPRODUCT((Inputs!$E$5:$E$230=$B45)*Inputs!$F$5:$F$230*(((Inputs!$G$5:$G$230="moeda")+(Inputs!$G$5:$G$230="acoes"))*Inputs!$B$1+((Inputs!$G$5:$G$230&lt;&gt;"moeda")*(Inputs!$G$5:$G$230&lt;&gt;"acoes")))*INDEX(Inputs!$K$5:$AJ$230,0,MATCH(S$2,Inputs!$K$4:$AJ$4,0)))))</f>
        <v>57.65</v>
      </c>
      <c r="T45" s="6">
        <f>IF(ISNA(MATCH(T$2,Inputs!$K$4:$AJ$4,0)),NA(),IF(SUMPRODUCT((Inputs!$A$5:$A$230=$B45)*ISNUMBER(INDEX(Inputs!$K$5:$AJ$230,0,MATCH(T$2,Inputs!$K$4:$AJ$4,0))))+SUMPRODUCT((Inputs!$C$5:$C$230=$B45)*ISNUMBER(INDEX(Inputs!$K$5:$AJ$230,0,MATCH(T$2,Inputs!$K$4:$AJ$4,0))))+SUMPRODUCT((Inputs!$E$5:$E$230=$B45)*ISNUMBER(INDEX(Inputs!$K$5:$AJ$230,0,MATCH(T$2,Inputs!$K$4:$AJ$4,0))))=0,NA(),SUMPRODUCT((Inputs!$A$5:$A$230=$B45)*Inputs!$B$5:$B$230*(((Inputs!$G$5:$G$230="moeda")+(Inputs!$G$5:$G$230="acoes"))*Inputs!$B$1+((Inputs!$G$5:$G$230&lt;&gt;"moeda")*(Inputs!$G$5:$G$230&lt;&gt;"acoes")))*INDEX(Inputs!$K$5:$AJ$230,0,MATCH(T$2,Inputs!$K$4:$AJ$4,0)))+SUMPRODUCT((Inputs!$C$5:$C$230=$B45)*Inputs!$D$5:$D$230*(((Inputs!$G$5:$G$230="moeda")+(Inputs!$G$5:$G$230="acoes"))*Inputs!$B$1+((Inputs!$G$5:$G$230&lt;&gt;"moeda")*(Inputs!$G$5:$G$230&lt;&gt;"acoes")))*INDEX(Inputs!$K$5:$AJ$230,0,MATCH(T$2,Inputs!$K$4:$AJ$4,0)))+SUMPRODUCT((Inputs!$E$5:$E$230=$B45)*Inputs!$F$5:$F$230*(((Inputs!$G$5:$G$230="moeda")+(Inputs!$G$5:$G$230="acoes"))*Inputs!$B$1+((Inputs!$G$5:$G$230&lt;&gt;"moeda")*(Inputs!$G$5:$G$230&lt;&gt;"acoes")))*INDEX(Inputs!$K$5:$AJ$230,0,MATCH(T$2,Inputs!$K$4:$AJ$4,0)))))</f>
        <v>79.027</v>
      </c>
      <c r="U45" s="6">
        <f>IF(ISNA(MATCH(U$2,Inputs!$K$4:$AJ$4,0)),NA(),IF(SUMPRODUCT((Inputs!$A$5:$A$230=$B45)*ISNUMBER(INDEX(Inputs!$K$5:$AJ$230,0,MATCH(U$2,Inputs!$K$4:$AJ$4,0))))+SUMPRODUCT((Inputs!$C$5:$C$230=$B45)*ISNUMBER(INDEX(Inputs!$K$5:$AJ$230,0,MATCH(U$2,Inputs!$K$4:$AJ$4,0))))+SUMPRODUCT((Inputs!$E$5:$E$230=$B45)*ISNUMBER(INDEX(Inputs!$K$5:$AJ$230,0,MATCH(U$2,Inputs!$K$4:$AJ$4,0))))=0,NA(),SUMPRODUCT((Inputs!$A$5:$A$230=$B45)*Inputs!$B$5:$B$230*(((Inputs!$G$5:$G$230="moeda")+(Inputs!$G$5:$G$230="acoes"))*Inputs!$B$1+((Inputs!$G$5:$G$230&lt;&gt;"moeda")*(Inputs!$G$5:$G$230&lt;&gt;"acoes")))*INDEX(Inputs!$K$5:$AJ$230,0,MATCH(U$2,Inputs!$K$4:$AJ$4,0)))+SUMPRODUCT((Inputs!$C$5:$C$230=$B45)*Inputs!$D$5:$D$230*(((Inputs!$G$5:$G$230="moeda")+(Inputs!$G$5:$G$230="acoes"))*Inputs!$B$1+((Inputs!$G$5:$G$230&lt;&gt;"moeda")*(Inputs!$G$5:$G$230&lt;&gt;"acoes")))*INDEX(Inputs!$K$5:$AJ$230,0,MATCH(U$2,Inputs!$K$4:$AJ$4,0)))+SUMPRODUCT((Inputs!$E$5:$E$230=$B45)*Inputs!$F$5:$F$230*(((Inputs!$G$5:$G$230="moeda")+(Inputs!$G$5:$G$230="acoes"))*Inputs!$B$1+((Inputs!$G$5:$G$230&lt;&gt;"moeda")*(Inputs!$G$5:$G$230&lt;&gt;"acoes")))*INDEX(Inputs!$K$5:$AJ$230,0,MATCH(U$2,Inputs!$K$4:$AJ$4,0)))))</f>
        <v>72.596</v>
      </c>
      <c r="V45" s="6">
        <f>IF(ISNA(MATCH(V$2,Inputs!$K$4:$AJ$4,0)),NA(),IF(SUMPRODUCT((Inputs!$A$5:$A$230=$B45)*ISNUMBER(INDEX(Inputs!$K$5:$AJ$230,0,MATCH(V$2,Inputs!$K$4:$AJ$4,0))))+SUMPRODUCT((Inputs!$C$5:$C$230=$B45)*ISNUMBER(INDEX(Inputs!$K$5:$AJ$230,0,MATCH(V$2,Inputs!$K$4:$AJ$4,0))))+SUMPRODUCT((Inputs!$E$5:$E$230=$B45)*ISNUMBER(INDEX(Inputs!$K$5:$AJ$230,0,MATCH(V$2,Inputs!$K$4:$AJ$4,0))))=0,NA(),SUMPRODUCT((Inputs!$A$5:$A$230=$B45)*Inputs!$B$5:$B$230*(((Inputs!$G$5:$G$230="moeda")+(Inputs!$G$5:$G$230="acoes"))*Inputs!$B$1+((Inputs!$G$5:$G$230&lt;&gt;"moeda")*(Inputs!$G$5:$G$230&lt;&gt;"acoes")))*INDEX(Inputs!$K$5:$AJ$230,0,MATCH(V$2,Inputs!$K$4:$AJ$4,0)))+SUMPRODUCT((Inputs!$C$5:$C$230=$B45)*Inputs!$D$5:$D$230*(((Inputs!$G$5:$G$230="moeda")+(Inputs!$G$5:$G$230="acoes"))*Inputs!$B$1+((Inputs!$G$5:$G$230&lt;&gt;"moeda")*(Inputs!$G$5:$G$230&lt;&gt;"acoes")))*INDEX(Inputs!$K$5:$AJ$230,0,MATCH(V$2,Inputs!$K$4:$AJ$4,0)))+SUMPRODUCT((Inputs!$E$5:$E$230=$B45)*Inputs!$F$5:$F$230*(((Inputs!$G$5:$G$230="moeda")+(Inputs!$G$5:$G$230="acoes"))*Inputs!$B$1+((Inputs!$G$5:$G$230&lt;&gt;"moeda")*(Inputs!$G$5:$G$230&lt;&gt;"acoes")))*INDEX(Inputs!$K$5:$AJ$230,0,MATCH(V$2,Inputs!$K$4:$AJ$4,0)))))</f>
        <v>104.372</v>
      </c>
      <c r="W45" s="3">
        <f>V45</f>
        <v>104.372</v>
      </c>
      <c r="X45" s="6">
        <f>IF(ISNA(MATCH(X$2,Inputs!$K$4:$AJ$4,0)),NA(),IF(SUMPRODUCT((Inputs!$A$5:$A$230=$B45)*ISNUMBER(INDEX(Inputs!$K$5:$AJ$230,0,MATCH(X$2,Inputs!$K$4:$AJ$4,0))))+SUMPRODUCT((Inputs!$C$5:$C$230=$B45)*ISNUMBER(INDEX(Inputs!$K$5:$AJ$230,0,MATCH(X$2,Inputs!$K$4:$AJ$4,0))))+SUMPRODUCT((Inputs!$E$5:$E$230=$B45)*ISNUMBER(INDEX(Inputs!$K$5:$AJ$230,0,MATCH(X$2,Inputs!$K$4:$AJ$4,0))))=0,NA(),SUMPRODUCT((Inputs!$A$5:$A$230=$B45)*Inputs!$B$5:$B$230*(((Inputs!$G$5:$G$230="moeda")+(Inputs!$G$5:$G$230="acoes"))*Inputs!$B$1+((Inputs!$G$5:$G$230&lt;&gt;"moeda")*(Inputs!$G$5:$G$230&lt;&gt;"acoes")))*INDEX(Inputs!$K$5:$AJ$230,0,MATCH(X$2,Inputs!$K$4:$AJ$4,0)))+SUMPRODUCT((Inputs!$C$5:$C$230=$B45)*Inputs!$D$5:$D$230*(((Inputs!$G$5:$G$230="moeda")+(Inputs!$G$5:$G$230="acoes"))*Inputs!$B$1+((Inputs!$G$5:$G$230&lt;&gt;"moeda")*(Inputs!$G$5:$G$230&lt;&gt;"acoes")))*INDEX(Inputs!$K$5:$AJ$230,0,MATCH(X$2,Inputs!$K$4:$AJ$4,0)))+SUMPRODUCT((Inputs!$E$5:$E$230=$B45)*Inputs!$F$5:$F$230*(((Inputs!$G$5:$G$230="moeda")+(Inputs!$G$5:$G$230="acoes"))*Inputs!$B$1+((Inputs!$G$5:$G$230&lt;&gt;"moeda")*(Inputs!$G$5:$G$230&lt;&gt;"acoes")))*INDEX(Inputs!$K$5:$AJ$230,0,MATCH(X$2,Inputs!$K$4:$AJ$4,0)))))</f>
        <v>84.44</v>
      </c>
      <c r="Y45" s="6">
        <f>IF(ISNA(MATCH(Y$2,Inputs!$K$4:$AJ$4,0)),NA(),IF(SUMPRODUCT((Inputs!$A$5:$A$230=$B45)*ISNUMBER(INDEX(Inputs!$K$5:$AJ$230,0,MATCH(Y$2,Inputs!$K$4:$AJ$4,0))))+SUMPRODUCT((Inputs!$C$5:$C$230=$B45)*ISNUMBER(INDEX(Inputs!$K$5:$AJ$230,0,MATCH(Y$2,Inputs!$K$4:$AJ$4,0))))+SUMPRODUCT((Inputs!$E$5:$E$230=$B45)*ISNUMBER(INDEX(Inputs!$K$5:$AJ$230,0,MATCH(Y$2,Inputs!$K$4:$AJ$4,0))))=0,NA(),SUMPRODUCT((Inputs!$A$5:$A$230=$B45)*Inputs!$B$5:$B$230*(((Inputs!$G$5:$G$230="moeda")+(Inputs!$G$5:$G$230="acoes"))*Inputs!$B$1+((Inputs!$G$5:$G$230&lt;&gt;"moeda")*(Inputs!$G$5:$G$230&lt;&gt;"acoes")))*INDEX(Inputs!$K$5:$AJ$230,0,MATCH(Y$2,Inputs!$K$4:$AJ$4,0)))+SUMPRODUCT((Inputs!$C$5:$C$230=$B45)*Inputs!$D$5:$D$230*(((Inputs!$G$5:$G$230="moeda")+(Inputs!$G$5:$G$230="acoes"))*Inputs!$B$1+((Inputs!$G$5:$G$230&lt;&gt;"moeda")*(Inputs!$G$5:$G$230&lt;&gt;"acoes")))*INDEX(Inputs!$K$5:$AJ$230,0,MATCH(Y$2,Inputs!$K$4:$AJ$4,0)))+SUMPRODUCT((Inputs!$E$5:$E$230=$B45)*Inputs!$F$5:$F$230*(((Inputs!$G$5:$G$230="moeda")+(Inputs!$G$5:$G$230="acoes"))*Inputs!$B$1+((Inputs!$G$5:$G$230&lt;&gt;"moeda")*(Inputs!$G$5:$G$230&lt;&gt;"acoes")))*INDEX(Inputs!$K$5:$AJ$230,0,MATCH(Y$2,Inputs!$K$4:$AJ$4,0)))))</f>
        <v>-50.354</v>
      </c>
      <c r="Z45" s="6">
        <f>IF(ISNA(MATCH(Z$2,Inputs!$K$4:$AJ$4,0)),NA(),IF(SUMPRODUCT((Inputs!$A$5:$A$230=$B45)*ISNUMBER(INDEX(Inputs!$K$5:$AJ$230,0,MATCH(Z$2,Inputs!$K$4:$AJ$4,0))))+SUMPRODUCT((Inputs!$C$5:$C$230=$B45)*ISNUMBER(INDEX(Inputs!$K$5:$AJ$230,0,MATCH(Z$2,Inputs!$K$4:$AJ$4,0))))+SUMPRODUCT((Inputs!$E$5:$E$230=$B45)*ISNUMBER(INDEX(Inputs!$K$5:$AJ$230,0,MATCH(Z$2,Inputs!$K$4:$AJ$4,0))))=0,NA(),SUMPRODUCT((Inputs!$A$5:$A$230=$B45)*Inputs!$B$5:$B$230*(((Inputs!$G$5:$G$230="moeda")+(Inputs!$G$5:$G$230="acoes"))*Inputs!$B$1+((Inputs!$G$5:$G$230&lt;&gt;"moeda")*(Inputs!$G$5:$G$230&lt;&gt;"acoes")))*INDEX(Inputs!$K$5:$AJ$230,0,MATCH(Z$2,Inputs!$K$4:$AJ$4,0)))+SUMPRODUCT((Inputs!$C$5:$C$230=$B45)*Inputs!$D$5:$D$230*(((Inputs!$G$5:$G$230="moeda")+(Inputs!$G$5:$G$230="acoes"))*Inputs!$B$1+((Inputs!$G$5:$G$230&lt;&gt;"moeda")*(Inputs!$G$5:$G$230&lt;&gt;"acoes")))*INDEX(Inputs!$K$5:$AJ$230,0,MATCH(Z$2,Inputs!$K$4:$AJ$4,0)))+SUMPRODUCT((Inputs!$E$5:$E$230=$B45)*Inputs!$F$5:$F$230*(((Inputs!$G$5:$G$230="moeda")+(Inputs!$G$5:$G$230="acoes"))*Inputs!$B$1+((Inputs!$G$5:$G$230&lt;&gt;"moeda")*(Inputs!$G$5:$G$230&lt;&gt;"acoes")))*INDEX(Inputs!$K$5:$AJ$230,0,MATCH(Z$2,Inputs!$K$4:$AJ$4,0)))))</f>
        <v>85.109</v>
      </c>
      <c r="AA45" s="6">
        <f>IF(ISNA(MATCH(AA$2,Inputs!$K$4:$AJ$4,0)),NA(),IF(SUMPRODUCT((Inputs!$A$5:$A$230=$B45)*ISNUMBER(INDEX(Inputs!$K$5:$AJ$230,0,MATCH(AA$2,Inputs!$K$4:$AJ$4,0))))+SUMPRODUCT((Inputs!$C$5:$C$230=$B45)*ISNUMBER(INDEX(Inputs!$K$5:$AJ$230,0,MATCH(AA$2,Inputs!$K$4:$AJ$4,0))))+SUMPRODUCT((Inputs!$E$5:$E$230=$B45)*ISNUMBER(INDEX(Inputs!$K$5:$AJ$230,0,MATCH(AA$2,Inputs!$K$4:$AJ$4,0))))=0,NA(),SUMPRODUCT((Inputs!$A$5:$A$230=$B45)*Inputs!$B$5:$B$230*(((Inputs!$G$5:$G$230="moeda")+(Inputs!$G$5:$G$230="acoes"))*Inputs!$B$1+((Inputs!$G$5:$G$230&lt;&gt;"moeda")*(Inputs!$G$5:$G$230&lt;&gt;"acoes")))*INDEX(Inputs!$K$5:$AJ$230,0,MATCH(AA$2,Inputs!$K$4:$AJ$4,0)))+SUMPRODUCT((Inputs!$C$5:$C$230=$B45)*Inputs!$D$5:$D$230*(((Inputs!$G$5:$G$230="moeda")+(Inputs!$G$5:$G$230="acoes"))*Inputs!$B$1+((Inputs!$G$5:$G$230&lt;&gt;"moeda")*(Inputs!$G$5:$G$230&lt;&gt;"acoes")))*INDEX(Inputs!$K$5:$AJ$230,0,MATCH(AA$2,Inputs!$K$4:$AJ$4,0)))+SUMPRODUCT((Inputs!$E$5:$E$230=$B45)*Inputs!$F$5:$F$230*(((Inputs!$G$5:$G$230="moeda")+(Inputs!$G$5:$G$230="acoes"))*Inputs!$B$1+((Inputs!$G$5:$G$230&lt;&gt;"moeda")*(Inputs!$G$5:$G$230&lt;&gt;"acoes")))*INDEX(Inputs!$K$5:$AJ$230,0,MATCH(AA$2,Inputs!$K$4:$AJ$4,0)))))</f>
        <v>174.494</v>
      </c>
      <c r="AB45" s="3">
        <f>AA45</f>
        <v>174.494</v>
      </c>
      <c r="AC45" s="6">
        <f>IF(ISNA(MATCH(AC$2,Inputs!$K$4:$AJ$4,0)),NA(),IF(SUMPRODUCT((Inputs!$A$5:$A$230=$B45)*ISNUMBER(INDEX(Inputs!$K$5:$AJ$230,0,MATCH(AC$2,Inputs!$K$4:$AJ$4,0))))+SUMPRODUCT((Inputs!$C$5:$C$230=$B45)*ISNUMBER(INDEX(Inputs!$K$5:$AJ$230,0,MATCH(AC$2,Inputs!$K$4:$AJ$4,0))))+SUMPRODUCT((Inputs!$E$5:$E$230=$B45)*ISNUMBER(INDEX(Inputs!$K$5:$AJ$230,0,MATCH(AC$2,Inputs!$K$4:$AJ$4,0))))=0,NA(),SUMPRODUCT((Inputs!$A$5:$A$230=$B45)*Inputs!$B$5:$B$230*(((Inputs!$G$5:$G$230="moeda")+(Inputs!$G$5:$G$230="acoes"))*Inputs!$B$1+((Inputs!$G$5:$G$230&lt;&gt;"moeda")*(Inputs!$G$5:$G$230&lt;&gt;"acoes")))*INDEX(Inputs!$K$5:$AJ$230,0,MATCH(AC$2,Inputs!$K$4:$AJ$4,0)))+SUMPRODUCT((Inputs!$C$5:$C$230=$B45)*Inputs!$D$5:$D$230*(((Inputs!$G$5:$G$230="moeda")+(Inputs!$G$5:$G$230="acoes"))*Inputs!$B$1+((Inputs!$G$5:$G$230&lt;&gt;"moeda")*(Inputs!$G$5:$G$230&lt;&gt;"acoes")))*INDEX(Inputs!$K$5:$AJ$230,0,MATCH(AC$2,Inputs!$K$4:$AJ$4,0)))+SUMPRODUCT((Inputs!$E$5:$E$230=$B45)*Inputs!$F$5:$F$230*(((Inputs!$G$5:$G$230="moeda")+(Inputs!$G$5:$G$230="acoes"))*Inputs!$B$1+((Inputs!$G$5:$G$230&lt;&gt;"moeda")*(Inputs!$G$5:$G$230&lt;&gt;"acoes")))*INDEX(Inputs!$K$5:$AJ$230,0,MATCH(AC$2,Inputs!$K$4:$AJ$4,0)))))</f>
        <v>99.329</v>
      </c>
      <c r="AD45" s="6">
        <f>IF(ISNA(MATCH(AD$2,Inputs!$K$4:$AJ$4,0)),NA(),IF(SUMPRODUCT((Inputs!$A$5:$A$230=$B45)*ISNUMBER(INDEX(Inputs!$K$5:$AJ$230,0,MATCH(AD$2,Inputs!$K$4:$AJ$4,0))))+SUMPRODUCT((Inputs!$C$5:$C$230=$B45)*ISNUMBER(INDEX(Inputs!$K$5:$AJ$230,0,MATCH(AD$2,Inputs!$K$4:$AJ$4,0))))+SUMPRODUCT((Inputs!$E$5:$E$230=$B45)*ISNUMBER(INDEX(Inputs!$K$5:$AJ$230,0,MATCH(AD$2,Inputs!$K$4:$AJ$4,0))))=0,NA(),SUMPRODUCT((Inputs!$A$5:$A$230=$B45)*Inputs!$B$5:$B$230*(((Inputs!$G$5:$G$230="moeda")+(Inputs!$G$5:$G$230="acoes"))*Inputs!$B$1+((Inputs!$G$5:$G$230&lt;&gt;"moeda")*(Inputs!$G$5:$G$230&lt;&gt;"acoes")))*INDEX(Inputs!$K$5:$AJ$230,0,MATCH(AD$2,Inputs!$K$4:$AJ$4,0)))+SUMPRODUCT((Inputs!$C$5:$C$230=$B45)*Inputs!$D$5:$D$230*(((Inputs!$G$5:$G$230="moeda")+(Inputs!$G$5:$G$230="acoes"))*Inputs!$B$1+((Inputs!$G$5:$G$230&lt;&gt;"moeda")*(Inputs!$G$5:$G$230&lt;&gt;"acoes")))*INDEX(Inputs!$K$5:$AJ$230,0,MATCH(AD$2,Inputs!$K$4:$AJ$4,0)))+SUMPRODUCT((Inputs!$E$5:$E$230=$B45)*Inputs!$F$5:$F$230*(((Inputs!$G$5:$G$230="moeda")+(Inputs!$G$5:$G$230="acoes"))*Inputs!$B$1+((Inputs!$G$5:$G$230&lt;&gt;"moeda")*(Inputs!$G$5:$G$230&lt;&gt;"acoes")))*INDEX(Inputs!$K$5:$AJ$230,0,MATCH(AD$2,Inputs!$K$4:$AJ$4,0)))))</f>
        <v>115.567</v>
      </c>
      <c r="AE45" s="6" t="e">
        <f>IF(ISNA(MATCH(AE$2,Inputs!$K$4:$AJ$4,0)),NA(),IF(SUMPRODUCT((Inputs!$A$5:$A$230=$B45)*ISNUMBER(INDEX(Inputs!$K$5:$AJ$230,0,MATCH(AE$2,Inputs!$K$4:$AJ$4,0))))+SUMPRODUCT((Inputs!$C$5:$C$230=$B45)*ISNUMBER(INDEX(Inputs!$K$5:$AJ$230,0,MATCH(AE$2,Inputs!$K$4:$AJ$4,0))))+SUMPRODUCT((Inputs!$E$5:$E$230=$B45)*ISNUMBER(INDEX(Inputs!$K$5:$AJ$230,0,MATCH(AE$2,Inputs!$K$4:$AJ$4,0))))=0,NA(),SUMPRODUCT((Inputs!$A$5:$A$230=$B45)*Inputs!$B$5:$B$230*(((Inputs!$G$5:$G$230="moeda")+(Inputs!$G$5:$G$230="acoes"))*Inputs!$B$1+((Inputs!$G$5:$G$230&lt;&gt;"moeda")*(Inputs!$G$5:$G$230&lt;&gt;"acoes")))*INDEX(Inputs!$K$5:$AJ$230,0,MATCH(AE$2,Inputs!$K$4:$AJ$4,0)))+SUMPRODUCT((Inputs!$C$5:$C$230=$B45)*Inputs!$D$5:$D$230*(((Inputs!$G$5:$G$230="moeda")+(Inputs!$G$5:$G$230="acoes"))*Inputs!$B$1+((Inputs!$G$5:$G$230&lt;&gt;"moeda")*(Inputs!$G$5:$G$230&lt;&gt;"acoes")))*INDEX(Inputs!$K$5:$AJ$230,0,MATCH(AE$2,Inputs!$K$4:$AJ$4,0)))+SUMPRODUCT((Inputs!$E$5:$E$230=$B45)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45" s="6" t="e">
        <f>IF(ISNA(MATCH(AF$2,Inputs!$K$4:$AJ$4,0)),NA(),IF(SUMPRODUCT((Inputs!$A$5:$A$230=$B45)*ISNUMBER(INDEX(Inputs!$K$5:$AJ$230,0,MATCH(AF$2,Inputs!$K$4:$AJ$4,0))))+SUMPRODUCT((Inputs!$C$5:$C$230=$B45)*ISNUMBER(INDEX(Inputs!$K$5:$AJ$230,0,MATCH(AF$2,Inputs!$K$4:$AJ$4,0))))+SUMPRODUCT((Inputs!$E$5:$E$230=$B45)*ISNUMBER(INDEX(Inputs!$K$5:$AJ$230,0,MATCH(AF$2,Inputs!$K$4:$AJ$4,0))))=0,NA(),SUMPRODUCT((Inputs!$A$5:$A$230=$B45)*Inputs!$B$5:$B$230*(((Inputs!$G$5:$G$230="moeda")+(Inputs!$G$5:$G$230="acoes"))*Inputs!$B$1+((Inputs!$G$5:$G$230&lt;&gt;"moeda")*(Inputs!$G$5:$G$230&lt;&gt;"acoes")))*INDEX(Inputs!$K$5:$AJ$230,0,MATCH(AF$2,Inputs!$K$4:$AJ$4,0)))+SUMPRODUCT((Inputs!$C$5:$C$230=$B45)*Inputs!$D$5:$D$230*(((Inputs!$G$5:$G$230="moeda")+(Inputs!$G$5:$G$230="acoes"))*Inputs!$B$1+((Inputs!$G$5:$G$230&lt;&gt;"moeda")*(Inputs!$G$5:$G$230&lt;&gt;"acoes")))*INDEX(Inputs!$K$5:$AJ$230,0,MATCH(AF$2,Inputs!$K$4:$AJ$4,0)))+SUMPRODUCT((Inputs!$E$5:$E$230=$B45)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45" s="3" t="e">
        <f>AF45</f>
        <v>#N/A</v>
      </c>
      <c r="AH45" s="6">
        <f>IF(ISNA(MATCH(AH$2,Inputs!$K$4:$AJ$4,0)),NA(),IF(SUMPRODUCT((Inputs!$A$5:$A$230=$B45)*ISNUMBER(INDEX(Inputs!$K$5:$AJ$230,0,MATCH(AH$2,Inputs!$K$4:$AJ$4,0))))+SUMPRODUCT((Inputs!$C$5:$C$230=$B45)*ISNUMBER(INDEX(Inputs!$K$5:$AJ$230,0,MATCH(AH$2,Inputs!$K$4:$AJ$4,0))))+SUMPRODUCT((Inputs!$E$5:$E$230=$B45)*ISNUMBER(INDEX(Inputs!$K$5:$AJ$230,0,MATCH(AH$2,Inputs!$K$4:$AJ$4,0))))=0,NA(),SUMPRODUCT((Inputs!$A$5:$A$230=$B45)*Inputs!$B$5:$B$230*(((Inputs!$G$5:$G$230="moeda")+(Inputs!$G$5:$G$230="acoes"))*Inputs!$B$1+((Inputs!$G$5:$G$230&lt;&gt;"moeda")*(Inputs!$G$5:$G$230&lt;&gt;"acoes")))*INDEX(Inputs!$K$5:$AJ$230,0,MATCH(AH$2,Inputs!$K$4:$AJ$4,0)))+SUMPRODUCT((Inputs!$C$5:$C$230=$B45)*Inputs!$D$5:$D$230*(((Inputs!$G$5:$G$230="moeda")+(Inputs!$G$5:$G$230="acoes"))*Inputs!$B$1+((Inputs!$G$5:$G$230&lt;&gt;"moeda")*(Inputs!$G$5:$G$230&lt;&gt;"acoes")))*INDEX(Inputs!$K$5:$AJ$230,0,MATCH(AH$2,Inputs!$K$4:$AJ$4,0)))+SUMPRODUCT((Inputs!$E$5:$E$230=$B45)*Inputs!$F$5:$F$230*(((Inputs!$G$5:$G$230="moeda")+(Inputs!$G$5:$G$230="acoes"))*Inputs!$B$1+((Inputs!$G$5:$G$230&lt;&gt;"moeda")*(Inputs!$G$5:$G$230&lt;&gt;"acoes")))*INDEX(Inputs!$K$5:$AJ$230,0,MATCH(AH$2,Inputs!$K$4:$AJ$4,0)))))</f>
        <v>63.399</v>
      </c>
      <c r="AI45" s="6">
        <f>IF(ISNA(MATCH(AI$2,Inputs!$K$4:$AJ$4,0)),NA(),IF(SUMPRODUCT((Inputs!$A$5:$A$230=$B45)*ISNUMBER(INDEX(Inputs!$K$5:$AJ$230,0,MATCH(AI$2,Inputs!$K$4:$AJ$4,0))))+SUMPRODUCT((Inputs!$C$5:$C$230=$B45)*ISNUMBER(INDEX(Inputs!$K$5:$AJ$230,0,MATCH(AI$2,Inputs!$K$4:$AJ$4,0))))+SUMPRODUCT((Inputs!$E$5:$E$230=$B45)*ISNUMBER(INDEX(Inputs!$K$5:$AJ$230,0,MATCH(AI$2,Inputs!$K$4:$AJ$4,0))))=0,NA(),SUMPRODUCT((Inputs!$A$5:$A$230=$B45)*Inputs!$B$5:$B$230*(((Inputs!$G$5:$G$230="moeda")+(Inputs!$G$5:$G$230="acoes"))*Inputs!$B$1+((Inputs!$G$5:$G$230&lt;&gt;"moeda")*(Inputs!$G$5:$G$230&lt;&gt;"acoes")))*INDEX(Inputs!$K$5:$AJ$230,0,MATCH(AI$2,Inputs!$K$4:$AJ$4,0)))+SUMPRODUCT((Inputs!$C$5:$C$230=$B45)*Inputs!$D$5:$D$230*(((Inputs!$G$5:$G$230="moeda")+(Inputs!$G$5:$G$230="acoes"))*Inputs!$B$1+((Inputs!$G$5:$G$230&lt;&gt;"moeda")*(Inputs!$G$5:$G$230&lt;&gt;"acoes")))*INDEX(Inputs!$K$5:$AJ$230,0,MATCH(AI$2,Inputs!$K$4:$AJ$4,0)))+SUMPRODUCT((Inputs!$E$5:$E$230=$B45)*Inputs!$F$5:$F$230*(((Inputs!$G$5:$G$230="moeda")+(Inputs!$G$5:$G$230="acoes"))*Inputs!$B$1+((Inputs!$G$5:$G$230&lt;&gt;"moeda")*(Inputs!$G$5:$G$230&lt;&gt;"acoes")))*INDEX(Inputs!$K$5:$AJ$230,0,MATCH(AI$2,Inputs!$K$4:$AJ$4,0)))))</f>
        <v>96.487</v>
      </c>
      <c r="AJ45" s="6">
        <f>IF(ISNA(MATCH(AJ$2,Inputs!$K$4:$AJ$4,0)),NA(),IF(SUMPRODUCT((Inputs!$A$5:$A$230=$B45)*ISNUMBER(INDEX(Inputs!$K$5:$AJ$230,0,MATCH(AJ$2,Inputs!$K$4:$AJ$4,0))))+SUMPRODUCT((Inputs!$C$5:$C$230=$B45)*ISNUMBER(INDEX(Inputs!$K$5:$AJ$230,0,MATCH(AJ$2,Inputs!$K$4:$AJ$4,0))))+SUMPRODUCT((Inputs!$E$5:$E$230=$B45)*ISNUMBER(INDEX(Inputs!$K$5:$AJ$230,0,MATCH(AJ$2,Inputs!$K$4:$AJ$4,0))))=0,NA(),SUMPRODUCT((Inputs!$A$5:$A$230=$B45)*Inputs!$B$5:$B$230*(((Inputs!$G$5:$G$230="moeda")+(Inputs!$G$5:$G$230="acoes"))*Inputs!$B$1+((Inputs!$G$5:$G$230&lt;&gt;"moeda")*(Inputs!$G$5:$G$230&lt;&gt;"acoes")))*INDEX(Inputs!$K$5:$AJ$230,0,MATCH(AJ$2,Inputs!$K$4:$AJ$4,0)))+SUMPRODUCT((Inputs!$C$5:$C$230=$B45)*Inputs!$D$5:$D$230*(((Inputs!$G$5:$G$230="moeda")+(Inputs!$G$5:$G$230="acoes"))*Inputs!$B$1+((Inputs!$G$5:$G$230&lt;&gt;"moeda")*(Inputs!$G$5:$G$230&lt;&gt;"acoes")))*INDEX(Inputs!$K$5:$AJ$230,0,MATCH(AJ$2,Inputs!$K$4:$AJ$4,0)))+SUMPRODUCT((Inputs!$E$5:$E$230=$B45)*Inputs!$F$5:$F$230*(((Inputs!$G$5:$G$230="moeda")+(Inputs!$G$5:$G$230="acoes"))*Inputs!$B$1+((Inputs!$G$5:$G$230&lt;&gt;"moeda")*(Inputs!$G$5:$G$230&lt;&gt;"acoes")))*INDEX(Inputs!$K$5:$AJ$230,0,MATCH(AJ$2,Inputs!$K$4:$AJ$4,0)))))</f>
        <v>101.566</v>
      </c>
      <c r="AK45" s="6">
        <f>IF(ISNA(MATCH(AK$2,Inputs!$K$4:$AJ$4,0)),NA(),IF(SUMPRODUCT((Inputs!$A$5:$A$230=$B45)*ISNUMBER(INDEX(Inputs!$K$5:$AJ$230,0,MATCH(AK$2,Inputs!$K$4:$AJ$4,0))))+SUMPRODUCT((Inputs!$C$5:$C$230=$B45)*ISNUMBER(INDEX(Inputs!$K$5:$AJ$230,0,MATCH(AK$2,Inputs!$K$4:$AJ$4,0))))+SUMPRODUCT((Inputs!$E$5:$E$230=$B45)*ISNUMBER(INDEX(Inputs!$K$5:$AJ$230,0,MATCH(AK$2,Inputs!$K$4:$AJ$4,0))))=0,NA(),SUMPRODUCT((Inputs!$A$5:$A$230=$B45)*Inputs!$B$5:$B$230*(((Inputs!$G$5:$G$230="moeda")+(Inputs!$G$5:$G$230="acoes"))*Inputs!$B$1+((Inputs!$G$5:$G$230&lt;&gt;"moeda")*(Inputs!$G$5:$G$230&lt;&gt;"acoes")))*INDEX(Inputs!$K$5:$AJ$230,0,MATCH(AK$2,Inputs!$K$4:$AJ$4,0)))+SUMPRODUCT((Inputs!$C$5:$C$230=$B45)*Inputs!$D$5:$D$230*(((Inputs!$G$5:$G$230="moeda")+(Inputs!$G$5:$G$230="acoes"))*Inputs!$B$1+((Inputs!$G$5:$G$230&lt;&gt;"moeda")*(Inputs!$G$5:$G$230&lt;&gt;"acoes")))*INDEX(Inputs!$K$5:$AJ$230,0,MATCH(AK$2,Inputs!$K$4:$AJ$4,0)))+SUMPRODUCT((Inputs!$E$5:$E$230=$B45)*Inputs!$F$5:$F$230*(((Inputs!$G$5:$G$230="moeda")+(Inputs!$G$5:$G$230="acoes"))*Inputs!$B$1+((Inputs!$G$5:$G$230&lt;&gt;"moeda")*(Inputs!$G$5:$G$230&lt;&gt;"acoes")))*INDEX(Inputs!$K$5:$AJ$230,0,MATCH(AK$2,Inputs!$K$4:$AJ$4,0)))))</f>
        <v>85.453</v>
      </c>
      <c r="AL45" s="3">
        <f>AK45</f>
        <v>85.453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$230=$B46)*ISNUMBER(INDEX(Inputs!$K$5:$AJ$230,0,MATCH(D$2,Inputs!$K$4:$AJ$4,0))))+SUMPRODUCT((Inputs!$C$5:$C$230=$B46)*ISNUMBER(INDEX(Inputs!$K$5:$AJ$230,0,MATCH(D$2,Inputs!$K$4:$AJ$4,0))))+SUMPRODUCT((Inputs!$E$5:$E$230=$B46)*ISNUMBER(INDEX(Inputs!$K$5:$AJ$230,0,MATCH(D$2,Inputs!$K$4:$AJ$4,0))))=0,NA(),SUMPRODUCT((Inputs!$A$5:$A$230=$B46)*Inputs!$B$5:$B$230*(((Inputs!$G$5:$G$230="moeda")+(Inputs!$G$5:$G$230="acoes"))*Inputs!$B$1+((Inputs!$G$5:$G$230&lt;&gt;"moeda")*(Inputs!$G$5:$G$230&lt;&gt;"acoes")))*INDEX(Inputs!$K$5:$AJ$230,0,MATCH(D$2,Inputs!$K$4:$AJ$4,0)))+SUMPRODUCT((Inputs!$C$5:$C$230=$B46)*Inputs!$D$5:$D$230*(((Inputs!$G$5:$G$230="moeda")+(Inputs!$G$5:$G$230="acoes"))*Inputs!$B$1+((Inputs!$G$5:$G$230&lt;&gt;"moeda")*(Inputs!$G$5:$G$230&lt;&gt;"acoes")))*INDEX(Inputs!$K$5:$AJ$230,0,MATCH(D$2,Inputs!$K$4:$AJ$4,0)))+SUMPRODUCT((Inputs!$E$5:$E$230=$B46)*Inputs!$F$5:$F$230*(((Inputs!$G$5:$G$230="moeda")+(Inputs!$G$5:$G$230="acoes"))*Inputs!$B$1+((Inputs!$G$5:$G$230&lt;&gt;"moeda")*(Inputs!$G$5:$G$230&lt;&gt;"acoes")))*INDEX(Inputs!$K$5:$AJ$230,0,MATCH(D$2,Inputs!$K$4:$AJ$4,0)))))</f>
        <v>2727.377</v>
      </c>
      <c r="E46" s="6">
        <f>IF(ISNA(MATCH(E$2,Inputs!$K$4:$AJ$4,0)),NA(),IF(SUMPRODUCT((Inputs!$A$5:$A$230=$B46)*ISNUMBER(INDEX(Inputs!$K$5:$AJ$230,0,MATCH(E$2,Inputs!$K$4:$AJ$4,0))))+SUMPRODUCT((Inputs!$C$5:$C$230=$B46)*ISNUMBER(INDEX(Inputs!$K$5:$AJ$230,0,MATCH(E$2,Inputs!$K$4:$AJ$4,0))))+SUMPRODUCT((Inputs!$E$5:$E$230=$B46)*ISNUMBER(INDEX(Inputs!$K$5:$AJ$230,0,MATCH(E$2,Inputs!$K$4:$AJ$4,0))))=0,NA(),SUMPRODUCT((Inputs!$A$5:$A$230=$B46)*Inputs!$B$5:$B$230*(((Inputs!$G$5:$G$230="moeda")+(Inputs!$G$5:$G$230="acoes"))*Inputs!$B$1+((Inputs!$G$5:$G$230&lt;&gt;"moeda")*(Inputs!$G$5:$G$230&lt;&gt;"acoes")))*INDEX(Inputs!$K$5:$AJ$230,0,MATCH(E$2,Inputs!$K$4:$AJ$4,0)))+SUMPRODUCT((Inputs!$C$5:$C$230=$B46)*Inputs!$D$5:$D$230*(((Inputs!$G$5:$G$230="moeda")+(Inputs!$G$5:$G$230="acoes"))*Inputs!$B$1+((Inputs!$G$5:$G$230&lt;&gt;"moeda")*(Inputs!$G$5:$G$230&lt;&gt;"acoes")))*INDEX(Inputs!$K$5:$AJ$230,0,MATCH(E$2,Inputs!$K$4:$AJ$4,0)))+SUMPRODUCT((Inputs!$E$5:$E$230=$B46)*Inputs!$F$5:$F$230*(((Inputs!$G$5:$G$230="moeda")+(Inputs!$G$5:$G$230="acoes"))*Inputs!$B$1+((Inputs!$G$5:$G$230&lt;&gt;"moeda")*(Inputs!$G$5:$G$230&lt;&gt;"acoes")))*INDEX(Inputs!$K$5:$AJ$230,0,MATCH(E$2,Inputs!$K$4:$AJ$4,0)))))</f>
        <v>2727.377</v>
      </c>
      <c r="F46" s="6">
        <f>IF(ISNA(MATCH(F$2,Inputs!$K$4:$AJ$4,0)),NA(),IF(SUMPRODUCT((Inputs!$A$5:$A$230=$B46)*ISNUMBER(INDEX(Inputs!$K$5:$AJ$230,0,MATCH(F$2,Inputs!$K$4:$AJ$4,0))))+SUMPRODUCT((Inputs!$C$5:$C$230=$B46)*ISNUMBER(INDEX(Inputs!$K$5:$AJ$230,0,MATCH(F$2,Inputs!$K$4:$AJ$4,0))))+SUMPRODUCT((Inputs!$E$5:$E$230=$B46)*ISNUMBER(INDEX(Inputs!$K$5:$AJ$230,0,MATCH(F$2,Inputs!$K$4:$AJ$4,0))))=0,NA(),SUMPRODUCT((Inputs!$A$5:$A$230=$B46)*Inputs!$B$5:$B$230*(((Inputs!$G$5:$G$230="moeda")+(Inputs!$G$5:$G$230="acoes"))*Inputs!$B$1+((Inputs!$G$5:$G$230&lt;&gt;"moeda")*(Inputs!$G$5:$G$230&lt;&gt;"acoes")))*INDEX(Inputs!$K$5:$AJ$230,0,MATCH(F$2,Inputs!$K$4:$AJ$4,0)))+SUMPRODUCT((Inputs!$C$5:$C$230=$B46)*Inputs!$D$5:$D$230*(((Inputs!$G$5:$G$230="moeda")+(Inputs!$G$5:$G$230="acoes"))*Inputs!$B$1+((Inputs!$G$5:$G$230&lt;&gt;"moeda")*(Inputs!$G$5:$G$230&lt;&gt;"acoes")))*INDEX(Inputs!$K$5:$AJ$230,0,MATCH(F$2,Inputs!$K$4:$AJ$4,0)))+SUMPRODUCT((Inputs!$E$5:$E$230=$B46)*Inputs!$F$5:$F$230*(((Inputs!$G$5:$G$230="moeda")+(Inputs!$G$5:$G$230="acoes"))*Inputs!$B$1+((Inputs!$G$5:$G$230&lt;&gt;"moeda")*(Inputs!$G$5:$G$230&lt;&gt;"acoes")))*INDEX(Inputs!$K$5:$AJ$230,0,MATCH(F$2,Inputs!$K$4:$AJ$4,0)))))</f>
        <v>2727.377</v>
      </c>
      <c r="G46" s="6">
        <f>IF(ISNA(MATCH(G$2,Inputs!$K$4:$AJ$4,0)),NA(),IF(SUMPRODUCT((Inputs!$A$5:$A$230=$B46)*ISNUMBER(INDEX(Inputs!$K$5:$AJ$230,0,MATCH(G$2,Inputs!$K$4:$AJ$4,0))))+SUMPRODUCT((Inputs!$C$5:$C$230=$B46)*ISNUMBER(INDEX(Inputs!$K$5:$AJ$230,0,MATCH(G$2,Inputs!$K$4:$AJ$4,0))))+SUMPRODUCT((Inputs!$E$5:$E$230=$B46)*ISNUMBER(INDEX(Inputs!$K$5:$AJ$230,0,MATCH(G$2,Inputs!$K$4:$AJ$4,0))))=0,NA(),SUMPRODUCT((Inputs!$A$5:$A$230=$B46)*Inputs!$B$5:$B$230*(((Inputs!$G$5:$G$230="moeda")+(Inputs!$G$5:$G$230="acoes"))*Inputs!$B$1+((Inputs!$G$5:$G$230&lt;&gt;"moeda")*(Inputs!$G$5:$G$230&lt;&gt;"acoes")))*INDEX(Inputs!$K$5:$AJ$230,0,MATCH(G$2,Inputs!$K$4:$AJ$4,0)))+SUMPRODUCT((Inputs!$C$5:$C$230=$B46)*Inputs!$D$5:$D$230*(((Inputs!$G$5:$G$230="moeda")+(Inputs!$G$5:$G$230="acoes"))*Inputs!$B$1+((Inputs!$G$5:$G$230&lt;&gt;"moeda")*(Inputs!$G$5:$G$230&lt;&gt;"acoes")))*INDEX(Inputs!$K$5:$AJ$230,0,MATCH(G$2,Inputs!$K$4:$AJ$4,0)))+SUMPRODUCT((Inputs!$E$5:$E$230=$B46)*Inputs!$F$5:$F$230*(((Inputs!$G$5:$G$230="moeda")+(Inputs!$G$5:$G$230="acoes"))*Inputs!$B$1+((Inputs!$G$5:$G$230&lt;&gt;"moeda")*(Inputs!$G$5:$G$230&lt;&gt;"acoes")))*INDEX(Inputs!$K$5:$AJ$230,0,MATCH(G$2,Inputs!$K$4:$AJ$4,0)))))</f>
        <v>2727.377</v>
      </c>
      <c r="H46" s="3">
        <f>G46</f>
        <v>2727.377</v>
      </c>
      <c r="I46" s="6">
        <f>IF(ISNA(MATCH(I$2,Inputs!$K$4:$AJ$4,0)),NA(),IF(SUMPRODUCT((Inputs!$A$5:$A$230=$B46)*ISNUMBER(INDEX(Inputs!$K$5:$AJ$230,0,MATCH(I$2,Inputs!$K$4:$AJ$4,0))))+SUMPRODUCT((Inputs!$C$5:$C$230=$B46)*ISNUMBER(INDEX(Inputs!$K$5:$AJ$230,0,MATCH(I$2,Inputs!$K$4:$AJ$4,0))))+SUMPRODUCT((Inputs!$E$5:$E$230=$B46)*ISNUMBER(INDEX(Inputs!$K$5:$AJ$230,0,MATCH(I$2,Inputs!$K$4:$AJ$4,0))))=0,NA(),SUMPRODUCT((Inputs!$A$5:$A$230=$B46)*Inputs!$B$5:$B$230*(((Inputs!$G$5:$G$230="moeda")+(Inputs!$G$5:$G$230="acoes"))*Inputs!$B$1+((Inputs!$G$5:$G$230&lt;&gt;"moeda")*(Inputs!$G$5:$G$230&lt;&gt;"acoes")))*INDEX(Inputs!$K$5:$AJ$230,0,MATCH(I$2,Inputs!$K$4:$AJ$4,0)))+SUMPRODUCT((Inputs!$C$5:$C$230=$B46)*Inputs!$D$5:$D$230*(((Inputs!$G$5:$G$230="moeda")+(Inputs!$G$5:$G$230="acoes"))*Inputs!$B$1+((Inputs!$G$5:$G$230&lt;&gt;"moeda")*(Inputs!$G$5:$G$230&lt;&gt;"acoes")))*INDEX(Inputs!$K$5:$AJ$230,0,MATCH(I$2,Inputs!$K$4:$AJ$4,0)))+SUMPRODUCT((Inputs!$E$5:$E$230=$B46)*Inputs!$F$5:$F$230*(((Inputs!$G$5:$G$230="moeda")+(Inputs!$G$5:$G$230="acoes"))*Inputs!$B$1+((Inputs!$G$5:$G$230&lt;&gt;"moeda")*(Inputs!$G$5:$G$230&lt;&gt;"acoes")))*INDEX(Inputs!$K$5:$AJ$230,0,MATCH(I$2,Inputs!$K$4:$AJ$4,0)))))</f>
        <v>3482.342</v>
      </c>
      <c r="J46" s="6">
        <f>IF(ISNA(MATCH(J$2,Inputs!$K$4:$AJ$4,0)),NA(),IF(SUMPRODUCT((Inputs!$A$5:$A$230=$B46)*ISNUMBER(INDEX(Inputs!$K$5:$AJ$230,0,MATCH(J$2,Inputs!$K$4:$AJ$4,0))))+SUMPRODUCT((Inputs!$C$5:$C$230=$B46)*ISNUMBER(INDEX(Inputs!$K$5:$AJ$230,0,MATCH(J$2,Inputs!$K$4:$AJ$4,0))))+SUMPRODUCT((Inputs!$E$5:$E$230=$B46)*ISNUMBER(INDEX(Inputs!$K$5:$AJ$230,0,MATCH(J$2,Inputs!$K$4:$AJ$4,0))))=0,NA(),SUMPRODUCT((Inputs!$A$5:$A$230=$B46)*Inputs!$B$5:$B$230*(((Inputs!$G$5:$G$230="moeda")+(Inputs!$G$5:$G$230="acoes"))*Inputs!$B$1+((Inputs!$G$5:$G$230&lt;&gt;"moeda")*(Inputs!$G$5:$G$230&lt;&gt;"acoes")))*INDEX(Inputs!$K$5:$AJ$230,0,MATCH(J$2,Inputs!$K$4:$AJ$4,0)))+SUMPRODUCT((Inputs!$C$5:$C$230=$B46)*Inputs!$D$5:$D$230*(((Inputs!$G$5:$G$230="moeda")+(Inputs!$G$5:$G$230="acoes"))*Inputs!$B$1+((Inputs!$G$5:$G$230&lt;&gt;"moeda")*(Inputs!$G$5:$G$230&lt;&gt;"acoes")))*INDEX(Inputs!$K$5:$AJ$230,0,MATCH(J$2,Inputs!$K$4:$AJ$4,0)))+SUMPRODUCT((Inputs!$E$5:$E$230=$B46)*Inputs!$F$5:$F$230*(((Inputs!$G$5:$G$230="moeda")+(Inputs!$G$5:$G$230="acoes"))*Inputs!$B$1+((Inputs!$G$5:$G$230&lt;&gt;"moeda")*(Inputs!$G$5:$G$230&lt;&gt;"acoes")))*INDEX(Inputs!$K$5:$AJ$230,0,MATCH(J$2,Inputs!$K$4:$AJ$4,0)))))</f>
        <v>3482.342</v>
      </c>
      <c r="K46" s="6">
        <f>IF(ISNA(MATCH(K$2,Inputs!$K$4:$AJ$4,0)),NA(),IF(SUMPRODUCT((Inputs!$A$5:$A$230=$B46)*ISNUMBER(INDEX(Inputs!$K$5:$AJ$230,0,MATCH(K$2,Inputs!$K$4:$AJ$4,0))))+SUMPRODUCT((Inputs!$C$5:$C$230=$B46)*ISNUMBER(INDEX(Inputs!$K$5:$AJ$230,0,MATCH(K$2,Inputs!$K$4:$AJ$4,0))))+SUMPRODUCT((Inputs!$E$5:$E$230=$B46)*ISNUMBER(INDEX(Inputs!$K$5:$AJ$230,0,MATCH(K$2,Inputs!$K$4:$AJ$4,0))))=0,NA(),SUMPRODUCT((Inputs!$A$5:$A$230=$B46)*Inputs!$B$5:$B$230*(((Inputs!$G$5:$G$230="moeda")+(Inputs!$G$5:$G$230="acoes"))*Inputs!$B$1+((Inputs!$G$5:$G$230&lt;&gt;"moeda")*(Inputs!$G$5:$G$230&lt;&gt;"acoes")))*INDEX(Inputs!$K$5:$AJ$230,0,MATCH(K$2,Inputs!$K$4:$AJ$4,0)))+SUMPRODUCT((Inputs!$C$5:$C$230=$B46)*Inputs!$D$5:$D$230*(((Inputs!$G$5:$G$230="moeda")+(Inputs!$G$5:$G$230="acoes"))*Inputs!$B$1+((Inputs!$G$5:$G$230&lt;&gt;"moeda")*(Inputs!$G$5:$G$230&lt;&gt;"acoes")))*INDEX(Inputs!$K$5:$AJ$230,0,MATCH(K$2,Inputs!$K$4:$AJ$4,0)))+SUMPRODUCT((Inputs!$E$5:$E$230=$B46)*Inputs!$F$5:$F$230*(((Inputs!$G$5:$G$230="moeda")+(Inputs!$G$5:$G$230="acoes"))*Inputs!$B$1+((Inputs!$G$5:$G$230&lt;&gt;"moeda")*(Inputs!$G$5:$G$230&lt;&gt;"acoes")))*INDEX(Inputs!$K$5:$AJ$230,0,MATCH(K$2,Inputs!$K$4:$AJ$4,0)))))</f>
        <v>3482.342</v>
      </c>
      <c r="L46" s="6">
        <f>IF(ISNA(MATCH(L$2,Inputs!$K$4:$AJ$4,0)),NA(),IF(SUMPRODUCT((Inputs!$A$5:$A$230=$B46)*ISNUMBER(INDEX(Inputs!$K$5:$AJ$230,0,MATCH(L$2,Inputs!$K$4:$AJ$4,0))))+SUMPRODUCT((Inputs!$C$5:$C$230=$B46)*ISNUMBER(INDEX(Inputs!$K$5:$AJ$230,0,MATCH(L$2,Inputs!$K$4:$AJ$4,0))))+SUMPRODUCT((Inputs!$E$5:$E$230=$B46)*ISNUMBER(INDEX(Inputs!$K$5:$AJ$230,0,MATCH(L$2,Inputs!$K$4:$AJ$4,0))))=0,NA(),SUMPRODUCT((Inputs!$A$5:$A$230=$B46)*Inputs!$B$5:$B$230*(((Inputs!$G$5:$G$230="moeda")+(Inputs!$G$5:$G$230="acoes"))*Inputs!$B$1+((Inputs!$G$5:$G$230&lt;&gt;"moeda")*(Inputs!$G$5:$G$230&lt;&gt;"acoes")))*INDEX(Inputs!$K$5:$AJ$230,0,MATCH(L$2,Inputs!$K$4:$AJ$4,0)))+SUMPRODUCT((Inputs!$C$5:$C$230=$B46)*Inputs!$D$5:$D$230*(((Inputs!$G$5:$G$230="moeda")+(Inputs!$G$5:$G$230="acoes"))*Inputs!$B$1+((Inputs!$G$5:$G$230&lt;&gt;"moeda")*(Inputs!$G$5:$G$230&lt;&gt;"acoes")))*INDEX(Inputs!$K$5:$AJ$230,0,MATCH(L$2,Inputs!$K$4:$AJ$4,0)))+SUMPRODUCT((Inputs!$E$5:$E$230=$B46)*Inputs!$F$5:$F$230*(((Inputs!$G$5:$G$230="moeda")+(Inputs!$G$5:$G$230="acoes"))*Inputs!$B$1+((Inputs!$G$5:$G$230&lt;&gt;"moeda")*(Inputs!$G$5:$G$230&lt;&gt;"acoes")))*INDEX(Inputs!$K$5:$AJ$230,0,MATCH(L$2,Inputs!$K$4:$AJ$4,0)))))</f>
        <v>3978.834</v>
      </c>
      <c r="M46" s="3">
        <f>L46</f>
        <v>3978.834</v>
      </c>
      <c r="N46" s="6">
        <f>IF(ISNA(MATCH(N$2,Inputs!$K$4:$AJ$4,0)),NA(),IF(SUMPRODUCT((Inputs!$A$5:$A$230=$B46)*ISNUMBER(INDEX(Inputs!$K$5:$AJ$230,0,MATCH(N$2,Inputs!$K$4:$AJ$4,0))))+SUMPRODUCT((Inputs!$C$5:$C$230=$B46)*ISNUMBER(INDEX(Inputs!$K$5:$AJ$230,0,MATCH(N$2,Inputs!$K$4:$AJ$4,0))))+SUMPRODUCT((Inputs!$E$5:$E$230=$B46)*ISNUMBER(INDEX(Inputs!$K$5:$AJ$230,0,MATCH(N$2,Inputs!$K$4:$AJ$4,0))))=0,NA(),SUMPRODUCT((Inputs!$A$5:$A$230=$B46)*Inputs!$B$5:$B$230*(((Inputs!$G$5:$G$230="moeda")+(Inputs!$G$5:$G$230="acoes"))*Inputs!$B$1+((Inputs!$G$5:$G$230&lt;&gt;"moeda")*(Inputs!$G$5:$G$230&lt;&gt;"acoes")))*INDEX(Inputs!$K$5:$AJ$230,0,MATCH(N$2,Inputs!$K$4:$AJ$4,0)))+SUMPRODUCT((Inputs!$C$5:$C$230=$B46)*Inputs!$D$5:$D$230*(((Inputs!$G$5:$G$230="moeda")+(Inputs!$G$5:$G$230="acoes"))*Inputs!$B$1+((Inputs!$G$5:$G$230&lt;&gt;"moeda")*(Inputs!$G$5:$G$230&lt;&gt;"acoes")))*INDEX(Inputs!$K$5:$AJ$230,0,MATCH(N$2,Inputs!$K$4:$AJ$4,0)))+SUMPRODUCT((Inputs!$E$5:$E$230=$B46)*Inputs!$F$5:$F$230*(((Inputs!$G$5:$G$230="moeda")+(Inputs!$G$5:$G$230="acoes"))*Inputs!$B$1+((Inputs!$G$5:$G$230&lt;&gt;"moeda")*(Inputs!$G$5:$G$230&lt;&gt;"acoes")))*INDEX(Inputs!$K$5:$AJ$230,0,MATCH(N$2,Inputs!$K$4:$AJ$4,0)))))</f>
        <v>3978.834</v>
      </c>
      <c r="O46" s="6">
        <f>IF(ISNA(MATCH(O$2,Inputs!$K$4:$AJ$4,0)),NA(),IF(SUMPRODUCT((Inputs!$A$5:$A$230=$B46)*ISNUMBER(INDEX(Inputs!$K$5:$AJ$230,0,MATCH(O$2,Inputs!$K$4:$AJ$4,0))))+SUMPRODUCT((Inputs!$C$5:$C$230=$B46)*ISNUMBER(INDEX(Inputs!$K$5:$AJ$230,0,MATCH(O$2,Inputs!$K$4:$AJ$4,0))))+SUMPRODUCT((Inputs!$E$5:$E$230=$B46)*ISNUMBER(INDEX(Inputs!$K$5:$AJ$230,0,MATCH(O$2,Inputs!$K$4:$AJ$4,0))))=0,NA(),SUMPRODUCT((Inputs!$A$5:$A$230=$B46)*Inputs!$B$5:$B$230*(((Inputs!$G$5:$G$230="moeda")+(Inputs!$G$5:$G$230="acoes"))*Inputs!$B$1+((Inputs!$G$5:$G$230&lt;&gt;"moeda")*(Inputs!$G$5:$G$230&lt;&gt;"acoes")))*INDEX(Inputs!$K$5:$AJ$230,0,MATCH(O$2,Inputs!$K$4:$AJ$4,0)))+SUMPRODUCT((Inputs!$C$5:$C$230=$B46)*Inputs!$D$5:$D$230*(((Inputs!$G$5:$G$230="moeda")+(Inputs!$G$5:$G$230="acoes"))*Inputs!$B$1+((Inputs!$G$5:$G$230&lt;&gt;"moeda")*(Inputs!$G$5:$G$230&lt;&gt;"acoes")))*INDEX(Inputs!$K$5:$AJ$230,0,MATCH(O$2,Inputs!$K$4:$AJ$4,0)))+SUMPRODUCT((Inputs!$E$5:$E$230=$B46)*Inputs!$F$5:$F$230*(((Inputs!$G$5:$G$230="moeda")+(Inputs!$G$5:$G$230="acoes"))*Inputs!$B$1+((Inputs!$G$5:$G$230&lt;&gt;"moeda")*(Inputs!$G$5:$G$230&lt;&gt;"acoes")))*INDEX(Inputs!$K$5:$AJ$230,0,MATCH(O$2,Inputs!$K$4:$AJ$4,0)))))</f>
        <v>3650.047</v>
      </c>
      <c r="P46" s="6">
        <f>IF(ISNA(MATCH(P$2,Inputs!$K$4:$AJ$4,0)),NA(),IF(SUMPRODUCT((Inputs!$A$5:$A$230=$B46)*ISNUMBER(INDEX(Inputs!$K$5:$AJ$230,0,MATCH(P$2,Inputs!$K$4:$AJ$4,0))))+SUMPRODUCT((Inputs!$C$5:$C$230=$B46)*ISNUMBER(INDEX(Inputs!$K$5:$AJ$230,0,MATCH(P$2,Inputs!$K$4:$AJ$4,0))))+SUMPRODUCT((Inputs!$E$5:$E$230=$B46)*ISNUMBER(INDEX(Inputs!$K$5:$AJ$230,0,MATCH(P$2,Inputs!$K$4:$AJ$4,0))))=0,NA(),SUMPRODUCT((Inputs!$A$5:$A$230=$B46)*Inputs!$B$5:$B$230*(((Inputs!$G$5:$G$230="moeda")+(Inputs!$G$5:$G$230="acoes"))*Inputs!$B$1+((Inputs!$G$5:$G$230&lt;&gt;"moeda")*(Inputs!$G$5:$G$230&lt;&gt;"acoes")))*INDEX(Inputs!$K$5:$AJ$230,0,MATCH(P$2,Inputs!$K$4:$AJ$4,0)))+SUMPRODUCT((Inputs!$C$5:$C$230=$B46)*Inputs!$D$5:$D$230*(((Inputs!$G$5:$G$230="moeda")+(Inputs!$G$5:$G$230="acoes"))*Inputs!$B$1+((Inputs!$G$5:$G$230&lt;&gt;"moeda")*(Inputs!$G$5:$G$230&lt;&gt;"acoes")))*INDEX(Inputs!$K$5:$AJ$230,0,MATCH(P$2,Inputs!$K$4:$AJ$4,0)))+SUMPRODUCT((Inputs!$E$5:$E$230=$B46)*Inputs!$F$5:$F$230*(((Inputs!$G$5:$G$230="moeda")+(Inputs!$G$5:$G$230="acoes"))*Inputs!$B$1+((Inputs!$G$5:$G$230&lt;&gt;"moeda")*(Inputs!$G$5:$G$230&lt;&gt;"acoes")))*INDEX(Inputs!$K$5:$AJ$230,0,MATCH(P$2,Inputs!$K$4:$AJ$4,0)))))</f>
        <v>3650.047</v>
      </c>
      <c r="Q46" s="6">
        <f>IF(ISNA(MATCH(Q$2,Inputs!$K$4:$AJ$4,0)),NA(),IF(SUMPRODUCT((Inputs!$A$5:$A$230=$B46)*ISNUMBER(INDEX(Inputs!$K$5:$AJ$230,0,MATCH(Q$2,Inputs!$K$4:$AJ$4,0))))+SUMPRODUCT((Inputs!$C$5:$C$230=$B46)*ISNUMBER(INDEX(Inputs!$K$5:$AJ$230,0,MATCH(Q$2,Inputs!$K$4:$AJ$4,0))))+SUMPRODUCT((Inputs!$E$5:$E$230=$B46)*ISNUMBER(INDEX(Inputs!$K$5:$AJ$230,0,MATCH(Q$2,Inputs!$K$4:$AJ$4,0))))=0,NA(),SUMPRODUCT((Inputs!$A$5:$A$230=$B46)*Inputs!$B$5:$B$230*(((Inputs!$G$5:$G$230="moeda")+(Inputs!$G$5:$G$230="acoes"))*Inputs!$B$1+((Inputs!$G$5:$G$230&lt;&gt;"moeda")*(Inputs!$G$5:$G$230&lt;&gt;"acoes")))*INDEX(Inputs!$K$5:$AJ$230,0,MATCH(Q$2,Inputs!$K$4:$AJ$4,0)))+SUMPRODUCT((Inputs!$C$5:$C$230=$B46)*Inputs!$D$5:$D$230*(((Inputs!$G$5:$G$230="moeda")+(Inputs!$G$5:$G$230="acoes"))*Inputs!$B$1+((Inputs!$G$5:$G$230&lt;&gt;"moeda")*(Inputs!$G$5:$G$230&lt;&gt;"acoes")))*INDEX(Inputs!$K$5:$AJ$230,0,MATCH(Q$2,Inputs!$K$4:$AJ$4,0)))+SUMPRODUCT((Inputs!$E$5:$E$230=$B46)*Inputs!$F$5:$F$230*(((Inputs!$G$5:$G$230="moeda")+(Inputs!$G$5:$G$230="acoes"))*Inputs!$B$1+((Inputs!$G$5:$G$230&lt;&gt;"moeda")*(Inputs!$G$5:$G$230&lt;&gt;"acoes")))*INDEX(Inputs!$K$5:$AJ$230,0,MATCH(Q$2,Inputs!$K$4:$AJ$4,0)))))</f>
        <v>3996.686</v>
      </c>
      <c r="R46" s="3">
        <f>Q46</f>
        <v>3996.686</v>
      </c>
      <c r="S46" s="6">
        <f>IF(ISNA(MATCH(S$2,Inputs!$K$4:$AJ$4,0)),NA(),IF(SUMPRODUCT((Inputs!$A$5:$A$230=$B46)*ISNUMBER(INDEX(Inputs!$K$5:$AJ$230,0,MATCH(S$2,Inputs!$K$4:$AJ$4,0))))+SUMPRODUCT((Inputs!$C$5:$C$230=$B46)*ISNUMBER(INDEX(Inputs!$K$5:$AJ$230,0,MATCH(S$2,Inputs!$K$4:$AJ$4,0))))+SUMPRODUCT((Inputs!$E$5:$E$230=$B46)*ISNUMBER(INDEX(Inputs!$K$5:$AJ$230,0,MATCH(S$2,Inputs!$K$4:$AJ$4,0))))=0,NA(),SUMPRODUCT((Inputs!$A$5:$A$230=$B46)*Inputs!$B$5:$B$230*(((Inputs!$G$5:$G$230="moeda")+(Inputs!$G$5:$G$230="acoes"))*Inputs!$B$1+((Inputs!$G$5:$G$230&lt;&gt;"moeda")*(Inputs!$G$5:$G$230&lt;&gt;"acoes")))*INDEX(Inputs!$K$5:$AJ$230,0,MATCH(S$2,Inputs!$K$4:$AJ$4,0)))+SUMPRODUCT((Inputs!$C$5:$C$230=$B46)*Inputs!$D$5:$D$230*(((Inputs!$G$5:$G$230="moeda")+(Inputs!$G$5:$G$230="acoes"))*Inputs!$B$1+((Inputs!$G$5:$G$230&lt;&gt;"moeda")*(Inputs!$G$5:$G$230&lt;&gt;"acoes")))*INDEX(Inputs!$K$5:$AJ$230,0,MATCH(S$2,Inputs!$K$4:$AJ$4,0)))+SUMPRODUCT((Inputs!$E$5:$E$230=$B46)*Inputs!$F$5:$F$230*(((Inputs!$G$5:$G$230="moeda")+(Inputs!$G$5:$G$230="acoes"))*Inputs!$B$1+((Inputs!$G$5:$G$230&lt;&gt;"moeda")*(Inputs!$G$5:$G$230&lt;&gt;"acoes")))*INDEX(Inputs!$K$5:$AJ$230,0,MATCH(S$2,Inputs!$K$4:$AJ$4,0)))))</f>
        <v>3996.686</v>
      </c>
      <c r="T46" s="6">
        <f>IF(ISNA(MATCH(T$2,Inputs!$K$4:$AJ$4,0)),NA(),IF(SUMPRODUCT((Inputs!$A$5:$A$230=$B46)*ISNUMBER(INDEX(Inputs!$K$5:$AJ$230,0,MATCH(T$2,Inputs!$K$4:$AJ$4,0))))+SUMPRODUCT((Inputs!$C$5:$C$230=$B46)*ISNUMBER(INDEX(Inputs!$K$5:$AJ$230,0,MATCH(T$2,Inputs!$K$4:$AJ$4,0))))+SUMPRODUCT((Inputs!$E$5:$E$230=$B46)*ISNUMBER(INDEX(Inputs!$K$5:$AJ$230,0,MATCH(T$2,Inputs!$K$4:$AJ$4,0))))=0,NA(),SUMPRODUCT((Inputs!$A$5:$A$230=$B46)*Inputs!$B$5:$B$230*(((Inputs!$G$5:$G$230="moeda")+(Inputs!$G$5:$G$230="acoes"))*Inputs!$B$1+((Inputs!$G$5:$G$230&lt;&gt;"moeda")*(Inputs!$G$5:$G$230&lt;&gt;"acoes")))*INDEX(Inputs!$K$5:$AJ$230,0,MATCH(T$2,Inputs!$K$4:$AJ$4,0)))+SUMPRODUCT((Inputs!$C$5:$C$230=$B46)*Inputs!$D$5:$D$230*(((Inputs!$G$5:$G$230="moeda")+(Inputs!$G$5:$G$230="acoes"))*Inputs!$B$1+((Inputs!$G$5:$G$230&lt;&gt;"moeda")*(Inputs!$G$5:$G$230&lt;&gt;"acoes")))*INDEX(Inputs!$K$5:$AJ$230,0,MATCH(T$2,Inputs!$K$4:$AJ$4,0)))+SUMPRODUCT((Inputs!$E$5:$E$230=$B46)*Inputs!$F$5:$F$230*(((Inputs!$G$5:$G$230="moeda")+(Inputs!$G$5:$G$230="acoes"))*Inputs!$B$1+((Inputs!$G$5:$G$230&lt;&gt;"moeda")*(Inputs!$G$5:$G$230&lt;&gt;"acoes")))*INDEX(Inputs!$K$5:$AJ$230,0,MATCH(T$2,Inputs!$K$4:$AJ$4,0)))))</f>
        <v>3633.902</v>
      </c>
      <c r="U46" s="6">
        <f>IF(ISNA(MATCH(U$2,Inputs!$K$4:$AJ$4,0)),NA(),IF(SUMPRODUCT((Inputs!$A$5:$A$230=$B46)*ISNUMBER(INDEX(Inputs!$K$5:$AJ$230,0,MATCH(U$2,Inputs!$K$4:$AJ$4,0))))+SUMPRODUCT((Inputs!$C$5:$C$230=$B46)*ISNUMBER(INDEX(Inputs!$K$5:$AJ$230,0,MATCH(U$2,Inputs!$K$4:$AJ$4,0))))+SUMPRODUCT((Inputs!$E$5:$E$230=$B46)*ISNUMBER(INDEX(Inputs!$K$5:$AJ$230,0,MATCH(U$2,Inputs!$K$4:$AJ$4,0))))=0,NA(),SUMPRODUCT((Inputs!$A$5:$A$230=$B46)*Inputs!$B$5:$B$230*(((Inputs!$G$5:$G$230="moeda")+(Inputs!$G$5:$G$230="acoes"))*Inputs!$B$1+((Inputs!$G$5:$G$230&lt;&gt;"moeda")*(Inputs!$G$5:$G$230&lt;&gt;"acoes")))*INDEX(Inputs!$K$5:$AJ$230,0,MATCH(U$2,Inputs!$K$4:$AJ$4,0)))+SUMPRODUCT((Inputs!$C$5:$C$230=$B46)*Inputs!$D$5:$D$230*(((Inputs!$G$5:$G$230="moeda")+(Inputs!$G$5:$G$230="acoes"))*Inputs!$B$1+((Inputs!$G$5:$G$230&lt;&gt;"moeda")*(Inputs!$G$5:$G$230&lt;&gt;"acoes")))*INDEX(Inputs!$K$5:$AJ$230,0,MATCH(U$2,Inputs!$K$4:$AJ$4,0)))+SUMPRODUCT((Inputs!$E$5:$E$230=$B46)*Inputs!$F$5:$F$230*(((Inputs!$G$5:$G$230="moeda")+(Inputs!$G$5:$G$230="acoes"))*Inputs!$B$1+((Inputs!$G$5:$G$230&lt;&gt;"moeda")*(Inputs!$G$5:$G$230&lt;&gt;"acoes")))*INDEX(Inputs!$K$5:$AJ$230,0,MATCH(U$2,Inputs!$K$4:$AJ$4,0)))))</f>
        <v>3633.902</v>
      </c>
      <c r="V46" s="6">
        <f>IF(ISNA(MATCH(V$2,Inputs!$K$4:$AJ$4,0)),NA(),IF(SUMPRODUCT((Inputs!$A$5:$A$230=$B46)*ISNUMBER(INDEX(Inputs!$K$5:$AJ$230,0,MATCH(V$2,Inputs!$K$4:$AJ$4,0))))+SUMPRODUCT((Inputs!$C$5:$C$230=$B46)*ISNUMBER(INDEX(Inputs!$K$5:$AJ$230,0,MATCH(V$2,Inputs!$K$4:$AJ$4,0))))+SUMPRODUCT((Inputs!$E$5:$E$230=$B46)*ISNUMBER(INDEX(Inputs!$K$5:$AJ$230,0,MATCH(V$2,Inputs!$K$4:$AJ$4,0))))=0,NA(),SUMPRODUCT((Inputs!$A$5:$A$230=$B46)*Inputs!$B$5:$B$230*(((Inputs!$G$5:$G$230="moeda")+(Inputs!$G$5:$G$230="acoes"))*Inputs!$B$1+((Inputs!$G$5:$G$230&lt;&gt;"moeda")*(Inputs!$G$5:$G$230&lt;&gt;"acoes")))*INDEX(Inputs!$K$5:$AJ$230,0,MATCH(V$2,Inputs!$K$4:$AJ$4,0)))+SUMPRODUCT((Inputs!$C$5:$C$230=$B46)*Inputs!$D$5:$D$230*(((Inputs!$G$5:$G$230="moeda")+(Inputs!$G$5:$G$230="acoes"))*Inputs!$B$1+((Inputs!$G$5:$G$230&lt;&gt;"moeda")*(Inputs!$G$5:$G$230&lt;&gt;"acoes")))*INDEX(Inputs!$K$5:$AJ$230,0,MATCH(V$2,Inputs!$K$4:$AJ$4,0)))+SUMPRODUCT((Inputs!$E$5:$E$230=$B46)*Inputs!$F$5:$F$230*(((Inputs!$G$5:$G$230="moeda")+(Inputs!$G$5:$G$230="acoes"))*Inputs!$B$1+((Inputs!$G$5:$G$230&lt;&gt;"moeda")*(Inputs!$G$5:$G$230&lt;&gt;"acoes")))*INDEX(Inputs!$K$5:$AJ$230,0,MATCH(V$2,Inputs!$K$4:$AJ$4,0)))))</f>
        <v>4460.056</v>
      </c>
      <c r="W46" s="3">
        <f>V46</f>
        <v>4460.056</v>
      </c>
      <c r="X46" s="6">
        <f>IF(ISNA(MATCH(X$2,Inputs!$K$4:$AJ$4,0)),NA(),IF(SUMPRODUCT((Inputs!$A$5:$A$230=$B46)*ISNUMBER(INDEX(Inputs!$K$5:$AJ$230,0,MATCH(X$2,Inputs!$K$4:$AJ$4,0))))+SUMPRODUCT((Inputs!$C$5:$C$230=$B46)*ISNUMBER(INDEX(Inputs!$K$5:$AJ$230,0,MATCH(X$2,Inputs!$K$4:$AJ$4,0))))+SUMPRODUCT((Inputs!$E$5:$E$230=$B46)*ISNUMBER(INDEX(Inputs!$K$5:$AJ$230,0,MATCH(X$2,Inputs!$K$4:$AJ$4,0))))=0,NA(),SUMPRODUCT((Inputs!$A$5:$A$230=$B46)*Inputs!$B$5:$B$230*(((Inputs!$G$5:$G$230="moeda")+(Inputs!$G$5:$G$230="acoes"))*Inputs!$B$1+((Inputs!$G$5:$G$230&lt;&gt;"moeda")*(Inputs!$G$5:$G$230&lt;&gt;"acoes")))*INDEX(Inputs!$K$5:$AJ$230,0,MATCH(X$2,Inputs!$K$4:$AJ$4,0)))+SUMPRODUCT((Inputs!$C$5:$C$230=$B46)*Inputs!$D$5:$D$230*(((Inputs!$G$5:$G$230="moeda")+(Inputs!$G$5:$G$230="acoes"))*Inputs!$B$1+((Inputs!$G$5:$G$230&lt;&gt;"moeda")*(Inputs!$G$5:$G$230&lt;&gt;"acoes")))*INDEX(Inputs!$K$5:$AJ$230,0,MATCH(X$2,Inputs!$K$4:$AJ$4,0)))+SUMPRODUCT((Inputs!$E$5:$E$230=$B46)*Inputs!$F$5:$F$230*(((Inputs!$G$5:$G$230="moeda")+(Inputs!$G$5:$G$230="acoes"))*Inputs!$B$1+((Inputs!$G$5:$G$230&lt;&gt;"moeda")*(Inputs!$G$5:$G$230&lt;&gt;"acoes")))*INDEX(Inputs!$K$5:$AJ$230,0,MATCH(X$2,Inputs!$K$4:$AJ$4,0)))))</f>
        <v>4460.056</v>
      </c>
      <c r="Y46" s="6">
        <f>IF(ISNA(MATCH(Y$2,Inputs!$K$4:$AJ$4,0)),NA(),IF(SUMPRODUCT((Inputs!$A$5:$A$230=$B46)*ISNUMBER(INDEX(Inputs!$K$5:$AJ$230,0,MATCH(Y$2,Inputs!$K$4:$AJ$4,0))))+SUMPRODUCT((Inputs!$C$5:$C$230=$B46)*ISNUMBER(INDEX(Inputs!$K$5:$AJ$230,0,MATCH(Y$2,Inputs!$K$4:$AJ$4,0))))+SUMPRODUCT((Inputs!$E$5:$E$230=$B46)*ISNUMBER(INDEX(Inputs!$K$5:$AJ$230,0,MATCH(Y$2,Inputs!$K$4:$AJ$4,0))))=0,NA(),SUMPRODUCT((Inputs!$A$5:$A$230=$B46)*Inputs!$B$5:$B$230*(((Inputs!$G$5:$G$230="moeda")+(Inputs!$G$5:$G$230="acoes"))*Inputs!$B$1+((Inputs!$G$5:$G$230&lt;&gt;"moeda")*(Inputs!$G$5:$G$230&lt;&gt;"acoes")))*INDEX(Inputs!$K$5:$AJ$230,0,MATCH(Y$2,Inputs!$K$4:$AJ$4,0)))+SUMPRODUCT((Inputs!$C$5:$C$230=$B46)*Inputs!$D$5:$D$230*(((Inputs!$G$5:$G$230="moeda")+(Inputs!$G$5:$G$230="acoes"))*Inputs!$B$1+((Inputs!$G$5:$G$230&lt;&gt;"moeda")*(Inputs!$G$5:$G$230&lt;&gt;"acoes")))*INDEX(Inputs!$K$5:$AJ$230,0,MATCH(Y$2,Inputs!$K$4:$AJ$4,0)))+SUMPRODUCT((Inputs!$E$5:$E$230=$B46)*Inputs!$F$5:$F$230*(((Inputs!$G$5:$G$230="moeda")+(Inputs!$G$5:$G$230="acoes"))*Inputs!$B$1+((Inputs!$G$5:$G$230&lt;&gt;"moeda")*(Inputs!$G$5:$G$230&lt;&gt;"acoes")))*INDEX(Inputs!$K$5:$AJ$230,0,MATCH(Y$2,Inputs!$K$4:$AJ$4,0)))))</f>
        <v>4094.715</v>
      </c>
      <c r="Z46" s="6">
        <f>IF(ISNA(MATCH(Z$2,Inputs!$K$4:$AJ$4,0)),NA(),IF(SUMPRODUCT((Inputs!$A$5:$A$230=$B46)*ISNUMBER(INDEX(Inputs!$K$5:$AJ$230,0,MATCH(Z$2,Inputs!$K$4:$AJ$4,0))))+SUMPRODUCT((Inputs!$C$5:$C$230=$B46)*ISNUMBER(INDEX(Inputs!$K$5:$AJ$230,0,MATCH(Z$2,Inputs!$K$4:$AJ$4,0))))+SUMPRODUCT((Inputs!$E$5:$E$230=$B46)*ISNUMBER(INDEX(Inputs!$K$5:$AJ$230,0,MATCH(Z$2,Inputs!$K$4:$AJ$4,0))))=0,NA(),SUMPRODUCT((Inputs!$A$5:$A$230=$B46)*Inputs!$B$5:$B$230*(((Inputs!$G$5:$G$230="moeda")+(Inputs!$G$5:$G$230="acoes"))*Inputs!$B$1+((Inputs!$G$5:$G$230&lt;&gt;"moeda")*(Inputs!$G$5:$G$230&lt;&gt;"acoes")))*INDEX(Inputs!$K$5:$AJ$230,0,MATCH(Z$2,Inputs!$K$4:$AJ$4,0)))+SUMPRODUCT((Inputs!$C$5:$C$230=$B46)*Inputs!$D$5:$D$230*(((Inputs!$G$5:$G$230="moeda")+(Inputs!$G$5:$G$230="acoes"))*Inputs!$B$1+((Inputs!$G$5:$G$230&lt;&gt;"moeda")*(Inputs!$G$5:$G$230&lt;&gt;"acoes")))*INDEX(Inputs!$K$5:$AJ$230,0,MATCH(Z$2,Inputs!$K$4:$AJ$4,0)))+SUMPRODUCT((Inputs!$E$5:$E$230=$B46)*Inputs!$F$5:$F$230*(((Inputs!$G$5:$G$230="moeda")+(Inputs!$G$5:$G$230="acoes"))*Inputs!$B$1+((Inputs!$G$5:$G$230&lt;&gt;"moeda")*(Inputs!$G$5:$G$230&lt;&gt;"acoes")))*INDEX(Inputs!$K$5:$AJ$230,0,MATCH(Z$2,Inputs!$K$4:$AJ$4,0)))))</f>
        <v>4094.715</v>
      </c>
      <c r="AA46" s="6">
        <f>IF(ISNA(MATCH(AA$2,Inputs!$K$4:$AJ$4,0)),NA(),IF(SUMPRODUCT((Inputs!$A$5:$A$230=$B46)*ISNUMBER(INDEX(Inputs!$K$5:$AJ$230,0,MATCH(AA$2,Inputs!$K$4:$AJ$4,0))))+SUMPRODUCT((Inputs!$C$5:$C$230=$B46)*ISNUMBER(INDEX(Inputs!$K$5:$AJ$230,0,MATCH(AA$2,Inputs!$K$4:$AJ$4,0))))+SUMPRODUCT((Inputs!$E$5:$E$230=$B46)*ISNUMBER(INDEX(Inputs!$K$5:$AJ$230,0,MATCH(AA$2,Inputs!$K$4:$AJ$4,0))))=0,NA(),SUMPRODUCT((Inputs!$A$5:$A$230=$B46)*Inputs!$B$5:$B$230*(((Inputs!$G$5:$G$230="moeda")+(Inputs!$G$5:$G$230="acoes"))*Inputs!$B$1+((Inputs!$G$5:$G$230&lt;&gt;"moeda")*(Inputs!$G$5:$G$230&lt;&gt;"acoes")))*INDEX(Inputs!$K$5:$AJ$230,0,MATCH(AA$2,Inputs!$K$4:$AJ$4,0)))+SUMPRODUCT((Inputs!$C$5:$C$230=$B46)*Inputs!$D$5:$D$230*(((Inputs!$G$5:$G$230="moeda")+(Inputs!$G$5:$G$230="acoes"))*Inputs!$B$1+((Inputs!$G$5:$G$230&lt;&gt;"moeda")*(Inputs!$G$5:$G$230&lt;&gt;"acoes")))*INDEX(Inputs!$K$5:$AJ$230,0,MATCH(AA$2,Inputs!$K$4:$AJ$4,0)))+SUMPRODUCT((Inputs!$E$5:$E$230=$B46)*Inputs!$F$5:$F$230*(((Inputs!$G$5:$G$230="moeda")+(Inputs!$G$5:$G$230="acoes"))*Inputs!$B$1+((Inputs!$G$5:$G$230&lt;&gt;"moeda")*(Inputs!$G$5:$G$230&lt;&gt;"acoes")))*INDEX(Inputs!$K$5:$AJ$230,0,MATCH(AA$2,Inputs!$K$4:$AJ$4,0)))))</f>
        <v>4964.166</v>
      </c>
      <c r="AB46" s="3">
        <f>AA46</f>
        <v>4964.166</v>
      </c>
      <c r="AC46" s="6">
        <f>IF(ISNA(MATCH(AC$2,Inputs!$K$4:$AJ$4,0)),NA(),IF(SUMPRODUCT((Inputs!$A$5:$A$230=$B46)*ISNUMBER(INDEX(Inputs!$K$5:$AJ$230,0,MATCH(AC$2,Inputs!$K$4:$AJ$4,0))))+SUMPRODUCT((Inputs!$C$5:$C$230=$B46)*ISNUMBER(INDEX(Inputs!$K$5:$AJ$230,0,MATCH(AC$2,Inputs!$K$4:$AJ$4,0))))+SUMPRODUCT((Inputs!$E$5:$E$230=$B46)*ISNUMBER(INDEX(Inputs!$K$5:$AJ$230,0,MATCH(AC$2,Inputs!$K$4:$AJ$4,0))))=0,NA(),SUMPRODUCT((Inputs!$A$5:$A$230=$B46)*Inputs!$B$5:$B$230*(((Inputs!$G$5:$G$230="moeda")+(Inputs!$G$5:$G$230="acoes"))*Inputs!$B$1+((Inputs!$G$5:$G$230&lt;&gt;"moeda")*(Inputs!$G$5:$G$230&lt;&gt;"acoes")))*INDEX(Inputs!$K$5:$AJ$230,0,MATCH(AC$2,Inputs!$K$4:$AJ$4,0)))+SUMPRODUCT((Inputs!$C$5:$C$230=$B46)*Inputs!$D$5:$D$230*(((Inputs!$G$5:$G$230="moeda")+(Inputs!$G$5:$G$230="acoes"))*Inputs!$B$1+((Inputs!$G$5:$G$230&lt;&gt;"moeda")*(Inputs!$G$5:$G$230&lt;&gt;"acoes")))*INDEX(Inputs!$K$5:$AJ$230,0,MATCH(AC$2,Inputs!$K$4:$AJ$4,0)))+SUMPRODUCT((Inputs!$E$5:$E$230=$B46)*Inputs!$F$5:$F$230*(((Inputs!$G$5:$G$230="moeda")+(Inputs!$G$5:$G$230="acoes"))*Inputs!$B$1+((Inputs!$G$5:$G$230&lt;&gt;"moeda")*(Inputs!$G$5:$G$230&lt;&gt;"acoes")))*INDEX(Inputs!$K$5:$AJ$230,0,MATCH(AC$2,Inputs!$K$4:$AJ$4,0)))))</f>
        <v>4964.166</v>
      </c>
      <c r="AD46" s="6">
        <f>IF(ISNA(MATCH(AD$2,Inputs!$K$4:$AJ$4,0)),NA(),IF(SUMPRODUCT((Inputs!$A$5:$A$230=$B46)*ISNUMBER(INDEX(Inputs!$K$5:$AJ$230,0,MATCH(AD$2,Inputs!$K$4:$AJ$4,0))))+SUMPRODUCT((Inputs!$C$5:$C$230=$B46)*ISNUMBER(INDEX(Inputs!$K$5:$AJ$230,0,MATCH(AD$2,Inputs!$K$4:$AJ$4,0))))+SUMPRODUCT((Inputs!$E$5:$E$230=$B46)*ISNUMBER(INDEX(Inputs!$K$5:$AJ$230,0,MATCH(AD$2,Inputs!$K$4:$AJ$4,0))))=0,NA(),SUMPRODUCT((Inputs!$A$5:$A$230=$B46)*Inputs!$B$5:$B$230*(((Inputs!$G$5:$G$230="moeda")+(Inputs!$G$5:$G$230="acoes"))*Inputs!$B$1+((Inputs!$G$5:$G$230&lt;&gt;"moeda")*(Inputs!$G$5:$G$230&lt;&gt;"acoes")))*INDEX(Inputs!$K$5:$AJ$230,0,MATCH(AD$2,Inputs!$K$4:$AJ$4,0)))+SUMPRODUCT((Inputs!$C$5:$C$230=$B46)*Inputs!$D$5:$D$230*(((Inputs!$G$5:$G$230="moeda")+(Inputs!$G$5:$G$230="acoes"))*Inputs!$B$1+((Inputs!$G$5:$G$230&lt;&gt;"moeda")*(Inputs!$G$5:$G$230&lt;&gt;"acoes")))*INDEX(Inputs!$K$5:$AJ$230,0,MATCH(AD$2,Inputs!$K$4:$AJ$4,0)))+SUMPRODUCT((Inputs!$E$5:$E$230=$B46)*Inputs!$F$5:$F$230*(((Inputs!$G$5:$G$230="moeda")+(Inputs!$G$5:$G$230="acoes"))*Inputs!$B$1+((Inputs!$G$5:$G$230&lt;&gt;"moeda")*(Inputs!$G$5:$G$230&lt;&gt;"acoes")))*INDEX(Inputs!$K$5:$AJ$230,0,MATCH(AD$2,Inputs!$K$4:$AJ$4,0)))))</f>
        <v>4954.277</v>
      </c>
      <c r="AE46" s="6" t="e">
        <f>IF(ISNA(MATCH(AE$2,Inputs!$K$4:$AJ$4,0)),NA(),IF(SUMPRODUCT((Inputs!$A$5:$A$230=$B46)*ISNUMBER(INDEX(Inputs!$K$5:$AJ$230,0,MATCH(AE$2,Inputs!$K$4:$AJ$4,0))))+SUMPRODUCT((Inputs!$C$5:$C$230=$B46)*ISNUMBER(INDEX(Inputs!$K$5:$AJ$230,0,MATCH(AE$2,Inputs!$K$4:$AJ$4,0))))+SUMPRODUCT((Inputs!$E$5:$E$230=$B46)*ISNUMBER(INDEX(Inputs!$K$5:$AJ$230,0,MATCH(AE$2,Inputs!$K$4:$AJ$4,0))))=0,NA(),SUMPRODUCT((Inputs!$A$5:$A$230=$B46)*Inputs!$B$5:$B$230*(((Inputs!$G$5:$G$230="moeda")+(Inputs!$G$5:$G$230="acoes"))*Inputs!$B$1+((Inputs!$G$5:$G$230&lt;&gt;"moeda")*(Inputs!$G$5:$G$230&lt;&gt;"acoes")))*INDEX(Inputs!$K$5:$AJ$230,0,MATCH(AE$2,Inputs!$K$4:$AJ$4,0)))+SUMPRODUCT((Inputs!$C$5:$C$230=$B46)*Inputs!$D$5:$D$230*(((Inputs!$G$5:$G$230="moeda")+(Inputs!$G$5:$G$230="acoes"))*Inputs!$B$1+((Inputs!$G$5:$G$230&lt;&gt;"moeda")*(Inputs!$G$5:$G$230&lt;&gt;"acoes")))*INDEX(Inputs!$K$5:$AJ$230,0,MATCH(AE$2,Inputs!$K$4:$AJ$4,0)))+SUMPRODUCT((Inputs!$E$5:$E$230=$B46)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46" s="6" t="e">
        <f>IF(ISNA(MATCH(AF$2,Inputs!$K$4:$AJ$4,0)),NA(),IF(SUMPRODUCT((Inputs!$A$5:$A$230=$B46)*ISNUMBER(INDEX(Inputs!$K$5:$AJ$230,0,MATCH(AF$2,Inputs!$K$4:$AJ$4,0))))+SUMPRODUCT((Inputs!$C$5:$C$230=$B46)*ISNUMBER(INDEX(Inputs!$K$5:$AJ$230,0,MATCH(AF$2,Inputs!$K$4:$AJ$4,0))))+SUMPRODUCT((Inputs!$E$5:$E$230=$B46)*ISNUMBER(INDEX(Inputs!$K$5:$AJ$230,0,MATCH(AF$2,Inputs!$K$4:$AJ$4,0))))=0,NA(),SUMPRODUCT((Inputs!$A$5:$A$230=$B46)*Inputs!$B$5:$B$230*(((Inputs!$G$5:$G$230="moeda")+(Inputs!$G$5:$G$230="acoes"))*Inputs!$B$1+((Inputs!$G$5:$G$230&lt;&gt;"moeda")*(Inputs!$G$5:$G$230&lt;&gt;"acoes")))*INDEX(Inputs!$K$5:$AJ$230,0,MATCH(AF$2,Inputs!$K$4:$AJ$4,0)))+SUMPRODUCT((Inputs!$C$5:$C$230=$B46)*Inputs!$D$5:$D$230*(((Inputs!$G$5:$G$230="moeda")+(Inputs!$G$5:$G$230="acoes"))*Inputs!$B$1+((Inputs!$G$5:$G$230&lt;&gt;"moeda")*(Inputs!$G$5:$G$230&lt;&gt;"acoes")))*INDEX(Inputs!$K$5:$AJ$230,0,MATCH(AF$2,Inputs!$K$4:$AJ$4,0)))+SUMPRODUCT((Inputs!$E$5:$E$230=$B46)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46" s="3" t="e">
        <f>AF46</f>
        <v>#N/A</v>
      </c>
      <c r="AH46" s="6">
        <f>IF(ISNA(MATCH(AH$2,Inputs!$K$4:$AJ$4,0)),NA(),IF(SUMPRODUCT((Inputs!$A$5:$A$230=$B46)*ISNUMBER(INDEX(Inputs!$K$5:$AJ$230,0,MATCH(AH$2,Inputs!$K$4:$AJ$4,0))))+SUMPRODUCT((Inputs!$C$5:$C$230=$B46)*ISNUMBER(INDEX(Inputs!$K$5:$AJ$230,0,MATCH(AH$2,Inputs!$K$4:$AJ$4,0))))+SUMPRODUCT((Inputs!$E$5:$E$230=$B46)*ISNUMBER(INDEX(Inputs!$K$5:$AJ$230,0,MATCH(AH$2,Inputs!$K$4:$AJ$4,0))))=0,NA(),SUMPRODUCT((Inputs!$A$5:$A$230=$B46)*Inputs!$B$5:$B$230*(((Inputs!$G$5:$G$230="moeda")+(Inputs!$G$5:$G$230="acoes"))*Inputs!$B$1+((Inputs!$G$5:$G$230&lt;&gt;"moeda")*(Inputs!$G$5:$G$230&lt;&gt;"acoes")))*INDEX(Inputs!$K$5:$AJ$230,0,MATCH(AH$2,Inputs!$K$4:$AJ$4,0)))+SUMPRODUCT((Inputs!$C$5:$C$230=$B46)*Inputs!$D$5:$D$230*(((Inputs!$G$5:$G$230="moeda")+(Inputs!$G$5:$G$230="acoes"))*Inputs!$B$1+((Inputs!$G$5:$G$230&lt;&gt;"moeda")*(Inputs!$G$5:$G$230&lt;&gt;"acoes")))*INDEX(Inputs!$K$5:$AJ$230,0,MATCH(AH$2,Inputs!$K$4:$AJ$4,0)))+SUMPRODUCT((Inputs!$E$5:$E$230=$B46)*Inputs!$F$5:$F$230*(((Inputs!$G$5:$G$230="moeda")+(Inputs!$G$5:$G$230="acoes"))*Inputs!$B$1+((Inputs!$G$5:$G$230&lt;&gt;"moeda")*(Inputs!$G$5:$G$230&lt;&gt;"acoes")))*INDEX(Inputs!$K$5:$AJ$230,0,MATCH(AH$2,Inputs!$K$4:$AJ$4,0)))))</f>
        <v>2031.442</v>
      </c>
      <c r="AI46" s="6">
        <f>IF(ISNA(MATCH(AI$2,Inputs!$K$4:$AJ$4,0)),NA(),IF(SUMPRODUCT((Inputs!$A$5:$A$230=$B46)*ISNUMBER(INDEX(Inputs!$K$5:$AJ$230,0,MATCH(AI$2,Inputs!$K$4:$AJ$4,0))))+SUMPRODUCT((Inputs!$C$5:$C$230=$B46)*ISNUMBER(INDEX(Inputs!$K$5:$AJ$230,0,MATCH(AI$2,Inputs!$K$4:$AJ$4,0))))+SUMPRODUCT((Inputs!$E$5:$E$230=$B46)*ISNUMBER(INDEX(Inputs!$K$5:$AJ$230,0,MATCH(AI$2,Inputs!$K$4:$AJ$4,0))))=0,NA(),SUMPRODUCT((Inputs!$A$5:$A$230=$B46)*Inputs!$B$5:$B$230*(((Inputs!$G$5:$G$230="moeda")+(Inputs!$G$5:$G$230="acoes"))*Inputs!$B$1+((Inputs!$G$5:$G$230&lt;&gt;"moeda")*(Inputs!$G$5:$G$230&lt;&gt;"acoes")))*INDEX(Inputs!$K$5:$AJ$230,0,MATCH(AI$2,Inputs!$K$4:$AJ$4,0)))+SUMPRODUCT((Inputs!$C$5:$C$230=$B46)*Inputs!$D$5:$D$230*(((Inputs!$G$5:$G$230="moeda")+(Inputs!$G$5:$G$230="acoes"))*Inputs!$B$1+((Inputs!$G$5:$G$230&lt;&gt;"moeda")*(Inputs!$G$5:$G$230&lt;&gt;"acoes")))*INDEX(Inputs!$K$5:$AJ$230,0,MATCH(AI$2,Inputs!$K$4:$AJ$4,0)))+SUMPRODUCT((Inputs!$E$5:$E$230=$B46)*Inputs!$F$5:$F$230*(((Inputs!$G$5:$G$230="moeda")+(Inputs!$G$5:$G$230="acoes"))*Inputs!$B$1+((Inputs!$G$5:$G$230&lt;&gt;"moeda")*(Inputs!$G$5:$G$230&lt;&gt;"acoes")))*INDEX(Inputs!$K$5:$AJ$230,0,MATCH(AI$2,Inputs!$K$4:$AJ$4,0)))))</f>
        <v>2031.442</v>
      </c>
      <c r="AJ46" s="6">
        <f>IF(ISNA(MATCH(AJ$2,Inputs!$K$4:$AJ$4,0)),NA(),IF(SUMPRODUCT((Inputs!$A$5:$A$230=$B46)*ISNUMBER(INDEX(Inputs!$K$5:$AJ$230,0,MATCH(AJ$2,Inputs!$K$4:$AJ$4,0))))+SUMPRODUCT((Inputs!$C$5:$C$230=$B46)*ISNUMBER(INDEX(Inputs!$K$5:$AJ$230,0,MATCH(AJ$2,Inputs!$K$4:$AJ$4,0))))+SUMPRODUCT((Inputs!$E$5:$E$230=$B46)*ISNUMBER(INDEX(Inputs!$K$5:$AJ$230,0,MATCH(AJ$2,Inputs!$K$4:$AJ$4,0))))=0,NA(),SUMPRODUCT((Inputs!$A$5:$A$230=$B46)*Inputs!$B$5:$B$230*(((Inputs!$G$5:$G$230="moeda")+(Inputs!$G$5:$G$230="acoes"))*Inputs!$B$1+((Inputs!$G$5:$G$230&lt;&gt;"moeda")*(Inputs!$G$5:$G$230&lt;&gt;"acoes")))*INDEX(Inputs!$K$5:$AJ$230,0,MATCH(AJ$2,Inputs!$K$4:$AJ$4,0)))+SUMPRODUCT((Inputs!$C$5:$C$230=$B46)*Inputs!$D$5:$D$230*(((Inputs!$G$5:$G$230="moeda")+(Inputs!$G$5:$G$230="acoes"))*Inputs!$B$1+((Inputs!$G$5:$G$230&lt;&gt;"moeda")*(Inputs!$G$5:$G$230&lt;&gt;"acoes")))*INDEX(Inputs!$K$5:$AJ$230,0,MATCH(AJ$2,Inputs!$K$4:$AJ$4,0)))+SUMPRODUCT((Inputs!$E$5:$E$230=$B46)*Inputs!$F$5:$F$230*(((Inputs!$G$5:$G$230="moeda")+(Inputs!$G$5:$G$230="acoes"))*Inputs!$B$1+((Inputs!$G$5:$G$230&lt;&gt;"moeda")*(Inputs!$G$5:$G$230&lt;&gt;"acoes")))*INDEX(Inputs!$K$5:$AJ$230,0,MATCH(AJ$2,Inputs!$K$4:$AJ$4,0)))))</f>
        <v>2031.442</v>
      </c>
      <c r="AK46" s="6">
        <f>IF(ISNA(MATCH(AK$2,Inputs!$K$4:$AJ$4,0)),NA(),IF(SUMPRODUCT((Inputs!$A$5:$A$230=$B46)*ISNUMBER(INDEX(Inputs!$K$5:$AJ$230,0,MATCH(AK$2,Inputs!$K$4:$AJ$4,0))))+SUMPRODUCT((Inputs!$C$5:$C$230=$B46)*ISNUMBER(INDEX(Inputs!$K$5:$AJ$230,0,MATCH(AK$2,Inputs!$K$4:$AJ$4,0))))+SUMPRODUCT((Inputs!$E$5:$E$230=$B46)*ISNUMBER(INDEX(Inputs!$K$5:$AJ$230,0,MATCH(AK$2,Inputs!$K$4:$AJ$4,0))))=0,NA(),SUMPRODUCT((Inputs!$A$5:$A$230=$B46)*Inputs!$B$5:$B$230*(((Inputs!$G$5:$G$230="moeda")+(Inputs!$G$5:$G$230="acoes"))*Inputs!$B$1+((Inputs!$G$5:$G$230&lt;&gt;"moeda")*(Inputs!$G$5:$G$230&lt;&gt;"acoes")))*INDEX(Inputs!$K$5:$AJ$230,0,MATCH(AK$2,Inputs!$K$4:$AJ$4,0)))+SUMPRODUCT((Inputs!$C$5:$C$230=$B46)*Inputs!$D$5:$D$230*(((Inputs!$G$5:$G$230="moeda")+(Inputs!$G$5:$G$230="acoes"))*Inputs!$B$1+((Inputs!$G$5:$G$230&lt;&gt;"moeda")*(Inputs!$G$5:$G$230&lt;&gt;"acoes")))*INDEX(Inputs!$K$5:$AJ$230,0,MATCH(AK$2,Inputs!$K$4:$AJ$4,0)))+SUMPRODUCT((Inputs!$E$5:$E$230=$B46)*Inputs!$F$5:$F$230*(((Inputs!$G$5:$G$230="moeda")+(Inputs!$G$5:$G$230="acoes"))*Inputs!$B$1+((Inputs!$G$5:$G$230&lt;&gt;"moeda")*(Inputs!$G$5:$G$230&lt;&gt;"acoes")))*INDEX(Inputs!$K$5:$AJ$230,0,MATCH(AK$2,Inputs!$K$4:$AJ$4,0)))))</f>
        <v>2727.377</v>
      </c>
      <c r="AL46" s="3">
        <f>AK46</f>
        <v>2727.377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$230=$B47)*ISNUMBER(INDEX(Inputs!$K$5:$AJ$230,0,MATCH(D$2,Inputs!$K$4:$AJ$4,0))))+SUMPRODUCT((Inputs!$C$5:$C$230=$B47)*ISNUMBER(INDEX(Inputs!$K$5:$AJ$230,0,MATCH(D$2,Inputs!$K$4:$AJ$4,0))))+SUMPRODUCT((Inputs!$E$5:$E$230=$B47)*ISNUMBER(INDEX(Inputs!$K$5:$AJ$230,0,MATCH(D$2,Inputs!$K$4:$AJ$4,0))))=0,NA(),SUMPRODUCT((Inputs!$A$5:$A$230=$B47)*Inputs!$B$5:$B$230*(((Inputs!$G$5:$G$230="moeda")+(Inputs!$G$5:$G$230="acoes"))*Inputs!$B$1+((Inputs!$G$5:$G$230&lt;&gt;"moeda")*(Inputs!$G$5:$G$230&lt;&gt;"acoes")))*INDEX(Inputs!$K$5:$AJ$230,0,MATCH(D$2,Inputs!$K$4:$AJ$4,0)))+SUMPRODUCT((Inputs!$C$5:$C$230=$B47)*Inputs!$D$5:$D$230*(((Inputs!$G$5:$G$230="moeda")+(Inputs!$G$5:$G$230="acoes"))*Inputs!$B$1+((Inputs!$G$5:$G$230&lt;&gt;"moeda")*(Inputs!$G$5:$G$230&lt;&gt;"acoes")))*INDEX(Inputs!$K$5:$AJ$230,0,MATCH(D$2,Inputs!$K$4:$AJ$4,0)))+SUMPRODUCT((Inputs!$E$5:$E$230=$B47)*Inputs!$F$5:$F$230*(((Inputs!$G$5:$G$230="moeda")+(Inputs!$G$5:$G$230="acoes"))*Inputs!$B$1+((Inputs!$G$5:$G$230&lt;&gt;"moeda")*(Inputs!$G$5:$G$230&lt;&gt;"acoes")))*INDEX(Inputs!$K$5:$AJ$230,0,MATCH(D$2,Inputs!$K$4:$AJ$4,0)))))</f>
        <v>323.416</v>
      </c>
      <c r="E47" s="6">
        <f>IF(ISNA(MATCH(E$2,Inputs!$K$4:$AJ$4,0)),NA(),IF(SUMPRODUCT((Inputs!$A$5:$A$230=$B47)*ISNUMBER(INDEX(Inputs!$K$5:$AJ$230,0,MATCH(E$2,Inputs!$K$4:$AJ$4,0))))+SUMPRODUCT((Inputs!$C$5:$C$230=$B47)*ISNUMBER(INDEX(Inputs!$K$5:$AJ$230,0,MATCH(E$2,Inputs!$K$4:$AJ$4,0))))+SUMPRODUCT((Inputs!$E$5:$E$230=$B47)*ISNUMBER(INDEX(Inputs!$K$5:$AJ$230,0,MATCH(E$2,Inputs!$K$4:$AJ$4,0))))=0,NA(),SUMPRODUCT((Inputs!$A$5:$A$230=$B47)*Inputs!$B$5:$B$230*(((Inputs!$G$5:$G$230="moeda")+(Inputs!$G$5:$G$230="acoes"))*Inputs!$B$1+((Inputs!$G$5:$G$230&lt;&gt;"moeda")*(Inputs!$G$5:$G$230&lt;&gt;"acoes")))*INDEX(Inputs!$K$5:$AJ$230,0,MATCH(E$2,Inputs!$K$4:$AJ$4,0)))+SUMPRODUCT((Inputs!$C$5:$C$230=$B47)*Inputs!$D$5:$D$230*(((Inputs!$G$5:$G$230="moeda")+(Inputs!$G$5:$G$230="acoes"))*Inputs!$B$1+((Inputs!$G$5:$G$230&lt;&gt;"moeda")*(Inputs!$G$5:$G$230&lt;&gt;"acoes")))*INDEX(Inputs!$K$5:$AJ$230,0,MATCH(E$2,Inputs!$K$4:$AJ$4,0)))+SUMPRODUCT((Inputs!$E$5:$E$230=$B47)*Inputs!$F$5:$F$230*(((Inputs!$G$5:$G$230="moeda")+(Inputs!$G$5:$G$230="acoes"))*Inputs!$B$1+((Inputs!$G$5:$G$230&lt;&gt;"moeda")*(Inputs!$G$5:$G$230&lt;&gt;"acoes")))*INDEX(Inputs!$K$5:$AJ$230,0,MATCH(E$2,Inputs!$K$4:$AJ$4,0)))))</f>
        <v>655.761</v>
      </c>
      <c r="F47" s="6">
        <f>IF(ISNA(MATCH(F$2,Inputs!$K$4:$AJ$4,0)),NA(),IF(SUMPRODUCT((Inputs!$A$5:$A$230=$B47)*ISNUMBER(INDEX(Inputs!$K$5:$AJ$230,0,MATCH(F$2,Inputs!$K$4:$AJ$4,0))))+SUMPRODUCT((Inputs!$C$5:$C$230=$B47)*ISNUMBER(INDEX(Inputs!$K$5:$AJ$230,0,MATCH(F$2,Inputs!$K$4:$AJ$4,0))))+SUMPRODUCT((Inputs!$E$5:$E$230=$B47)*ISNUMBER(INDEX(Inputs!$K$5:$AJ$230,0,MATCH(F$2,Inputs!$K$4:$AJ$4,0))))=0,NA(),SUMPRODUCT((Inputs!$A$5:$A$230=$B47)*Inputs!$B$5:$B$230*(((Inputs!$G$5:$G$230="moeda")+(Inputs!$G$5:$G$230="acoes"))*Inputs!$B$1+((Inputs!$G$5:$G$230&lt;&gt;"moeda")*(Inputs!$G$5:$G$230&lt;&gt;"acoes")))*INDEX(Inputs!$K$5:$AJ$230,0,MATCH(F$2,Inputs!$K$4:$AJ$4,0)))+SUMPRODUCT((Inputs!$C$5:$C$230=$B47)*Inputs!$D$5:$D$230*(((Inputs!$G$5:$G$230="moeda")+(Inputs!$G$5:$G$230="acoes"))*Inputs!$B$1+((Inputs!$G$5:$G$230&lt;&gt;"moeda")*(Inputs!$G$5:$G$230&lt;&gt;"acoes")))*INDEX(Inputs!$K$5:$AJ$230,0,MATCH(F$2,Inputs!$K$4:$AJ$4,0)))+SUMPRODUCT((Inputs!$E$5:$E$230=$B47)*Inputs!$F$5:$F$230*(((Inputs!$G$5:$G$230="moeda")+(Inputs!$G$5:$G$230="acoes"))*Inputs!$B$1+((Inputs!$G$5:$G$230&lt;&gt;"moeda")*(Inputs!$G$5:$G$230&lt;&gt;"acoes")))*INDEX(Inputs!$K$5:$AJ$230,0,MATCH(F$2,Inputs!$K$4:$AJ$4,0)))))</f>
        <v>896.077</v>
      </c>
      <c r="G47" s="6">
        <f>IF(ISNA(MATCH(G$2,Inputs!$K$4:$AJ$4,0)),NA(),IF(SUMPRODUCT((Inputs!$A$5:$A$230=$B47)*ISNUMBER(INDEX(Inputs!$K$5:$AJ$230,0,MATCH(G$2,Inputs!$K$4:$AJ$4,0))))+SUMPRODUCT((Inputs!$C$5:$C$230=$B47)*ISNUMBER(INDEX(Inputs!$K$5:$AJ$230,0,MATCH(G$2,Inputs!$K$4:$AJ$4,0))))+SUMPRODUCT((Inputs!$E$5:$E$230=$B47)*ISNUMBER(INDEX(Inputs!$K$5:$AJ$230,0,MATCH(G$2,Inputs!$K$4:$AJ$4,0))))=0,NA(),SUMPRODUCT((Inputs!$A$5:$A$230=$B47)*Inputs!$B$5:$B$230*(((Inputs!$G$5:$G$230="moeda")+(Inputs!$G$5:$G$230="acoes"))*Inputs!$B$1+((Inputs!$G$5:$G$230&lt;&gt;"moeda")*(Inputs!$G$5:$G$230&lt;&gt;"acoes")))*INDEX(Inputs!$K$5:$AJ$230,0,MATCH(G$2,Inputs!$K$4:$AJ$4,0)))+SUMPRODUCT((Inputs!$C$5:$C$230=$B47)*Inputs!$D$5:$D$230*(((Inputs!$G$5:$G$230="moeda")+(Inputs!$G$5:$G$230="acoes"))*Inputs!$B$1+((Inputs!$G$5:$G$230&lt;&gt;"moeda")*(Inputs!$G$5:$G$230&lt;&gt;"acoes")))*INDEX(Inputs!$K$5:$AJ$230,0,MATCH(G$2,Inputs!$K$4:$AJ$4,0)))+SUMPRODUCT((Inputs!$E$5:$E$230=$B47)*Inputs!$F$5:$F$230*(((Inputs!$G$5:$G$230="moeda")+(Inputs!$G$5:$G$230="acoes"))*Inputs!$B$1+((Inputs!$G$5:$G$230&lt;&gt;"moeda")*(Inputs!$G$5:$G$230&lt;&gt;"acoes")))*INDEX(Inputs!$K$5:$AJ$230,0,MATCH(G$2,Inputs!$K$4:$AJ$4,0)))))</f>
        <v>1115.401</v>
      </c>
      <c r="H47" s="3">
        <f>G47</f>
        <v>1115.401</v>
      </c>
      <c r="I47" s="6">
        <f>IF(ISNA(MATCH(I$2,Inputs!$K$4:$AJ$4,0)),NA(),IF(SUMPRODUCT((Inputs!$A$5:$A$230=$B47)*ISNUMBER(INDEX(Inputs!$K$5:$AJ$230,0,MATCH(I$2,Inputs!$K$4:$AJ$4,0))))+SUMPRODUCT((Inputs!$C$5:$C$230=$B47)*ISNUMBER(INDEX(Inputs!$K$5:$AJ$230,0,MATCH(I$2,Inputs!$K$4:$AJ$4,0))))+SUMPRODUCT((Inputs!$E$5:$E$230=$B47)*ISNUMBER(INDEX(Inputs!$K$5:$AJ$230,0,MATCH(I$2,Inputs!$K$4:$AJ$4,0))))=0,NA(),SUMPRODUCT((Inputs!$A$5:$A$230=$B47)*Inputs!$B$5:$B$230*(((Inputs!$G$5:$G$230="moeda")+(Inputs!$G$5:$G$230="acoes"))*Inputs!$B$1+((Inputs!$G$5:$G$230&lt;&gt;"moeda")*(Inputs!$G$5:$G$230&lt;&gt;"acoes")))*INDEX(Inputs!$K$5:$AJ$230,0,MATCH(I$2,Inputs!$K$4:$AJ$4,0)))+SUMPRODUCT((Inputs!$C$5:$C$230=$B47)*Inputs!$D$5:$D$230*(((Inputs!$G$5:$G$230="moeda")+(Inputs!$G$5:$G$230="acoes"))*Inputs!$B$1+((Inputs!$G$5:$G$230&lt;&gt;"moeda")*(Inputs!$G$5:$G$230&lt;&gt;"acoes")))*INDEX(Inputs!$K$5:$AJ$230,0,MATCH(I$2,Inputs!$K$4:$AJ$4,0)))+SUMPRODUCT((Inputs!$E$5:$E$230=$B47)*Inputs!$F$5:$F$230*(((Inputs!$G$5:$G$230="moeda")+(Inputs!$G$5:$G$230="acoes"))*Inputs!$B$1+((Inputs!$G$5:$G$230&lt;&gt;"moeda")*(Inputs!$G$5:$G$230&lt;&gt;"acoes")))*INDEX(Inputs!$K$5:$AJ$230,0,MATCH(I$2,Inputs!$K$4:$AJ$4,0)))))</f>
        <v>430.979</v>
      </c>
      <c r="J47" s="6">
        <f>IF(ISNA(MATCH(J$2,Inputs!$K$4:$AJ$4,0)),NA(),IF(SUMPRODUCT((Inputs!$A$5:$A$230=$B47)*ISNUMBER(INDEX(Inputs!$K$5:$AJ$230,0,MATCH(J$2,Inputs!$K$4:$AJ$4,0))))+SUMPRODUCT((Inputs!$C$5:$C$230=$B47)*ISNUMBER(INDEX(Inputs!$K$5:$AJ$230,0,MATCH(J$2,Inputs!$K$4:$AJ$4,0))))+SUMPRODUCT((Inputs!$E$5:$E$230=$B47)*ISNUMBER(INDEX(Inputs!$K$5:$AJ$230,0,MATCH(J$2,Inputs!$K$4:$AJ$4,0))))=0,NA(),SUMPRODUCT((Inputs!$A$5:$A$230=$B47)*Inputs!$B$5:$B$230*(((Inputs!$G$5:$G$230="moeda")+(Inputs!$G$5:$G$230="acoes"))*Inputs!$B$1+((Inputs!$G$5:$G$230&lt;&gt;"moeda")*(Inputs!$G$5:$G$230&lt;&gt;"acoes")))*INDEX(Inputs!$K$5:$AJ$230,0,MATCH(J$2,Inputs!$K$4:$AJ$4,0)))+SUMPRODUCT((Inputs!$C$5:$C$230=$B47)*Inputs!$D$5:$D$230*(((Inputs!$G$5:$G$230="moeda")+(Inputs!$G$5:$G$230="acoes"))*Inputs!$B$1+((Inputs!$G$5:$G$230&lt;&gt;"moeda")*(Inputs!$G$5:$G$230&lt;&gt;"acoes")))*INDEX(Inputs!$K$5:$AJ$230,0,MATCH(J$2,Inputs!$K$4:$AJ$4,0)))+SUMPRODUCT((Inputs!$E$5:$E$230=$B47)*Inputs!$F$5:$F$230*(((Inputs!$G$5:$G$230="moeda")+(Inputs!$G$5:$G$230="acoes"))*Inputs!$B$1+((Inputs!$G$5:$G$230&lt;&gt;"moeda")*(Inputs!$G$5:$G$230&lt;&gt;"acoes")))*INDEX(Inputs!$K$5:$AJ$230,0,MATCH(J$2,Inputs!$K$4:$AJ$4,0)))))</f>
        <v>610.987</v>
      </c>
      <c r="K47" s="6">
        <f>IF(ISNA(MATCH(K$2,Inputs!$K$4:$AJ$4,0)),NA(),IF(SUMPRODUCT((Inputs!$A$5:$A$230=$B47)*ISNUMBER(INDEX(Inputs!$K$5:$AJ$230,0,MATCH(K$2,Inputs!$K$4:$AJ$4,0))))+SUMPRODUCT((Inputs!$C$5:$C$230=$B47)*ISNUMBER(INDEX(Inputs!$K$5:$AJ$230,0,MATCH(K$2,Inputs!$K$4:$AJ$4,0))))+SUMPRODUCT((Inputs!$E$5:$E$230=$B47)*ISNUMBER(INDEX(Inputs!$K$5:$AJ$230,0,MATCH(K$2,Inputs!$K$4:$AJ$4,0))))=0,NA(),SUMPRODUCT((Inputs!$A$5:$A$230=$B47)*Inputs!$B$5:$B$230*(((Inputs!$G$5:$G$230="moeda")+(Inputs!$G$5:$G$230="acoes"))*Inputs!$B$1+((Inputs!$G$5:$G$230&lt;&gt;"moeda")*(Inputs!$G$5:$G$230&lt;&gt;"acoes")))*INDEX(Inputs!$K$5:$AJ$230,0,MATCH(K$2,Inputs!$K$4:$AJ$4,0)))+SUMPRODUCT((Inputs!$C$5:$C$230=$B47)*Inputs!$D$5:$D$230*(((Inputs!$G$5:$G$230="moeda")+(Inputs!$G$5:$G$230="acoes"))*Inputs!$B$1+((Inputs!$G$5:$G$230&lt;&gt;"moeda")*(Inputs!$G$5:$G$230&lt;&gt;"acoes")))*INDEX(Inputs!$K$5:$AJ$230,0,MATCH(K$2,Inputs!$K$4:$AJ$4,0)))+SUMPRODUCT((Inputs!$E$5:$E$230=$B47)*Inputs!$F$5:$F$230*(((Inputs!$G$5:$G$230="moeda")+(Inputs!$G$5:$G$230="acoes"))*Inputs!$B$1+((Inputs!$G$5:$G$230&lt;&gt;"moeda")*(Inputs!$G$5:$G$230&lt;&gt;"acoes")))*INDEX(Inputs!$K$5:$AJ$230,0,MATCH(K$2,Inputs!$K$4:$AJ$4,0)))))</f>
        <v>726.663</v>
      </c>
      <c r="L47" s="6">
        <f>IF(ISNA(MATCH(L$2,Inputs!$K$4:$AJ$4,0)),NA(),IF(SUMPRODUCT((Inputs!$A$5:$A$230=$B47)*ISNUMBER(INDEX(Inputs!$K$5:$AJ$230,0,MATCH(L$2,Inputs!$K$4:$AJ$4,0))))+SUMPRODUCT((Inputs!$C$5:$C$230=$B47)*ISNUMBER(INDEX(Inputs!$K$5:$AJ$230,0,MATCH(L$2,Inputs!$K$4:$AJ$4,0))))+SUMPRODUCT((Inputs!$E$5:$E$230=$B47)*ISNUMBER(INDEX(Inputs!$K$5:$AJ$230,0,MATCH(L$2,Inputs!$K$4:$AJ$4,0))))=0,NA(),SUMPRODUCT((Inputs!$A$5:$A$230=$B47)*Inputs!$B$5:$B$230*(((Inputs!$G$5:$G$230="moeda")+(Inputs!$G$5:$G$230="acoes"))*Inputs!$B$1+((Inputs!$G$5:$G$230&lt;&gt;"moeda")*(Inputs!$G$5:$G$230&lt;&gt;"acoes")))*INDEX(Inputs!$K$5:$AJ$230,0,MATCH(L$2,Inputs!$K$4:$AJ$4,0)))+SUMPRODUCT((Inputs!$C$5:$C$230=$B47)*Inputs!$D$5:$D$230*(((Inputs!$G$5:$G$230="moeda")+(Inputs!$G$5:$G$230="acoes"))*Inputs!$B$1+((Inputs!$G$5:$G$230&lt;&gt;"moeda")*(Inputs!$G$5:$G$230&lt;&gt;"acoes")))*INDEX(Inputs!$K$5:$AJ$230,0,MATCH(L$2,Inputs!$K$4:$AJ$4,0)))+SUMPRODUCT((Inputs!$E$5:$E$230=$B47)*Inputs!$F$5:$F$230*(((Inputs!$G$5:$G$230="moeda")+(Inputs!$G$5:$G$230="acoes"))*Inputs!$B$1+((Inputs!$G$5:$G$230&lt;&gt;"moeda")*(Inputs!$G$5:$G$230&lt;&gt;"acoes")))*INDEX(Inputs!$K$5:$AJ$230,0,MATCH(L$2,Inputs!$K$4:$AJ$4,0)))))</f>
        <v>0</v>
      </c>
      <c r="M47" s="3">
        <f>L47</f>
        <v>0</v>
      </c>
      <c r="N47" s="6">
        <f>IF(ISNA(MATCH(N$2,Inputs!$K$4:$AJ$4,0)),NA(),IF(SUMPRODUCT((Inputs!$A$5:$A$230=$B47)*ISNUMBER(INDEX(Inputs!$K$5:$AJ$230,0,MATCH(N$2,Inputs!$K$4:$AJ$4,0))))+SUMPRODUCT((Inputs!$C$5:$C$230=$B47)*ISNUMBER(INDEX(Inputs!$K$5:$AJ$230,0,MATCH(N$2,Inputs!$K$4:$AJ$4,0))))+SUMPRODUCT((Inputs!$E$5:$E$230=$B47)*ISNUMBER(INDEX(Inputs!$K$5:$AJ$230,0,MATCH(N$2,Inputs!$K$4:$AJ$4,0))))=0,NA(),SUMPRODUCT((Inputs!$A$5:$A$230=$B47)*Inputs!$B$5:$B$230*(((Inputs!$G$5:$G$230="moeda")+(Inputs!$G$5:$G$230="acoes"))*Inputs!$B$1+((Inputs!$G$5:$G$230&lt;&gt;"moeda")*(Inputs!$G$5:$G$230&lt;&gt;"acoes")))*INDEX(Inputs!$K$5:$AJ$230,0,MATCH(N$2,Inputs!$K$4:$AJ$4,0)))+SUMPRODUCT((Inputs!$C$5:$C$230=$B47)*Inputs!$D$5:$D$230*(((Inputs!$G$5:$G$230="moeda")+(Inputs!$G$5:$G$230="acoes"))*Inputs!$B$1+((Inputs!$G$5:$G$230&lt;&gt;"moeda")*(Inputs!$G$5:$G$230&lt;&gt;"acoes")))*INDEX(Inputs!$K$5:$AJ$230,0,MATCH(N$2,Inputs!$K$4:$AJ$4,0)))+SUMPRODUCT((Inputs!$E$5:$E$230=$B47)*Inputs!$F$5:$F$230*(((Inputs!$G$5:$G$230="moeda")+(Inputs!$G$5:$G$230="acoes"))*Inputs!$B$1+((Inputs!$G$5:$G$230&lt;&gt;"moeda")*(Inputs!$G$5:$G$230&lt;&gt;"acoes")))*INDEX(Inputs!$K$5:$AJ$230,0,MATCH(N$2,Inputs!$K$4:$AJ$4,0)))))</f>
        <v>230.71</v>
      </c>
      <c r="O47" s="6">
        <f>IF(ISNA(MATCH(O$2,Inputs!$K$4:$AJ$4,0)),NA(),IF(SUMPRODUCT((Inputs!$A$5:$A$230=$B47)*ISNUMBER(INDEX(Inputs!$K$5:$AJ$230,0,MATCH(O$2,Inputs!$K$4:$AJ$4,0))))+SUMPRODUCT((Inputs!$C$5:$C$230=$B47)*ISNUMBER(INDEX(Inputs!$K$5:$AJ$230,0,MATCH(O$2,Inputs!$K$4:$AJ$4,0))))+SUMPRODUCT((Inputs!$E$5:$E$230=$B47)*ISNUMBER(INDEX(Inputs!$K$5:$AJ$230,0,MATCH(O$2,Inputs!$K$4:$AJ$4,0))))=0,NA(),SUMPRODUCT((Inputs!$A$5:$A$230=$B47)*Inputs!$B$5:$B$230*(((Inputs!$G$5:$G$230="moeda")+(Inputs!$G$5:$G$230="acoes"))*Inputs!$B$1+((Inputs!$G$5:$G$230&lt;&gt;"moeda")*(Inputs!$G$5:$G$230&lt;&gt;"acoes")))*INDEX(Inputs!$K$5:$AJ$230,0,MATCH(O$2,Inputs!$K$4:$AJ$4,0)))+SUMPRODUCT((Inputs!$C$5:$C$230=$B47)*Inputs!$D$5:$D$230*(((Inputs!$G$5:$G$230="moeda")+(Inputs!$G$5:$G$230="acoes"))*Inputs!$B$1+((Inputs!$G$5:$G$230&lt;&gt;"moeda")*(Inputs!$G$5:$G$230&lt;&gt;"acoes")))*INDEX(Inputs!$K$5:$AJ$230,0,MATCH(O$2,Inputs!$K$4:$AJ$4,0)))+SUMPRODUCT((Inputs!$E$5:$E$230=$B47)*Inputs!$F$5:$F$230*(((Inputs!$G$5:$G$230="moeda")+(Inputs!$G$5:$G$230="acoes"))*Inputs!$B$1+((Inputs!$G$5:$G$230&lt;&gt;"moeda")*(Inputs!$G$5:$G$230&lt;&gt;"acoes")))*INDEX(Inputs!$K$5:$AJ$230,0,MATCH(O$2,Inputs!$K$4:$AJ$4,0)))))</f>
        <v>452.896</v>
      </c>
      <c r="P47" s="6">
        <f>IF(ISNA(MATCH(P$2,Inputs!$K$4:$AJ$4,0)),NA(),IF(SUMPRODUCT((Inputs!$A$5:$A$230=$B47)*ISNUMBER(INDEX(Inputs!$K$5:$AJ$230,0,MATCH(P$2,Inputs!$K$4:$AJ$4,0))))+SUMPRODUCT((Inputs!$C$5:$C$230=$B47)*ISNUMBER(INDEX(Inputs!$K$5:$AJ$230,0,MATCH(P$2,Inputs!$K$4:$AJ$4,0))))+SUMPRODUCT((Inputs!$E$5:$E$230=$B47)*ISNUMBER(INDEX(Inputs!$K$5:$AJ$230,0,MATCH(P$2,Inputs!$K$4:$AJ$4,0))))=0,NA(),SUMPRODUCT((Inputs!$A$5:$A$230=$B47)*Inputs!$B$5:$B$230*(((Inputs!$G$5:$G$230="moeda")+(Inputs!$G$5:$G$230="acoes"))*Inputs!$B$1+((Inputs!$G$5:$G$230&lt;&gt;"moeda")*(Inputs!$G$5:$G$230&lt;&gt;"acoes")))*INDEX(Inputs!$K$5:$AJ$230,0,MATCH(P$2,Inputs!$K$4:$AJ$4,0)))+SUMPRODUCT((Inputs!$C$5:$C$230=$B47)*Inputs!$D$5:$D$230*(((Inputs!$G$5:$G$230="moeda")+(Inputs!$G$5:$G$230="acoes"))*Inputs!$B$1+((Inputs!$G$5:$G$230&lt;&gt;"moeda")*(Inputs!$G$5:$G$230&lt;&gt;"acoes")))*INDEX(Inputs!$K$5:$AJ$230,0,MATCH(P$2,Inputs!$K$4:$AJ$4,0)))+SUMPRODUCT((Inputs!$E$5:$E$230=$B47)*Inputs!$F$5:$F$230*(((Inputs!$G$5:$G$230="moeda")+(Inputs!$G$5:$G$230="acoes"))*Inputs!$B$1+((Inputs!$G$5:$G$230&lt;&gt;"moeda")*(Inputs!$G$5:$G$230&lt;&gt;"acoes")))*INDEX(Inputs!$K$5:$AJ$230,0,MATCH(P$2,Inputs!$K$4:$AJ$4,0)))))</f>
        <v>516.33</v>
      </c>
      <c r="Q47" s="6">
        <f>IF(ISNA(MATCH(Q$2,Inputs!$K$4:$AJ$4,0)),NA(),IF(SUMPRODUCT((Inputs!$A$5:$A$230=$B47)*ISNUMBER(INDEX(Inputs!$K$5:$AJ$230,0,MATCH(Q$2,Inputs!$K$4:$AJ$4,0))))+SUMPRODUCT((Inputs!$C$5:$C$230=$B47)*ISNUMBER(INDEX(Inputs!$K$5:$AJ$230,0,MATCH(Q$2,Inputs!$K$4:$AJ$4,0))))+SUMPRODUCT((Inputs!$E$5:$E$230=$B47)*ISNUMBER(INDEX(Inputs!$K$5:$AJ$230,0,MATCH(Q$2,Inputs!$K$4:$AJ$4,0))))=0,NA(),SUMPRODUCT((Inputs!$A$5:$A$230=$B47)*Inputs!$B$5:$B$230*(((Inputs!$G$5:$G$230="moeda")+(Inputs!$G$5:$G$230="acoes"))*Inputs!$B$1+((Inputs!$G$5:$G$230&lt;&gt;"moeda")*(Inputs!$G$5:$G$230&lt;&gt;"acoes")))*INDEX(Inputs!$K$5:$AJ$230,0,MATCH(Q$2,Inputs!$K$4:$AJ$4,0)))+SUMPRODUCT((Inputs!$C$5:$C$230=$B47)*Inputs!$D$5:$D$230*(((Inputs!$G$5:$G$230="moeda")+(Inputs!$G$5:$G$230="acoes"))*Inputs!$B$1+((Inputs!$G$5:$G$230&lt;&gt;"moeda")*(Inputs!$G$5:$G$230&lt;&gt;"acoes")))*INDEX(Inputs!$K$5:$AJ$230,0,MATCH(Q$2,Inputs!$K$4:$AJ$4,0)))+SUMPRODUCT((Inputs!$E$5:$E$230=$B47)*Inputs!$F$5:$F$230*(((Inputs!$G$5:$G$230="moeda")+(Inputs!$G$5:$G$230="acoes"))*Inputs!$B$1+((Inputs!$G$5:$G$230&lt;&gt;"moeda")*(Inputs!$G$5:$G$230&lt;&gt;"acoes")))*INDEX(Inputs!$K$5:$AJ$230,0,MATCH(Q$2,Inputs!$K$4:$AJ$4,0)))))</f>
        <v>0</v>
      </c>
      <c r="R47" s="3">
        <f>Q47</f>
        <v>0</v>
      </c>
      <c r="S47" s="6">
        <f>IF(ISNA(MATCH(S$2,Inputs!$K$4:$AJ$4,0)),NA(),IF(SUMPRODUCT((Inputs!$A$5:$A$230=$B47)*ISNUMBER(INDEX(Inputs!$K$5:$AJ$230,0,MATCH(S$2,Inputs!$K$4:$AJ$4,0))))+SUMPRODUCT((Inputs!$C$5:$C$230=$B47)*ISNUMBER(INDEX(Inputs!$K$5:$AJ$230,0,MATCH(S$2,Inputs!$K$4:$AJ$4,0))))+SUMPRODUCT((Inputs!$E$5:$E$230=$B47)*ISNUMBER(INDEX(Inputs!$K$5:$AJ$230,0,MATCH(S$2,Inputs!$K$4:$AJ$4,0))))=0,NA(),SUMPRODUCT((Inputs!$A$5:$A$230=$B47)*Inputs!$B$5:$B$230*(((Inputs!$G$5:$G$230="moeda")+(Inputs!$G$5:$G$230="acoes"))*Inputs!$B$1+((Inputs!$G$5:$G$230&lt;&gt;"moeda")*(Inputs!$G$5:$G$230&lt;&gt;"acoes")))*INDEX(Inputs!$K$5:$AJ$230,0,MATCH(S$2,Inputs!$K$4:$AJ$4,0)))+SUMPRODUCT((Inputs!$C$5:$C$230=$B47)*Inputs!$D$5:$D$230*(((Inputs!$G$5:$G$230="moeda")+(Inputs!$G$5:$G$230="acoes"))*Inputs!$B$1+((Inputs!$G$5:$G$230&lt;&gt;"moeda")*(Inputs!$G$5:$G$230&lt;&gt;"acoes")))*INDEX(Inputs!$K$5:$AJ$230,0,MATCH(S$2,Inputs!$K$4:$AJ$4,0)))+SUMPRODUCT((Inputs!$E$5:$E$230=$B47)*Inputs!$F$5:$F$230*(((Inputs!$G$5:$G$230="moeda")+(Inputs!$G$5:$G$230="acoes"))*Inputs!$B$1+((Inputs!$G$5:$G$230&lt;&gt;"moeda")*(Inputs!$G$5:$G$230&lt;&gt;"acoes")))*INDEX(Inputs!$K$5:$AJ$230,0,MATCH(S$2,Inputs!$K$4:$AJ$4,0)))))</f>
        <v>254.944</v>
      </c>
      <c r="T47" s="6">
        <f>IF(ISNA(MATCH(T$2,Inputs!$K$4:$AJ$4,0)),NA(),IF(SUMPRODUCT((Inputs!$A$5:$A$230=$B47)*ISNUMBER(INDEX(Inputs!$K$5:$AJ$230,0,MATCH(T$2,Inputs!$K$4:$AJ$4,0))))+SUMPRODUCT((Inputs!$C$5:$C$230=$B47)*ISNUMBER(INDEX(Inputs!$K$5:$AJ$230,0,MATCH(T$2,Inputs!$K$4:$AJ$4,0))))+SUMPRODUCT((Inputs!$E$5:$E$230=$B47)*ISNUMBER(INDEX(Inputs!$K$5:$AJ$230,0,MATCH(T$2,Inputs!$K$4:$AJ$4,0))))=0,NA(),SUMPRODUCT((Inputs!$A$5:$A$230=$B47)*Inputs!$B$5:$B$230*(((Inputs!$G$5:$G$230="moeda")+(Inputs!$G$5:$G$230="acoes"))*Inputs!$B$1+((Inputs!$G$5:$G$230&lt;&gt;"moeda")*(Inputs!$G$5:$G$230&lt;&gt;"acoes")))*INDEX(Inputs!$K$5:$AJ$230,0,MATCH(T$2,Inputs!$K$4:$AJ$4,0)))+SUMPRODUCT((Inputs!$C$5:$C$230=$B47)*Inputs!$D$5:$D$230*(((Inputs!$G$5:$G$230="moeda")+(Inputs!$G$5:$G$230="acoes"))*Inputs!$B$1+((Inputs!$G$5:$G$230&lt;&gt;"moeda")*(Inputs!$G$5:$G$230&lt;&gt;"acoes")))*INDEX(Inputs!$K$5:$AJ$230,0,MATCH(T$2,Inputs!$K$4:$AJ$4,0)))+SUMPRODUCT((Inputs!$E$5:$E$230=$B47)*Inputs!$F$5:$F$230*(((Inputs!$G$5:$G$230="moeda")+(Inputs!$G$5:$G$230="acoes"))*Inputs!$B$1+((Inputs!$G$5:$G$230&lt;&gt;"moeda")*(Inputs!$G$5:$G$230&lt;&gt;"acoes")))*INDEX(Inputs!$K$5:$AJ$230,0,MATCH(T$2,Inputs!$K$4:$AJ$4,0)))))</f>
        <v>425.455</v>
      </c>
      <c r="U47" s="6">
        <f>IF(ISNA(MATCH(U$2,Inputs!$K$4:$AJ$4,0)),NA(),IF(SUMPRODUCT((Inputs!$A$5:$A$230=$B47)*ISNUMBER(INDEX(Inputs!$K$5:$AJ$230,0,MATCH(U$2,Inputs!$K$4:$AJ$4,0))))+SUMPRODUCT((Inputs!$C$5:$C$230=$B47)*ISNUMBER(INDEX(Inputs!$K$5:$AJ$230,0,MATCH(U$2,Inputs!$K$4:$AJ$4,0))))+SUMPRODUCT((Inputs!$E$5:$E$230=$B47)*ISNUMBER(INDEX(Inputs!$K$5:$AJ$230,0,MATCH(U$2,Inputs!$K$4:$AJ$4,0))))=0,NA(),SUMPRODUCT((Inputs!$A$5:$A$230=$B47)*Inputs!$B$5:$B$230*(((Inputs!$G$5:$G$230="moeda")+(Inputs!$G$5:$G$230="acoes"))*Inputs!$B$1+((Inputs!$G$5:$G$230&lt;&gt;"moeda")*(Inputs!$G$5:$G$230&lt;&gt;"acoes")))*INDEX(Inputs!$K$5:$AJ$230,0,MATCH(U$2,Inputs!$K$4:$AJ$4,0)))+SUMPRODUCT((Inputs!$C$5:$C$230=$B47)*Inputs!$D$5:$D$230*(((Inputs!$G$5:$G$230="moeda")+(Inputs!$G$5:$G$230="acoes"))*Inputs!$B$1+((Inputs!$G$5:$G$230&lt;&gt;"moeda")*(Inputs!$G$5:$G$230&lt;&gt;"acoes")))*INDEX(Inputs!$K$5:$AJ$230,0,MATCH(U$2,Inputs!$K$4:$AJ$4,0)))+SUMPRODUCT((Inputs!$E$5:$E$230=$B47)*Inputs!$F$5:$F$230*(((Inputs!$G$5:$G$230="moeda")+(Inputs!$G$5:$G$230="acoes"))*Inputs!$B$1+((Inputs!$G$5:$G$230&lt;&gt;"moeda")*(Inputs!$G$5:$G$230&lt;&gt;"acoes")))*INDEX(Inputs!$K$5:$AJ$230,0,MATCH(U$2,Inputs!$K$4:$AJ$4,0)))))</f>
        <v>732.158</v>
      </c>
      <c r="V47" s="6">
        <f>IF(ISNA(MATCH(V$2,Inputs!$K$4:$AJ$4,0)),NA(),IF(SUMPRODUCT((Inputs!$A$5:$A$230=$B47)*ISNUMBER(INDEX(Inputs!$K$5:$AJ$230,0,MATCH(V$2,Inputs!$K$4:$AJ$4,0))))+SUMPRODUCT((Inputs!$C$5:$C$230=$B47)*ISNUMBER(INDEX(Inputs!$K$5:$AJ$230,0,MATCH(V$2,Inputs!$K$4:$AJ$4,0))))+SUMPRODUCT((Inputs!$E$5:$E$230=$B47)*ISNUMBER(INDEX(Inputs!$K$5:$AJ$230,0,MATCH(V$2,Inputs!$K$4:$AJ$4,0))))=0,NA(),SUMPRODUCT((Inputs!$A$5:$A$230=$B47)*Inputs!$B$5:$B$230*(((Inputs!$G$5:$G$230="moeda")+(Inputs!$G$5:$G$230="acoes"))*Inputs!$B$1+((Inputs!$G$5:$G$230&lt;&gt;"moeda")*(Inputs!$G$5:$G$230&lt;&gt;"acoes")))*INDEX(Inputs!$K$5:$AJ$230,0,MATCH(V$2,Inputs!$K$4:$AJ$4,0)))+SUMPRODUCT((Inputs!$C$5:$C$230=$B47)*Inputs!$D$5:$D$230*(((Inputs!$G$5:$G$230="moeda")+(Inputs!$G$5:$G$230="acoes"))*Inputs!$B$1+((Inputs!$G$5:$G$230&lt;&gt;"moeda")*(Inputs!$G$5:$G$230&lt;&gt;"acoes")))*INDEX(Inputs!$K$5:$AJ$230,0,MATCH(V$2,Inputs!$K$4:$AJ$4,0)))+SUMPRODUCT((Inputs!$E$5:$E$230=$B47)*Inputs!$F$5:$F$230*(((Inputs!$G$5:$G$230="moeda")+(Inputs!$G$5:$G$230="acoes"))*Inputs!$B$1+((Inputs!$G$5:$G$230&lt;&gt;"moeda")*(Inputs!$G$5:$G$230&lt;&gt;"acoes")))*INDEX(Inputs!$K$5:$AJ$230,0,MATCH(V$2,Inputs!$K$4:$AJ$4,0)))))</f>
        <v>0</v>
      </c>
      <c r="W47" s="3">
        <f>V47</f>
        <v>0</v>
      </c>
      <c r="X47" s="6">
        <f>IF(ISNA(MATCH(X$2,Inputs!$K$4:$AJ$4,0)),NA(),IF(SUMPRODUCT((Inputs!$A$5:$A$230=$B47)*ISNUMBER(INDEX(Inputs!$K$5:$AJ$230,0,MATCH(X$2,Inputs!$K$4:$AJ$4,0))))+SUMPRODUCT((Inputs!$C$5:$C$230=$B47)*ISNUMBER(INDEX(Inputs!$K$5:$AJ$230,0,MATCH(X$2,Inputs!$K$4:$AJ$4,0))))+SUMPRODUCT((Inputs!$E$5:$E$230=$B47)*ISNUMBER(INDEX(Inputs!$K$5:$AJ$230,0,MATCH(X$2,Inputs!$K$4:$AJ$4,0))))=0,NA(),SUMPRODUCT((Inputs!$A$5:$A$230=$B47)*Inputs!$B$5:$B$230*(((Inputs!$G$5:$G$230="moeda")+(Inputs!$G$5:$G$230="acoes"))*Inputs!$B$1+((Inputs!$G$5:$G$230&lt;&gt;"moeda")*(Inputs!$G$5:$G$230&lt;&gt;"acoes")))*INDEX(Inputs!$K$5:$AJ$230,0,MATCH(X$2,Inputs!$K$4:$AJ$4,0)))+SUMPRODUCT((Inputs!$C$5:$C$230=$B47)*Inputs!$D$5:$D$230*(((Inputs!$G$5:$G$230="moeda")+(Inputs!$G$5:$G$230="acoes"))*Inputs!$B$1+((Inputs!$G$5:$G$230&lt;&gt;"moeda")*(Inputs!$G$5:$G$230&lt;&gt;"acoes")))*INDEX(Inputs!$K$5:$AJ$230,0,MATCH(X$2,Inputs!$K$4:$AJ$4,0)))+SUMPRODUCT((Inputs!$E$5:$E$230=$B47)*Inputs!$F$5:$F$230*(((Inputs!$G$5:$G$230="moeda")+(Inputs!$G$5:$G$230="acoes"))*Inputs!$B$1+((Inputs!$G$5:$G$230&lt;&gt;"moeda")*(Inputs!$G$5:$G$230&lt;&gt;"acoes")))*INDEX(Inputs!$K$5:$AJ$230,0,MATCH(X$2,Inputs!$K$4:$AJ$4,0)))))</f>
        <v>298.777</v>
      </c>
      <c r="Y47" s="6">
        <f>IF(ISNA(MATCH(Y$2,Inputs!$K$4:$AJ$4,0)),NA(),IF(SUMPRODUCT((Inputs!$A$5:$A$230=$B47)*ISNUMBER(INDEX(Inputs!$K$5:$AJ$230,0,MATCH(Y$2,Inputs!$K$4:$AJ$4,0))))+SUMPRODUCT((Inputs!$C$5:$C$230=$B47)*ISNUMBER(INDEX(Inputs!$K$5:$AJ$230,0,MATCH(Y$2,Inputs!$K$4:$AJ$4,0))))+SUMPRODUCT((Inputs!$E$5:$E$230=$B47)*ISNUMBER(INDEX(Inputs!$K$5:$AJ$230,0,MATCH(Y$2,Inputs!$K$4:$AJ$4,0))))=0,NA(),SUMPRODUCT((Inputs!$A$5:$A$230=$B47)*Inputs!$B$5:$B$230*(((Inputs!$G$5:$G$230="moeda")+(Inputs!$G$5:$G$230="acoes"))*Inputs!$B$1+((Inputs!$G$5:$G$230&lt;&gt;"moeda")*(Inputs!$G$5:$G$230&lt;&gt;"acoes")))*INDEX(Inputs!$K$5:$AJ$230,0,MATCH(Y$2,Inputs!$K$4:$AJ$4,0)))+SUMPRODUCT((Inputs!$C$5:$C$230=$B47)*Inputs!$D$5:$D$230*(((Inputs!$G$5:$G$230="moeda")+(Inputs!$G$5:$G$230="acoes"))*Inputs!$B$1+((Inputs!$G$5:$G$230&lt;&gt;"moeda")*(Inputs!$G$5:$G$230&lt;&gt;"acoes")))*INDEX(Inputs!$K$5:$AJ$230,0,MATCH(Y$2,Inputs!$K$4:$AJ$4,0)))+SUMPRODUCT((Inputs!$E$5:$E$230=$B47)*Inputs!$F$5:$F$230*(((Inputs!$G$5:$G$230="moeda")+(Inputs!$G$5:$G$230="acoes"))*Inputs!$B$1+((Inputs!$G$5:$G$230&lt;&gt;"moeda")*(Inputs!$G$5:$G$230&lt;&gt;"acoes")))*INDEX(Inputs!$K$5:$AJ$230,0,MATCH(Y$2,Inputs!$K$4:$AJ$4,0)))))</f>
        <v>374.422</v>
      </c>
      <c r="Z47" s="6">
        <f>IF(ISNA(MATCH(Z$2,Inputs!$K$4:$AJ$4,0)),NA(),IF(SUMPRODUCT((Inputs!$A$5:$A$230=$B47)*ISNUMBER(INDEX(Inputs!$K$5:$AJ$230,0,MATCH(Z$2,Inputs!$K$4:$AJ$4,0))))+SUMPRODUCT((Inputs!$C$5:$C$230=$B47)*ISNUMBER(INDEX(Inputs!$K$5:$AJ$230,0,MATCH(Z$2,Inputs!$K$4:$AJ$4,0))))+SUMPRODUCT((Inputs!$E$5:$E$230=$B47)*ISNUMBER(INDEX(Inputs!$K$5:$AJ$230,0,MATCH(Z$2,Inputs!$K$4:$AJ$4,0))))=0,NA(),SUMPRODUCT((Inputs!$A$5:$A$230=$B47)*Inputs!$B$5:$B$230*(((Inputs!$G$5:$G$230="moeda")+(Inputs!$G$5:$G$230="acoes"))*Inputs!$B$1+((Inputs!$G$5:$G$230&lt;&gt;"moeda")*(Inputs!$G$5:$G$230&lt;&gt;"acoes")))*INDEX(Inputs!$K$5:$AJ$230,0,MATCH(Z$2,Inputs!$K$4:$AJ$4,0)))+SUMPRODUCT((Inputs!$C$5:$C$230=$B47)*Inputs!$D$5:$D$230*(((Inputs!$G$5:$G$230="moeda")+(Inputs!$G$5:$G$230="acoes"))*Inputs!$B$1+((Inputs!$G$5:$G$230&lt;&gt;"moeda")*(Inputs!$G$5:$G$230&lt;&gt;"acoes")))*INDEX(Inputs!$K$5:$AJ$230,0,MATCH(Z$2,Inputs!$K$4:$AJ$4,0)))+SUMPRODUCT((Inputs!$E$5:$E$230=$B47)*Inputs!$F$5:$F$230*(((Inputs!$G$5:$G$230="moeda")+(Inputs!$G$5:$G$230="acoes"))*Inputs!$B$1+((Inputs!$G$5:$G$230&lt;&gt;"moeda")*(Inputs!$G$5:$G$230&lt;&gt;"acoes")))*INDEX(Inputs!$K$5:$AJ$230,0,MATCH(Z$2,Inputs!$K$4:$AJ$4,0)))))</f>
        <v>794.591</v>
      </c>
      <c r="AA47" s="6">
        <f>IF(ISNA(MATCH(AA$2,Inputs!$K$4:$AJ$4,0)),NA(),IF(SUMPRODUCT((Inputs!$A$5:$A$230=$B47)*ISNUMBER(INDEX(Inputs!$K$5:$AJ$230,0,MATCH(AA$2,Inputs!$K$4:$AJ$4,0))))+SUMPRODUCT((Inputs!$C$5:$C$230=$B47)*ISNUMBER(INDEX(Inputs!$K$5:$AJ$230,0,MATCH(AA$2,Inputs!$K$4:$AJ$4,0))))+SUMPRODUCT((Inputs!$E$5:$E$230=$B47)*ISNUMBER(INDEX(Inputs!$K$5:$AJ$230,0,MATCH(AA$2,Inputs!$K$4:$AJ$4,0))))=0,NA(),SUMPRODUCT((Inputs!$A$5:$A$230=$B47)*Inputs!$B$5:$B$230*(((Inputs!$G$5:$G$230="moeda")+(Inputs!$G$5:$G$230="acoes"))*Inputs!$B$1+((Inputs!$G$5:$G$230&lt;&gt;"moeda")*(Inputs!$G$5:$G$230&lt;&gt;"acoes")))*INDEX(Inputs!$K$5:$AJ$230,0,MATCH(AA$2,Inputs!$K$4:$AJ$4,0)))+SUMPRODUCT((Inputs!$C$5:$C$230=$B47)*Inputs!$D$5:$D$230*(((Inputs!$G$5:$G$230="moeda")+(Inputs!$G$5:$G$230="acoes"))*Inputs!$B$1+((Inputs!$G$5:$G$230&lt;&gt;"moeda")*(Inputs!$G$5:$G$230&lt;&gt;"acoes")))*INDEX(Inputs!$K$5:$AJ$230,0,MATCH(AA$2,Inputs!$K$4:$AJ$4,0)))+SUMPRODUCT((Inputs!$E$5:$E$230=$B47)*Inputs!$F$5:$F$230*(((Inputs!$G$5:$G$230="moeda")+(Inputs!$G$5:$G$230="acoes"))*Inputs!$B$1+((Inputs!$G$5:$G$230&lt;&gt;"moeda")*(Inputs!$G$5:$G$230&lt;&gt;"acoes")))*INDEX(Inputs!$K$5:$AJ$230,0,MATCH(AA$2,Inputs!$K$4:$AJ$4,0)))))</f>
        <v>0</v>
      </c>
      <c r="AB47" s="3">
        <f>AA47</f>
        <v>0</v>
      </c>
      <c r="AC47" s="6">
        <f>IF(ISNA(MATCH(AC$2,Inputs!$K$4:$AJ$4,0)),NA(),IF(SUMPRODUCT((Inputs!$A$5:$A$230=$B47)*ISNUMBER(INDEX(Inputs!$K$5:$AJ$230,0,MATCH(AC$2,Inputs!$K$4:$AJ$4,0))))+SUMPRODUCT((Inputs!$C$5:$C$230=$B47)*ISNUMBER(INDEX(Inputs!$K$5:$AJ$230,0,MATCH(AC$2,Inputs!$K$4:$AJ$4,0))))+SUMPRODUCT((Inputs!$E$5:$E$230=$B47)*ISNUMBER(INDEX(Inputs!$K$5:$AJ$230,0,MATCH(AC$2,Inputs!$K$4:$AJ$4,0))))=0,NA(),SUMPRODUCT((Inputs!$A$5:$A$230=$B47)*Inputs!$B$5:$B$230*(((Inputs!$G$5:$G$230="moeda")+(Inputs!$G$5:$G$230="acoes"))*Inputs!$B$1+((Inputs!$G$5:$G$230&lt;&gt;"moeda")*(Inputs!$G$5:$G$230&lt;&gt;"acoes")))*INDEX(Inputs!$K$5:$AJ$230,0,MATCH(AC$2,Inputs!$K$4:$AJ$4,0)))+SUMPRODUCT((Inputs!$C$5:$C$230=$B47)*Inputs!$D$5:$D$230*(((Inputs!$G$5:$G$230="moeda")+(Inputs!$G$5:$G$230="acoes"))*Inputs!$B$1+((Inputs!$G$5:$G$230&lt;&gt;"moeda")*(Inputs!$G$5:$G$230&lt;&gt;"acoes")))*INDEX(Inputs!$K$5:$AJ$230,0,MATCH(AC$2,Inputs!$K$4:$AJ$4,0)))+SUMPRODUCT((Inputs!$E$5:$E$230=$B47)*Inputs!$F$5:$F$230*(((Inputs!$G$5:$G$230="moeda")+(Inputs!$G$5:$G$230="acoes"))*Inputs!$B$1+((Inputs!$G$5:$G$230&lt;&gt;"moeda")*(Inputs!$G$5:$G$230&lt;&gt;"acoes")))*INDEX(Inputs!$K$5:$AJ$230,0,MATCH(AC$2,Inputs!$K$4:$AJ$4,0)))))</f>
        <v>198.067</v>
      </c>
      <c r="AD47" s="6">
        <f>IF(ISNA(MATCH(AD$2,Inputs!$K$4:$AJ$4,0)),NA(),IF(SUMPRODUCT((Inputs!$A$5:$A$230=$B47)*ISNUMBER(INDEX(Inputs!$K$5:$AJ$230,0,MATCH(AD$2,Inputs!$K$4:$AJ$4,0))))+SUMPRODUCT((Inputs!$C$5:$C$230=$B47)*ISNUMBER(INDEX(Inputs!$K$5:$AJ$230,0,MATCH(AD$2,Inputs!$K$4:$AJ$4,0))))+SUMPRODUCT((Inputs!$E$5:$E$230=$B47)*ISNUMBER(INDEX(Inputs!$K$5:$AJ$230,0,MATCH(AD$2,Inputs!$K$4:$AJ$4,0))))=0,NA(),SUMPRODUCT((Inputs!$A$5:$A$230=$B47)*Inputs!$B$5:$B$230*(((Inputs!$G$5:$G$230="moeda")+(Inputs!$G$5:$G$230="acoes"))*Inputs!$B$1+((Inputs!$G$5:$G$230&lt;&gt;"moeda")*(Inputs!$G$5:$G$230&lt;&gt;"acoes")))*INDEX(Inputs!$K$5:$AJ$230,0,MATCH(AD$2,Inputs!$K$4:$AJ$4,0)))+SUMPRODUCT((Inputs!$C$5:$C$230=$B47)*Inputs!$D$5:$D$230*(((Inputs!$G$5:$G$230="moeda")+(Inputs!$G$5:$G$230="acoes"))*Inputs!$B$1+((Inputs!$G$5:$G$230&lt;&gt;"moeda")*(Inputs!$G$5:$G$230&lt;&gt;"acoes")))*INDEX(Inputs!$K$5:$AJ$230,0,MATCH(AD$2,Inputs!$K$4:$AJ$4,0)))+SUMPRODUCT((Inputs!$E$5:$E$230=$B47)*Inputs!$F$5:$F$230*(((Inputs!$G$5:$G$230="moeda")+(Inputs!$G$5:$G$230="acoes"))*Inputs!$B$1+((Inputs!$G$5:$G$230&lt;&gt;"moeda")*(Inputs!$G$5:$G$230&lt;&gt;"acoes")))*INDEX(Inputs!$K$5:$AJ$230,0,MATCH(AD$2,Inputs!$K$4:$AJ$4,0)))))</f>
        <v>545.471</v>
      </c>
      <c r="AE47" s="6" t="e">
        <f>IF(ISNA(MATCH(AE$2,Inputs!$K$4:$AJ$4,0)),NA(),IF(SUMPRODUCT((Inputs!$A$5:$A$230=$B47)*ISNUMBER(INDEX(Inputs!$K$5:$AJ$230,0,MATCH(AE$2,Inputs!$K$4:$AJ$4,0))))+SUMPRODUCT((Inputs!$C$5:$C$230=$B47)*ISNUMBER(INDEX(Inputs!$K$5:$AJ$230,0,MATCH(AE$2,Inputs!$K$4:$AJ$4,0))))+SUMPRODUCT((Inputs!$E$5:$E$230=$B47)*ISNUMBER(INDEX(Inputs!$K$5:$AJ$230,0,MATCH(AE$2,Inputs!$K$4:$AJ$4,0))))=0,NA(),SUMPRODUCT((Inputs!$A$5:$A$230=$B47)*Inputs!$B$5:$B$230*(((Inputs!$G$5:$G$230="moeda")+(Inputs!$G$5:$G$230="acoes"))*Inputs!$B$1+((Inputs!$G$5:$G$230&lt;&gt;"moeda")*(Inputs!$G$5:$G$230&lt;&gt;"acoes")))*INDEX(Inputs!$K$5:$AJ$230,0,MATCH(AE$2,Inputs!$K$4:$AJ$4,0)))+SUMPRODUCT((Inputs!$C$5:$C$230=$B47)*Inputs!$D$5:$D$230*(((Inputs!$G$5:$G$230="moeda")+(Inputs!$G$5:$G$230="acoes"))*Inputs!$B$1+((Inputs!$G$5:$G$230&lt;&gt;"moeda")*(Inputs!$G$5:$G$230&lt;&gt;"acoes")))*INDEX(Inputs!$K$5:$AJ$230,0,MATCH(AE$2,Inputs!$K$4:$AJ$4,0)))+SUMPRODUCT((Inputs!$E$5:$E$230=$B47)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47" s="6" t="e">
        <f>IF(ISNA(MATCH(AF$2,Inputs!$K$4:$AJ$4,0)),NA(),IF(SUMPRODUCT((Inputs!$A$5:$A$230=$B47)*ISNUMBER(INDEX(Inputs!$K$5:$AJ$230,0,MATCH(AF$2,Inputs!$K$4:$AJ$4,0))))+SUMPRODUCT((Inputs!$C$5:$C$230=$B47)*ISNUMBER(INDEX(Inputs!$K$5:$AJ$230,0,MATCH(AF$2,Inputs!$K$4:$AJ$4,0))))+SUMPRODUCT((Inputs!$E$5:$E$230=$B47)*ISNUMBER(INDEX(Inputs!$K$5:$AJ$230,0,MATCH(AF$2,Inputs!$K$4:$AJ$4,0))))=0,NA(),SUMPRODUCT((Inputs!$A$5:$A$230=$B47)*Inputs!$B$5:$B$230*(((Inputs!$G$5:$G$230="moeda")+(Inputs!$G$5:$G$230="acoes"))*Inputs!$B$1+((Inputs!$G$5:$G$230&lt;&gt;"moeda")*(Inputs!$G$5:$G$230&lt;&gt;"acoes")))*INDEX(Inputs!$K$5:$AJ$230,0,MATCH(AF$2,Inputs!$K$4:$AJ$4,0)))+SUMPRODUCT((Inputs!$C$5:$C$230=$B47)*Inputs!$D$5:$D$230*(((Inputs!$G$5:$G$230="moeda")+(Inputs!$G$5:$G$230="acoes"))*Inputs!$B$1+((Inputs!$G$5:$G$230&lt;&gt;"moeda")*(Inputs!$G$5:$G$230&lt;&gt;"acoes")))*INDEX(Inputs!$K$5:$AJ$230,0,MATCH(AF$2,Inputs!$K$4:$AJ$4,0)))+SUMPRODUCT((Inputs!$E$5:$E$230=$B47)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47" s="3" t="e">
        <f>AF47</f>
        <v>#N/A</v>
      </c>
      <c r="AH47" s="6">
        <f>IF(ISNA(MATCH(AH$2,Inputs!$K$4:$AJ$4,0)),NA(),IF(SUMPRODUCT((Inputs!$A$5:$A$230=$B47)*ISNUMBER(INDEX(Inputs!$K$5:$AJ$230,0,MATCH(AH$2,Inputs!$K$4:$AJ$4,0))))+SUMPRODUCT((Inputs!$C$5:$C$230=$B47)*ISNUMBER(INDEX(Inputs!$K$5:$AJ$230,0,MATCH(AH$2,Inputs!$K$4:$AJ$4,0))))+SUMPRODUCT((Inputs!$E$5:$E$230=$B47)*ISNUMBER(INDEX(Inputs!$K$5:$AJ$230,0,MATCH(AH$2,Inputs!$K$4:$AJ$4,0))))=0,NA(),SUMPRODUCT((Inputs!$A$5:$A$230=$B47)*Inputs!$B$5:$B$230*(((Inputs!$G$5:$G$230="moeda")+(Inputs!$G$5:$G$230="acoes"))*Inputs!$B$1+((Inputs!$G$5:$G$230&lt;&gt;"moeda")*(Inputs!$G$5:$G$230&lt;&gt;"acoes")))*INDEX(Inputs!$K$5:$AJ$230,0,MATCH(AH$2,Inputs!$K$4:$AJ$4,0)))+SUMPRODUCT((Inputs!$C$5:$C$230=$B47)*Inputs!$D$5:$D$230*(((Inputs!$G$5:$G$230="moeda")+(Inputs!$G$5:$G$230="acoes"))*Inputs!$B$1+((Inputs!$G$5:$G$230&lt;&gt;"moeda")*(Inputs!$G$5:$G$230&lt;&gt;"acoes")))*INDEX(Inputs!$K$5:$AJ$230,0,MATCH(AH$2,Inputs!$K$4:$AJ$4,0)))+SUMPRODUCT((Inputs!$E$5:$E$230=$B47)*Inputs!$F$5:$F$230*(((Inputs!$G$5:$G$230="moeda")+(Inputs!$G$5:$G$230="acoes"))*Inputs!$B$1+((Inputs!$G$5:$G$230&lt;&gt;"moeda")*(Inputs!$G$5:$G$230&lt;&gt;"acoes")))*INDEX(Inputs!$K$5:$AJ$230,0,MATCH(AH$2,Inputs!$K$4:$AJ$4,0)))))</f>
        <v>179.149</v>
      </c>
      <c r="AI47" s="6">
        <f>IF(ISNA(MATCH(AI$2,Inputs!$K$4:$AJ$4,0)),NA(),IF(SUMPRODUCT((Inputs!$A$5:$A$230=$B47)*ISNUMBER(INDEX(Inputs!$K$5:$AJ$230,0,MATCH(AI$2,Inputs!$K$4:$AJ$4,0))))+SUMPRODUCT((Inputs!$C$5:$C$230=$B47)*ISNUMBER(INDEX(Inputs!$K$5:$AJ$230,0,MATCH(AI$2,Inputs!$K$4:$AJ$4,0))))+SUMPRODUCT((Inputs!$E$5:$E$230=$B47)*ISNUMBER(INDEX(Inputs!$K$5:$AJ$230,0,MATCH(AI$2,Inputs!$K$4:$AJ$4,0))))=0,NA(),SUMPRODUCT((Inputs!$A$5:$A$230=$B47)*Inputs!$B$5:$B$230*(((Inputs!$G$5:$G$230="moeda")+(Inputs!$G$5:$G$230="acoes"))*Inputs!$B$1+((Inputs!$G$5:$G$230&lt;&gt;"moeda")*(Inputs!$G$5:$G$230&lt;&gt;"acoes")))*INDEX(Inputs!$K$5:$AJ$230,0,MATCH(AI$2,Inputs!$K$4:$AJ$4,0)))+SUMPRODUCT((Inputs!$C$5:$C$230=$B47)*Inputs!$D$5:$D$230*(((Inputs!$G$5:$G$230="moeda")+(Inputs!$G$5:$G$230="acoes"))*Inputs!$B$1+((Inputs!$G$5:$G$230&lt;&gt;"moeda")*(Inputs!$G$5:$G$230&lt;&gt;"acoes")))*INDEX(Inputs!$K$5:$AJ$230,0,MATCH(AI$2,Inputs!$K$4:$AJ$4,0)))+SUMPRODUCT((Inputs!$E$5:$E$230=$B47)*Inputs!$F$5:$F$230*(((Inputs!$G$5:$G$230="moeda")+(Inputs!$G$5:$G$230="acoes"))*Inputs!$B$1+((Inputs!$G$5:$G$230&lt;&gt;"moeda")*(Inputs!$G$5:$G$230&lt;&gt;"acoes")))*INDEX(Inputs!$K$5:$AJ$230,0,MATCH(AI$2,Inputs!$K$4:$AJ$4,0)))))</f>
        <v>251.258</v>
      </c>
      <c r="AJ47" s="6">
        <f>IF(ISNA(MATCH(AJ$2,Inputs!$K$4:$AJ$4,0)),NA(),IF(SUMPRODUCT((Inputs!$A$5:$A$230=$B47)*ISNUMBER(INDEX(Inputs!$K$5:$AJ$230,0,MATCH(AJ$2,Inputs!$K$4:$AJ$4,0))))+SUMPRODUCT((Inputs!$C$5:$C$230=$B47)*ISNUMBER(INDEX(Inputs!$K$5:$AJ$230,0,MATCH(AJ$2,Inputs!$K$4:$AJ$4,0))))+SUMPRODUCT((Inputs!$E$5:$E$230=$B47)*ISNUMBER(INDEX(Inputs!$K$5:$AJ$230,0,MATCH(AJ$2,Inputs!$K$4:$AJ$4,0))))=0,NA(),SUMPRODUCT((Inputs!$A$5:$A$230=$B47)*Inputs!$B$5:$B$230*(((Inputs!$G$5:$G$230="moeda")+(Inputs!$G$5:$G$230="acoes"))*Inputs!$B$1+((Inputs!$G$5:$G$230&lt;&gt;"moeda")*(Inputs!$G$5:$G$230&lt;&gt;"acoes")))*INDEX(Inputs!$K$5:$AJ$230,0,MATCH(AJ$2,Inputs!$K$4:$AJ$4,0)))+SUMPRODUCT((Inputs!$C$5:$C$230=$B47)*Inputs!$D$5:$D$230*(((Inputs!$G$5:$G$230="moeda")+(Inputs!$G$5:$G$230="acoes"))*Inputs!$B$1+((Inputs!$G$5:$G$230&lt;&gt;"moeda")*(Inputs!$G$5:$G$230&lt;&gt;"acoes")))*INDEX(Inputs!$K$5:$AJ$230,0,MATCH(AJ$2,Inputs!$K$4:$AJ$4,0)))+SUMPRODUCT((Inputs!$E$5:$E$230=$B47)*Inputs!$F$5:$F$230*(((Inputs!$G$5:$G$230="moeda")+(Inputs!$G$5:$G$230="acoes"))*Inputs!$B$1+((Inputs!$G$5:$G$230&lt;&gt;"moeda")*(Inputs!$G$5:$G$230&lt;&gt;"acoes")))*INDEX(Inputs!$K$5:$AJ$230,0,MATCH(AJ$2,Inputs!$K$4:$AJ$4,0)))))</f>
        <v>432.472</v>
      </c>
      <c r="AK47" s="6">
        <f>IF(ISNA(MATCH(AK$2,Inputs!$K$4:$AJ$4,0)),NA(),IF(SUMPRODUCT((Inputs!$A$5:$A$230=$B47)*ISNUMBER(INDEX(Inputs!$K$5:$AJ$230,0,MATCH(AK$2,Inputs!$K$4:$AJ$4,0))))+SUMPRODUCT((Inputs!$C$5:$C$230=$B47)*ISNUMBER(INDEX(Inputs!$K$5:$AJ$230,0,MATCH(AK$2,Inputs!$K$4:$AJ$4,0))))+SUMPRODUCT((Inputs!$E$5:$E$230=$B47)*ISNUMBER(INDEX(Inputs!$K$5:$AJ$230,0,MATCH(AK$2,Inputs!$K$4:$AJ$4,0))))=0,NA(),SUMPRODUCT((Inputs!$A$5:$A$230=$B47)*Inputs!$B$5:$B$230*(((Inputs!$G$5:$G$230="moeda")+(Inputs!$G$5:$G$230="acoes"))*Inputs!$B$1+((Inputs!$G$5:$G$230&lt;&gt;"moeda")*(Inputs!$G$5:$G$230&lt;&gt;"acoes")))*INDEX(Inputs!$K$5:$AJ$230,0,MATCH(AK$2,Inputs!$K$4:$AJ$4,0)))+SUMPRODUCT((Inputs!$C$5:$C$230=$B47)*Inputs!$D$5:$D$230*(((Inputs!$G$5:$G$230="moeda")+(Inputs!$G$5:$G$230="acoes"))*Inputs!$B$1+((Inputs!$G$5:$G$230&lt;&gt;"moeda")*(Inputs!$G$5:$G$230&lt;&gt;"acoes")))*INDEX(Inputs!$K$5:$AJ$230,0,MATCH(AK$2,Inputs!$K$4:$AJ$4,0)))+SUMPRODUCT((Inputs!$E$5:$E$230=$B47)*Inputs!$F$5:$F$230*(((Inputs!$G$5:$G$230="moeda")+(Inputs!$G$5:$G$230="acoes"))*Inputs!$B$1+((Inputs!$G$5:$G$230&lt;&gt;"moeda")*(Inputs!$G$5:$G$230&lt;&gt;"acoes")))*INDEX(Inputs!$K$5:$AJ$230,0,MATCH(AK$2,Inputs!$K$4:$AJ$4,0)))))</f>
        <v>0</v>
      </c>
      <c r="AL47" s="3">
        <f>AK47</f>
        <v>0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 Alupar) - memo p/ check IS [Model linha 4]</t>
        </is>
      </c>
      <c r="D50" s="6">
        <f>IF(ISNA(MATCH(D$2,Inputs!$K$4:$AJ$4,0)),NA(),IF(SUMPRODUCT((Inputs!$A$5:$A$230=$B50)*ISNUMBER(INDEX(Inputs!$K$5:$AJ$230,0,MATCH(D$2,Inputs!$K$4:$AJ$4,0))))+SUMPRODUCT((Inputs!$C$5:$C$230=$B50)*ISNUMBER(INDEX(Inputs!$K$5:$AJ$230,0,MATCH(D$2,Inputs!$K$4:$AJ$4,0))))+SUMPRODUCT((Inputs!$E$5:$E$230=$B50)*ISNUMBER(INDEX(Inputs!$K$5:$AJ$230,0,MATCH(D$2,Inputs!$K$4:$AJ$4,0))))=0,NA(),SUMPRODUCT((Inputs!$A$5:$A$230=$B50)*Inputs!$B$5:$B$230*(((Inputs!$G$5:$G$230="moeda")+(Inputs!$G$5:$G$230="acoes"))*Inputs!$B$1+((Inputs!$G$5:$G$230&lt;&gt;"moeda")*(Inputs!$G$5:$G$230&lt;&gt;"acoes")))*INDEX(Inputs!$K$5:$AJ$230,0,MATCH(D$2,Inputs!$K$4:$AJ$4,0)))+SUMPRODUCT((Inputs!$C$5:$C$230=$B50)*Inputs!$D$5:$D$230*(((Inputs!$G$5:$G$230="moeda")+(Inputs!$G$5:$G$230="acoes"))*Inputs!$B$1+((Inputs!$G$5:$G$230&lt;&gt;"moeda")*(Inputs!$G$5:$G$230&lt;&gt;"acoes")))*INDEX(Inputs!$K$5:$AJ$230,0,MATCH(D$2,Inputs!$K$4:$AJ$4,0)))+SUMPRODUCT((Inputs!$E$5:$E$230=$B50)*Inputs!$F$5:$F$230*(((Inputs!$G$5:$G$230="moeda")+(Inputs!$G$5:$G$230="acoes"))*Inputs!$B$1+((Inputs!$G$5:$G$230&lt;&gt;"moeda")*(Inputs!$G$5:$G$230&lt;&gt;"acoes")))*INDEX(Inputs!$K$5:$AJ$230,0,MATCH(D$2,Inputs!$K$4:$AJ$4,0)))))</f>
        <v>323.416</v>
      </c>
      <c r="E50" s="6">
        <f>IF(ISNA(MATCH(E$2,Inputs!$K$4:$AJ$4,0)),NA(),IF(SUMPRODUCT((Inputs!$A$5:$A$230=$B50)*ISNUMBER(INDEX(Inputs!$K$5:$AJ$230,0,MATCH(E$2,Inputs!$K$4:$AJ$4,0))))+SUMPRODUCT((Inputs!$C$5:$C$230=$B50)*ISNUMBER(INDEX(Inputs!$K$5:$AJ$230,0,MATCH(E$2,Inputs!$K$4:$AJ$4,0))))+SUMPRODUCT((Inputs!$E$5:$E$230=$B50)*ISNUMBER(INDEX(Inputs!$K$5:$AJ$230,0,MATCH(E$2,Inputs!$K$4:$AJ$4,0))))=0,NA(),SUMPRODUCT((Inputs!$A$5:$A$230=$B50)*Inputs!$B$5:$B$230*(((Inputs!$G$5:$G$230="moeda")+(Inputs!$G$5:$G$230="acoes"))*Inputs!$B$1+((Inputs!$G$5:$G$230&lt;&gt;"moeda")*(Inputs!$G$5:$G$230&lt;&gt;"acoes")))*INDEX(Inputs!$K$5:$AJ$230,0,MATCH(E$2,Inputs!$K$4:$AJ$4,0)))+SUMPRODUCT((Inputs!$C$5:$C$230=$B50)*Inputs!$D$5:$D$230*(((Inputs!$G$5:$G$230="moeda")+(Inputs!$G$5:$G$230="acoes"))*Inputs!$B$1+((Inputs!$G$5:$G$230&lt;&gt;"moeda")*(Inputs!$G$5:$G$230&lt;&gt;"acoes")))*INDEX(Inputs!$K$5:$AJ$230,0,MATCH(E$2,Inputs!$K$4:$AJ$4,0)))+SUMPRODUCT((Inputs!$E$5:$E$230=$B50)*Inputs!$F$5:$F$230*(((Inputs!$G$5:$G$230="moeda")+(Inputs!$G$5:$G$230="acoes"))*Inputs!$B$1+((Inputs!$G$5:$G$230&lt;&gt;"moeda")*(Inputs!$G$5:$G$230&lt;&gt;"acoes")))*INDEX(Inputs!$K$5:$AJ$230,0,MATCH(E$2,Inputs!$K$4:$AJ$4,0)))))</f>
        <v>332.345</v>
      </c>
      <c r="F50" s="6">
        <f>IF(ISNA(MATCH(F$2,Inputs!$K$4:$AJ$4,0)),NA(),IF(SUMPRODUCT((Inputs!$A$5:$A$230=$B50)*ISNUMBER(INDEX(Inputs!$K$5:$AJ$230,0,MATCH(F$2,Inputs!$K$4:$AJ$4,0))))+SUMPRODUCT((Inputs!$C$5:$C$230=$B50)*ISNUMBER(INDEX(Inputs!$K$5:$AJ$230,0,MATCH(F$2,Inputs!$K$4:$AJ$4,0))))+SUMPRODUCT((Inputs!$E$5:$E$230=$B50)*ISNUMBER(INDEX(Inputs!$K$5:$AJ$230,0,MATCH(F$2,Inputs!$K$4:$AJ$4,0))))=0,NA(),SUMPRODUCT((Inputs!$A$5:$A$230=$B50)*Inputs!$B$5:$B$230*(((Inputs!$G$5:$G$230="moeda")+(Inputs!$G$5:$G$230="acoes"))*Inputs!$B$1+((Inputs!$G$5:$G$230&lt;&gt;"moeda")*(Inputs!$G$5:$G$230&lt;&gt;"acoes")))*INDEX(Inputs!$K$5:$AJ$230,0,MATCH(F$2,Inputs!$K$4:$AJ$4,0)))+SUMPRODUCT((Inputs!$C$5:$C$230=$B50)*Inputs!$D$5:$D$230*(((Inputs!$G$5:$G$230="moeda")+(Inputs!$G$5:$G$230="acoes"))*Inputs!$B$1+((Inputs!$G$5:$G$230&lt;&gt;"moeda")*(Inputs!$G$5:$G$230&lt;&gt;"acoes")))*INDEX(Inputs!$K$5:$AJ$230,0,MATCH(F$2,Inputs!$K$4:$AJ$4,0)))+SUMPRODUCT((Inputs!$E$5:$E$230=$B50)*Inputs!$F$5:$F$230*(((Inputs!$G$5:$G$230="moeda")+(Inputs!$G$5:$G$230="acoes"))*Inputs!$B$1+((Inputs!$G$5:$G$230&lt;&gt;"moeda")*(Inputs!$G$5:$G$230&lt;&gt;"acoes")))*INDEX(Inputs!$K$5:$AJ$230,0,MATCH(F$2,Inputs!$K$4:$AJ$4,0)))))</f>
        <v>240.316</v>
      </c>
      <c r="G50" s="6">
        <f>IF(ISNA(MATCH(G$2,Inputs!$K$4:$AJ$4,0)),NA(),IF(SUMPRODUCT((Inputs!$A$5:$A$230=$B50)*ISNUMBER(INDEX(Inputs!$K$5:$AJ$230,0,MATCH(G$2,Inputs!$K$4:$AJ$4,0))))+SUMPRODUCT((Inputs!$C$5:$C$230=$B50)*ISNUMBER(INDEX(Inputs!$K$5:$AJ$230,0,MATCH(G$2,Inputs!$K$4:$AJ$4,0))))+SUMPRODUCT((Inputs!$E$5:$E$230=$B50)*ISNUMBER(INDEX(Inputs!$K$5:$AJ$230,0,MATCH(G$2,Inputs!$K$4:$AJ$4,0))))=0,NA(),SUMPRODUCT((Inputs!$A$5:$A$230=$B50)*Inputs!$B$5:$B$230*(((Inputs!$G$5:$G$230="moeda")+(Inputs!$G$5:$G$230="acoes"))*Inputs!$B$1+((Inputs!$G$5:$G$230&lt;&gt;"moeda")*(Inputs!$G$5:$G$230&lt;&gt;"acoes")))*INDEX(Inputs!$K$5:$AJ$230,0,MATCH(G$2,Inputs!$K$4:$AJ$4,0)))+SUMPRODUCT((Inputs!$C$5:$C$230=$B50)*Inputs!$D$5:$D$230*(((Inputs!$G$5:$G$230="moeda")+(Inputs!$G$5:$G$230="acoes"))*Inputs!$B$1+((Inputs!$G$5:$G$230&lt;&gt;"moeda")*(Inputs!$G$5:$G$230&lt;&gt;"acoes")))*INDEX(Inputs!$K$5:$AJ$230,0,MATCH(G$2,Inputs!$K$4:$AJ$4,0)))+SUMPRODUCT((Inputs!$E$5:$E$230=$B50)*Inputs!$F$5:$F$230*(((Inputs!$G$5:$G$230="moeda")+(Inputs!$G$5:$G$230="acoes"))*Inputs!$B$1+((Inputs!$G$5:$G$230&lt;&gt;"moeda")*(Inputs!$G$5:$G$230&lt;&gt;"acoes")))*INDEX(Inputs!$K$5:$AJ$230,0,MATCH(G$2,Inputs!$K$4:$AJ$4,0)))))</f>
        <v>219.324</v>
      </c>
      <c r="H50" s="3">
        <f>SUM(D50:G50)</f>
        <v>1115.401</v>
      </c>
      <c r="I50" s="6">
        <f>IF(ISNA(MATCH(I$2,Inputs!$K$4:$AJ$4,0)),NA(),IF(SUMPRODUCT((Inputs!$A$5:$A$230=$B50)*ISNUMBER(INDEX(Inputs!$K$5:$AJ$230,0,MATCH(I$2,Inputs!$K$4:$AJ$4,0))))+SUMPRODUCT((Inputs!$C$5:$C$230=$B50)*ISNUMBER(INDEX(Inputs!$K$5:$AJ$230,0,MATCH(I$2,Inputs!$K$4:$AJ$4,0))))+SUMPRODUCT((Inputs!$E$5:$E$230=$B50)*ISNUMBER(INDEX(Inputs!$K$5:$AJ$230,0,MATCH(I$2,Inputs!$K$4:$AJ$4,0))))=0,NA(),SUMPRODUCT((Inputs!$A$5:$A$230=$B50)*Inputs!$B$5:$B$230*(((Inputs!$G$5:$G$230="moeda")+(Inputs!$G$5:$G$230="acoes"))*Inputs!$B$1+((Inputs!$G$5:$G$230&lt;&gt;"moeda")*(Inputs!$G$5:$G$230&lt;&gt;"acoes")))*INDEX(Inputs!$K$5:$AJ$230,0,MATCH(I$2,Inputs!$K$4:$AJ$4,0)))+SUMPRODUCT((Inputs!$C$5:$C$230=$B50)*Inputs!$D$5:$D$230*(((Inputs!$G$5:$G$230="moeda")+(Inputs!$G$5:$G$230="acoes"))*Inputs!$B$1+((Inputs!$G$5:$G$230&lt;&gt;"moeda")*(Inputs!$G$5:$G$230&lt;&gt;"acoes")))*INDEX(Inputs!$K$5:$AJ$230,0,MATCH(I$2,Inputs!$K$4:$AJ$4,0)))+SUMPRODUCT((Inputs!$E$5:$E$230=$B50)*Inputs!$F$5:$F$230*(((Inputs!$G$5:$G$230="moeda")+(Inputs!$G$5:$G$230="acoes"))*Inputs!$B$1+((Inputs!$G$5:$G$230&lt;&gt;"moeda")*(Inputs!$G$5:$G$230&lt;&gt;"acoes")))*INDEX(Inputs!$K$5:$AJ$230,0,MATCH(I$2,Inputs!$K$4:$AJ$4,0)))))</f>
        <v>430.979</v>
      </c>
      <c r="J50" s="6">
        <f>IF(ISNA(MATCH(J$2,Inputs!$K$4:$AJ$4,0)),NA(),IF(SUMPRODUCT((Inputs!$A$5:$A$230=$B50)*ISNUMBER(INDEX(Inputs!$K$5:$AJ$230,0,MATCH(J$2,Inputs!$K$4:$AJ$4,0))))+SUMPRODUCT((Inputs!$C$5:$C$230=$B50)*ISNUMBER(INDEX(Inputs!$K$5:$AJ$230,0,MATCH(J$2,Inputs!$K$4:$AJ$4,0))))+SUMPRODUCT((Inputs!$E$5:$E$230=$B50)*ISNUMBER(INDEX(Inputs!$K$5:$AJ$230,0,MATCH(J$2,Inputs!$K$4:$AJ$4,0))))=0,NA(),SUMPRODUCT((Inputs!$A$5:$A$230=$B50)*Inputs!$B$5:$B$230*(((Inputs!$G$5:$G$230="moeda")+(Inputs!$G$5:$G$230="acoes"))*Inputs!$B$1+((Inputs!$G$5:$G$230&lt;&gt;"moeda")*(Inputs!$G$5:$G$230&lt;&gt;"acoes")))*INDEX(Inputs!$K$5:$AJ$230,0,MATCH(J$2,Inputs!$K$4:$AJ$4,0)))+SUMPRODUCT((Inputs!$C$5:$C$230=$B50)*Inputs!$D$5:$D$230*(((Inputs!$G$5:$G$230="moeda")+(Inputs!$G$5:$G$230="acoes"))*Inputs!$B$1+((Inputs!$G$5:$G$230&lt;&gt;"moeda")*(Inputs!$G$5:$G$230&lt;&gt;"acoes")))*INDEX(Inputs!$K$5:$AJ$230,0,MATCH(J$2,Inputs!$K$4:$AJ$4,0)))+SUMPRODUCT((Inputs!$E$5:$E$230=$B50)*Inputs!$F$5:$F$230*(((Inputs!$G$5:$G$230="moeda")+(Inputs!$G$5:$G$230="acoes"))*Inputs!$B$1+((Inputs!$G$5:$G$230&lt;&gt;"moeda")*(Inputs!$G$5:$G$230&lt;&gt;"acoes")))*INDEX(Inputs!$K$5:$AJ$230,0,MATCH(J$2,Inputs!$K$4:$AJ$4,0)))))</f>
        <v>180.008</v>
      </c>
      <c r="K50" s="6">
        <f>IF(ISNA(MATCH(K$2,Inputs!$K$4:$AJ$4,0)),NA(),IF(SUMPRODUCT((Inputs!$A$5:$A$230=$B50)*ISNUMBER(INDEX(Inputs!$K$5:$AJ$230,0,MATCH(K$2,Inputs!$K$4:$AJ$4,0))))+SUMPRODUCT((Inputs!$C$5:$C$230=$B50)*ISNUMBER(INDEX(Inputs!$K$5:$AJ$230,0,MATCH(K$2,Inputs!$K$4:$AJ$4,0))))+SUMPRODUCT((Inputs!$E$5:$E$230=$B50)*ISNUMBER(INDEX(Inputs!$K$5:$AJ$230,0,MATCH(K$2,Inputs!$K$4:$AJ$4,0))))=0,NA(),SUMPRODUCT((Inputs!$A$5:$A$230=$B50)*Inputs!$B$5:$B$230*(((Inputs!$G$5:$G$230="moeda")+(Inputs!$G$5:$G$230="acoes"))*Inputs!$B$1+((Inputs!$G$5:$G$230&lt;&gt;"moeda")*(Inputs!$G$5:$G$230&lt;&gt;"acoes")))*INDEX(Inputs!$K$5:$AJ$230,0,MATCH(K$2,Inputs!$K$4:$AJ$4,0)))+SUMPRODUCT((Inputs!$C$5:$C$230=$B50)*Inputs!$D$5:$D$230*(((Inputs!$G$5:$G$230="moeda")+(Inputs!$G$5:$G$230="acoes"))*Inputs!$B$1+((Inputs!$G$5:$G$230&lt;&gt;"moeda")*(Inputs!$G$5:$G$230&lt;&gt;"acoes")))*INDEX(Inputs!$K$5:$AJ$230,0,MATCH(K$2,Inputs!$K$4:$AJ$4,0)))+SUMPRODUCT((Inputs!$E$5:$E$230=$B50)*Inputs!$F$5:$F$230*(((Inputs!$G$5:$G$230="moeda")+(Inputs!$G$5:$G$230="acoes"))*Inputs!$B$1+((Inputs!$G$5:$G$230&lt;&gt;"moeda")*(Inputs!$G$5:$G$230&lt;&gt;"acoes")))*INDEX(Inputs!$K$5:$AJ$230,0,MATCH(K$2,Inputs!$K$4:$AJ$4,0)))))</f>
        <v>115.676</v>
      </c>
      <c r="L50" s="6">
        <f>IF(ISNA(MATCH(L$2,Inputs!$K$4:$AJ$4,0)),NA(),IF(SUMPRODUCT((Inputs!$A$5:$A$230=$B50)*ISNUMBER(INDEX(Inputs!$K$5:$AJ$230,0,MATCH(L$2,Inputs!$K$4:$AJ$4,0))))+SUMPRODUCT((Inputs!$C$5:$C$230=$B50)*ISNUMBER(INDEX(Inputs!$K$5:$AJ$230,0,MATCH(L$2,Inputs!$K$4:$AJ$4,0))))+SUMPRODUCT((Inputs!$E$5:$E$230=$B50)*ISNUMBER(INDEX(Inputs!$K$5:$AJ$230,0,MATCH(L$2,Inputs!$K$4:$AJ$4,0))))=0,NA(),SUMPRODUCT((Inputs!$A$5:$A$230=$B50)*Inputs!$B$5:$B$230*(((Inputs!$G$5:$G$230="moeda")+(Inputs!$G$5:$G$230="acoes"))*Inputs!$B$1+((Inputs!$G$5:$G$230&lt;&gt;"moeda")*(Inputs!$G$5:$G$230&lt;&gt;"acoes")))*INDEX(Inputs!$K$5:$AJ$230,0,MATCH(L$2,Inputs!$K$4:$AJ$4,0)))+SUMPRODUCT((Inputs!$C$5:$C$230=$B50)*Inputs!$D$5:$D$230*(((Inputs!$G$5:$G$230="moeda")+(Inputs!$G$5:$G$230="acoes"))*Inputs!$B$1+((Inputs!$G$5:$G$230&lt;&gt;"moeda")*(Inputs!$G$5:$G$230&lt;&gt;"acoes")))*INDEX(Inputs!$K$5:$AJ$230,0,MATCH(L$2,Inputs!$K$4:$AJ$4,0)))+SUMPRODUCT((Inputs!$E$5:$E$230=$B50)*Inputs!$F$5:$F$230*(((Inputs!$G$5:$G$230="moeda")+(Inputs!$G$5:$G$230="acoes"))*Inputs!$B$1+((Inputs!$G$5:$G$230&lt;&gt;"moeda")*(Inputs!$G$5:$G$230&lt;&gt;"acoes")))*INDEX(Inputs!$K$5:$AJ$230,0,MATCH(L$2,Inputs!$K$4:$AJ$4,0)))))</f>
        <v>191.803</v>
      </c>
      <c r="M50" s="3">
        <f>SUM(I50:L50)</f>
        <v>918.466</v>
      </c>
      <c r="N50" s="6">
        <f>IF(ISNA(MATCH(N$2,Inputs!$K$4:$AJ$4,0)),NA(),IF(SUMPRODUCT((Inputs!$A$5:$A$230=$B50)*ISNUMBER(INDEX(Inputs!$K$5:$AJ$230,0,MATCH(N$2,Inputs!$K$4:$AJ$4,0))))+SUMPRODUCT((Inputs!$C$5:$C$230=$B50)*ISNUMBER(INDEX(Inputs!$K$5:$AJ$230,0,MATCH(N$2,Inputs!$K$4:$AJ$4,0))))+SUMPRODUCT((Inputs!$E$5:$E$230=$B50)*ISNUMBER(INDEX(Inputs!$K$5:$AJ$230,0,MATCH(N$2,Inputs!$K$4:$AJ$4,0))))=0,NA(),SUMPRODUCT((Inputs!$A$5:$A$230=$B50)*Inputs!$B$5:$B$230*(((Inputs!$G$5:$G$230="moeda")+(Inputs!$G$5:$G$230="acoes"))*Inputs!$B$1+((Inputs!$G$5:$G$230&lt;&gt;"moeda")*(Inputs!$G$5:$G$230&lt;&gt;"acoes")))*INDEX(Inputs!$K$5:$AJ$230,0,MATCH(N$2,Inputs!$K$4:$AJ$4,0)))+SUMPRODUCT((Inputs!$C$5:$C$230=$B50)*Inputs!$D$5:$D$230*(((Inputs!$G$5:$G$230="moeda")+(Inputs!$G$5:$G$230="acoes"))*Inputs!$B$1+((Inputs!$G$5:$G$230&lt;&gt;"moeda")*(Inputs!$G$5:$G$230&lt;&gt;"acoes")))*INDEX(Inputs!$K$5:$AJ$230,0,MATCH(N$2,Inputs!$K$4:$AJ$4,0)))+SUMPRODUCT((Inputs!$E$5:$E$230=$B50)*Inputs!$F$5:$F$230*(((Inputs!$G$5:$G$230="moeda")+(Inputs!$G$5:$G$230="acoes"))*Inputs!$B$1+((Inputs!$G$5:$G$230&lt;&gt;"moeda")*(Inputs!$G$5:$G$230&lt;&gt;"acoes")))*INDEX(Inputs!$K$5:$AJ$230,0,MATCH(N$2,Inputs!$K$4:$AJ$4,0)))))</f>
        <v>230.71</v>
      </c>
      <c r="O50" s="6">
        <f>IF(ISNA(MATCH(O$2,Inputs!$K$4:$AJ$4,0)),NA(),IF(SUMPRODUCT((Inputs!$A$5:$A$230=$B50)*ISNUMBER(INDEX(Inputs!$K$5:$AJ$230,0,MATCH(O$2,Inputs!$K$4:$AJ$4,0))))+SUMPRODUCT((Inputs!$C$5:$C$230=$B50)*ISNUMBER(INDEX(Inputs!$K$5:$AJ$230,0,MATCH(O$2,Inputs!$K$4:$AJ$4,0))))+SUMPRODUCT((Inputs!$E$5:$E$230=$B50)*ISNUMBER(INDEX(Inputs!$K$5:$AJ$230,0,MATCH(O$2,Inputs!$K$4:$AJ$4,0))))=0,NA(),SUMPRODUCT((Inputs!$A$5:$A$230=$B50)*Inputs!$B$5:$B$230*(((Inputs!$G$5:$G$230="moeda")+(Inputs!$G$5:$G$230="acoes"))*Inputs!$B$1+((Inputs!$G$5:$G$230&lt;&gt;"moeda")*(Inputs!$G$5:$G$230&lt;&gt;"acoes")))*INDEX(Inputs!$K$5:$AJ$230,0,MATCH(O$2,Inputs!$K$4:$AJ$4,0)))+SUMPRODUCT((Inputs!$C$5:$C$230=$B50)*Inputs!$D$5:$D$230*(((Inputs!$G$5:$G$230="moeda")+(Inputs!$G$5:$G$230="acoes"))*Inputs!$B$1+((Inputs!$G$5:$G$230&lt;&gt;"moeda")*(Inputs!$G$5:$G$230&lt;&gt;"acoes")))*INDEX(Inputs!$K$5:$AJ$230,0,MATCH(O$2,Inputs!$K$4:$AJ$4,0)))+SUMPRODUCT((Inputs!$E$5:$E$230=$B50)*Inputs!$F$5:$F$230*(((Inputs!$G$5:$G$230="moeda")+(Inputs!$G$5:$G$230="acoes"))*Inputs!$B$1+((Inputs!$G$5:$G$230&lt;&gt;"moeda")*(Inputs!$G$5:$G$230&lt;&gt;"acoes")))*INDEX(Inputs!$K$5:$AJ$230,0,MATCH(O$2,Inputs!$K$4:$AJ$4,0)))))</f>
        <v>222.186</v>
      </c>
      <c r="P50" s="6">
        <f>IF(ISNA(MATCH(P$2,Inputs!$K$4:$AJ$4,0)),NA(),IF(SUMPRODUCT((Inputs!$A$5:$A$230=$B50)*ISNUMBER(INDEX(Inputs!$K$5:$AJ$230,0,MATCH(P$2,Inputs!$K$4:$AJ$4,0))))+SUMPRODUCT((Inputs!$C$5:$C$230=$B50)*ISNUMBER(INDEX(Inputs!$K$5:$AJ$230,0,MATCH(P$2,Inputs!$K$4:$AJ$4,0))))+SUMPRODUCT((Inputs!$E$5:$E$230=$B50)*ISNUMBER(INDEX(Inputs!$K$5:$AJ$230,0,MATCH(P$2,Inputs!$K$4:$AJ$4,0))))=0,NA(),SUMPRODUCT((Inputs!$A$5:$A$230=$B50)*Inputs!$B$5:$B$230*(((Inputs!$G$5:$G$230="moeda")+(Inputs!$G$5:$G$230="acoes"))*Inputs!$B$1+((Inputs!$G$5:$G$230&lt;&gt;"moeda")*(Inputs!$G$5:$G$230&lt;&gt;"acoes")))*INDEX(Inputs!$K$5:$AJ$230,0,MATCH(P$2,Inputs!$K$4:$AJ$4,0)))+SUMPRODUCT((Inputs!$C$5:$C$230=$B50)*Inputs!$D$5:$D$230*(((Inputs!$G$5:$G$230="moeda")+(Inputs!$G$5:$G$230="acoes"))*Inputs!$B$1+((Inputs!$G$5:$G$230&lt;&gt;"moeda")*(Inputs!$G$5:$G$230&lt;&gt;"acoes")))*INDEX(Inputs!$K$5:$AJ$230,0,MATCH(P$2,Inputs!$K$4:$AJ$4,0)))+SUMPRODUCT((Inputs!$E$5:$E$230=$B50)*Inputs!$F$5:$F$230*(((Inputs!$G$5:$G$230="moeda")+(Inputs!$G$5:$G$230="acoes"))*Inputs!$B$1+((Inputs!$G$5:$G$230&lt;&gt;"moeda")*(Inputs!$G$5:$G$230&lt;&gt;"acoes")))*INDEX(Inputs!$K$5:$AJ$230,0,MATCH(P$2,Inputs!$K$4:$AJ$4,0)))))</f>
        <v>100.005</v>
      </c>
      <c r="Q50" s="6">
        <f>IF(ISNA(MATCH(Q$2,Inputs!$K$4:$AJ$4,0)),NA(),IF(SUMPRODUCT((Inputs!$A$5:$A$230=$B50)*ISNUMBER(INDEX(Inputs!$K$5:$AJ$230,0,MATCH(Q$2,Inputs!$K$4:$AJ$4,0))))+SUMPRODUCT((Inputs!$C$5:$C$230=$B50)*ISNUMBER(INDEX(Inputs!$K$5:$AJ$230,0,MATCH(Q$2,Inputs!$K$4:$AJ$4,0))))+SUMPRODUCT((Inputs!$E$5:$E$230=$B50)*ISNUMBER(INDEX(Inputs!$K$5:$AJ$230,0,MATCH(Q$2,Inputs!$K$4:$AJ$4,0))))=0,NA(),SUMPRODUCT((Inputs!$A$5:$A$230=$B50)*Inputs!$B$5:$B$230*(((Inputs!$G$5:$G$230="moeda")+(Inputs!$G$5:$G$230="acoes"))*Inputs!$B$1+((Inputs!$G$5:$G$230&lt;&gt;"moeda")*(Inputs!$G$5:$G$230&lt;&gt;"acoes")))*INDEX(Inputs!$K$5:$AJ$230,0,MATCH(Q$2,Inputs!$K$4:$AJ$4,0)))+SUMPRODUCT((Inputs!$C$5:$C$230=$B50)*Inputs!$D$5:$D$230*(((Inputs!$G$5:$G$230="moeda")+(Inputs!$G$5:$G$230="acoes"))*Inputs!$B$1+((Inputs!$G$5:$G$230&lt;&gt;"moeda")*(Inputs!$G$5:$G$230&lt;&gt;"acoes")))*INDEX(Inputs!$K$5:$AJ$230,0,MATCH(Q$2,Inputs!$K$4:$AJ$4,0)))+SUMPRODUCT((Inputs!$E$5:$E$230=$B50)*Inputs!$F$5:$F$230*(((Inputs!$G$5:$G$230="moeda")+(Inputs!$G$5:$G$230="acoes"))*Inputs!$B$1+((Inputs!$G$5:$G$230&lt;&gt;"moeda")*(Inputs!$G$5:$G$230&lt;&gt;"acoes")))*INDEX(Inputs!$K$5:$AJ$230,0,MATCH(Q$2,Inputs!$K$4:$AJ$4,0)))))</f>
        <v>141.162</v>
      </c>
      <c r="R50" s="3">
        <f>SUM(N50:Q50)</f>
        <v>694.063</v>
      </c>
      <c r="S50" s="6">
        <f>IF(ISNA(MATCH(S$2,Inputs!$K$4:$AJ$4,0)),NA(),IF(SUMPRODUCT((Inputs!$A$5:$A$230=$B50)*ISNUMBER(INDEX(Inputs!$K$5:$AJ$230,0,MATCH(S$2,Inputs!$K$4:$AJ$4,0))))+SUMPRODUCT((Inputs!$C$5:$C$230=$B50)*ISNUMBER(INDEX(Inputs!$K$5:$AJ$230,0,MATCH(S$2,Inputs!$K$4:$AJ$4,0))))+SUMPRODUCT((Inputs!$E$5:$E$230=$B50)*ISNUMBER(INDEX(Inputs!$K$5:$AJ$230,0,MATCH(S$2,Inputs!$K$4:$AJ$4,0))))=0,NA(),SUMPRODUCT((Inputs!$A$5:$A$230=$B50)*Inputs!$B$5:$B$230*(((Inputs!$G$5:$G$230="moeda")+(Inputs!$G$5:$G$230="acoes"))*Inputs!$B$1+((Inputs!$G$5:$G$230&lt;&gt;"moeda")*(Inputs!$G$5:$G$230&lt;&gt;"acoes")))*INDEX(Inputs!$K$5:$AJ$230,0,MATCH(S$2,Inputs!$K$4:$AJ$4,0)))+SUMPRODUCT((Inputs!$C$5:$C$230=$B50)*Inputs!$D$5:$D$230*(((Inputs!$G$5:$G$230="moeda")+(Inputs!$G$5:$G$230="acoes"))*Inputs!$B$1+((Inputs!$G$5:$G$230&lt;&gt;"moeda")*(Inputs!$G$5:$G$230&lt;&gt;"acoes")))*INDEX(Inputs!$K$5:$AJ$230,0,MATCH(S$2,Inputs!$K$4:$AJ$4,0)))+SUMPRODUCT((Inputs!$E$5:$E$230=$B50)*Inputs!$F$5:$F$230*(((Inputs!$G$5:$G$230="moeda")+(Inputs!$G$5:$G$230="acoes"))*Inputs!$B$1+((Inputs!$G$5:$G$230&lt;&gt;"moeda")*(Inputs!$G$5:$G$230&lt;&gt;"acoes")))*INDEX(Inputs!$K$5:$AJ$230,0,MATCH(S$2,Inputs!$K$4:$AJ$4,0)))))</f>
        <v>254.944</v>
      </c>
      <c r="T50" s="6">
        <f>IF(ISNA(MATCH(T$2,Inputs!$K$4:$AJ$4,0)),NA(),IF(SUMPRODUCT((Inputs!$A$5:$A$230=$B50)*ISNUMBER(INDEX(Inputs!$K$5:$AJ$230,0,MATCH(T$2,Inputs!$K$4:$AJ$4,0))))+SUMPRODUCT((Inputs!$C$5:$C$230=$B50)*ISNUMBER(INDEX(Inputs!$K$5:$AJ$230,0,MATCH(T$2,Inputs!$K$4:$AJ$4,0))))+SUMPRODUCT((Inputs!$E$5:$E$230=$B50)*ISNUMBER(INDEX(Inputs!$K$5:$AJ$230,0,MATCH(T$2,Inputs!$K$4:$AJ$4,0))))=0,NA(),SUMPRODUCT((Inputs!$A$5:$A$230=$B50)*Inputs!$B$5:$B$230*(((Inputs!$G$5:$G$230="moeda")+(Inputs!$G$5:$G$230="acoes"))*Inputs!$B$1+((Inputs!$G$5:$G$230&lt;&gt;"moeda")*(Inputs!$G$5:$G$230&lt;&gt;"acoes")))*INDEX(Inputs!$K$5:$AJ$230,0,MATCH(T$2,Inputs!$K$4:$AJ$4,0)))+SUMPRODUCT((Inputs!$C$5:$C$230=$B50)*Inputs!$D$5:$D$230*(((Inputs!$G$5:$G$230="moeda")+(Inputs!$G$5:$G$230="acoes"))*Inputs!$B$1+((Inputs!$G$5:$G$230&lt;&gt;"moeda")*(Inputs!$G$5:$G$230&lt;&gt;"acoes")))*INDEX(Inputs!$K$5:$AJ$230,0,MATCH(T$2,Inputs!$K$4:$AJ$4,0)))+SUMPRODUCT((Inputs!$E$5:$E$230=$B50)*Inputs!$F$5:$F$230*(((Inputs!$G$5:$G$230="moeda")+(Inputs!$G$5:$G$230="acoes"))*Inputs!$B$1+((Inputs!$G$5:$G$230&lt;&gt;"moeda")*(Inputs!$G$5:$G$230&lt;&gt;"acoes")))*INDEX(Inputs!$K$5:$AJ$230,0,MATCH(T$2,Inputs!$K$4:$AJ$4,0)))))</f>
        <v>237.07</v>
      </c>
      <c r="U50" s="6">
        <f>IF(ISNA(MATCH(U$2,Inputs!$K$4:$AJ$4,0)),NA(),IF(SUMPRODUCT((Inputs!$A$5:$A$230=$B50)*ISNUMBER(INDEX(Inputs!$K$5:$AJ$230,0,MATCH(U$2,Inputs!$K$4:$AJ$4,0))))+SUMPRODUCT((Inputs!$C$5:$C$230=$B50)*ISNUMBER(INDEX(Inputs!$K$5:$AJ$230,0,MATCH(U$2,Inputs!$K$4:$AJ$4,0))))+SUMPRODUCT((Inputs!$E$5:$E$230=$B50)*ISNUMBER(INDEX(Inputs!$K$5:$AJ$230,0,MATCH(U$2,Inputs!$K$4:$AJ$4,0))))=0,NA(),SUMPRODUCT((Inputs!$A$5:$A$230=$B50)*Inputs!$B$5:$B$230*(((Inputs!$G$5:$G$230="moeda")+(Inputs!$G$5:$G$230="acoes"))*Inputs!$B$1+((Inputs!$G$5:$G$230&lt;&gt;"moeda")*(Inputs!$G$5:$G$230&lt;&gt;"acoes")))*INDEX(Inputs!$K$5:$AJ$230,0,MATCH(U$2,Inputs!$K$4:$AJ$4,0)))+SUMPRODUCT((Inputs!$C$5:$C$230=$B50)*Inputs!$D$5:$D$230*(((Inputs!$G$5:$G$230="moeda")+(Inputs!$G$5:$G$230="acoes"))*Inputs!$B$1+((Inputs!$G$5:$G$230&lt;&gt;"moeda")*(Inputs!$G$5:$G$230&lt;&gt;"acoes")))*INDEX(Inputs!$K$5:$AJ$230,0,MATCH(U$2,Inputs!$K$4:$AJ$4,0)))+SUMPRODUCT((Inputs!$E$5:$E$230=$B50)*Inputs!$F$5:$F$230*(((Inputs!$G$5:$G$230="moeda")+(Inputs!$G$5:$G$230="acoes"))*Inputs!$B$1+((Inputs!$G$5:$G$230&lt;&gt;"moeda")*(Inputs!$G$5:$G$230&lt;&gt;"acoes")))*INDEX(Inputs!$K$5:$AJ$230,0,MATCH(U$2,Inputs!$K$4:$AJ$4,0)))))</f>
        <v>363.754</v>
      </c>
      <c r="V50" s="6">
        <f>IF(ISNA(MATCH(V$2,Inputs!$K$4:$AJ$4,0)),NA(),IF(SUMPRODUCT((Inputs!$A$5:$A$230=$B50)*ISNUMBER(INDEX(Inputs!$K$5:$AJ$230,0,MATCH(V$2,Inputs!$K$4:$AJ$4,0))))+SUMPRODUCT((Inputs!$C$5:$C$230=$B50)*ISNUMBER(INDEX(Inputs!$K$5:$AJ$230,0,MATCH(V$2,Inputs!$K$4:$AJ$4,0))))+SUMPRODUCT((Inputs!$E$5:$E$230=$B50)*ISNUMBER(INDEX(Inputs!$K$5:$AJ$230,0,MATCH(V$2,Inputs!$K$4:$AJ$4,0))))=0,NA(),SUMPRODUCT((Inputs!$A$5:$A$230=$B50)*Inputs!$B$5:$B$230*(((Inputs!$G$5:$G$230="moeda")+(Inputs!$G$5:$G$230="acoes"))*Inputs!$B$1+((Inputs!$G$5:$G$230&lt;&gt;"moeda")*(Inputs!$G$5:$G$230&lt;&gt;"acoes")))*INDEX(Inputs!$K$5:$AJ$230,0,MATCH(V$2,Inputs!$K$4:$AJ$4,0)))+SUMPRODUCT((Inputs!$C$5:$C$230=$B50)*Inputs!$D$5:$D$230*(((Inputs!$G$5:$G$230="moeda")+(Inputs!$G$5:$G$230="acoes"))*Inputs!$B$1+((Inputs!$G$5:$G$230&lt;&gt;"moeda")*(Inputs!$G$5:$G$230&lt;&gt;"acoes")))*INDEX(Inputs!$K$5:$AJ$230,0,MATCH(V$2,Inputs!$K$4:$AJ$4,0)))+SUMPRODUCT((Inputs!$E$5:$E$230=$B50)*Inputs!$F$5:$F$230*(((Inputs!$G$5:$G$230="moeda")+(Inputs!$G$5:$G$230="acoes"))*Inputs!$B$1+((Inputs!$G$5:$G$230&lt;&gt;"moeda")*(Inputs!$G$5:$G$230&lt;&gt;"acoes")))*INDEX(Inputs!$K$5:$AJ$230,0,MATCH(V$2,Inputs!$K$4:$AJ$4,0)))))</f>
        <v>230.322</v>
      </c>
      <c r="W50" s="3">
        <f>SUM(S50:V50)</f>
        <v>1086.09</v>
      </c>
      <c r="X50" s="6">
        <f>IF(ISNA(MATCH(X$2,Inputs!$K$4:$AJ$4,0)),NA(),IF(SUMPRODUCT((Inputs!$A$5:$A$230=$B50)*ISNUMBER(INDEX(Inputs!$K$5:$AJ$230,0,MATCH(X$2,Inputs!$K$4:$AJ$4,0))))+SUMPRODUCT((Inputs!$C$5:$C$230=$B50)*ISNUMBER(INDEX(Inputs!$K$5:$AJ$230,0,MATCH(X$2,Inputs!$K$4:$AJ$4,0))))+SUMPRODUCT((Inputs!$E$5:$E$230=$B50)*ISNUMBER(INDEX(Inputs!$K$5:$AJ$230,0,MATCH(X$2,Inputs!$K$4:$AJ$4,0))))=0,NA(),SUMPRODUCT((Inputs!$A$5:$A$230=$B50)*Inputs!$B$5:$B$230*(((Inputs!$G$5:$G$230="moeda")+(Inputs!$G$5:$G$230="acoes"))*Inputs!$B$1+((Inputs!$G$5:$G$230&lt;&gt;"moeda")*(Inputs!$G$5:$G$230&lt;&gt;"acoes")))*INDEX(Inputs!$K$5:$AJ$230,0,MATCH(X$2,Inputs!$K$4:$AJ$4,0)))+SUMPRODUCT((Inputs!$C$5:$C$230=$B50)*Inputs!$D$5:$D$230*(((Inputs!$G$5:$G$230="moeda")+(Inputs!$G$5:$G$230="acoes"))*Inputs!$B$1+((Inputs!$G$5:$G$230&lt;&gt;"moeda")*(Inputs!$G$5:$G$230&lt;&gt;"acoes")))*INDEX(Inputs!$K$5:$AJ$230,0,MATCH(X$2,Inputs!$K$4:$AJ$4,0)))+SUMPRODUCT((Inputs!$E$5:$E$230=$B50)*Inputs!$F$5:$F$230*(((Inputs!$G$5:$G$230="moeda")+(Inputs!$G$5:$G$230="acoes"))*Inputs!$B$1+((Inputs!$G$5:$G$230&lt;&gt;"moeda")*(Inputs!$G$5:$G$230&lt;&gt;"acoes")))*INDEX(Inputs!$K$5:$AJ$230,0,MATCH(X$2,Inputs!$K$4:$AJ$4,0)))))</f>
        <v>298.777</v>
      </c>
      <c r="Y50" s="6">
        <f>IF(ISNA(MATCH(Y$2,Inputs!$K$4:$AJ$4,0)),NA(),IF(SUMPRODUCT((Inputs!$A$5:$A$230=$B50)*ISNUMBER(INDEX(Inputs!$K$5:$AJ$230,0,MATCH(Y$2,Inputs!$K$4:$AJ$4,0))))+SUMPRODUCT((Inputs!$C$5:$C$230=$B50)*ISNUMBER(INDEX(Inputs!$K$5:$AJ$230,0,MATCH(Y$2,Inputs!$K$4:$AJ$4,0))))+SUMPRODUCT((Inputs!$E$5:$E$230=$B50)*ISNUMBER(INDEX(Inputs!$K$5:$AJ$230,0,MATCH(Y$2,Inputs!$K$4:$AJ$4,0))))=0,NA(),SUMPRODUCT((Inputs!$A$5:$A$230=$B50)*Inputs!$B$5:$B$230*(((Inputs!$G$5:$G$230="moeda")+(Inputs!$G$5:$G$230="acoes"))*Inputs!$B$1+((Inputs!$G$5:$G$230&lt;&gt;"moeda")*(Inputs!$G$5:$G$230&lt;&gt;"acoes")))*INDEX(Inputs!$K$5:$AJ$230,0,MATCH(Y$2,Inputs!$K$4:$AJ$4,0)))+SUMPRODUCT((Inputs!$C$5:$C$230=$B50)*Inputs!$D$5:$D$230*(((Inputs!$G$5:$G$230="moeda")+(Inputs!$G$5:$G$230="acoes"))*Inputs!$B$1+((Inputs!$G$5:$G$230&lt;&gt;"moeda")*(Inputs!$G$5:$G$230&lt;&gt;"acoes")))*INDEX(Inputs!$K$5:$AJ$230,0,MATCH(Y$2,Inputs!$K$4:$AJ$4,0)))+SUMPRODUCT((Inputs!$E$5:$E$230=$B50)*Inputs!$F$5:$F$230*(((Inputs!$G$5:$G$230="moeda")+(Inputs!$G$5:$G$230="acoes"))*Inputs!$B$1+((Inputs!$G$5:$G$230&lt;&gt;"moeda")*(Inputs!$G$5:$G$230&lt;&gt;"acoes")))*INDEX(Inputs!$K$5:$AJ$230,0,MATCH(Y$2,Inputs!$K$4:$AJ$4,0)))))</f>
        <v>144.867</v>
      </c>
      <c r="Z50" s="6">
        <f>IF(ISNA(MATCH(Z$2,Inputs!$K$4:$AJ$4,0)),NA(),IF(SUMPRODUCT((Inputs!$A$5:$A$230=$B50)*ISNUMBER(INDEX(Inputs!$K$5:$AJ$230,0,MATCH(Z$2,Inputs!$K$4:$AJ$4,0))))+SUMPRODUCT((Inputs!$C$5:$C$230=$B50)*ISNUMBER(INDEX(Inputs!$K$5:$AJ$230,0,MATCH(Z$2,Inputs!$K$4:$AJ$4,0))))+SUMPRODUCT((Inputs!$E$5:$E$230=$B50)*ISNUMBER(INDEX(Inputs!$K$5:$AJ$230,0,MATCH(Z$2,Inputs!$K$4:$AJ$4,0))))=0,NA(),SUMPRODUCT((Inputs!$A$5:$A$230=$B50)*Inputs!$B$5:$B$230*(((Inputs!$G$5:$G$230="moeda")+(Inputs!$G$5:$G$230="acoes"))*Inputs!$B$1+((Inputs!$G$5:$G$230&lt;&gt;"moeda")*(Inputs!$G$5:$G$230&lt;&gt;"acoes")))*INDEX(Inputs!$K$5:$AJ$230,0,MATCH(Z$2,Inputs!$K$4:$AJ$4,0)))+SUMPRODUCT((Inputs!$C$5:$C$230=$B50)*Inputs!$D$5:$D$230*(((Inputs!$G$5:$G$230="moeda")+(Inputs!$G$5:$G$230="acoes"))*Inputs!$B$1+((Inputs!$G$5:$G$230&lt;&gt;"moeda")*(Inputs!$G$5:$G$230&lt;&gt;"acoes")))*INDEX(Inputs!$K$5:$AJ$230,0,MATCH(Z$2,Inputs!$K$4:$AJ$4,0)))+SUMPRODUCT((Inputs!$E$5:$E$230=$B50)*Inputs!$F$5:$F$230*(((Inputs!$G$5:$G$230="moeda")+(Inputs!$G$5:$G$230="acoes"))*Inputs!$B$1+((Inputs!$G$5:$G$230&lt;&gt;"moeda")*(Inputs!$G$5:$G$230&lt;&gt;"acoes")))*INDEX(Inputs!$K$5:$AJ$230,0,MATCH(Z$2,Inputs!$K$4:$AJ$4,0)))))</f>
        <v>489.39</v>
      </c>
      <c r="AA50" s="6">
        <f>IF(ISNA(MATCH(AA$2,Inputs!$K$4:$AJ$4,0)),NA(),IF(SUMPRODUCT((Inputs!$A$5:$A$230=$B50)*ISNUMBER(INDEX(Inputs!$K$5:$AJ$230,0,MATCH(AA$2,Inputs!$K$4:$AJ$4,0))))+SUMPRODUCT((Inputs!$C$5:$C$230=$B50)*ISNUMBER(INDEX(Inputs!$K$5:$AJ$230,0,MATCH(AA$2,Inputs!$K$4:$AJ$4,0))))+SUMPRODUCT((Inputs!$E$5:$E$230=$B50)*ISNUMBER(INDEX(Inputs!$K$5:$AJ$230,0,MATCH(AA$2,Inputs!$K$4:$AJ$4,0))))=0,NA(),SUMPRODUCT((Inputs!$A$5:$A$230=$B50)*Inputs!$B$5:$B$230*(((Inputs!$G$5:$G$230="moeda")+(Inputs!$G$5:$G$230="acoes"))*Inputs!$B$1+((Inputs!$G$5:$G$230&lt;&gt;"moeda")*(Inputs!$G$5:$G$230&lt;&gt;"acoes")))*INDEX(Inputs!$K$5:$AJ$230,0,MATCH(AA$2,Inputs!$K$4:$AJ$4,0)))+SUMPRODUCT((Inputs!$C$5:$C$230=$B50)*Inputs!$D$5:$D$230*(((Inputs!$G$5:$G$230="moeda")+(Inputs!$G$5:$G$230="acoes"))*Inputs!$B$1+((Inputs!$G$5:$G$230&lt;&gt;"moeda")*(Inputs!$G$5:$G$230&lt;&gt;"acoes")))*INDEX(Inputs!$K$5:$AJ$230,0,MATCH(AA$2,Inputs!$K$4:$AJ$4,0)))+SUMPRODUCT((Inputs!$E$5:$E$230=$B50)*Inputs!$F$5:$F$230*(((Inputs!$G$5:$G$230="moeda")+(Inputs!$G$5:$G$230="acoes"))*Inputs!$B$1+((Inputs!$G$5:$G$230&lt;&gt;"moeda")*(Inputs!$G$5:$G$230&lt;&gt;"acoes")))*INDEX(Inputs!$K$5:$AJ$230,0,MATCH(AA$2,Inputs!$K$4:$AJ$4,0)))))</f>
        <v>282.525</v>
      </c>
      <c r="AB50" s="3">
        <f>SUM(X50:AA50)</f>
        <v>1215.559</v>
      </c>
      <c r="AC50" s="6">
        <f>IF(ISNA(MATCH(AC$2,Inputs!$K$4:$AJ$4,0)),NA(),IF(SUMPRODUCT((Inputs!$A$5:$A$230=$B50)*ISNUMBER(INDEX(Inputs!$K$5:$AJ$230,0,MATCH(AC$2,Inputs!$K$4:$AJ$4,0))))+SUMPRODUCT((Inputs!$C$5:$C$230=$B50)*ISNUMBER(INDEX(Inputs!$K$5:$AJ$230,0,MATCH(AC$2,Inputs!$K$4:$AJ$4,0))))+SUMPRODUCT((Inputs!$E$5:$E$230=$B50)*ISNUMBER(INDEX(Inputs!$K$5:$AJ$230,0,MATCH(AC$2,Inputs!$K$4:$AJ$4,0))))=0,NA(),SUMPRODUCT((Inputs!$A$5:$A$230=$B50)*Inputs!$B$5:$B$230*(((Inputs!$G$5:$G$230="moeda")+(Inputs!$G$5:$G$230="acoes"))*Inputs!$B$1+((Inputs!$G$5:$G$230&lt;&gt;"moeda")*(Inputs!$G$5:$G$230&lt;&gt;"acoes")))*INDEX(Inputs!$K$5:$AJ$230,0,MATCH(AC$2,Inputs!$K$4:$AJ$4,0)))+SUMPRODUCT((Inputs!$C$5:$C$230=$B50)*Inputs!$D$5:$D$230*(((Inputs!$G$5:$G$230="moeda")+(Inputs!$G$5:$G$230="acoes"))*Inputs!$B$1+((Inputs!$G$5:$G$230&lt;&gt;"moeda")*(Inputs!$G$5:$G$230&lt;&gt;"acoes")))*INDEX(Inputs!$K$5:$AJ$230,0,MATCH(AC$2,Inputs!$K$4:$AJ$4,0)))+SUMPRODUCT((Inputs!$E$5:$E$230=$B50)*Inputs!$F$5:$F$230*(((Inputs!$G$5:$G$230="moeda")+(Inputs!$G$5:$G$230="acoes"))*Inputs!$B$1+((Inputs!$G$5:$G$230&lt;&gt;"moeda")*(Inputs!$G$5:$G$230&lt;&gt;"acoes")))*INDEX(Inputs!$K$5:$AJ$230,0,MATCH(AC$2,Inputs!$K$4:$AJ$4,0)))))</f>
        <v>198.067</v>
      </c>
      <c r="AD50" s="6">
        <f>IF(ISNA(MATCH(AD$2,Inputs!$K$4:$AJ$4,0)),NA(),IF(SUMPRODUCT((Inputs!$A$5:$A$230=$B50)*ISNUMBER(INDEX(Inputs!$K$5:$AJ$230,0,MATCH(AD$2,Inputs!$K$4:$AJ$4,0))))+SUMPRODUCT((Inputs!$C$5:$C$230=$B50)*ISNUMBER(INDEX(Inputs!$K$5:$AJ$230,0,MATCH(AD$2,Inputs!$K$4:$AJ$4,0))))+SUMPRODUCT((Inputs!$E$5:$E$230=$B50)*ISNUMBER(INDEX(Inputs!$K$5:$AJ$230,0,MATCH(AD$2,Inputs!$K$4:$AJ$4,0))))=0,NA(),SUMPRODUCT((Inputs!$A$5:$A$230=$B50)*Inputs!$B$5:$B$230*(((Inputs!$G$5:$G$230="moeda")+(Inputs!$G$5:$G$230="acoes"))*Inputs!$B$1+((Inputs!$G$5:$G$230&lt;&gt;"moeda")*(Inputs!$G$5:$G$230&lt;&gt;"acoes")))*INDEX(Inputs!$K$5:$AJ$230,0,MATCH(AD$2,Inputs!$K$4:$AJ$4,0)))+SUMPRODUCT((Inputs!$C$5:$C$230=$B50)*Inputs!$D$5:$D$230*(((Inputs!$G$5:$G$230="moeda")+(Inputs!$G$5:$G$230="acoes"))*Inputs!$B$1+((Inputs!$G$5:$G$230&lt;&gt;"moeda")*(Inputs!$G$5:$G$230&lt;&gt;"acoes")))*INDEX(Inputs!$K$5:$AJ$230,0,MATCH(AD$2,Inputs!$K$4:$AJ$4,0)))+SUMPRODUCT((Inputs!$E$5:$E$230=$B50)*Inputs!$F$5:$F$230*(((Inputs!$G$5:$G$230="moeda")+(Inputs!$G$5:$G$230="acoes"))*Inputs!$B$1+((Inputs!$G$5:$G$230&lt;&gt;"moeda")*(Inputs!$G$5:$G$230&lt;&gt;"acoes")))*INDEX(Inputs!$K$5:$AJ$230,0,MATCH(AD$2,Inputs!$K$4:$AJ$4,0)))))</f>
        <v>416.626</v>
      </c>
      <c r="AE50" s="6" t="e">
        <f>IF(ISNA(MATCH(AE$2,Inputs!$K$4:$AJ$4,0)),NA(),IF(SUMPRODUCT((Inputs!$A$5:$A$230=$B50)*ISNUMBER(INDEX(Inputs!$K$5:$AJ$230,0,MATCH(AE$2,Inputs!$K$4:$AJ$4,0))))+SUMPRODUCT((Inputs!$C$5:$C$230=$B50)*ISNUMBER(INDEX(Inputs!$K$5:$AJ$230,0,MATCH(AE$2,Inputs!$K$4:$AJ$4,0))))+SUMPRODUCT((Inputs!$E$5:$E$230=$B50)*ISNUMBER(INDEX(Inputs!$K$5:$AJ$230,0,MATCH(AE$2,Inputs!$K$4:$AJ$4,0))))=0,NA(),SUMPRODUCT((Inputs!$A$5:$A$230=$B50)*Inputs!$B$5:$B$230*(((Inputs!$G$5:$G$230="moeda")+(Inputs!$G$5:$G$230="acoes"))*Inputs!$B$1+((Inputs!$G$5:$G$230&lt;&gt;"moeda")*(Inputs!$G$5:$G$230&lt;&gt;"acoes")))*INDEX(Inputs!$K$5:$AJ$230,0,MATCH(AE$2,Inputs!$K$4:$AJ$4,0)))+SUMPRODUCT((Inputs!$C$5:$C$230=$B50)*Inputs!$D$5:$D$230*(((Inputs!$G$5:$G$230="moeda")+(Inputs!$G$5:$G$230="acoes"))*Inputs!$B$1+((Inputs!$G$5:$G$230&lt;&gt;"moeda")*(Inputs!$G$5:$G$230&lt;&gt;"acoes")))*INDEX(Inputs!$K$5:$AJ$230,0,MATCH(AE$2,Inputs!$K$4:$AJ$4,0)))+SUMPRODUCT((Inputs!$E$5:$E$230=$B50)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50" s="6" t="e">
        <f>IF(ISNA(MATCH(AF$2,Inputs!$K$4:$AJ$4,0)),NA(),IF(SUMPRODUCT((Inputs!$A$5:$A$230=$B50)*ISNUMBER(INDEX(Inputs!$K$5:$AJ$230,0,MATCH(AF$2,Inputs!$K$4:$AJ$4,0))))+SUMPRODUCT((Inputs!$C$5:$C$230=$B50)*ISNUMBER(INDEX(Inputs!$K$5:$AJ$230,0,MATCH(AF$2,Inputs!$K$4:$AJ$4,0))))+SUMPRODUCT((Inputs!$E$5:$E$230=$B50)*ISNUMBER(INDEX(Inputs!$K$5:$AJ$230,0,MATCH(AF$2,Inputs!$K$4:$AJ$4,0))))=0,NA(),SUMPRODUCT((Inputs!$A$5:$A$230=$B50)*Inputs!$B$5:$B$230*(((Inputs!$G$5:$G$230="moeda")+(Inputs!$G$5:$G$230="acoes"))*Inputs!$B$1+((Inputs!$G$5:$G$230&lt;&gt;"moeda")*(Inputs!$G$5:$G$230&lt;&gt;"acoes")))*INDEX(Inputs!$K$5:$AJ$230,0,MATCH(AF$2,Inputs!$K$4:$AJ$4,0)))+SUMPRODUCT((Inputs!$C$5:$C$230=$B50)*Inputs!$D$5:$D$230*(((Inputs!$G$5:$G$230="moeda")+(Inputs!$G$5:$G$230="acoes"))*Inputs!$B$1+((Inputs!$G$5:$G$230&lt;&gt;"moeda")*(Inputs!$G$5:$G$230&lt;&gt;"acoes")))*INDEX(Inputs!$K$5:$AJ$230,0,MATCH(AF$2,Inputs!$K$4:$AJ$4,0)))+SUMPRODUCT((Inputs!$E$5:$E$230=$B50)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50" s="3" t="e">
        <f>SUM(AC50:AF50)</f>
        <v>#N/A</v>
      </c>
      <c r="AH50">
        <f>IF(ISNA(MATCH(AH$2,Inputs!$K$4:$AJ$4,0)),NA(),IF(SUMPRODUCT((Inputs!$A$5:$A$230=$B50)*ISNUMBER(INDEX(Inputs!$K$5:$AJ$230,0,MATCH(AH$2,Inputs!$K$4:$AJ$4,0))))+SUMPRODUCT((Inputs!$C$5:$C$230=$B50)*ISNUMBER(INDEX(Inputs!$K$5:$AJ$230,0,MATCH(AH$2,Inputs!$K$4:$AJ$4,0))))+SUMPRODUCT((Inputs!$E$5:$E$230=$B50)*ISNUMBER(INDEX(Inputs!$K$5:$AJ$230,0,MATCH(AH$2,Inputs!$K$4:$AJ$4,0))))=0,NA(),SUMPRODUCT((Inputs!$A$5:$A$230=$B50)*Inputs!$B$5:$B$230*(((Inputs!$G$5:$G$230="moeda")+(Inputs!$G$5:$G$230="acoes"))*Inputs!$B$1+((Inputs!$G$5:$G$230&lt;&gt;"moeda")*(Inputs!$G$5:$G$230&lt;&gt;"acoes")))*INDEX(Inputs!$K$5:$AJ$230,0,MATCH(AH$2,Inputs!$K$4:$AJ$4,0)))+SUMPRODUCT((Inputs!$C$5:$C$230=$B50)*Inputs!$D$5:$D$230*(((Inputs!$G$5:$G$230="moeda")+(Inputs!$G$5:$G$230="acoes"))*Inputs!$B$1+((Inputs!$G$5:$G$230&lt;&gt;"moeda")*(Inputs!$G$5:$G$230&lt;&gt;"acoes")))*INDEX(Inputs!$K$5:$AJ$230,0,MATCH(AH$2,Inputs!$K$4:$AJ$4,0)))+SUMPRODUCT((Inputs!$E$5:$E$230=$B50)*Inputs!$F$5:$F$230*(((Inputs!$G$5:$G$230="moeda")+(Inputs!$G$5:$G$230="acoes"))*Inputs!$B$1+((Inputs!$G$5:$G$230&lt;&gt;"moeda")*(Inputs!$G$5:$G$230&lt;&gt;"acoes")))*INDEX(Inputs!$K$5:$AJ$230,0,MATCH(AH$2,Inputs!$K$4:$AJ$4,0)))))</f>
        <v>179.149</v>
      </c>
      <c r="AI50">
        <f>IF(ISNA(MATCH(AI$2,Inputs!$K$4:$AJ$4,0)),NA(),IF(SUMPRODUCT((Inputs!$A$5:$A$230=$B50)*ISNUMBER(INDEX(Inputs!$K$5:$AJ$230,0,MATCH(AI$2,Inputs!$K$4:$AJ$4,0))))+SUMPRODUCT((Inputs!$C$5:$C$230=$B50)*ISNUMBER(INDEX(Inputs!$K$5:$AJ$230,0,MATCH(AI$2,Inputs!$K$4:$AJ$4,0))))+SUMPRODUCT((Inputs!$E$5:$E$230=$B50)*ISNUMBER(INDEX(Inputs!$K$5:$AJ$230,0,MATCH(AI$2,Inputs!$K$4:$AJ$4,0))))=0,NA(),SUMPRODUCT((Inputs!$A$5:$A$230=$B50)*Inputs!$B$5:$B$230*(((Inputs!$G$5:$G$230="moeda")+(Inputs!$G$5:$G$230="acoes"))*Inputs!$B$1+((Inputs!$G$5:$G$230&lt;&gt;"moeda")*(Inputs!$G$5:$G$230&lt;&gt;"acoes")))*INDEX(Inputs!$K$5:$AJ$230,0,MATCH(AI$2,Inputs!$K$4:$AJ$4,0)))+SUMPRODUCT((Inputs!$C$5:$C$230=$B50)*Inputs!$D$5:$D$230*(((Inputs!$G$5:$G$230="moeda")+(Inputs!$G$5:$G$230="acoes"))*Inputs!$B$1+((Inputs!$G$5:$G$230&lt;&gt;"moeda")*(Inputs!$G$5:$G$230&lt;&gt;"acoes")))*INDEX(Inputs!$K$5:$AJ$230,0,MATCH(AI$2,Inputs!$K$4:$AJ$4,0)))+SUMPRODUCT((Inputs!$E$5:$E$230=$B50)*Inputs!$F$5:$F$230*(((Inputs!$G$5:$G$230="moeda")+(Inputs!$G$5:$G$230="acoes"))*Inputs!$B$1+((Inputs!$G$5:$G$230&lt;&gt;"moeda")*(Inputs!$G$5:$G$230&lt;&gt;"acoes")))*INDEX(Inputs!$K$5:$AJ$230,0,MATCH(AI$2,Inputs!$K$4:$AJ$4,0)))))</f>
        <v>72.109</v>
      </c>
      <c r="AJ50">
        <f>IF(ISNA(MATCH(AJ$2,Inputs!$K$4:$AJ$4,0)),NA(),IF(SUMPRODUCT((Inputs!$A$5:$A$230=$B50)*ISNUMBER(INDEX(Inputs!$K$5:$AJ$230,0,MATCH(AJ$2,Inputs!$K$4:$AJ$4,0))))+SUMPRODUCT((Inputs!$C$5:$C$230=$B50)*ISNUMBER(INDEX(Inputs!$K$5:$AJ$230,0,MATCH(AJ$2,Inputs!$K$4:$AJ$4,0))))+SUMPRODUCT((Inputs!$E$5:$E$230=$B50)*ISNUMBER(INDEX(Inputs!$K$5:$AJ$230,0,MATCH(AJ$2,Inputs!$K$4:$AJ$4,0))))=0,NA(),SUMPRODUCT((Inputs!$A$5:$A$230=$B50)*Inputs!$B$5:$B$230*(((Inputs!$G$5:$G$230="moeda")+(Inputs!$G$5:$G$230="acoes"))*Inputs!$B$1+((Inputs!$G$5:$G$230&lt;&gt;"moeda")*(Inputs!$G$5:$G$230&lt;&gt;"acoes")))*INDEX(Inputs!$K$5:$AJ$230,0,MATCH(AJ$2,Inputs!$K$4:$AJ$4,0)))+SUMPRODUCT((Inputs!$C$5:$C$230=$B50)*Inputs!$D$5:$D$230*(((Inputs!$G$5:$G$230="moeda")+(Inputs!$G$5:$G$230="acoes"))*Inputs!$B$1+((Inputs!$G$5:$G$230&lt;&gt;"moeda")*(Inputs!$G$5:$G$230&lt;&gt;"acoes")))*INDEX(Inputs!$K$5:$AJ$230,0,MATCH(AJ$2,Inputs!$K$4:$AJ$4,0)))+SUMPRODUCT((Inputs!$E$5:$E$230=$B50)*Inputs!$F$5:$F$230*(((Inputs!$G$5:$G$230="moeda")+(Inputs!$G$5:$G$230="acoes"))*Inputs!$B$1+((Inputs!$G$5:$G$230&lt;&gt;"moeda")*(Inputs!$G$5:$G$230&lt;&gt;"acoes")))*INDEX(Inputs!$K$5:$AJ$230,0,MATCH(AJ$2,Inputs!$K$4:$AJ$4,0)))))</f>
        <v>181.214</v>
      </c>
      <c r="AK50">
        <f>IF(ISNA(MATCH(AK$2,Inputs!$K$4:$AJ$4,0)),NA(),IF(SUMPRODUCT((Inputs!$A$5:$A$230=$B50)*ISNUMBER(INDEX(Inputs!$K$5:$AJ$230,0,MATCH(AK$2,Inputs!$K$4:$AJ$4,0))))+SUMPRODUCT((Inputs!$C$5:$C$230=$B50)*ISNUMBER(INDEX(Inputs!$K$5:$AJ$230,0,MATCH(AK$2,Inputs!$K$4:$AJ$4,0))))+SUMPRODUCT((Inputs!$E$5:$E$230=$B50)*ISNUMBER(INDEX(Inputs!$K$5:$AJ$230,0,MATCH(AK$2,Inputs!$K$4:$AJ$4,0))))=0,NA(),SUMPRODUCT((Inputs!$A$5:$A$230=$B50)*Inputs!$B$5:$B$230*(((Inputs!$G$5:$G$230="moeda")+(Inputs!$G$5:$G$230="acoes"))*Inputs!$B$1+((Inputs!$G$5:$G$230&lt;&gt;"moeda")*(Inputs!$G$5:$G$230&lt;&gt;"acoes")))*INDEX(Inputs!$K$5:$AJ$230,0,MATCH(AK$2,Inputs!$K$4:$AJ$4,0)))+SUMPRODUCT((Inputs!$C$5:$C$230=$B50)*Inputs!$D$5:$D$230*(((Inputs!$G$5:$G$230="moeda")+(Inputs!$G$5:$G$230="acoes"))*Inputs!$B$1+((Inputs!$G$5:$G$230&lt;&gt;"moeda")*(Inputs!$G$5:$G$230&lt;&gt;"acoes")))*INDEX(Inputs!$K$5:$AJ$230,0,MATCH(AK$2,Inputs!$K$4:$AJ$4,0)))+SUMPRODUCT((Inputs!$E$5:$E$230=$B50)*Inputs!$F$5:$F$230*(((Inputs!$G$5:$G$230="moeda")+(Inputs!$G$5:$G$230="acoes"))*Inputs!$B$1+((Inputs!$G$5:$G$230&lt;&gt;"moeda")*(Inputs!$G$5:$G$230&lt;&gt;"acoes")))*INDEX(Inputs!$K$5:$AJ$230,0,MATCH(AK$2,Inputs!$K$4:$AJ$4,0)))))</f>
        <v>509.616</v>
      </c>
      <c r="AL50">
        <f>SUM(AH50:AK50)</f>
        <v>942.088</v>
      </c>
    </row>
    <row r="52">
      <c r="C52" s="254" t="inlineStr">
        <is>
          <t>Receita liquida por segmento e por SPE (memo) - codigos 45+ [Model linhas 361+]</t>
        </is>
      </c>
    </row>
    <row r="53">
      <c r="B53" s="46" t="n">
        <v>45</v>
      </c>
      <c r="C53" s="29" t="inlineStr">
        <is>
          <t>Transmissao - consolidado do segmento | aba "Consolidado - Transmissao" (so a partir do 1T23)</t>
        </is>
      </c>
      <c r="D53" s="6" t="e">
        <f>IF(ISNA(MATCH(D$2,Inputs!$K$4:$AJ$4,0)),NA(),IF(SUMPRODUCT((Inputs!$A$5:$A$230=$B53)*ISNUMBER(INDEX(Inputs!$K$5:$AJ$230,0,MATCH(D$2,Inputs!$K$4:$AJ$4,0))))+SUMPRODUCT((Inputs!$C$5:$C$230=$B53)*ISNUMBER(INDEX(Inputs!$K$5:$AJ$230,0,MATCH(D$2,Inputs!$K$4:$AJ$4,0))))+SUMPRODUCT((Inputs!$E$5:$E$230=$B53)*ISNUMBER(INDEX(Inputs!$K$5:$AJ$230,0,MATCH(D$2,Inputs!$K$4:$AJ$4,0))))=0,NA(),SUMPRODUCT((Inputs!$A$5:$A$230=$B53)*Inputs!$B$5:$B$230*(((Inputs!$G$5:$G$230="moeda")+(Inputs!$G$5:$G$230="acoes"))*Inputs!$B$1+((Inputs!$G$5:$G$230&lt;&gt;"moeda")*(Inputs!$G$5:$G$230&lt;&gt;"acoes")))*INDEX(Inputs!$K$5:$AJ$230,0,MATCH(D$2,Inputs!$K$4:$AJ$4,0)))+SUMPRODUCT((Inputs!$C$5:$C$230=$B53)*Inputs!$D$5:$D$230*(((Inputs!$G$5:$G$230="moeda")+(Inputs!$G$5:$G$230="acoes"))*Inputs!$B$1+((Inputs!$G$5:$G$230&lt;&gt;"moeda")*(Inputs!$G$5:$G$230&lt;&gt;"acoes")))*INDEX(Inputs!$K$5:$AJ$230,0,MATCH(D$2,Inputs!$K$4:$AJ$4,0)))+SUMPRODUCT((Inputs!$E$5:$E$230=$B53)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53" s="6" t="e">
        <f>IF(ISNA(MATCH(E$2,Inputs!$K$4:$AJ$4,0)),NA(),IF(SUMPRODUCT((Inputs!$A$5:$A$230=$B53)*ISNUMBER(INDEX(Inputs!$K$5:$AJ$230,0,MATCH(E$2,Inputs!$K$4:$AJ$4,0))))+SUMPRODUCT((Inputs!$C$5:$C$230=$B53)*ISNUMBER(INDEX(Inputs!$K$5:$AJ$230,0,MATCH(E$2,Inputs!$K$4:$AJ$4,0))))+SUMPRODUCT((Inputs!$E$5:$E$230=$B53)*ISNUMBER(INDEX(Inputs!$K$5:$AJ$230,0,MATCH(E$2,Inputs!$K$4:$AJ$4,0))))=0,NA(),SUMPRODUCT((Inputs!$A$5:$A$230=$B53)*Inputs!$B$5:$B$230*(((Inputs!$G$5:$G$230="moeda")+(Inputs!$G$5:$G$230="acoes"))*Inputs!$B$1+((Inputs!$G$5:$G$230&lt;&gt;"moeda")*(Inputs!$G$5:$G$230&lt;&gt;"acoes")))*INDEX(Inputs!$K$5:$AJ$230,0,MATCH(E$2,Inputs!$K$4:$AJ$4,0)))+SUMPRODUCT((Inputs!$C$5:$C$230=$B53)*Inputs!$D$5:$D$230*(((Inputs!$G$5:$G$230="moeda")+(Inputs!$G$5:$G$230="acoes"))*Inputs!$B$1+((Inputs!$G$5:$G$230&lt;&gt;"moeda")*(Inputs!$G$5:$G$230&lt;&gt;"acoes")))*INDEX(Inputs!$K$5:$AJ$230,0,MATCH(E$2,Inputs!$K$4:$AJ$4,0)))+SUMPRODUCT((Inputs!$E$5:$E$230=$B53)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53" s="6" t="e">
        <f>IF(ISNA(MATCH(F$2,Inputs!$K$4:$AJ$4,0)),NA(),IF(SUMPRODUCT((Inputs!$A$5:$A$230=$B53)*ISNUMBER(INDEX(Inputs!$K$5:$AJ$230,0,MATCH(F$2,Inputs!$K$4:$AJ$4,0))))+SUMPRODUCT((Inputs!$C$5:$C$230=$B53)*ISNUMBER(INDEX(Inputs!$K$5:$AJ$230,0,MATCH(F$2,Inputs!$K$4:$AJ$4,0))))+SUMPRODUCT((Inputs!$E$5:$E$230=$B53)*ISNUMBER(INDEX(Inputs!$K$5:$AJ$230,0,MATCH(F$2,Inputs!$K$4:$AJ$4,0))))=0,NA(),SUMPRODUCT((Inputs!$A$5:$A$230=$B53)*Inputs!$B$5:$B$230*(((Inputs!$G$5:$G$230="moeda")+(Inputs!$G$5:$G$230="acoes"))*Inputs!$B$1+((Inputs!$G$5:$G$230&lt;&gt;"moeda")*(Inputs!$G$5:$G$230&lt;&gt;"acoes")))*INDEX(Inputs!$K$5:$AJ$230,0,MATCH(F$2,Inputs!$K$4:$AJ$4,0)))+SUMPRODUCT((Inputs!$C$5:$C$230=$B53)*Inputs!$D$5:$D$230*(((Inputs!$G$5:$G$230="moeda")+(Inputs!$G$5:$G$230="acoes"))*Inputs!$B$1+((Inputs!$G$5:$G$230&lt;&gt;"moeda")*(Inputs!$G$5:$G$230&lt;&gt;"acoes")))*INDEX(Inputs!$K$5:$AJ$230,0,MATCH(F$2,Inputs!$K$4:$AJ$4,0)))+SUMPRODUCT((Inputs!$E$5:$E$230=$B53)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53" s="6" t="e">
        <f>IF(ISNA(MATCH(G$2,Inputs!$K$4:$AJ$4,0)),NA(),IF(SUMPRODUCT((Inputs!$A$5:$A$230=$B53)*ISNUMBER(INDEX(Inputs!$K$5:$AJ$230,0,MATCH(G$2,Inputs!$K$4:$AJ$4,0))))+SUMPRODUCT((Inputs!$C$5:$C$230=$B53)*ISNUMBER(INDEX(Inputs!$K$5:$AJ$230,0,MATCH(G$2,Inputs!$K$4:$AJ$4,0))))+SUMPRODUCT((Inputs!$E$5:$E$230=$B53)*ISNUMBER(INDEX(Inputs!$K$5:$AJ$230,0,MATCH(G$2,Inputs!$K$4:$AJ$4,0))))=0,NA(),SUMPRODUCT((Inputs!$A$5:$A$230=$B53)*Inputs!$B$5:$B$230*(((Inputs!$G$5:$G$230="moeda")+(Inputs!$G$5:$G$230="acoes"))*Inputs!$B$1+((Inputs!$G$5:$G$230&lt;&gt;"moeda")*(Inputs!$G$5:$G$230&lt;&gt;"acoes")))*INDEX(Inputs!$K$5:$AJ$230,0,MATCH(G$2,Inputs!$K$4:$AJ$4,0)))+SUMPRODUCT((Inputs!$C$5:$C$230=$B53)*Inputs!$D$5:$D$230*(((Inputs!$G$5:$G$230="moeda")+(Inputs!$G$5:$G$230="acoes"))*Inputs!$B$1+((Inputs!$G$5:$G$230&lt;&gt;"moeda")*(Inputs!$G$5:$G$230&lt;&gt;"acoes")))*INDEX(Inputs!$K$5:$AJ$230,0,MATCH(G$2,Inputs!$K$4:$AJ$4,0)))+SUMPRODUCT((Inputs!$E$5:$E$230=$B53)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53" s="3" t="e">
        <f>SUM(D53:G53)</f>
        <v>#N/A</v>
      </c>
      <c r="I53" s="6" t="e">
        <f>IF(ISNA(MATCH(I$2,Inputs!$K$4:$AJ$4,0)),NA(),IF(SUMPRODUCT((Inputs!$A$5:$A$230=$B53)*ISNUMBER(INDEX(Inputs!$K$5:$AJ$230,0,MATCH(I$2,Inputs!$K$4:$AJ$4,0))))+SUMPRODUCT((Inputs!$C$5:$C$230=$B53)*ISNUMBER(INDEX(Inputs!$K$5:$AJ$230,0,MATCH(I$2,Inputs!$K$4:$AJ$4,0))))+SUMPRODUCT((Inputs!$E$5:$E$230=$B53)*ISNUMBER(INDEX(Inputs!$K$5:$AJ$230,0,MATCH(I$2,Inputs!$K$4:$AJ$4,0))))=0,NA(),SUMPRODUCT((Inputs!$A$5:$A$230=$B53)*Inputs!$B$5:$B$230*(((Inputs!$G$5:$G$230="moeda")+(Inputs!$G$5:$G$230="acoes"))*Inputs!$B$1+((Inputs!$G$5:$G$230&lt;&gt;"moeda")*(Inputs!$G$5:$G$230&lt;&gt;"acoes")))*INDEX(Inputs!$K$5:$AJ$230,0,MATCH(I$2,Inputs!$K$4:$AJ$4,0)))+SUMPRODUCT((Inputs!$C$5:$C$230=$B53)*Inputs!$D$5:$D$230*(((Inputs!$G$5:$G$230="moeda")+(Inputs!$G$5:$G$230="acoes"))*Inputs!$B$1+((Inputs!$G$5:$G$230&lt;&gt;"moeda")*(Inputs!$G$5:$G$230&lt;&gt;"acoes")))*INDEX(Inputs!$K$5:$AJ$230,0,MATCH(I$2,Inputs!$K$4:$AJ$4,0)))+SUMPRODUCT((Inputs!$E$5:$E$230=$B53)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53" s="6" t="e">
        <f>IF(ISNA(MATCH(J$2,Inputs!$K$4:$AJ$4,0)),NA(),IF(SUMPRODUCT((Inputs!$A$5:$A$230=$B53)*ISNUMBER(INDEX(Inputs!$K$5:$AJ$230,0,MATCH(J$2,Inputs!$K$4:$AJ$4,0))))+SUMPRODUCT((Inputs!$C$5:$C$230=$B53)*ISNUMBER(INDEX(Inputs!$K$5:$AJ$230,0,MATCH(J$2,Inputs!$K$4:$AJ$4,0))))+SUMPRODUCT((Inputs!$E$5:$E$230=$B53)*ISNUMBER(INDEX(Inputs!$K$5:$AJ$230,0,MATCH(J$2,Inputs!$K$4:$AJ$4,0))))=0,NA(),SUMPRODUCT((Inputs!$A$5:$A$230=$B53)*Inputs!$B$5:$B$230*(((Inputs!$G$5:$G$230="moeda")+(Inputs!$G$5:$G$230="acoes"))*Inputs!$B$1+((Inputs!$G$5:$G$230&lt;&gt;"moeda")*(Inputs!$G$5:$G$230&lt;&gt;"acoes")))*INDEX(Inputs!$K$5:$AJ$230,0,MATCH(J$2,Inputs!$K$4:$AJ$4,0)))+SUMPRODUCT((Inputs!$C$5:$C$230=$B53)*Inputs!$D$5:$D$230*(((Inputs!$G$5:$G$230="moeda")+(Inputs!$G$5:$G$230="acoes"))*Inputs!$B$1+((Inputs!$G$5:$G$230&lt;&gt;"moeda")*(Inputs!$G$5:$G$230&lt;&gt;"acoes")))*INDEX(Inputs!$K$5:$AJ$230,0,MATCH(J$2,Inputs!$K$4:$AJ$4,0)))+SUMPRODUCT((Inputs!$E$5:$E$230=$B53)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53" s="6" t="e">
        <f>IF(ISNA(MATCH(K$2,Inputs!$K$4:$AJ$4,0)),NA(),IF(SUMPRODUCT((Inputs!$A$5:$A$230=$B53)*ISNUMBER(INDEX(Inputs!$K$5:$AJ$230,0,MATCH(K$2,Inputs!$K$4:$AJ$4,0))))+SUMPRODUCT((Inputs!$C$5:$C$230=$B53)*ISNUMBER(INDEX(Inputs!$K$5:$AJ$230,0,MATCH(K$2,Inputs!$K$4:$AJ$4,0))))+SUMPRODUCT((Inputs!$E$5:$E$230=$B53)*ISNUMBER(INDEX(Inputs!$K$5:$AJ$230,0,MATCH(K$2,Inputs!$K$4:$AJ$4,0))))=0,NA(),SUMPRODUCT((Inputs!$A$5:$A$230=$B53)*Inputs!$B$5:$B$230*(((Inputs!$G$5:$G$230="moeda")+(Inputs!$G$5:$G$230="acoes"))*Inputs!$B$1+((Inputs!$G$5:$G$230&lt;&gt;"moeda")*(Inputs!$G$5:$G$230&lt;&gt;"acoes")))*INDEX(Inputs!$K$5:$AJ$230,0,MATCH(K$2,Inputs!$K$4:$AJ$4,0)))+SUMPRODUCT((Inputs!$C$5:$C$230=$B53)*Inputs!$D$5:$D$230*(((Inputs!$G$5:$G$230="moeda")+(Inputs!$G$5:$G$230="acoes"))*Inputs!$B$1+((Inputs!$G$5:$G$230&lt;&gt;"moeda")*(Inputs!$G$5:$G$230&lt;&gt;"acoes")))*INDEX(Inputs!$K$5:$AJ$230,0,MATCH(K$2,Inputs!$K$4:$AJ$4,0)))+SUMPRODUCT((Inputs!$E$5:$E$230=$B53)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53" s="6" t="e">
        <f>IF(ISNA(MATCH(L$2,Inputs!$K$4:$AJ$4,0)),NA(),IF(SUMPRODUCT((Inputs!$A$5:$A$230=$B53)*ISNUMBER(INDEX(Inputs!$K$5:$AJ$230,0,MATCH(L$2,Inputs!$K$4:$AJ$4,0))))+SUMPRODUCT((Inputs!$C$5:$C$230=$B53)*ISNUMBER(INDEX(Inputs!$K$5:$AJ$230,0,MATCH(L$2,Inputs!$K$4:$AJ$4,0))))+SUMPRODUCT((Inputs!$E$5:$E$230=$B53)*ISNUMBER(INDEX(Inputs!$K$5:$AJ$230,0,MATCH(L$2,Inputs!$K$4:$AJ$4,0))))=0,NA(),SUMPRODUCT((Inputs!$A$5:$A$230=$B53)*Inputs!$B$5:$B$230*(((Inputs!$G$5:$G$230="moeda")+(Inputs!$G$5:$G$230="acoes"))*Inputs!$B$1+((Inputs!$G$5:$G$230&lt;&gt;"moeda")*(Inputs!$G$5:$G$230&lt;&gt;"acoes")))*INDEX(Inputs!$K$5:$AJ$230,0,MATCH(L$2,Inputs!$K$4:$AJ$4,0)))+SUMPRODUCT((Inputs!$C$5:$C$230=$B53)*Inputs!$D$5:$D$230*(((Inputs!$G$5:$G$230="moeda")+(Inputs!$G$5:$G$230="acoes"))*Inputs!$B$1+((Inputs!$G$5:$G$230&lt;&gt;"moeda")*(Inputs!$G$5:$G$230&lt;&gt;"acoes")))*INDEX(Inputs!$K$5:$AJ$230,0,MATCH(L$2,Inputs!$K$4:$AJ$4,0)))+SUMPRODUCT((Inputs!$E$5:$E$230=$B53)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53" s="3" t="e">
        <f>SUM(I53:L53)</f>
        <v>#N/A</v>
      </c>
      <c r="N53" s="6">
        <f>IF(ISNA(MATCH(N$2,Inputs!$K$4:$AJ$4,0)),NA(),IF(SUMPRODUCT((Inputs!$A$5:$A$230=$B53)*ISNUMBER(INDEX(Inputs!$K$5:$AJ$230,0,MATCH(N$2,Inputs!$K$4:$AJ$4,0))))+SUMPRODUCT((Inputs!$C$5:$C$230=$B53)*ISNUMBER(INDEX(Inputs!$K$5:$AJ$230,0,MATCH(N$2,Inputs!$K$4:$AJ$4,0))))+SUMPRODUCT((Inputs!$E$5:$E$230=$B53)*ISNUMBER(INDEX(Inputs!$K$5:$AJ$230,0,MATCH(N$2,Inputs!$K$4:$AJ$4,0))))=0,NA(),SUMPRODUCT((Inputs!$A$5:$A$230=$B53)*Inputs!$B$5:$B$230*(((Inputs!$G$5:$G$230="moeda")+(Inputs!$G$5:$G$230="acoes"))*Inputs!$B$1+((Inputs!$G$5:$G$230&lt;&gt;"moeda")*(Inputs!$G$5:$G$230&lt;&gt;"acoes")))*INDEX(Inputs!$K$5:$AJ$230,0,MATCH(N$2,Inputs!$K$4:$AJ$4,0)))+SUMPRODUCT((Inputs!$C$5:$C$230=$B53)*Inputs!$D$5:$D$230*(((Inputs!$G$5:$G$230="moeda")+(Inputs!$G$5:$G$230="acoes"))*Inputs!$B$1+((Inputs!$G$5:$G$230&lt;&gt;"moeda")*(Inputs!$G$5:$G$230&lt;&gt;"acoes")))*INDEX(Inputs!$K$5:$AJ$230,0,MATCH(N$2,Inputs!$K$4:$AJ$4,0)))+SUMPRODUCT((Inputs!$E$5:$E$230=$B53)*Inputs!$F$5:$F$230*(((Inputs!$G$5:$G$230="moeda")+(Inputs!$G$5:$G$230="acoes"))*Inputs!$B$1+((Inputs!$G$5:$G$230&lt;&gt;"moeda")*(Inputs!$G$5:$G$230&lt;&gt;"acoes")))*INDEX(Inputs!$K$5:$AJ$230,0,MATCH(N$2,Inputs!$K$4:$AJ$4,0)))))</f>
        <v>813.298</v>
      </c>
      <c r="O53" s="6">
        <f>IF(ISNA(MATCH(O$2,Inputs!$K$4:$AJ$4,0)),NA(),IF(SUMPRODUCT((Inputs!$A$5:$A$230=$B53)*ISNUMBER(INDEX(Inputs!$K$5:$AJ$230,0,MATCH(O$2,Inputs!$K$4:$AJ$4,0))))+SUMPRODUCT((Inputs!$C$5:$C$230=$B53)*ISNUMBER(INDEX(Inputs!$K$5:$AJ$230,0,MATCH(O$2,Inputs!$K$4:$AJ$4,0))))+SUMPRODUCT((Inputs!$E$5:$E$230=$B53)*ISNUMBER(INDEX(Inputs!$K$5:$AJ$230,0,MATCH(O$2,Inputs!$K$4:$AJ$4,0))))=0,NA(),SUMPRODUCT((Inputs!$A$5:$A$230=$B53)*Inputs!$B$5:$B$230*(((Inputs!$G$5:$G$230="moeda")+(Inputs!$G$5:$G$230="acoes"))*Inputs!$B$1+((Inputs!$G$5:$G$230&lt;&gt;"moeda")*(Inputs!$G$5:$G$230&lt;&gt;"acoes")))*INDEX(Inputs!$K$5:$AJ$230,0,MATCH(O$2,Inputs!$K$4:$AJ$4,0)))+SUMPRODUCT((Inputs!$C$5:$C$230=$B53)*Inputs!$D$5:$D$230*(((Inputs!$G$5:$G$230="moeda")+(Inputs!$G$5:$G$230="acoes"))*Inputs!$B$1+((Inputs!$G$5:$G$230&lt;&gt;"moeda")*(Inputs!$G$5:$G$230&lt;&gt;"acoes")))*INDEX(Inputs!$K$5:$AJ$230,0,MATCH(O$2,Inputs!$K$4:$AJ$4,0)))+SUMPRODUCT((Inputs!$E$5:$E$230=$B53)*Inputs!$F$5:$F$230*(((Inputs!$G$5:$G$230="moeda")+(Inputs!$G$5:$G$230="acoes"))*Inputs!$B$1+((Inputs!$G$5:$G$230&lt;&gt;"moeda")*(Inputs!$G$5:$G$230&lt;&gt;"acoes")))*INDEX(Inputs!$K$5:$AJ$230,0,MATCH(O$2,Inputs!$K$4:$AJ$4,0)))))</f>
        <v>601.252</v>
      </c>
      <c r="P53" s="6">
        <f>IF(ISNA(MATCH(P$2,Inputs!$K$4:$AJ$4,0)),NA(),IF(SUMPRODUCT((Inputs!$A$5:$A$230=$B53)*ISNUMBER(INDEX(Inputs!$K$5:$AJ$230,0,MATCH(P$2,Inputs!$K$4:$AJ$4,0))))+SUMPRODUCT((Inputs!$C$5:$C$230=$B53)*ISNUMBER(INDEX(Inputs!$K$5:$AJ$230,0,MATCH(P$2,Inputs!$K$4:$AJ$4,0))))+SUMPRODUCT((Inputs!$E$5:$E$230=$B53)*ISNUMBER(INDEX(Inputs!$K$5:$AJ$230,0,MATCH(P$2,Inputs!$K$4:$AJ$4,0))))=0,NA(),SUMPRODUCT((Inputs!$A$5:$A$230=$B53)*Inputs!$B$5:$B$230*(((Inputs!$G$5:$G$230="moeda")+(Inputs!$G$5:$G$230="acoes"))*Inputs!$B$1+((Inputs!$G$5:$G$230&lt;&gt;"moeda")*(Inputs!$G$5:$G$230&lt;&gt;"acoes")))*INDEX(Inputs!$K$5:$AJ$230,0,MATCH(P$2,Inputs!$K$4:$AJ$4,0)))+SUMPRODUCT((Inputs!$C$5:$C$230=$B53)*Inputs!$D$5:$D$230*(((Inputs!$G$5:$G$230="moeda")+(Inputs!$G$5:$G$230="acoes"))*Inputs!$B$1+((Inputs!$G$5:$G$230&lt;&gt;"moeda")*(Inputs!$G$5:$G$230&lt;&gt;"acoes")))*INDEX(Inputs!$K$5:$AJ$230,0,MATCH(P$2,Inputs!$K$4:$AJ$4,0)))+SUMPRODUCT((Inputs!$E$5:$E$230=$B53)*Inputs!$F$5:$F$230*(((Inputs!$G$5:$G$230="moeda")+(Inputs!$G$5:$G$230="acoes"))*Inputs!$B$1+((Inputs!$G$5:$G$230&lt;&gt;"moeda")*(Inputs!$G$5:$G$230&lt;&gt;"acoes")))*INDEX(Inputs!$K$5:$AJ$230,0,MATCH(P$2,Inputs!$K$4:$AJ$4,0)))))</f>
        <v>454.094</v>
      </c>
      <c r="Q53" s="6">
        <f>IF(ISNA(MATCH(Q$2,Inputs!$K$4:$AJ$4,0)),NA(),IF(SUMPRODUCT((Inputs!$A$5:$A$230=$B53)*ISNUMBER(INDEX(Inputs!$K$5:$AJ$230,0,MATCH(Q$2,Inputs!$K$4:$AJ$4,0))))+SUMPRODUCT((Inputs!$C$5:$C$230=$B53)*ISNUMBER(INDEX(Inputs!$K$5:$AJ$230,0,MATCH(Q$2,Inputs!$K$4:$AJ$4,0))))+SUMPRODUCT((Inputs!$E$5:$E$230=$B53)*ISNUMBER(INDEX(Inputs!$K$5:$AJ$230,0,MATCH(Q$2,Inputs!$K$4:$AJ$4,0))))=0,NA(),SUMPRODUCT((Inputs!$A$5:$A$230=$B53)*Inputs!$B$5:$B$230*(((Inputs!$G$5:$G$230="moeda")+(Inputs!$G$5:$G$230="acoes"))*Inputs!$B$1+((Inputs!$G$5:$G$230&lt;&gt;"moeda")*(Inputs!$G$5:$G$230&lt;&gt;"acoes")))*INDEX(Inputs!$K$5:$AJ$230,0,MATCH(Q$2,Inputs!$K$4:$AJ$4,0)))+SUMPRODUCT((Inputs!$C$5:$C$230=$B53)*Inputs!$D$5:$D$230*(((Inputs!$G$5:$G$230="moeda")+(Inputs!$G$5:$G$230="acoes"))*Inputs!$B$1+((Inputs!$G$5:$G$230&lt;&gt;"moeda")*(Inputs!$G$5:$G$230&lt;&gt;"acoes")))*INDEX(Inputs!$K$5:$AJ$230,0,MATCH(Q$2,Inputs!$K$4:$AJ$4,0)))+SUMPRODUCT((Inputs!$E$5:$E$230=$B53)*Inputs!$F$5:$F$230*(((Inputs!$G$5:$G$230="moeda")+(Inputs!$G$5:$G$230="acoes"))*Inputs!$B$1+((Inputs!$G$5:$G$230&lt;&gt;"moeda")*(Inputs!$G$5:$G$230&lt;&gt;"acoes")))*INDEX(Inputs!$K$5:$AJ$230,0,MATCH(Q$2,Inputs!$K$4:$AJ$4,0)))))</f>
        <v>686.745</v>
      </c>
      <c r="R53" s="3">
        <f>SUM(N53:Q53)</f>
        <v>2555.389</v>
      </c>
      <c r="S53" s="6">
        <f>IF(ISNA(MATCH(S$2,Inputs!$K$4:$AJ$4,0)),NA(),IF(SUMPRODUCT((Inputs!$A$5:$A$230=$B53)*ISNUMBER(INDEX(Inputs!$K$5:$AJ$230,0,MATCH(S$2,Inputs!$K$4:$AJ$4,0))))+SUMPRODUCT((Inputs!$C$5:$C$230=$B53)*ISNUMBER(INDEX(Inputs!$K$5:$AJ$230,0,MATCH(S$2,Inputs!$K$4:$AJ$4,0))))+SUMPRODUCT((Inputs!$E$5:$E$230=$B53)*ISNUMBER(INDEX(Inputs!$K$5:$AJ$230,0,MATCH(S$2,Inputs!$K$4:$AJ$4,0))))=0,NA(),SUMPRODUCT((Inputs!$A$5:$A$230=$B53)*Inputs!$B$5:$B$230*(((Inputs!$G$5:$G$230="moeda")+(Inputs!$G$5:$G$230="acoes"))*Inputs!$B$1+((Inputs!$G$5:$G$230&lt;&gt;"moeda")*(Inputs!$G$5:$G$230&lt;&gt;"acoes")))*INDEX(Inputs!$K$5:$AJ$230,0,MATCH(S$2,Inputs!$K$4:$AJ$4,0)))+SUMPRODUCT((Inputs!$C$5:$C$230=$B53)*Inputs!$D$5:$D$230*(((Inputs!$G$5:$G$230="moeda")+(Inputs!$G$5:$G$230="acoes"))*Inputs!$B$1+((Inputs!$G$5:$G$230&lt;&gt;"moeda")*(Inputs!$G$5:$G$230&lt;&gt;"acoes")))*INDEX(Inputs!$K$5:$AJ$230,0,MATCH(S$2,Inputs!$K$4:$AJ$4,0)))+SUMPRODUCT((Inputs!$E$5:$E$230=$B53)*Inputs!$F$5:$F$230*(((Inputs!$G$5:$G$230="moeda")+(Inputs!$G$5:$G$230="acoes"))*Inputs!$B$1+((Inputs!$G$5:$G$230&lt;&gt;"moeda")*(Inputs!$G$5:$G$230&lt;&gt;"acoes")))*INDEX(Inputs!$K$5:$AJ$230,0,MATCH(S$2,Inputs!$K$4:$AJ$4,0)))))</f>
        <v>811.934</v>
      </c>
      <c r="T53" s="6">
        <f>IF(ISNA(MATCH(T$2,Inputs!$K$4:$AJ$4,0)),NA(),IF(SUMPRODUCT((Inputs!$A$5:$A$230=$B53)*ISNUMBER(INDEX(Inputs!$K$5:$AJ$230,0,MATCH(T$2,Inputs!$K$4:$AJ$4,0))))+SUMPRODUCT((Inputs!$C$5:$C$230=$B53)*ISNUMBER(INDEX(Inputs!$K$5:$AJ$230,0,MATCH(T$2,Inputs!$K$4:$AJ$4,0))))+SUMPRODUCT((Inputs!$E$5:$E$230=$B53)*ISNUMBER(INDEX(Inputs!$K$5:$AJ$230,0,MATCH(T$2,Inputs!$K$4:$AJ$4,0))))=0,NA(),SUMPRODUCT((Inputs!$A$5:$A$230=$B53)*Inputs!$B$5:$B$230*(((Inputs!$G$5:$G$230="moeda")+(Inputs!$G$5:$G$230="acoes"))*Inputs!$B$1+((Inputs!$G$5:$G$230&lt;&gt;"moeda")*(Inputs!$G$5:$G$230&lt;&gt;"acoes")))*INDEX(Inputs!$K$5:$AJ$230,0,MATCH(T$2,Inputs!$K$4:$AJ$4,0)))+SUMPRODUCT((Inputs!$C$5:$C$230=$B53)*Inputs!$D$5:$D$230*(((Inputs!$G$5:$G$230="moeda")+(Inputs!$G$5:$G$230="acoes"))*Inputs!$B$1+((Inputs!$G$5:$G$230&lt;&gt;"moeda")*(Inputs!$G$5:$G$230&lt;&gt;"acoes")))*INDEX(Inputs!$K$5:$AJ$230,0,MATCH(T$2,Inputs!$K$4:$AJ$4,0)))+SUMPRODUCT((Inputs!$E$5:$E$230=$B53)*Inputs!$F$5:$F$230*(((Inputs!$G$5:$G$230="moeda")+(Inputs!$G$5:$G$230="acoes"))*Inputs!$B$1+((Inputs!$G$5:$G$230&lt;&gt;"moeda")*(Inputs!$G$5:$G$230&lt;&gt;"acoes")))*INDEX(Inputs!$K$5:$AJ$230,0,MATCH(T$2,Inputs!$K$4:$AJ$4,0)))))</f>
        <v>774.963</v>
      </c>
      <c r="U53" s="6">
        <f>IF(ISNA(MATCH(U$2,Inputs!$K$4:$AJ$4,0)),NA(),IF(SUMPRODUCT((Inputs!$A$5:$A$230=$B53)*ISNUMBER(INDEX(Inputs!$K$5:$AJ$230,0,MATCH(U$2,Inputs!$K$4:$AJ$4,0))))+SUMPRODUCT((Inputs!$C$5:$C$230=$B53)*ISNUMBER(INDEX(Inputs!$K$5:$AJ$230,0,MATCH(U$2,Inputs!$K$4:$AJ$4,0))))+SUMPRODUCT((Inputs!$E$5:$E$230=$B53)*ISNUMBER(INDEX(Inputs!$K$5:$AJ$230,0,MATCH(U$2,Inputs!$K$4:$AJ$4,0))))=0,NA(),SUMPRODUCT((Inputs!$A$5:$A$230=$B53)*Inputs!$B$5:$B$230*(((Inputs!$G$5:$G$230="moeda")+(Inputs!$G$5:$G$230="acoes"))*Inputs!$B$1+((Inputs!$G$5:$G$230&lt;&gt;"moeda")*(Inputs!$G$5:$G$230&lt;&gt;"acoes")))*INDEX(Inputs!$K$5:$AJ$230,0,MATCH(U$2,Inputs!$K$4:$AJ$4,0)))+SUMPRODUCT((Inputs!$C$5:$C$230=$B53)*Inputs!$D$5:$D$230*(((Inputs!$G$5:$G$230="moeda")+(Inputs!$G$5:$G$230="acoes"))*Inputs!$B$1+((Inputs!$G$5:$G$230&lt;&gt;"moeda")*(Inputs!$G$5:$G$230&lt;&gt;"acoes")))*INDEX(Inputs!$K$5:$AJ$230,0,MATCH(U$2,Inputs!$K$4:$AJ$4,0)))+SUMPRODUCT((Inputs!$E$5:$E$230=$B53)*Inputs!$F$5:$F$230*(((Inputs!$G$5:$G$230="moeda")+(Inputs!$G$5:$G$230="acoes"))*Inputs!$B$1+((Inputs!$G$5:$G$230&lt;&gt;"moeda")*(Inputs!$G$5:$G$230&lt;&gt;"acoes")))*INDEX(Inputs!$K$5:$AJ$230,0,MATCH(U$2,Inputs!$K$4:$AJ$4,0)))))</f>
        <v>743.02</v>
      </c>
      <c r="V53" s="6">
        <f>IF(ISNA(MATCH(V$2,Inputs!$K$4:$AJ$4,0)),NA(),IF(SUMPRODUCT((Inputs!$A$5:$A$230=$B53)*ISNUMBER(INDEX(Inputs!$K$5:$AJ$230,0,MATCH(V$2,Inputs!$K$4:$AJ$4,0))))+SUMPRODUCT((Inputs!$C$5:$C$230=$B53)*ISNUMBER(INDEX(Inputs!$K$5:$AJ$230,0,MATCH(V$2,Inputs!$K$4:$AJ$4,0))))+SUMPRODUCT((Inputs!$E$5:$E$230=$B53)*ISNUMBER(INDEX(Inputs!$K$5:$AJ$230,0,MATCH(V$2,Inputs!$K$4:$AJ$4,0))))=0,NA(),SUMPRODUCT((Inputs!$A$5:$A$230=$B53)*Inputs!$B$5:$B$230*(((Inputs!$G$5:$G$230="moeda")+(Inputs!$G$5:$G$230="acoes"))*Inputs!$B$1+((Inputs!$G$5:$G$230&lt;&gt;"moeda")*(Inputs!$G$5:$G$230&lt;&gt;"acoes")))*INDEX(Inputs!$K$5:$AJ$230,0,MATCH(V$2,Inputs!$K$4:$AJ$4,0)))+SUMPRODUCT((Inputs!$C$5:$C$230=$B53)*Inputs!$D$5:$D$230*(((Inputs!$G$5:$G$230="moeda")+(Inputs!$G$5:$G$230="acoes"))*Inputs!$B$1+((Inputs!$G$5:$G$230&lt;&gt;"moeda")*(Inputs!$G$5:$G$230&lt;&gt;"acoes")))*INDEX(Inputs!$K$5:$AJ$230,0,MATCH(V$2,Inputs!$K$4:$AJ$4,0)))+SUMPRODUCT((Inputs!$E$5:$E$230=$B53)*Inputs!$F$5:$F$230*(((Inputs!$G$5:$G$230="moeda")+(Inputs!$G$5:$G$230="acoes"))*Inputs!$B$1+((Inputs!$G$5:$G$230&lt;&gt;"moeda")*(Inputs!$G$5:$G$230&lt;&gt;"acoes")))*INDEX(Inputs!$K$5:$AJ$230,0,MATCH(V$2,Inputs!$K$4:$AJ$4,0)))))</f>
        <v>890.039</v>
      </c>
      <c r="W53" s="3">
        <f>SUM(S53:V53)</f>
        <v>3219.956</v>
      </c>
      <c r="X53" s="6">
        <f>IF(ISNA(MATCH(X$2,Inputs!$K$4:$AJ$4,0)),NA(),IF(SUMPRODUCT((Inputs!$A$5:$A$230=$B53)*ISNUMBER(INDEX(Inputs!$K$5:$AJ$230,0,MATCH(X$2,Inputs!$K$4:$AJ$4,0))))+SUMPRODUCT((Inputs!$C$5:$C$230=$B53)*ISNUMBER(INDEX(Inputs!$K$5:$AJ$230,0,MATCH(X$2,Inputs!$K$4:$AJ$4,0))))+SUMPRODUCT((Inputs!$E$5:$E$230=$B53)*ISNUMBER(INDEX(Inputs!$K$5:$AJ$230,0,MATCH(X$2,Inputs!$K$4:$AJ$4,0))))=0,NA(),SUMPRODUCT((Inputs!$A$5:$A$230=$B53)*Inputs!$B$5:$B$230*(((Inputs!$G$5:$G$230="moeda")+(Inputs!$G$5:$G$230="acoes"))*Inputs!$B$1+((Inputs!$G$5:$G$230&lt;&gt;"moeda")*(Inputs!$G$5:$G$230&lt;&gt;"acoes")))*INDEX(Inputs!$K$5:$AJ$230,0,MATCH(X$2,Inputs!$K$4:$AJ$4,0)))+SUMPRODUCT((Inputs!$C$5:$C$230=$B53)*Inputs!$D$5:$D$230*(((Inputs!$G$5:$G$230="moeda")+(Inputs!$G$5:$G$230="acoes"))*Inputs!$B$1+((Inputs!$G$5:$G$230&lt;&gt;"moeda")*(Inputs!$G$5:$G$230&lt;&gt;"acoes")))*INDEX(Inputs!$K$5:$AJ$230,0,MATCH(X$2,Inputs!$K$4:$AJ$4,0)))+SUMPRODUCT((Inputs!$E$5:$E$230=$B53)*Inputs!$F$5:$F$230*(((Inputs!$G$5:$G$230="moeda")+(Inputs!$G$5:$G$230="acoes"))*Inputs!$B$1+((Inputs!$G$5:$G$230&lt;&gt;"moeda")*(Inputs!$G$5:$G$230&lt;&gt;"acoes")))*INDEX(Inputs!$K$5:$AJ$230,0,MATCH(X$2,Inputs!$K$4:$AJ$4,0)))))</f>
        <v>1001.038</v>
      </c>
      <c r="Y53" s="6">
        <f>IF(ISNA(MATCH(Y$2,Inputs!$K$4:$AJ$4,0)),NA(),IF(SUMPRODUCT((Inputs!$A$5:$A$230=$B53)*ISNUMBER(INDEX(Inputs!$K$5:$AJ$230,0,MATCH(Y$2,Inputs!$K$4:$AJ$4,0))))+SUMPRODUCT((Inputs!$C$5:$C$230=$B53)*ISNUMBER(INDEX(Inputs!$K$5:$AJ$230,0,MATCH(Y$2,Inputs!$K$4:$AJ$4,0))))+SUMPRODUCT((Inputs!$E$5:$E$230=$B53)*ISNUMBER(INDEX(Inputs!$K$5:$AJ$230,0,MATCH(Y$2,Inputs!$K$4:$AJ$4,0))))=0,NA(),SUMPRODUCT((Inputs!$A$5:$A$230=$B53)*Inputs!$B$5:$B$230*(((Inputs!$G$5:$G$230="moeda")+(Inputs!$G$5:$G$230="acoes"))*Inputs!$B$1+((Inputs!$G$5:$G$230&lt;&gt;"moeda")*(Inputs!$G$5:$G$230&lt;&gt;"acoes")))*INDEX(Inputs!$K$5:$AJ$230,0,MATCH(Y$2,Inputs!$K$4:$AJ$4,0)))+SUMPRODUCT((Inputs!$C$5:$C$230=$B53)*Inputs!$D$5:$D$230*(((Inputs!$G$5:$G$230="moeda")+(Inputs!$G$5:$G$230="acoes"))*Inputs!$B$1+((Inputs!$G$5:$G$230&lt;&gt;"moeda")*(Inputs!$G$5:$G$230&lt;&gt;"acoes")))*INDEX(Inputs!$K$5:$AJ$230,0,MATCH(Y$2,Inputs!$K$4:$AJ$4,0)))+SUMPRODUCT((Inputs!$E$5:$E$230=$B53)*Inputs!$F$5:$F$230*(((Inputs!$G$5:$G$230="moeda")+(Inputs!$G$5:$G$230="acoes"))*Inputs!$B$1+((Inputs!$G$5:$G$230&lt;&gt;"moeda")*(Inputs!$G$5:$G$230&lt;&gt;"acoes")))*INDEX(Inputs!$K$5:$AJ$230,0,MATCH(Y$2,Inputs!$K$4:$AJ$4,0)))))</f>
        <v>828.487</v>
      </c>
      <c r="Z53" s="6">
        <f>IF(ISNA(MATCH(Z$2,Inputs!$K$4:$AJ$4,0)),NA(),IF(SUMPRODUCT((Inputs!$A$5:$A$230=$B53)*ISNUMBER(INDEX(Inputs!$K$5:$AJ$230,0,MATCH(Z$2,Inputs!$K$4:$AJ$4,0))))+SUMPRODUCT((Inputs!$C$5:$C$230=$B53)*ISNUMBER(INDEX(Inputs!$K$5:$AJ$230,0,MATCH(Z$2,Inputs!$K$4:$AJ$4,0))))+SUMPRODUCT((Inputs!$E$5:$E$230=$B53)*ISNUMBER(INDEX(Inputs!$K$5:$AJ$230,0,MATCH(Z$2,Inputs!$K$4:$AJ$4,0))))=0,NA(),SUMPRODUCT((Inputs!$A$5:$A$230=$B53)*Inputs!$B$5:$B$230*(((Inputs!$G$5:$G$230="moeda")+(Inputs!$G$5:$G$230="acoes"))*Inputs!$B$1+((Inputs!$G$5:$G$230&lt;&gt;"moeda")*(Inputs!$G$5:$G$230&lt;&gt;"acoes")))*INDEX(Inputs!$K$5:$AJ$230,0,MATCH(Z$2,Inputs!$K$4:$AJ$4,0)))+SUMPRODUCT((Inputs!$C$5:$C$230=$B53)*Inputs!$D$5:$D$230*(((Inputs!$G$5:$G$230="moeda")+(Inputs!$G$5:$G$230="acoes"))*Inputs!$B$1+((Inputs!$G$5:$G$230&lt;&gt;"moeda")*(Inputs!$G$5:$G$230&lt;&gt;"acoes")))*INDEX(Inputs!$K$5:$AJ$230,0,MATCH(Z$2,Inputs!$K$4:$AJ$4,0)))+SUMPRODUCT((Inputs!$E$5:$E$230=$B53)*Inputs!$F$5:$F$230*(((Inputs!$G$5:$G$230="moeda")+(Inputs!$G$5:$G$230="acoes"))*Inputs!$B$1+((Inputs!$G$5:$G$230&lt;&gt;"moeda")*(Inputs!$G$5:$G$230&lt;&gt;"acoes")))*INDEX(Inputs!$K$5:$AJ$230,0,MATCH(Z$2,Inputs!$K$4:$AJ$4,0)))))</f>
        <v>756.195</v>
      </c>
      <c r="AA53" s="6">
        <f>IF(ISNA(MATCH(AA$2,Inputs!$K$4:$AJ$4,0)),NA(),IF(SUMPRODUCT((Inputs!$A$5:$A$230=$B53)*ISNUMBER(INDEX(Inputs!$K$5:$AJ$230,0,MATCH(AA$2,Inputs!$K$4:$AJ$4,0))))+SUMPRODUCT((Inputs!$C$5:$C$230=$B53)*ISNUMBER(INDEX(Inputs!$K$5:$AJ$230,0,MATCH(AA$2,Inputs!$K$4:$AJ$4,0))))+SUMPRODUCT((Inputs!$E$5:$E$230=$B53)*ISNUMBER(INDEX(Inputs!$K$5:$AJ$230,0,MATCH(AA$2,Inputs!$K$4:$AJ$4,0))))=0,NA(),SUMPRODUCT((Inputs!$A$5:$A$230=$B53)*Inputs!$B$5:$B$230*(((Inputs!$G$5:$G$230="moeda")+(Inputs!$G$5:$G$230="acoes"))*Inputs!$B$1+((Inputs!$G$5:$G$230&lt;&gt;"moeda")*(Inputs!$G$5:$G$230&lt;&gt;"acoes")))*INDEX(Inputs!$K$5:$AJ$230,0,MATCH(AA$2,Inputs!$K$4:$AJ$4,0)))+SUMPRODUCT((Inputs!$C$5:$C$230=$B53)*Inputs!$D$5:$D$230*(((Inputs!$G$5:$G$230="moeda")+(Inputs!$G$5:$G$230="acoes"))*Inputs!$B$1+((Inputs!$G$5:$G$230&lt;&gt;"moeda")*(Inputs!$G$5:$G$230&lt;&gt;"acoes")))*INDEX(Inputs!$K$5:$AJ$230,0,MATCH(AA$2,Inputs!$K$4:$AJ$4,0)))+SUMPRODUCT((Inputs!$E$5:$E$230=$B53)*Inputs!$F$5:$F$230*(((Inputs!$G$5:$G$230="moeda")+(Inputs!$G$5:$G$230="acoes"))*Inputs!$B$1+((Inputs!$G$5:$G$230&lt;&gt;"moeda")*(Inputs!$G$5:$G$230&lt;&gt;"acoes")))*INDEX(Inputs!$K$5:$AJ$230,0,MATCH(AA$2,Inputs!$K$4:$AJ$4,0)))))</f>
        <v>953.586</v>
      </c>
      <c r="AB53" s="3">
        <f>SUM(X53:AA53)</f>
        <v>3539.306</v>
      </c>
      <c r="AC53" s="6">
        <f>IF(ISNA(MATCH(AC$2,Inputs!$K$4:$AJ$4,0)),NA(),IF(SUMPRODUCT((Inputs!$A$5:$A$230=$B53)*ISNUMBER(INDEX(Inputs!$K$5:$AJ$230,0,MATCH(AC$2,Inputs!$K$4:$AJ$4,0))))+SUMPRODUCT((Inputs!$C$5:$C$230=$B53)*ISNUMBER(INDEX(Inputs!$K$5:$AJ$230,0,MATCH(AC$2,Inputs!$K$4:$AJ$4,0))))+SUMPRODUCT((Inputs!$E$5:$E$230=$B53)*ISNUMBER(INDEX(Inputs!$K$5:$AJ$230,0,MATCH(AC$2,Inputs!$K$4:$AJ$4,0))))=0,NA(),SUMPRODUCT((Inputs!$A$5:$A$230=$B53)*Inputs!$B$5:$B$230*(((Inputs!$G$5:$G$230="moeda")+(Inputs!$G$5:$G$230="acoes"))*Inputs!$B$1+((Inputs!$G$5:$G$230&lt;&gt;"moeda")*(Inputs!$G$5:$G$230&lt;&gt;"acoes")))*INDEX(Inputs!$K$5:$AJ$230,0,MATCH(AC$2,Inputs!$K$4:$AJ$4,0)))+SUMPRODUCT((Inputs!$C$5:$C$230=$B53)*Inputs!$D$5:$D$230*(((Inputs!$G$5:$G$230="moeda")+(Inputs!$G$5:$G$230="acoes"))*Inputs!$B$1+((Inputs!$G$5:$G$230&lt;&gt;"moeda")*(Inputs!$G$5:$G$230&lt;&gt;"acoes")))*INDEX(Inputs!$K$5:$AJ$230,0,MATCH(AC$2,Inputs!$K$4:$AJ$4,0)))+SUMPRODUCT((Inputs!$E$5:$E$230=$B53)*Inputs!$F$5:$F$230*(((Inputs!$G$5:$G$230="moeda")+(Inputs!$G$5:$G$230="acoes"))*Inputs!$B$1+((Inputs!$G$5:$G$230&lt;&gt;"moeda")*(Inputs!$G$5:$G$230&lt;&gt;"acoes")))*INDEX(Inputs!$K$5:$AJ$230,0,MATCH(AC$2,Inputs!$K$4:$AJ$4,0)))))</f>
        <v>997.764</v>
      </c>
      <c r="AD53" s="6">
        <f>IF(ISNA(MATCH(AD$2,Inputs!$K$4:$AJ$4,0)),NA(),IF(SUMPRODUCT((Inputs!$A$5:$A$230=$B53)*ISNUMBER(INDEX(Inputs!$K$5:$AJ$230,0,MATCH(AD$2,Inputs!$K$4:$AJ$4,0))))+SUMPRODUCT((Inputs!$C$5:$C$230=$B53)*ISNUMBER(INDEX(Inputs!$K$5:$AJ$230,0,MATCH(AD$2,Inputs!$K$4:$AJ$4,0))))+SUMPRODUCT((Inputs!$E$5:$E$230=$B53)*ISNUMBER(INDEX(Inputs!$K$5:$AJ$230,0,MATCH(AD$2,Inputs!$K$4:$AJ$4,0))))=0,NA(),SUMPRODUCT((Inputs!$A$5:$A$230=$B53)*Inputs!$B$5:$B$230*(((Inputs!$G$5:$G$230="moeda")+(Inputs!$G$5:$G$230="acoes"))*Inputs!$B$1+((Inputs!$G$5:$G$230&lt;&gt;"moeda")*(Inputs!$G$5:$G$230&lt;&gt;"acoes")))*INDEX(Inputs!$K$5:$AJ$230,0,MATCH(AD$2,Inputs!$K$4:$AJ$4,0)))+SUMPRODUCT((Inputs!$C$5:$C$230=$B53)*Inputs!$D$5:$D$230*(((Inputs!$G$5:$G$230="moeda")+(Inputs!$G$5:$G$230="acoes"))*Inputs!$B$1+((Inputs!$G$5:$G$230&lt;&gt;"moeda")*(Inputs!$G$5:$G$230&lt;&gt;"acoes")))*INDEX(Inputs!$K$5:$AJ$230,0,MATCH(AD$2,Inputs!$K$4:$AJ$4,0)))+SUMPRODUCT((Inputs!$E$5:$E$230=$B53)*Inputs!$F$5:$F$230*(((Inputs!$G$5:$G$230="moeda")+(Inputs!$G$5:$G$230="acoes"))*Inputs!$B$1+((Inputs!$G$5:$G$230&lt;&gt;"moeda")*(Inputs!$G$5:$G$230&lt;&gt;"acoes")))*INDEX(Inputs!$K$5:$AJ$230,0,MATCH(AD$2,Inputs!$K$4:$AJ$4,0)))))</f>
        <v>1414.665</v>
      </c>
      <c r="AE53" s="6" t="e">
        <f>IF(ISNA(MATCH(AE$2,Inputs!$K$4:$AJ$4,0)),NA(),IF(SUMPRODUCT((Inputs!$A$5:$A$230=$B53)*ISNUMBER(INDEX(Inputs!$K$5:$AJ$230,0,MATCH(AE$2,Inputs!$K$4:$AJ$4,0))))+SUMPRODUCT((Inputs!$C$5:$C$230=$B53)*ISNUMBER(INDEX(Inputs!$K$5:$AJ$230,0,MATCH(AE$2,Inputs!$K$4:$AJ$4,0))))+SUMPRODUCT((Inputs!$E$5:$E$230=$B53)*ISNUMBER(INDEX(Inputs!$K$5:$AJ$230,0,MATCH(AE$2,Inputs!$K$4:$AJ$4,0))))=0,NA(),SUMPRODUCT((Inputs!$A$5:$A$230=$B53)*Inputs!$B$5:$B$230*(((Inputs!$G$5:$G$230="moeda")+(Inputs!$G$5:$G$230="acoes"))*Inputs!$B$1+((Inputs!$G$5:$G$230&lt;&gt;"moeda")*(Inputs!$G$5:$G$230&lt;&gt;"acoes")))*INDEX(Inputs!$K$5:$AJ$230,0,MATCH(AE$2,Inputs!$K$4:$AJ$4,0)))+SUMPRODUCT((Inputs!$C$5:$C$230=$B53)*Inputs!$D$5:$D$230*(((Inputs!$G$5:$G$230="moeda")+(Inputs!$G$5:$G$230="acoes"))*Inputs!$B$1+((Inputs!$G$5:$G$230&lt;&gt;"moeda")*(Inputs!$G$5:$G$230&lt;&gt;"acoes")))*INDEX(Inputs!$K$5:$AJ$230,0,MATCH(AE$2,Inputs!$K$4:$AJ$4,0)))+SUMPRODUCT((Inputs!$E$5:$E$230=$B53)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53" s="6" t="e">
        <f>IF(ISNA(MATCH(AF$2,Inputs!$K$4:$AJ$4,0)),NA(),IF(SUMPRODUCT((Inputs!$A$5:$A$230=$B53)*ISNUMBER(INDEX(Inputs!$K$5:$AJ$230,0,MATCH(AF$2,Inputs!$K$4:$AJ$4,0))))+SUMPRODUCT((Inputs!$C$5:$C$230=$B53)*ISNUMBER(INDEX(Inputs!$K$5:$AJ$230,0,MATCH(AF$2,Inputs!$K$4:$AJ$4,0))))+SUMPRODUCT((Inputs!$E$5:$E$230=$B53)*ISNUMBER(INDEX(Inputs!$K$5:$AJ$230,0,MATCH(AF$2,Inputs!$K$4:$AJ$4,0))))=0,NA(),SUMPRODUCT((Inputs!$A$5:$A$230=$B53)*Inputs!$B$5:$B$230*(((Inputs!$G$5:$G$230="moeda")+(Inputs!$G$5:$G$230="acoes"))*Inputs!$B$1+((Inputs!$G$5:$G$230&lt;&gt;"moeda")*(Inputs!$G$5:$G$230&lt;&gt;"acoes")))*INDEX(Inputs!$K$5:$AJ$230,0,MATCH(AF$2,Inputs!$K$4:$AJ$4,0)))+SUMPRODUCT((Inputs!$C$5:$C$230=$B53)*Inputs!$D$5:$D$230*(((Inputs!$G$5:$G$230="moeda")+(Inputs!$G$5:$G$230="acoes"))*Inputs!$B$1+((Inputs!$G$5:$G$230&lt;&gt;"moeda")*(Inputs!$G$5:$G$230&lt;&gt;"acoes")))*INDEX(Inputs!$K$5:$AJ$230,0,MATCH(AF$2,Inputs!$K$4:$AJ$4,0)))+SUMPRODUCT((Inputs!$E$5:$E$230=$B53)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53" s="3" t="e">
        <f>SUM(AC53:AF53)</f>
        <v>#N/A</v>
      </c>
      <c r="AH53" s="6" t="e">
        <f>IF(ISNA(MATCH(AH$2,Inputs!$K$4:$AJ$4,0)),NA(),IF(SUMPRODUCT((Inputs!$A$5:$A$230=$B53)*ISNUMBER(INDEX(Inputs!$K$5:$AJ$230,0,MATCH(AH$2,Inputs!$K$4:$AJ$4,0))))+SUMPRODUCT((Inputs!$C$5:$C$230=$B53)*ISNUMBER(INDEX(Inputs!$K$5:$AJ$230,0,MATCH(AH$2,Inputs!$K$4:$AJ$4,0))))+SUMPRODUCT((Inputs!$E$5:$E$230=$B53)*ISNUMBER(INDEX(Inputs!$K$5:$AJ$230,0,MATCH(AH$2,Inputs!$K$4:$AJ$4,0))))=0,NA(),SUMPRODUCT((Inputs!$A$5:$A$230=$B53)*Inputs!$B$5:$B$230*(((Inputs!$G$5:$G$230="moeda")+(Inputs!$G$5:$G$230="acoes"))*Inputs!$B$1+((Inputs!$G$5:$G$230&lt;&gt;"moeda")*(Inputs!$G$5:$G$230&lt;&gt;"acoes")))*INDEX(Inputs!$K$5:$AJ$230,0,MATCH(AH$2,Inputs!$K$4:$AJ$4,0)))+SUMPRODUCT((Inputs!$C$5:$C$230=$B53)*Inputs!$D$5:$D$230*(((Inputs!$G$5:$G$230="moeda")+(Inputs!$G$5:$G$230="acoes"))*Inputs!$B$1+((Inputs!$G$5:$G$230&lt;&gt;"moeda")*(Inputs!$G$5:$G$230&lt;&gt;"acoes")))*INDEX(Inputs!$K$5:$AJ$230,0,MATCH(AH$2,Inputs!$K$4:$AJ$4,0)))+SUMPRODUCT((Inputs!$E$5:$E$230=$B53)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53" s="6" t="e">
        <f>IF(ISNA(MATCH(AI$2,Inputs!$K$4:$AJ$4,0)),NA(),IF(SUMPRODUCT((Inputs!$A$5:$A$230=$B53)*ISNUMBER(INDEX(Inputs!$K$5:$AJ$230,0,MATCH(AI$2,Inputs!$K$4:$AJ$4,0))))+SUMPRODUCT((Inputs!$C$5:$C$230=$B53)*ISNUMBER(INDEX(Inputs!$K$5:$AJ$230,0,MATCH(AI$2,Inputs!$K$4:$AJ$4,0))))+SUMPRODUCT((Inputs!$E$5:$E$230=$B53)*ISNUMBER(INDEX(Inputs!$K$5:$AJ$230,0,MATCH(AI$2,Inputs!$K$4:$AJ$4,0))))=0,NA(),SUMPRODUCT((Inputs!$A$5:$A$230=$B53)*Inputs!$B$5:$B$230*(((Inputs!$G$5:$G$230="moeda")+(Inputs!$G$5:$G$230="acoes"))*Inputs!$B$1+((Inputs!$G$5:$G$230&lt;&gt;"moeda")*(Inputs!$G$5:$G$230&lt;&gt;"acoes")))*INDEX(Inputs!$K$5:$AJ$230,0,MATCH(AI$2,Inputs!$K$4:$AJ$4,0)))+SUMPRODUCT((Inputs!$C$5:$C$230=$B53)*Inputs!$D$5:$D$230*(((Inputs!$G$5:$G$230="moeda")+(Inputs!$G$5:$G$230="acoes"))*Inputs!$B$1+((Inputs!$G$5:$G$230&lt;&gt;"moeda")*(Inputs!$G$5:$G$230&lt;&gt;"acoes")))*INDEX(Inputs!$K$5:$AJ$230,0,MATCH(AI$2,Inputs!$K$4:$AJ$4,0)))+SUMPRODUCT((Inputs!$E$5:$E$230=$B53)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53" s="6" t="e">
        <f>IF(ISNA(MATCH(AJ$2,Inputs!$K$4:$AJ$4,0)),NA(),IF(SUMPRODUCT((Inputs!$A$5:$A$230=$B53)*ISNUMBER(INDEX(Inputs!$K$5:$AJ$230,0,MATCH(AJ$2,Inputs!$K$4:$AJ$4,0))))+SUMPRODUCT((Inputs!$C$5:$C$230=$B53)*ISNUMBER(INDEX(Inputs!$K$5:$AJ$230,0,MATCH(AJ$2,Inputs!$K$4:$AJ$4,0))))+SUMPRODUCT((Inputs!$E$5:$E$230=$B53)*ISNUMBER(INDEX(Inputs!$K$5:$AJ$230,0,MATCH(AJ$2,Inputs!$K$4:$AJ$4,0))))=0,NA(),SUMPRODUCT((Inputs!$A$5:$A$230=$B53)*Inputs!$B$5:$B$230*(((Inputs!$G$5:$G$230="moeda")+(Inputs!$G$5:$G$230="acoes"))*Inputs!$B$1+((Inputs!$G$5:$G$230&lt;&gt;"moeda")*(Inputs!$G$5:$G$230&lt;&gt;"acoes")))*INDEX(Inputs!$K$5:$AJ$230,0,MATCH(AJ$2,Inputs!$K$4:$AJ$4,0)))+SUMPRODUCT((Inputs!$C$5:$C$230=$B53)*Inputs!$D$5:$D$230*(((Inputs!$G$5:$G$230="moeda")+(Inputs!$G$5:$G$230="acoes"))*Inputs!$B$1+((Inputs!$G$5:$G$230&lt;&gt;"moeda")*(Inputs!$G$5:$G$230&lt;&gt;"acoes")))*INDEX(Inputs!$K$5:$AJ$230,0,MATCH(AJ$2,Inputs!$K$4:$AJ$4,0)))+SUMPRODUCT((Inputs!$E$5:$E$230=$B53)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53" s="6" t="e">
        <f>IF(ISNA(MATCH(AK$2,Inputs!$K$4:$AJ$4,0)),NA(),IF(SUMPRODUCT((Inputs!$A$5:$A$230=$B53)*ISNUMBER(INDEX(Inputs!$K$5:$AJ$230,0,MATCH(AK$2,Inputs!$K$4:$AJ$4,0))))+SUMPRODUCT((Inputs!$C$5:$C$230=$B53)*ISNUMBER(INDEX(Inputs!$K$5:$AJ$230,0,MATCH(AK$2,Inputs!$K$4:$AJ$4,0))))+SUMPRODUCT((Inputs!$E$5:$E$230=$B53)*ISNUMBER(INDEX(Inputs!$K$5:$AJ$230,0,MATCH(AK$2,Inputs!$K$4:$AJ$4,0))))=0,NA(),SUMPRODUCT((Inputs!$A$5:$A$230=$B53)*Inputs!$B$5:$B$230*(((Inputs!$G$5:$G$230="moeda")+(Inputs!$G$5:$G$230="acoes"))*Inputs!$B$1+((Inputs!$G$5:$G$230&lt;&gt;"moeda")*(Inputs!$G$5:$G$230&lt;&gt;"acoes")))*INDEX(Inputs!$K$5:$AJ$230,0,MATCH(AK$2,Inputs!$K$4:$AJ$4,0)))+SUMPRODUCT((Inputs!$C$5:$C$230=$B53)*Inputs!$D$5:$D$230*(((Inputs!$G$5:$G$230="moeda")+(Inputs!$G$5:$G$230="acoes"))*Inputs!$B$1+((Inputs!$G$5:$G$230&lt;&gt;"moeda")*(Inputs!$G$5:$G$230&lt;&gt;"acoes")))*INDEX(Inputs!$K$5:$AJ$230,0,MATCH(AK$2,Inputs!$K$4:$AJ$4,0)))+SUMPRODUCT((Inputs!$E$5:$E$230=$B53)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53" s="3" t="e">
        <f>SUM(AH53:AK53)</f>
        <v>#N/A</v>
      </c>
    </row>
    <row r="54">
      <c r="B54" s="46" t="n">
        <v>46</v>
      </c>
      <c r="C54" s="29" t="inlineStr">
        <is>
          <t>Geracao - consolidado do segmento | aba "Consolidado - Geracao" (so a partir do 1T23)</t>
        </is>
      </c>
      <c r="D54" s="6" t="e">
        <f>IF(ISNA(MATCH(D$2,Inputs!$K$4:$AJ$4,0)),NA(),IF(SUMPRODUCT((Inputs!$A$5:$A$230=$B54)*ISNUMBER(INDEX(Inputs!$K$5:$AJ$230,0,MATCH(D$2,Inputs!$K$4:$AJ$4,0))))+SUMPRODUCT((Inputs!$C$5:$C$230=$B54)*ISNUMBER(INDEX(Inputs!$K$5:$AJ$230,0,MATCH(D$2,Inputs!$K$4:$AJ$4,0))))+SUMPRODUCT((Inputs!$E$5:$E$230=$B54)*ISNUMBER(INDEX(Inputs!$K$5:$AJ$230,0,MATCH(D$2,Inputs!$K$4:$AJ$4,0))))=0,NA(),SUMPRODUCT((Inputs!$A$5:$A$230=$B54)*Inputs!$B$5:$B$230*(((Inputs!$G$5:$G$230="moeda")+(Inputs!$G$5:$G$230="acoes"))*Inputs!$B$1+((Inputs!$G$5:$G$230&lt;&gt;"moeda")*(Inputs!$G$5:$G$230&lt;&gt;"acoes")))*INDEX(Inputs!$K$5:$AJ$230,0,MATCH(D$2,Inputs!$K$4:$AJ$4,0)))+SUMPRODUCT((Inputs!$C$5:$C$230=$B54)*Inputs!$D$5:$D$230*(((Inputs!$G$5:$G$230="moeda")+(Inputs!$G$5:$G$230="acoes"))*Inputs!$B$1+((Inputs!$G$5:$G$230&lt;&gt;"moeda")*(Inputs!$G$5:$G$230&lt;&gt;"acoes")))*INDEX(Inputs!$K$5:$AJ$230,0,MATCH(D$2,Inputs!$K$4:$AJ$4,0)))+SUMPRODUCT((Inputs!$E$5:$E$230=$B54)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54" s="6" t="e">
        <f>IF(ISNA(MATCH(E$2,Inputs!$K$4:$AJ$4,0)),NA(),IF(SUMPRODUCT((Inputs!$A$5:$A$230=$B54)*ISNUMBER(INDEX(Inputs!$K$5:$AJ$230,0,MATCH(E$2,Inputs!$K$4:$AJ$4,0))))+SUMPRODUCT((Inputs!$C$5:$C$230=$B54)*ISNUMBER(INDEX(Inputs!$K$5:$AJ$230,0,MATCH(E$2,Inputs!$K$4:$AJ$4,0))))+SUMPRODUCT((Inputs!$E$5:$E$230=$B54)*ISNUMBER(INDEX(Inputs!$K$5:$AJ$230,0,MATCH(E$2,Inputs!$K$4:$AJ$4,0))))=0,NA(),SUMPRODUCT((Inputs!$A$5:$A$230=$B54)*Inputs!$B$5:$B$230*(((Inputs!$G$5:$G$230="moeda")+(Inputs!$G$5:$G$230="acoes"))*Inputs!$B$1+((Inputs!$G$5:$G$230&lt;&gt;"moeda")*(Inputs!$G$5:$G$230&lt;&gt;"acoes")))*INDEX(Inputs!$K$5:$AJ$230,0,MATCH(E$2,Inputs!$K$4:$AJ$4,0)))+SUMPRODUCT((Inputs!$C$5:$C$230=$B54)*Inputs!$D$5:$D$230*(((Inputs!$G$5:$G$230="moeda")+(Inputs!$G$5:$G$230="acoes"))*Inputs!$B$1+((Inputs!$G$5:$G$230&lt;&gt;"moeda")*(Inputs!$G$5:$G$230&lt;&gt;"acoes")))*INDEX(Inputs!$K$5:$AJ$230,0,MATCH(E$2,Inputs!$K$4:$AJ$4,0)))+SUMPRODUCT((Inputs!$E$5:$E$230=$B54)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54" s="6" t="e">
        <f>IF(ISNA(MATCH(F$2,Inputs!$K$4:$AJ$4,0)),NA(),IF(SUMPRODUCT((Inputs!$A$5:$A$230=$B54)*ISNUMBER(INDEX(Inputs!$K$5:$AJ$230,0,MATCH(F$2,Inputs!$K$4:$AJ$4,0))))+SUMPRODUCT((Inputs!$C$5:$C$230=$B54)*ISNUMBER(INDEX(Inputs!$K$5:$AJ$230,0,MATCH(F$2,Inputs!$K$4:$AJ$4,0))))+SUMPRODUCT((Inputs!$E$5:$E$230=$B54)*ISNUMBER(INDEX(Inputs!$K$5:$AJ$230,0,MATCH(F$2,Inputs!$K$4:$AJ$4,0))))=0,NA(),SUMPRODUCT((Inputs!$A$5:$A$230=$B54)*Inputs!$B$5:$B$230*(((Inputs!$G$5:$G$230="moeda")+(Inputs!$G$5:$G$230="acoes"))*Inputs!$B$1+((Inputs!$G$5:$G$230&lt;&gt;"moeda")*(Inputs!$G$5:$G$230&lt;&gt;"acoes")))*INDEX(Inputs!$K$5:$AJ$230,0,MATCH(F$2,Inputs!$K$4:$AJ$4,0)))+SUMPRODUCT((Inputs!$C$5:$C$230=$B54)*Inputs!$D$5:$D$230*(((Inputs!$G$5:$G$230="moeda")+(Inputs!$G$5:$G$230="acoes"))*Inputs!$B$1+((Inputs!$G$5:$G$230&lt;&gt;"moeda")*(Inputs!$G$5:$G$230&lt;&gt;"acoes")))*INDEX(Inputs!$K$5:$AJ$230,0,MATCH(F$2,Inputs!$K$4:$AJ$4,0)))+SUMPRODUCT((Inputs!$E$5:$E$230=$B54)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54" s="6" t="e">
        <f>IF(ISNA(MATCH(G$2,Inputs!$K$4:$AJ$4,0)),NA(),IF(SUMPRODUCT((Inputs!$A$5:$A$230=$B54)*ISNUMBER(INDEX(Inputs!$K$5:$AJ$230,0,MATCH(G$2,Inputs!$K$4:$AJ$4,0))))+SUMPRODUCT((Inputs!$C$5:$C$230=$B54)*ISNUMBER(INDEX(Inputs!$K$5:$AJ$230,0,MATCH(G$2,Inputs!$K$4:$AJ$4,0))))+SUMPRODUCT((Inputs!$E$5:$E$230=$B54)*ISNUMBER(INDEX(Inputs!$K$5:$AJ$230,0,MATCH(G$2,Inputs!$K$4:$AJ$4,0))))=0,NA(),SUMPRODUCT((Inputs!$A$5:$A$230=$B54)*Inputs!$B$5:$B$230*(((Inputs!$G$5:$G$230="moeda")+(Inputs!$G$5:$G$230="acoes"))*Inputs!$B$1+((Inputs!$G$5:$G$230&lt;&gt;"moeda")*(Inputs!$G$5:$G$230&lt;&gt;"acoes")))*INDEX(Inputs!$K$5:$AJ$230,0,MATCH(G$2,Inputs!$K$4:$AJ$4,0)))+SUMPRODUCT((Inputs!$C$5:$C$230=$B54)*Inputs!$D$5:$D$230*(((Inputs!$G$5:$G$230="moeda")+(Inputs!$G$5:$G$230="acoes"))*Inputs!$B$1+((Inputs!$G$5:$G$230&lt;&gt;"moeda")*(Inputs!$G$5:$G$230&lt;&gt;"acoes")))*INDEX(Inputs!$K$5:$AJ$230,0,MATCH(G$2,Inputs!$K$4:$AJ$4,0)))+SUMPRODUCT((Inputs!$E$5:$E$230=$B54)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54" s="3" t="e">
        <f>SUM(D54:G54)</f>
        <v>#N/A</v>
      </c>
      <c r="I54" s="6" t="e">
        <f>IF(ISNA(MATCH(I$2,Inputs!$K$4:$AJ$4,0)),NA(),IF(SUMPRODUCT((Inputs!$A$5:$A$230=$B54)*ISNUMBER(INDEX(Inputs!$K$5:$AJ$230,0,MATCH(I$2,Inputs!$K$4:$AJ$4,0))))+SUMPRODUCT((Inputs!$C$5:$C$230=$B54)*ISNUMBER(INDEX(Inputs!$K$5:$AJ$230,0,MATCH(I$2,Inputs!$K$4:$AJ$4,0))))+SUMPRODUCT((Inputs!$E$5:$E$230=$B54)*ISNUMBER(INDEX(Inputs!$K$5:$AJ$230,0,MATCH(I$2,Inputs!$K$4:$AJ$4,0))))=0,NA(),SUMPRODUCT((Inputs!$A$5:$A$230=$B54)*Inputs!$B$5:$B$230*(((Inputs!$G$5:$G$230="moeda")+(Inputs!$G$5:$G$230="acoes"))*Inputs!$B$1+((Inputs!$G$5:$G$230&lt;&gt;"moeda")*(Inputs!$G$5:$G$230&lt;&gt;"acoes")))*INDEX(Inputs!$K$5:$AJ$230,0,MATCH(I$2,Inputs!$K$4:$AJ$4,0)))+SUMPRODUCT((Inputs!$C$5:$C$230=$B54)*Inputs!$D$5:$D$230*(((Inputs!$G$5:$G$230="moeda")+(Inputs!$G$5:$G$230="acoes"))*Inputs!$B$1+((Inputs!$G$5:$G$230&lt;&gt;"moeda")*(Inputs!$G$5:$G$230&lt;&gt;"acoes")))*INDEX(Inputs!$K$5:$AJ$230,0,MATCH(I$2,Inputs!$K$4:$AJ$4,0)))+SUMPRODUCT((Inputs!$E$5:$E$230=$B54)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54" s="6" t="e">
        <f>IF(ISNA(MATCH(J$2,Inputs!$K$4:$AJ$4,0)),NA(),IF(SUMPRODUCT((Inputs!$A$5:$A$230=$B54)*ISNUMBER(INDEX(Inputs!$K$5:$AJ$230,0,MATCH(J$2,Inputs!$K$4:$AJ$4,0))))+SUMPRODUCT((Inputs!$C$5:$C$230=$B54)*ISNUMBER(INDEX(Inputs!$K$5:$AJ$230,0,MATCH(J$2,Inputs!$K$4:$AJ$4,0))))+SUMPRODUCT((Inputs!$E$5:$E$230=$B54)*ISNUMBER(INDEX(Inputs!$K$5:$AJ$230,0,MATCH(J$2,Inputs!$K$4:$AJ$4,0))))=0,NA(),SUMPRODUCT((Inputs!$A$5:$A$230=$B54)*Inputs!$B$5:$B$230*(((Inputs!$G$5:$G$230="moeda")+(Inputs!$G$5:$G$230="acoes"))*Inputs!$B$1+((Inputs!$G$5:$G$230&lt;&gt;"moeda")*(Inputs!$G$5:$G$230&lt;&gt;"acoes")))*INDEX(Inputs!$K$5:$AJ$230,0,MATCH(J$2,Inputs!$K$4:$AJ$4,0)))+SUMPRODUCT((Inputs!$C$5:$C$230=$B54)*Inputs!$D$5:$D$230*(((Inputs!$G$5:$G$230="moeda")+(Inputs!$G$5:$G$230="acoes"))*Inputs!$B$1+((Inputs!$G$5:$G$230&lt;&gt;"moeda")*(Inputs!$G$5:$G$230&lt;&gt;"acoes")))*INDEX(Inputs!$K$5:$AJ$230,0,MATCH(J$2,Inputs!$K$4:$AJ$4,0)))+SUMPRODUCT((Inputs!$E$5:$E$230=$B54)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54" s="6" t="e">
        <f>IF(ISNA(MATCH(K$2,Inputs!$K$4:$AJ$4,0)),NA(),IF(SUMPRODUCT((Inputs!$A$5:$A$230=$B54)*ISNUMBER(INDEX(Inputs!$K$5:$AJ$230,0,MATCH(K$2,Inputs!$K$4:$AJ$4,0))))+SUMPRODUCT((Inputs!$C$5:$C$230=$B54)*ISNUMBER(INDEX(Inputs!$K$5:$AJ$230,0,MATCH(K$2,Inputs!$K$4:$AJ$4,0))))+SUMPRODUCT((Inputs!$E$5:$E$230=$B54)*ISNUMBER(INDEX(Inputs!$K$5:$AJ$230,0,MATCH(K$2,Inputs!$K$4:$AJ$4,0))))=0,NA(),SUMPRODUCT((Inputs!$A$5:$A$230=$B54)*Inputs!$B$5:$B$230*(((Inputs!$G$5:$G$230="moeda")+(Inputs!$G$5:$G$230="acoes"))*Inputs!$B$1+((Inputs!$G$5:$G$230&lt;&gt;"moeda")*(Inputs!$G$5:$G$230&lt;&gt;"acoes")))*INDEX(Inputs!$K$5:$AJ$230,0,MATCH(K$2,Inputs!$K$4:$AJ$4,0)))+SUMPRODUCT((Inputs!$C$5:$C$230=$B54)*Inputs!$D$5:$D$230*(((Inputs!$G$5:$G$230="moeda")+(Inputs!$G$5:$G$230="acoes"))*Inputs!$B$1+((Inputs!$G$5:$G$230&lt;&gt;"moeda")*(Inputs!$G$5:$G$230&lt;&gt;"acoes")))*INDEX(Inputs!$K$5:$AJ$230,0,MATCH(K$2,Inputs!$K$4:$AJ$4,0)))+SUMPRODUCT((Inputs!$E$5:$E$230=$B54)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54" s="6" t="e">
        <f>IF(ISNA(MATCH(L$2,Inputs!$K$4:$AJ$4,0)),NA(),IF(SUMPRODUCT((Inputs!$A$5:$A$230=$B54)*ISNUMBER(INDEX(Inputs!$K$5:$AJ$230,0,MATCH(L$2,Inputs!$K$4:$AJ$4,0))))+SUMPRODUCT((Inputs!$C$5:$C$230=$B54)*ISNUMBER(INDEX(Inputs!$K$5:$AJ$230,0,MATCH(L$2,Inputs!$K$4:$AJ$4,0))))+SUMPRODUCT((Inputs!$E$5:$E$230=$B54)*ISNUMBER(INDEX(Inputs!$K$5:$AJ$230,0,MATCH(L$2,Inputs!$K$4:$AJ$4,0))))=0,NA(),SUMPRODUCT((Inputs!$A$5:$A$230=$B54)*Inputs!$B$5:$B$230*(((Inputs!$G$5:$G$230="moeda")+(Inputs!$G$5:$G$230="acoes"))*Inputs!$B$1+((Inputs!$G$5:$G$230&lt;&gt;"moeda")*(Inputs!$G$5:$G$230&lt;&gt;"acoes")))*INDEX(Inputs!$K$5:$AJ$230,0,MATCH(L$2,Inputs!$K$4:$AJ$4,0)))+SUMPRODUCT((Inputs!$C$5:$C$230=$B54)*Inputs!$D$5:$D$230*(((Inputs!$G$5:$G$230="moeda")+(Inputs!$G$5:$G$230="acoes"))*Inputs!$B$1+((Inputs!$G$5:$G$230&lt;&gt;"moeda")*(Inputs!$G$5:$G$230&lt;&gt;"acoes")))*INDEX(Inputs!$K$5:$AJ$230,0,MATCH(L$2,Inputs!$K$4:$AJ$4,0)))+SUMPRODUCT((Inputs!$E$5:$E$230=$B54)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54" s="3" t="e">
        <f>SUM(I54:L54)</f>
        <v>#N/A</v>
      </c>
      <c r="N54" s="6">
        <f>IF(ISNA(MATCH(N$2,Inputs!$K$4:$AJ$4,0)),NA(),IF(SUMPRODUCT((Inputs!$A$5:$A$230=$B54)*ISNUMBER(INDEX(Inputs!$K$5:$AJ$230,0,MATCH(N$2,Inputs!$K$4:$AJ$4,0))))+SUMPRODUCT((Inputs!$C$5:$C$230=$B54)*ISNUMBER(INDEX(Inputs!$K$5:$AJ$230,0,MATCH(N$2,Inputs!$K$4:$AJ$4,0))))+SUMPRODUCT((Inputs!$E$5:$E$230=$B54)*ISNUMBER(INDEX(Inputs!$K$5:$AJ$230,0,MATCH(N$2,Inputs!$K$4:$AJ$4,0))))=0,NA(),SUMPRODUCT((Inputs!$A$5:$A$230=$B54)*Inputs!$B$5:$B$230*(((Inputs!$G$5:$G$230="moeda")+(Inputs!$G$5:$G$230="acoes"))*Inputs!$B$1+((Inputs!$G$5:$G$230&lt;&gt;"moeda")*(Inputs!$G$5:$G$230&lt;&gt;"acoes")))*INDEX(Inputs!$K$5:$AJ$230,0,MATCH(N$2,Inputs!$K$4:$AJ$4,0)))+SUMPRODUCT((Inputs!$C$5:$C$230=$B54)*Inputs!$D$5:$D$230*(((Inputs!$G$5:$G$230="moeda")+(Inputs!$G$5:$G$230="acoes"))*Inputs!$B$1+((Inputs!$G$5:$G$230&lt;&gt;"moeda")*(Inputs!$G$5:$G$230&lt;&gt;"acoes")))*INDEX(Inputs!$K$5:$AJ$230,0,MATCH(N$2,Inputs!$K$4:$AJ$4,0)))+SUMPRODUCT((Inputs!$E$5:$E$230=$B54)*Inputs!$F$5:$F$230*(((Inputs!$G$5:$G$230="moeda")+(Inputs!$G$5:$G$230="acoes"))*Inputs!$B$1+((Inputs!$G$5:$G$230&lt;&gt;"moeda")*(Inputs!$G$5:$G$230&lt;&gt;"acoes")))*INDEX(Inputs!$K$5:$AJ$230,0,MATCH(N$2,Inputs!$K$4:$AJ$4,0)))))</f>
        <v>191.9</v>
      </c>
      <c r="O54" s="6">
        <f>IF(ISNA(MATCH(O$2,Inputs!$K$4:$AJ$4,0)),NA(),IF(SUMPRODUCT((Inputs!$A$5:$A$230=$B54)*ISNUMBER(INDEX(Inputs!$K$5:$AJ$230,0,MATCH(O$2,Inputs!$K$4:$AJ$4,0))))+SUMPRODUCT((Inputs!$C$5:$C$230=$B54)*ISNUMBER(INDEX(Inputs!$K$5:$AJ$230,0,MATCH(O$2,Inputs!$K$4:$AJ$4,0))))+SUMPRODUCT((Inputs!$E$5:$E$230=$B54)*ISNUMBER(INDEX(Inputs!$K$5:$AJ$230,0,MATCH(O$2,Inputs!$K$4:$AJ$4,0))))=0,NA(),SUMPRODUCT((Inputs!$A$5:$A$230=$B54)*Inputs!$B$5:$B$230*(((Inputs!$G$5:$G$230="moeda")+(Inputs!$G$5:$G$230="acoes"))*Inputs!$B$1+((Inputs!$G$5:$G$230&lt;&gt;"moeda")*(Inputs!$G$5:$G$230&lt;&gt;"acoes")))*INDEX(Inputs!$K$5:$AJ$230,0,MATCH(O$2,Inputs!$K$4:$AJ$4,0)))+SUMPRODUCT((Inputs!$C$5:$C$230=$B54)*Inputs!$D$5:$D$230*(((Inputs!$G$5:$G$230="moeda")+(Inputs!$G$5:$G$230="acoes"))*Inputs!$B$1+((Inputs!$G$5:$G$230&lt;&gt;"moeda")*(Inputs!$G$5:$G$230&lt;&gt;"acoes")))*INDEX(Inputs!$K$5:$AJ$230,0,MATCH(O$2,Inputs!$K$4:$AJ$4,0)))+SUMPRODUCT((Inputs!$E$5:$E$230=$B54)*Inputs!$F$5:$F$230*(((Inputs!$G$5:$G$230="moeda")+(Inputs!$G$5:$G$230="acoes"))*Inputs!$B$1+((Inputs!$G$5:$G$230&lt;&gt;"moeda")*(Inputs!$G$5:$G$230&lt;&gt;"acoes")))*INDEX(Inputs!$K$5:$AJ$230,0,MATCH(O$2,Inputs!$K$4:$AJ$4,0)))))</f>
        <v>180.105</v>
      </c>
      <c r="P54" s="6">
        <f>IF(ISNA(MATCH(P$2,Inputs!$K$4:$AJ$4,0)),NA(),IF(SUMPRODUCT((Inputs!$A$5:$A$230=$B54)*ISNUMBER(INDEX(Inputs!$K$5:$AJ$230,0,MATCH(P$2,Inputs!$K$4:$AJ$4,0))))+SUMPRODUCT((Inputs!$C$5:$C$230=$B54)*ISNUMBER(INDEX(Inputs!$K$5:$AJ$230,0,MATCH(P$2,Inputs!$K$4:$AJ$4,0))))+SUMPRODUCT((Inputs!$E$5:$E$230=$B54)*ISNUMBER(INDEX(Inputs!$K$5:$AJ$230,0,MATCH(P$2,Inputs!$K$4:$AJ$4,0))))=0,NA(),SUMPRODUCT((Inputs!$A$5:$A$230=$B54)*Inputs!$B$5:$B$230*(((Inputs!$G$5:$G$230="moeda")+(Inputs!$G$5:$G$230="acoes"))*Inputs!$B$1+((Inputs!$G$5:$G$230&lt;&gt;"moeda")*(Inputs!$G$5:$G$230&lt;&gt;"acoes")))*INDEX(Inputs!$K$5:$AJ$230,0,MATCH(P$2,Inputs!$K$4:$AJ$4,0)))+SUMPRODUCT((Inputs!$C$5:$C$230=$B54)*Inputs!$D$5:$D$230*(((Inputs!$G$5:$G$230="moeda")+(Inputs!$G$5:$G$230="acoes"))*Inputs!$B$1+((Inputs!$G$5:$G$230&lt;&gt;"moeda")*(Inputs!$G$5:$G$230&lt;&gt;"acoes")))*INDEX(Inputs!$K$5:$AJ$230,0,MATCH(P$2,Inputs!$K$4:$AJ$4,0)))+SUMPRODUCT((Inputs!$E$5:$E$230=$B54)*Inputs!$F$5:$F$230*(((Inputs!$G$5:$G$230="moeda")+(Inputs!$G$5:$G$230="acoes"))*Inputs!$B$1+((Inputs!$G$5:$G$230&lt;&gt;"moeda")*(Inputs!$G$5:$G$230&lt;&gt;"acoes")))*INDEX(Inputs!$K$5:$AJ$230,0,MATCH(P$2,Inputs!$K$4:$AJ$4,0)))))</f>
        <v>196.063</v>
      </c>
      <c r="Q54" s="6">
        <f>IF(ISNA(MATCH(Q$2,Inputs!$K$4:$AJ$4,0)),NA(),IF(SUMPRODUCT((Inputs!$A$5:$A$230=$B54)*ISNUMBER(INDEX(Inputs!$K$5:$AJ$230,0,MATCH(Q$2,Inputs!$K$4:$AJ$4,0))))+SUMPRODUCT((Inputs!$C$5:$C$230=$B54)*ISNUMBER(INDEX(Inputs!$K$5:$AJ$230,0,MATCH(Q$2,Inputs!$K$4:$AJ$4,0))))+SUMPRODUCT((Inputs!$E$5:$E$230=$B54)*ISNUMBER(INDEX(Inputs!$K$5:$AJ$230,0,MATCH(Q$2,Inputs!$K$4:$AJ$4,0))))=0,NA(),SUMPRODUCT((Inputs!$A$5:$A$230=$B54)*Inputs!$B$5:$B$230*(((Inputs!$G$5:$G$230="moeda")+(Inputs!$G$5:$G$230="acoes"))*Inputs!$B$1+((Inputs!$G$5:$G$230&lt;&gt;"moeda")*(Inputs!$G$5:$G$230&lt;&gt;"acoes")))*INDEX(Inputs!$K$5:$AJ$230,0,MATCH(Q$2,Inputs!$K$4:$AJ$4,0)))+SUMPRODUCT((Inputs!$C$5:$C$230=$B54)*Inputs!$D$5:$D$230*(((Inputs!$G$5:$G$230="moeda")+(Inputs!$G$5:$G$230="acoes"))*Inputs!$B$1+((Inputs!$G$5:$G$230&lt;&gt;"moeda")*(Inputs!$G$5:$G$230&lt;&gt;"acoes")))*INDEX(Inputs!$K$5:$AJ$230,0,MATCH(Q$2,Inputs!$K$4:$AJ$4,0)))+SUMPRODUCT((Inputs!$E$5:$E$230=$B54)*Inputs!$F$5:$F$230*(((Inputs!$G$5:$G$230="moeda")+(Inputs!$G$5:$G$230="acoes"))*Inputs!$B$1+((Inputs!$G$5:$G$230&lt;&gt;"moeda")*(Inputs!$G$5:$G$230&lt;&gt;"acoes")))*INDEX(Inputs!$K$5:$AJ$230,0,MATCH(Q$2,Inputs!$K$4:$AJ$4,0)))))</f>
        <v>192.716</v>
      </c>
      <c r="R54" s="3">
        <f>SUM(N54:Q54)</f>
        <v>760.784</v>
      </c>
      <c r="S54" s="6">
        <f>IF(ISNA(MATCH(S$2,Inputs!$K$4:$AJ$4,0)),NA(),IF(SUMPRODUCT((Inputs!$A$5:$A$230=$B54)*ISNUMBER(INDEX(Inputs!$K$5:$AJ$230,0,MATCH(S$2,Inputs!$K$4:$AJ$4,0))))+SUMPRODUCT((Inputs!$C$5:$C$230=$B54)*ISNUMBER(INDEX(Inputs!$K$5:$AJ$230,0,MATCH(S$2,Inputs!$K$4:$AJ$4,0))))+SUMPRODUCT((Inputs!$E$5:$E$230=$B54)*ISNUMBER(INDEX(Inputs!$K$5:$AJ$230,0,MATCH(S$2,Inputs!$K$4:$AJ$4,0))))=0,NA(),SUMPRODUCT((Inputs!$A$5:$A$230=$B54)*Inputs!$B$5:$B$230*(((Inputs!$G$5:$G$230="moeda")+(Inputs!$G$5:$G$230="acoes"))*Inputs!$B$1+((Inputs!$G$5:$G$230&lt;&gt;"moeda")*(Inputs!$G$5:$G$230&lt;&gt;"acoes")))*INDEX(Inputs!$K$5:$AJ$230,0,MATCH(S$2,Inputs!$K$4:$AJ$4,0)))+SUMPRODUCT((Inputs!$C$5:$C$230=$B54)*Inputs!$D$5:$D$230*(((Inputs!$G$5:$G$230="moeda")+(Inputs!$G$5:$G$230="acoes"))*Inputs!$B$1+((Inputs!$G$5:$G$230&lt;&gt;"moeda")*(Inputs!$G$5:$G$230&lt;&gt;"acoes")))*INDEX(Inputs!$K$5:$AJ$230,0,MATCH(S$2,Inputs!$K$4:$AJ$4,0)))+SUMPRODUCT((Inputs!$E$5:$E$230=$B54)*Inputs!$F$5:$F$230*(((Inputs!$G$5:$G$230="moeda")+(Inputs!$G$5:$G$230="acoes"))*Inputs!$B$1+((Inputs!$G$5:$G$230&lt;&gt;"moeda")*(Inputs!$G$5:$G$230&lt;&gt;"acoes")))*INDEX(Inputs!$K$5:$AJ$230,0,MATCH(S$2,Inputs!$K$4:$AJ$4,0)))))</f>
        <v>186.343</v>
      </c>
      <c r="T54" s="6">
        <f>IF(ISNA(MATCH(T$2,Inputs!$K$4:$AJ$4,0)),NA(),IF(SUMPRODUCT((Inputs!$A$5:$A$230=$B54)*ISNUMBER(INDEX(Inputs!$K$5:$AJ$230,0,MATCH(T$2,Inputs!$K$4:$AJ$4,0))))+SUMPRODUCT((Inputs!$C$5:$C$230=$B54)*ISNUMBER(INDEX(Inputs!$K$5:$AJ$230,0,MATCH(T$2,Inputs!$K$4:$AJ$4,0))))+SUMPRODUCT((Inputs!$E$5:$E$230=$B54)*ISNUMBER(INDEX(Inputs!$K$5:$AJ$230,0,MATCH(T$2,Inputs!$K$4:$AJ$4,0))))=0,NA(),SUMPRODUCT((Inputs!$A$5:$A$230=$B54)*Inputs!$B$5:$B$230*(((Inputs!$G$5:$G$230="moeda")+(Inputs!$G$5:$G$230="acoes"))*Inputs!$B$1+((Inputs!$G$5:$G$230&lt;&gt;"moeda")*(Inputs!$G$5:$G$230&lt;&gt;"acoes")))*INDEX(Inputs!$K$5:$AJ$230,0,MATCH(T$2,Inputs!$K$4:$AJ$4,0)))+SUMPRODUCT((Inputs!$C$5:$C$230=$B54)*Inputs!$D$5:$D$230*(((Inputs!$G$5:$G$230="moeda")+(Inputs!$G$5:$G$230="acoes"))*Inputs!$B$1+((Inputs!$G$5:$G$230&lt;&gt;"moeda")*(Inputs!$G$5:$G$230&lt;&gt;"acoes")))*INDEX(Inputs!$K$5:$AJ$230,0,MATCH(T$2,Inputs!$K$4:$AJ$4,0)))+SUMPRODUCT((Inputs!$E$5:$E$230=$B54)*Inputs!$F$5:$F$230*(((Inputs!$G$5:$G$230="moeda")+(Inputs!$G$5:$G$230="acoes"))*Inputs!$B$1+((Inputs!$G$5:$G$230&lt;&gt;"moeda")*(Inputs!$G$5:$G$230&lt;&gt;"acoes")))*INDEX(Inputs!$K$5:$AJ$230,0,MATCH(T$2,Inputs!$K$4:$AJ$4,0)))))</f>
        <v>179.835</v>
      </c>
      <c r="U54" s="6">
        <f>IF(ISNA(MATCH(U$2,Inputs!$K$4:$AJ$4,0)),NA(),IF(SUMPRODUCT((Inputs!$A$5:$A$230=$B54)*ISNUMBER(INDEX(Inputs!$K$5:$AJ$230,0,MATCH(U$2,Inputs!$K$4:$AJ$4,0))))+SUMPRODUCT((Inputs!$C$5:$C$230=$B54)*ISNUMBER(INDEX(Inputs!$K$5:$AJ$230,0,MATCH(U$2,Inputs!$K$4:$AJ$4,0))))+SUMPRODUCT((Inputs!$E$5:$E$230=$B54)*ISNUMBER(INDEX(Inputs!$K$5:$AJ$230,0,MATCH(U$2,Inputs!$K$4:$AJ$4,0))))=0,NA(),SUMPRODUCT((Inputs!$A$5:$A$230=$B54)*Inputs!$B$5:$B$230*(((Inputs!$G$5:$G$230="moeda")+(Inputs!$G$5:$G$230="acoes"))*Inputs!$B$1+((Inputs!$G$5:$G$230&lt;&gt;"moeda")*(Inputs!$G$5:$G$230&lt;&gt;"acoes")))*INDEX(Inputs!$K$5:$AJ$230,0,MATCH(U$2,Inputs!$K$4:$AJ$4,0)))+SUMPRODUCT((Inputs!$C$5:$C$230=$B54)*Inputs!$D$5:$D$230*(((Inputs!$G$5:$G$230="moeda")+(Inputs!$G$5:$G$230="acoes"))*Inputs!$B$1+((Inputs!$G$5:$G$230&lt;&gt;"moeda")*(Inputs!$G$5:$G$230&lt;&gt;"acoes")))*INDEX(Inputs!$K$5:$AJ$230,0,MATCH(U$2,Inputs!$K$4:$AJ$4,0)))+SUMPRODUCT((Inputs!$E$5:$E$230=$B54)*Inputs!$F$5:$F$230*(((Inputs!$G$5:$G$230="moeda")+(Inputs!$G$5:$G$230="acoes"))*Inputs!$B$1+((Inputs!$G$5:$G$230&lt;&gt;"moeda")*(Inputs!$G$5:$G$230&lt;&gt;"acoes")))*INDEX(Inputs!$K$5:$AJ$230,0,MATCH(U$2,Inputs!$K$4:$AJ$4,0)))))</f>
        <v>187.835</v>
      </c>
      <c r="V54" s="6">
        <f>IF(ISNA(MATCH(V$2,Inputs!$K$4:$AJ$4,0)),NA(),IF(SUMPRODUCT((Inputs!$A$5:$A$230=$B54)*ISNUMBER(INDEX(Inputs!$K$5:$AJ$230,0,MATCH(V$2,Inputs!$K$4:$AJ$4,0))))+SUMPRODUCT((Inputs!$C$5:$C$230=$B54)*ISNUMBER(INDEX(Inputs!$K$5:$AJ$230,0,MATCH(V$2,Inputs!$K$4:$AJ$4,0))))+SUMPRODUCT((Inputs!$E$5:$E$230=$B54)*ISNUMBER(INDEX(Inputs!$K$5:$AJ$230,0,MATCH(V$2,Inputs!$K$4:$AJ$4,0))))=0,NA(),SUMPRODUCT((Inputs!$A$5:$A$230=$B54)*Inputs!$B$5:$B$230*(((Inputs!$G$5:$G$230="moeda")+(Inputs!$G$5:$G$230="acoes"))*Inputs!$B$1+((Inputs!$G$5:$G$230&lt;&gt;"moeda")*(Inputs!$G$5:$G$230&lt;&gt;"acoes")))*INDEX(Inputs!$K$5:$AJ$230,0,MATCH(V$2,Inputs!$K$4:$AJ$4,0)))+SUMPRODUCT((Inputs!$C$5:$C$230=$B54)*Inputs!$D$5:$D$230*(((Inputs!$G$5:$G$230="moeda")+(Inputs!$G$5:$G$230="acoes"))*Inputs!$B$1+((Inputs!$G$5:$G$230&lt;&gt;"moeda")*(Inputs!$G$5:$G$230&lt;&gt;"acoes")))*INDEX(Inputs!$K$5:$AJ$230,0,MATCH(V$2,Inputs!$K$4:$AJ$4,0)))+SUMPRODUCT((Inputs!$E$5:$E$230=$B54)*Inputs!$F$5:$F$230*(((Inputs!$G$5:$G$230="moeda")+(Inputs!$G$5:$G$230="acoes"))*Inputs!$B$1+((Inputs!$G$5:$G$230&lt;&gt;"moeda")*(Inputs!$G$5:$G$230&lt;&gt;"acoes")))*INDEX(Inputs!$K$5:$AJ$230,0,MATCH(V$2,Inputs!$K$4:$AJ$4,0)))))</f>
        <v>234.921</v>
      </c>
      <c r="W54" s="3">
        <f>SUM(S54:V54)</f>
        <v>788.934</v>
      </c>
      <c r="X54" s="6">
        <f>IF(ISNA(MATCH(X$2,Inputs!$K$4:$AJ$4,0)),NA(),IF(SUMPRODUCT((Inputs!$A$5:$A$230=$B54)*ISNUMBER(INDEX(Inputs!$K$5:$AJ$230,0,MATCH(X$2,Inputs!$K$4:$AJ$4,0))))+SUMPRODUCT((Inputs!$C$5:$C$230=$B54)*ISNUMBER(INDEX(Inputs!$K$5:$AJ$230,0,MATCH(X$2,Inputs!$K$4:$AJ$4,0))))+SUMPRODUCT((Inputs!$E$5:$E$230=$B54)*ISNUMBER(INDEX(Inputs!$K$5:$AJ$230,0,MATCH(X$2,Inputs!$K$4:$AJ$4,0))))=0,NA(),SUMPRODUCT((Inputs!$A$5:$A$230=$B54)*Inputs!$B$5:$B$230*(((Inputs!$G$5:$G$230="moeda")+(Inputs!$G$5:$G$230="acoes"))*Inputs!$B$1+((Inputs!$G$5:$G$230&lt;&gt;"moeda")*(Inputs!$G$5:$G$230&lt;&gt;"acoes")))*INDEX(Inputs!$K$5:$AJ$230,0,MATCH(X$2,Inputs!$K$4:$AJ$4,0)))+SUMPRODUCT((Inputs!$C$5:$C$230=$B54)*Inputs!$D$5:$D$230*(((Inputs!$G$5:$G$230="moeda")+(Inputs!$G$5:$G$230="acoes"))*Inputs!$B$1+((Inputs!$G$5:$G$230&lt;&gt;"moeda")*(Inputs!$G$5:$G$230&lt;&gt;"acoes")))*INDEX(Inputs!$K$5:$AJ$230,0,MATCH(X$2,Inputs!$K$4:$AJ$4,0)))+SUMPRODUCT((Inputs!$E$5:$E$230=$B54)*Inputs!$F$5:$F$230*(((Inputs!$G$5:$G$230="moeda")+(Inputs!$G$5:$G$230="acoes"))*Inputs!$B$1+((Inputs!$G$5:$G$230&lt;&gt;"moeda")*(Inputs!$G$5:$G$230&lt;&gt;"acoes")))*INDEX(Inputs!$K$5:$AJ$230,0,MATCH(X$2,Inputs!$K$4:$AJ$4,0)))))</f>
        <v>224.332</v>
      </c>
      <c r="Y54" s="6">
        <f>IF(ISNA(MATCH(Y$2,Inputs!$K$4:$AJ$4,0)),NA(),IF(SUMPRODUCT((Inputs!$A$5:$A$230=$B54)*ISNUMBER(INDEX(Inputs!$K$5:$AJ$230,0,MATCH(Y$2,Inputs!$K$4:$AJ$4,0))))+SUMPRODUCT((Inputs!$C$5:$C$230=$B54)*ISNUMBER(INDEX(Inputs!$K$5:$AJ$230,0,MATCH(Y$2,Inputs!$K$4:$AJ$4,0))))+SUMPRODUCT((Inputs!$E$5:$E$230=$B54)*ISNUMBER(INDEX(Inputs!$K$5:$AJ$230,0,MATCH(Y$2,Inputs!$K$4:$AJ$4,0))))=0,NA(),SUMPRODUCT((Inputs!$A$5:$A$230=$B54)*Inputs!$B$5:$B$230*(((Inputs!$G$5:$G$230="moeda")+(Inputs!$G$5:$G$230="acoes"))*Inputs!$B$1+((Inputs!$G$5:$G$230&lt;&gt;"moeda")*(Inputs!$G$5:$G$230&lt;&gt;"acoes")))*INDEX(Inputs!$K$5:$AJ$230,0,MATCH(Y$2,Inputs!$K$4:$AJ$4,0)))+SUMPRODUCT((Inputs!$C$5:$C$230=$B54)*Inputs!$D$5:$D$230*(((Inputs!$G$5:$G$230="moeda")+(Inputs!$G$5:$G$230="acoes"))*Inputs!$B$1+((Inputs!$G$5:$G$230&lt;&gt;"moeda")*(Inputs!$G$5:$G$230&lt;&gt;"acoes")))*INDEX(Inputs!$K$5:$AJ$230,0,MATCH(Y$2,Inputs!$K$4:$AJ$4,0)))+SUMPRODUCT((Inputs!$E$5:$E$230=$B54)*Inputs!$F$5:$F$230*(((Inputs!$G$5:$G$230="moeda")+(Inputs!$G$5:$G$230="acoes"))*Inputs!$B$1+((Inputs!$G$5:$G$230&lt;&gt;"moeda")*(Inputs!$G$5:$G$230&lt;&gt;"acoes")))*INDEX(Inputs!$K$5:$AJ$230,0,MATCH(Y$2,Inputs!$K$4:$AJ$4,0)))))</f>
        <v>220.415</v>
      </c>
      <c r="Z54" s="6">
        <f>IF(ISNA(MATCH(Z$2,Inputs!$K$4:$AJ$4,0)),NA(),IF(SUMPRODUCT((Inputs!$A$5:$A$230=$B54)*ISNUMBER(INDEX(Inputs!$K$5:$AJ$230,0,MATCH(Z$2,Inputs!$K$4:$AJ$4,0))))+SUMPRODUCT((Inputs!$C$5:$C$230=$B54)*ISNUMBER(INDEX(Inputs!$K$5:$AJ$230,0,MATCH(Z$2,Inputs!$K$4:$AJ$4,0))))+SUMPRODUCT((Inputs!$E$5:$E$230=$B54)*ISNUMBER(INDEX(Inputs!$K$5:$AJ$230,0,MATCH(Z$2,Inputs!$K$4:$AJ$4,0))))=0,NA(),SUMPRODUCT((Inputs!$A$5:$A$230=$B54)*Inputs!$B$5:$B$230*(((Inputs!$G$5:$G$230="moeda")+(Inputs!$G$5:$G$230="acoes"))*Inputs!$B$1+((Inputs!$G$5:$G$230&lt;&gt;"moeda")*(Inputs!$G$5:$G$230&lt;&gt;"acoes")))*INDEX(Inputs!$K$5:$AJ$230,0,MATCH(Z$2,Inputs!$K$4:$AJ$4,0)))+SUMPRODUCT((Inputs!$C$5:$C$230=$B54)*Inputs!$D$5:$D$230*(((Inputs!$G$5:$G$230="moeda")+(Inputs!$G$5:$G$230="acoes"))*Inputs!$B$1+((Inputs!$G$5:$G$230&lt;&gt;"moeda")*(Inputs!$G$5:$G$230&lt;&gt;"acoes")))*INDEX(Inputs!$K$5:$AJ$230,0,MATCH(Z$2,Inputs!$K$4:$AJ$4,0)))+SUMPRODUCT((Inputs!$E$5:$E$230=$B54)*Inputs!$F$5:$F$230*(((Inputs!$G$5:$G$230="moeda")+(Inputs!$G$5:$G$230="acoes"))*Inputs!$B$1+((Inputs!$G$5:$G$230&lt;&gt;"moeda")*(Inputs!$G$5:$G$230&lt;&gt;"acoes")))*INDEX(Inputs!$K$5:$AJ$230,0,MATCH(Z$2,Inputs!$K$4:$AJ$4,0)))))</f>
        <v>208.737</v>
      </c>
      <c r="AA54" s="6">
        <f>IF(ISNA(MATCH(AA$2,Inputs!$K$4:$AJ$4,0)),NA(),IF(SUMPRODUCT((Inputs!$A$5:$A$230=$B54)*ISNUMBER(INDEX(Inputs!$K$5:$AJ$230,0,MATCH(AA$2,Inputs!$K$4:$AJ$4,0))))+SUMPRODUCT((Inputs!$C$5:$C$230=$B54)*ISNUMBER(INDEX(Inputs!$K$5:$AJ$230,0,MATCH(AA$2,Inputs!$K$4:$AJ$4,0))))+SUMPRODUCT((Inputs!$E$5:$E$230=$B54)*ISNUMBER(INDEX(Inputs!$K$5:$AJ$230,0,MATCH(AA$2,Inputs!$K$4:$AJ$4,0))))=0,NA(),SUMPRODUCT((Inputs!$A$5:$A$230=$B54)*Inputs!$B$5:$B$230*(((Inputs!$G$5:$G$230="moeda")+(Inputs!$G$5:$G$230="acoes"))*Inputs!$B$1+((Inputs!$G$5:$G$230&lt;&gt;"moeda")*(Inputs!$G$5:$G$230&lt;&gt;"acoes")))*INDEX(Inputs!$K$5:$AJ$230,0,MATCH(AA$2,Inputs!$K$4:$AJ$4,0)))+SUMPRODUCT((Inputs!$C$5:$C$230=$B54)*Inputs!$D$5:$D$230*(((Inputs!$G$5:$G$230="moeda")+(Inputs!$G$5:$G$230="acoes"))*Inputs!$B$1+((Inputs!$G$5:$G$230&lt;&gt;"moeda")*(Inputs!$G$5:$G$230&lt;&gt;"acoes")))*INDEX(Inputs!$K$5:$AJ$230,0,MATCH(AA$2,Inputs!$K$4:$AJ$4,0)))+SUMPRODUCT((Inputs!$E$5:$E$230=$B54)*Inputs!$F$5:$F$230*(((Inputs!$G$5:$G$230="moeda")+(Inputs!$G$5:$G$230="acoes"))*Inputs!$B$1+((Inputs!$G$5:$G$230&lt;&gt;"moeda")*(Inputs!$G$5:$G$230&lt;&gt;"acoes")))*INDEX(Inputs!$K$5:$AJ$230,0,MATCH(AA$2,Inputs!$K$4:$AJ$4,0)))))</f>
        <v>211.6</v>
      </c>
      <c r="AB54" s="3">
        <f>SUM(X54:AA54)</f>
        <v>865.084</v>
      </c>
      <c r="AC54" s="6">
        <f>IF(ISNA(MATCH(AC$2,Inputs!$K$4:$AJ$4,0)),NA(),IF(SUMPRODUCT((Inputs!$A$5:$A$230=$B54)*ISNUMBER(INDEX(Inputs!$K$5:$AJ$230,0,MATCH(AC$2,Inputs!$K$4:$AJ$4,0))))+SUMPRODUCT((Inputs!$C$5:$C$230=$B54)*ISNUMBER(INDEX(Inputs!$K$5:$AJ$230,0,MATCH(AC$2,Inputs!$K$4:$AJ$4,0))))+SUMPRODUCT((Inputs!$E$5:$E$230=$B54)*ISNUMBER(INDEX(Inputs!$K$5:$AJ$230,0,MATCH(AC$2,Inputs!$K$4:$AJ$4,0))))=0,NA(),SUMPRODUCT((Inputs!$A$5:$A$230=$B54)*Inputs!$B$5:$B$230*(((Inputs!$G$5:$G$230="moeda")+(Inputs!$G$5:$G$230="acoes"))*Inputs!$B$1+((Inputs!$G$5:$G$230&lt;&gt;"moeda")*(Inputs!$G$5:$G$230&lt;&gt;"acoes")))*INDEX(Inputs!$K$5:$AJ$230,0,MATCH(AC$2,Inputs!$K$4:$AJ$4,0)))+SUMPRODUCT((Inputs!$C$5:$C$230=$B54)*Inputs!$D$5:$D$230*(((Inputs!$G$5:$G$230="moeda")+(Inputs!$G$5:$G$230="acoes"))*Inputs!$B$1+((Inputs!$G$5:$G$230&lt;&gt;"moeda")*(Inputs!$G$5:$G$230&lt;&gt;"acoes")))*INDEX(Inputs!$K$5:$AJ$230,0,MATCH(AC$2,Inputs!$K$4:$AJ$4,0)))+SUMPRODUCT((Inputs!$E$5:$E$230=$B54)*Inputs!$F$5:$F$230*(((Inputs!$G$5:$G$230="moeda")+(Inputs!$G$5:$G$230="acoes"))*Inputs!$B$1+((Inputs!$G$5:$G$230&lt;&gt;"moeda")*(Inputs!$G$5:$G$230&lt;&gt;"acoes")))*INDEX(Inputs!$K$5:$AJ$230,0,MATCH(AC$2,Inputs!$K$4:$AJ$4,0)))))</f>
        <v>258.765</v>
      </c>
      <c r="AD54" s="6">
        <f>IF(ISNA(MATCH(AD$2,Inputs!$K$4:$AJ$4,0)),NA(),IF(SUMPRODUCT((Inputs!$A$5:$A$230=$B54)*ISNUMBER(INDEX(Inputs!$K$5:$AJ$230,0,MATCH(AD$2,Inputs!$K$4:$AJ$4,0))))+SUMPRODUCT((Inputs!$C$5:$C$230=$B54)*ISNUMBER(INDEX(Inputs!$K$5:$AJ$230,0,MATCH(AD$2,Inputs!$K$4:$AJ$4,0))))+SUMPRODUCT((Inputs!$E$5:$E$230=$B54)*ISNUMBER(INDEX(Inputs!$K$5:$AJ$230,0,MATCH(AD$2,Inputs!$K$4:$AJ$4,0))))=0,NA(),SUMPRODUCT((Inputs!$A$5:$A$230=$B54)*Inputs!$B$5:$B$230*(((Inputs!$G$5:$G$230="moeda")+(Inputs!$G$5:$G$230="acoes"))*Inputs!$B$1+((Inputs!$G$5:$G$230&lt;&gt;"moeda")*(Inputs!$G$5:$G$230&lt;&gt;"acoes")))*INDEX(Inputs!$K$5:$AJ$230,0,MATCH(AD$2,Inputs!$K$4:$AJ$4,0)))+SUMPRODUCT((Inputs!$C$5:$C$230=$B54)*Inputs!$D$5:$D$230*(((Inputs!$G$5:$G$230="moeda")+(Inputs!$G$5:$G$230="acoes"))*Inputs!$B$1+((Inputs!$G$5:$G$230&lt;&gt;"moeda")*(Inputs!$G$5:$G$230&lt;&gt;"acoes")))*INDEX(Inputs!$K$5:$AJ$230,0,MATCH(AD$2,Inputs!$K$4:$AJ$4,0)))+SUMPRODUCT((Inputs!$E$5:$E$230=$B54)*Inputs!$F$5:$F$230*(((Inputs!$G$5:$G$230="moeda")+(Inputs!$G$5:$G$230="acoes"))*Inputs!$B$1+((Inputs!$G$5:$G$230&lt;&gt;"moeda")*(Inputs!$G$5:$G$230&lt;&gt;"acoes")))*INDEX(Inputs!$K$5:$AJ$230,0,MATCH(AD$2,Inputs!$K$4:$AJ$4,0)))))</f>
        <v>212.619</v>
      </c>
      <c r="AE54" s="6" t="e">
        <f>IF(ISNA(MATCH(AE$2,Inputs!$K$4:$AJ$4,0)),NA(),IF(SUMPRODUCT((Inputs!$A$5:$A$230=$B54)*ISNUMBER(INDEX(Inputs!$K$5:$AJ$230,0,MATCH(AE$2,Inputs!$K$4:$AJ$4,0))))+SUMPRODUCT((Inputs!$C$5:$C$230=$B54)*ISNUMBER(INDEX(Inputs!$K$5:$AJ$230,0,MATCH(AE$2,Inputs!$K$4:$AJ$4,0))))+SUMPRODUCT((Inputs!$E$5:$E$230=$B54)*ISNUMBER(INDEX(Inputs!$K$5:$AJ$230,0,MATCH(AE$2,Inputs!$K$4:$AJ$4,0))))=0,NA(),SUMPRODUCT((Inputs!$A$5:$A$230=$B54)*Inputs!$B$5:$B$230*(((Inputs!$G$5:$G$230="moeda")+(Inputs!$G$5:$G$230="acoes"))*Inputs!$B$1+((Inputs!$G$5:$G$230&lt;&gt;"moeda")*(Inputs!$G$5:$G$230&lt;&gt;"acoes")))*INDEX(Inputs!$K$5:$AJ$230,0,MATCH(AE$2,Inputs!$K$4:$AJ$4,0)))+SUMPRODUCT((Inputs!$C$5:$C$230=$B54)*Inputs!$D$5:$D$230*(((Inputs!$G$5:$G$230="moeda")+(Inputs!$G$5:$G$230="acoes"))*Inputs!$B$1+((Inputs!$G$5:$G$230&lt;&gt;"moeda")*(Inputs!$G$5:$G$230&lt;&gt;"acoes")))*INDEX(Inputs!$K$5:$AJ$230,0,MATCH(AE$2,Inputs!$K$4:$AJ$4,0)))+SUMPRODUCT((Inputs!$E$5:$E$230=$B54)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54" s="6" t="e">
        <f>IF(ISNA(MATCH(AF$2,Inputs!$K$4:$AJ$4,0)),NA(),IF(SUMPRODUCT((Inputs!$A$5:$A$230=$B54)*ISNUMBER(INDEX(Inputs!$K$5:$AJ$230,0,MATCH(AF$2,Inputs!$K$4:$AJ$4,0))))+SUMPRODUCT((Inputs!$C$5:$C$230=$B54)*ISNUMBER(INDEX(Inputs!$K$5:$AJ$230,0,MATCH(AF$2,Inputs!$K$4:$AJ$4,0))))+SUMPRODUCT((Inputs!$E$5:$E$230=$B54)*ISNUMBER(INDEX(Inputs!$K$5:$AJ$230,0,MATCH(AF$2,Inputs!$K$4:$AJ$4,0))))=0,NA(),SUMPRODUCT((Inputs!$A$5:$A$230=$B54)*Inputs!$B$5:$B$230*(((Inputs!$G$5:$G$230="moeda")+(Inputs!$G$5:$G$230="acoes"))*Inputs!$B$1+((Inputs!$G$5:$G$230&lt;&gt;"moeda")*(Inputs!$G$5:$G$230&lt;&gt;"acoes")))*INDEX(Inputs!$K$5:$AJ$230,0,MATCH(AF$2,Inputs!$K$4:$AJ$4,0)))+SUMPRODUCT((Inputs!$C$5:$C$230=$B54)*Inputs!$D$5:$D$230*(((Inputs!$G$5:$G$230="moeda")+(Inputs!$G$5:$G$230="acoes"))*Inputs!$B$1+((Inputs!$G$5:$G$230&lt;&gt;"moeda")*(Inputs!$G$5:$G$230&lt;&gt;"acoes")))*INDEX(Inputs!$K$5:$AJ$230,0,MATCH(AF$2,Inputs!$K$4:$AJ$4,0)))+SUMPRODUCT((Inputs!$E$5:$E$230=$B54)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54" s="3" t="e">
        <f>SUM(AC54:AF54)</f>
        <v>#N/A</v>
      </c>
      <c r="AH54" s="6" t="e">
        <f>IF(ISNA(MATCH(AH$2,Inputs!$K$4:$AJ$4,0)),NA(),IF(SUMPRODUCT((Inputs!$A$5:$A$230=$B54)*ISNUMBER(INDEX(Inputs!$K$5:$AJ$230,0,MATCH(AH$2,Inputs!$K$4:$AJ$4,0))))+SUMPRODUCT((Inputs!$C$5:$C$230=$B54)*ISNUMBER(INDEX(Inputs!$K$5:$AJ$230,0,MATCH(AH$2,Inputs!$K$4:$AJ$4,0))))+SUMPRODUCT((Inputs!$E$5:$E$230=$B54)*ISNUMBER(INDEX(Inputs!$K$5:$AJ$230,0,MATCH(AH$2,Inputs!$K$4:$AJ$4,0))))=0,NA(),SUMPRODUCT((Inputs!$A$5:$A$230=$B54)*Inputs!$B$5:$B$230*(((Inputs!$G$5:$G$230="moeda")+(Inputs!$G$5:$G$230="acoes"))*Inputs!$B$1+((Inputs!$G$5:$G$230&lt;&gt;"moeda")*(Inputs!$G$5:$G$230&lt;&gt;"acoes")))*INDEX(Inputs!$K$5:$AJ$230,0,MATCH(AH$2,Inputs!$K$4:$AJ$4,0)))+SUMPRODUCT((Inputs!$C$5:$C$230=$B54)*Inputs!$D$5:$D$230*(((Inputs!$G$5:$G$230="moeda")+(Inputs!$G$5:$G$230="acoes"))*Inputs!$B$1+((Inputs!$G$5:$G$230&lt;&gt;"moeda")*(Inputs!$G$5:$G$230&lt;&gt;"acoes")))*INDEX(Inputs!$K$5:$AJ$230,0,MATCH(AH$2,Inputs!$K$4:$AJ$4,0)))+SUMPRODUCT((Inputs!$E$5:$E$230=$B54)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54" s="6" t="e">
        <f>IF(ISNA(MATCH(AI$2,Inputs!$K$4:$AJ$4,0)),NA(),IF(SUMPRODUCT((Inputs!$A$5:$A$230=$B54)*ISNUMBER(INDEX(Inputs!$K$5:$AJ$230,0,MATCH(AI$2,Inputs!$K$4:$AJ$4,0))))+SUMPRODUCT((Inputs!$C$5:$C$230=$B54)*ISNUMBER(INDEX(Inputs!$K$5:$AJ$230,0,MATCH(AI$2,Inputs!$K$4:$AJ$4,0))))+SUMPRODUCT((Inputs!$E$5:$E$230=$B54)*ISNUMBER(INDEX(Inputs!$K$5:$AJ$230,0,MATCH(AI$2,Inputs!$K$4:$AJ$4,0))))=0,NA(),SUMPRODUCT((Inputs!$A$5:$A$230=$B54)*Inputs!$B$5:$B$230*(((Inputs!$G$5:$G$230="moeda")+(Inputs!$G$5:$G$230="acoes"))*Inputs!$B$1+((Inputs!$G$5:$G$230&lt;&gt;"moeda")*(Inputs!$G$5:$G$230&lt;&gt;"acoes")))*INDEX(Inputs!$K$5:$AJ$230,0,MATCH(AI$2,Inputs!$K$4:$AJ$4,0)))+SUMPRODUCT((Inputs!$C$5:$C$230=$B54)*Inputs!$D$5:$D$230*(((Inputs!$G$5:$G$230="moeda")+(Inputs!$G$5:$G$230="acoes"))*Inputs!$B$1+((Inputs!$G$5:$G$230&lt;&gt;"moeda")*(Inputs!$G$5:$G$230&lt;&gt;"acoes")))*INDEX(Inputs!$K$5:$AJ$230,0,MATCH(AI$2,Inputs!$K$4:$AJ$4,0)))+SUMPRODUCT((Inputs!$E$5:$E$230=$B54)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54" s="6" t="e">
        <f>IF(ISNA(MATCH(AJ$2,Inputs!$K$4:$AJ$4,0)),NA(),IF(SUMPRODUCT((Inputs!$A$5:$A$230=$B54)*ISNUMBER(INDEX(Inputs!$K$5:$AJ$230,0,MATCH(AJ$2,Inputs!$K$4:$AJ$4,0))))+SUMPRODUCT((Inputs!$C$5:$C$230=$B54)*ISNUMBER(INDEX(Inputs!$K$5:$AJ$230,0,MATCH(AJ$2,Inputs!$K$4:$AJ$4,0))))+SUMPRODUCT((Inputs!$E$5:$E$230=$B54)*ISNUMBER(INDEX(Inputs!$K$5:$AJ$230,0,MATCH(AJ$2,Inputs!$K$4:$AJ$4,0))))=0,NA(),SUMPRODUCT((Inputs!$A$5:$A$230=$B54)*Inputs!$B$5:$B$230*(((Inputs!$G$5:$G$230="moeda")+(Inputs!$G$5:$G$230="acoes"))*Inputs!$B$1+((Inputs!$G$5:$G$230&lt;&gt;"moeda")*(Inputs!$G$5:$G$230&lt;&gt;"acoes")))*INDEX(Inputs!$K$5:$AJ$230,0,MATCH(AJ$2,Inputs!$K$4:$AJ$4,0)))+SUMPRODUCT((Inputs!$C$5:$C$230=$B54)*Inputs!$D$5:$D$230*(((Inputs!$G$5:$G$230="moeda")+(Inputs!$G$5:$G$230="acoes"))*Inputs!$B$1+((Inputs!$G$5:$G$230&lt;&gt;"moeda")*(Inputs!$G$5:$G$230&lt;&gt;"acoes")))*INDEX(Inputs!$K$5:$AJ$230,0,MATCH(AJ$2,Inputs!$K$4:$AJ$4,0)))+SUMPRODUCT((Inputs!$E$5:$E$230=$B54)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54" s="6" t="e">
        <f>IF(ISNA(MATCH(AK$2,Inputs!$K$4:$AJ$4,0)),NA(),IF(SUMPRODUCT((Inputs!$A$5:$A$230=$B54)*ISNUMBER(INDEX(Inputs!$K$5:$AJ$230,0,MATCH(AK$2,Inputs!$K$4:$AJ$4,0))))+SUMPRODUCT((Inputs!$C$5:$C$230=$B54)*ISNUMBER(INDEX(Inputs!$K$5:$AJ$230,0,MATCH(AK$2,Inputs!$K$4:$AJ$4,0))))+SUMPRODUCT((Inputs!$E$5:$E$230=$B54)*ISNUMBER(INDEX(Inputs!$K$5:$AJ$230,0,MATCH(AK$2,Inputs!$K$4:$AJ$4,0))))=0,NA(),SUMPRODUCT((Inputs!$A$5:$A$230=$B54)*Inputs!$B$5:$B$230*(((Inputs!$G$5:$G$230="moeda")+(Inputs!$G$5:$G$230="acoes"))*Inputs!$B$1+((Inputs!$G$5:$G$230&lt;&gt;"moeda")*(Inputs!$G$5:$G$230&lt;&gt;"acoes")))*INDEX(Inputs!$K$5:$AJ$230,0,MATCH(AK$2,Inputs!$K$4:$AJ$4,0)))+SUMPRODUCT((Inputs!$C$5:$C$230=$B54)*Inputs!$D$5:$D$230*(((Inputs!$G$5:$G$230="moeda")+(Inputs!$G$5:$G$230="acoes"))*Inputs!$B$1+((Inputs!$G$5:$G$230&lt;&gt;"moeda")*(Inputs!$G$5:$G$230&lt;&gt;"acoes")))*INDEX(Inputs!$K$5:$AJ$230,0,MATCH(AK$2,Inputs!$K$4:$AJ$4,0)))+SUMPRODUCT((Inputs!$E$5:$E$230=$B54)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54" s="3" t="e">
        <f>SUM(AH54:AK54)</f>
        <v>#N/A</v>
      </c>
    </row>
    <row r="55">
      <c r="B55" s="46" t="n">
        <v>47</v>
      </c>
      <c r="C55" s="29" t="inlineStr">
        <is>
          <t>Transmissao | Transudeste</t>
        </is>
      </c>
      <c r="D55" s="6">
        <f>IF(ISNA(MATCH(D$2,Inputs!$K$4:$AJ$4,0)),NA(),IF(SUMPRODUCT((Inputs!$A$5:$A$230=$B55)*ISNUMBER(INDEX(Inputs!$K$5:$AJ$230,0,MATCH(D$2,Inputs!$K$4:$AJ$4,0))))+SUMPRODUCT((Inputs!$C$5:$C$230=$B55)*ISNUMBER(INDEX(Inputs!$K$5:$AJ$230,0,MATCH(D$2,Inputs!$K$4:$AJ$4,0))))+SUMPRODUCT((Inputs!$E$5:$E$230=$B55)*ISNUMBER(INDEX(Inputs!$K$5:$AJ$230,0,MATCH(D$2,Inputs!$K$4:$AJ$4,0))))=0,NA(),SUMPRODUCT((Inputs!$A$5:$A$230=$B55)*Inputs!$B$5:$B$230*(((Inputs!$G$5:$G$230="moeda")+(Inputs!$G$5:$G$230="acoes"))*Inputs!$B$1+((Inputs!$G$5:$G$230&lt;&gt;"moeda")*(Inputs!$G$5:$G$230&lt;&gt;"acoes")))*INDEX(Inputs!$K$5:$AJ$230,0,MATCH(D$2,Inputs!$K$4:$AJ$4,0)))+SUMPRODUCT((Inputs!$C$5:$C$230=$B55)*Inputs!$D$5:$D$230*(((Inputs!$G$5:$G$230="moeda")+(Inputs!$G$5:$G$230="acoes"))*Inputs!$B$1+((Inputs!$G$5:$G$230&lt;&gt;"moeda")*(Inputs!$G$5:$G$230&lt;&gt;"acoes")))*INDEX(Inputs!$K$5:$AJ$230,0,MATCH(D$2,Inputs!$K$4:$AJ$4,0)))+SUMPRODUCT((Inputs!$E$5:$E$230=$B55)*Inputs!$F$5:$F$230*(((Inputs!$G$5:$G$230="moeda")+(Inputs!$G$5:$G$230="acoes"))*Inputs!$B$1+((Inputs!$G$5:$G$230&lt;&gt;"moeda")*(Inputs!$G$5:$G$230&lt;&gt;"acoes")))*INDEX(Inputs!$K$5:$AJ$230,0,MATCH(D$2,Inputs!$K$4:$AJ$4,0)))))</f>
        <v>8.888</v>
      </c>
      <c r="E55" s="6">
        <f>IF(ISNA(MATCH(E$2,Inputs!$K$4:$AJ$4,0)),NA(),IF(SUMPRODUCT((Inputs!$A$5:$A$230=$B55)*ISNUMBER(INDEX(Inputs!$K$5:$AJ$230,0,MATCH(E$2,Inputs!$K$4:$AJ$4,0))))+SUMPRODUCT((Inputs!$C$5:$C$230=$B55)*ISNUMBER(INDEX(Inputs!$K$5:$AJ$230,0,MATCH(E$2,Inputs!$K$4:$AJ$4,0))))+SUMPRODUCT((Inputs!$E$5:$E$230=$B55)*ISNUMBER(INDEX(Inputs!$K$5:$AJ$230,0,MATCH(E$2,Inputs!$K$4:$AJ$4,0))))=0,NA(),SUMPRODUCT((Inputs!$A$5:$A$230=$B55)*Inputs!$B$5:$B$230*(((Inputs!$G$5:$G$230="moeda")+(Inputs!$G$5:$G$230="acoes"))*Inputs!$B$1+((Inputs!$G$5:$G$230&lt;&gt;"moeda")*(Inputs!$G$5:$G$230&lt;&gt;"acoes")))*INDEX(Inputs!$K$5:$AJ$230,0,MATCH(E$2,Inputs!$K$4:$AJ$4,0)))+SUMPRODUCT((Inputs!$C$5:$C$230=$B55)*Inputs!$D$5:$D$230*(((Inputs!$G$5:$G$230="moeda")+(Inputs!$G$5:$G$230="acoes"))*Inputs!$B$1+((Inputs!$G$5:$G$230&lt;&gt;"moeda")*(Inputs!$G$5:$G$230&lt;&gt;"acoes")))*INDEX(Inputs!$K$5:$AJ$230,0,MATCH(E$2,Inputs!$K$4:$AJ$4,0)))+SUMPRODUCT((Inputs!$E$5:$E$230=$B55)*Inputs!$F$5:$F$230*(((Inputs!$G$5:$G$230="moeda")+(Inputs!$G$5:$G$230="acoes"))*Inputs!$B$1+((Inputs!$G$5:$G$230&lt;&gt;"moeda")*(Inputs!$G$5:$G$230&lt;&gt;"acoes")))*INDEX(Inputs!$K$5:$AJ$230,0,MATCH(E$2,Inputs!$K$4:$AJ$4,0)))))</f>
        <v>11.76</v>
      </c>
      <c r="F55" s="6">
        <f>IF(ISNA(MATCH(F$2,Inputs!$K$4:$AJ$4,0)),NA(),IF(SUMPRODUCT((Inputs!$A$5:$A$230=$B55)*ISNUMBER(INDEX(Inputs!$K$5:$AJ$230,0,MATCH(F$2,Inputs!$K$4:$AJ$4,0))))+SUMPRODUCT((Inputs!$C$5:$C$230=$B55)*ISNUMBER(INDEX(Inputs!$K$5:$AJ$230,0,MATCH(F$2,Inputs!$K$4:$AJ$4,0))))+SUMPRODUCT((Inputs!$E$5:$E$230=$B55)*ISNUMBER(INDEX(Inputs!$K$5:$AJ$230,0,MATCH(F$2,Inputs!$K$4:$AJ$4,0))))=0,NA(),SUMPRODUCT((Inputs!$A$5:$A$230=$B55)*Inputs!$B$5:$B$230*(((Inputs!$G$5:$G$230="moeda")+(Inputs!$G$5:$G$230="acoes"))*Inputs!$B$1+((Inputs!$G$5:$G$230&lt;&gt;"moeda")*(Inputs!$G$5:$G$230&lt;&gt;"acoes")))*INDEX(Inputs!$K$5:$AJ$230,0,MATCH(F$2,Inputs!$K$4:$AJ$4,0)))+SUMPRODUCT((Inputs!$C$5:$C$230=$B55)*Inputs!$D$5:$D$230*(((Inputs!$G$5:$G$230="moeda")+(Inputs!$G$5:$G$230="acoes"))*Inputs!$B$1+((Inputs!$G$5:$G$230&lt;&gt;"moeda")*(Inputs!$G$5:$G$230&lt;&gt;"acoes")))*INDEX(Inputs!$K$5:$AJ$230,0,MATCH(F$2,Inputs!$K$4:$AJ$4,0)))+SUMPRODUCT((Inputs!$E$5:$E$230=$B55)*Inputs!$F$5:$F$230*(((Inputs!$G$5:$G$230="moeda")+(Inputs!$G$5:$G$230="acoes"))*Inputs!$B$1+((Inputs!$G$5:$G$230&lt;&gt;"moeda")*(Inputs!$G$5:$G$230&lt;&gt;"acoes")))*INDEX(Inputs!$K$5:$AJ$230,0,MATCH(F$2,Inputs!$K$4:$AJ$4,0)))))</f>
        <v>5.991</v>
      </c>
      <c r="G55" s="6">
        <f>IF(ISNA(MATCH(G$2,Inputs!$K$4:$AJ$4,0)),NA(),IF(SUMPRODUCT((Inputs!$A$5:$A$230=$B55)*ISNUMBER(INDEX(Inputs!$K$5:$AJ$230,0,MATCH(G$2,Inputs!$K$4:$AJ$4,0))))+SUMPRODUCT((Inputs!$C$5:$C$230=$B55)*ISNUMBER(INDEX(Inputs!$K$5:$AJ$230,0,MATCH(G$2,Inputs!$K$4:$AJ$4,0))))+SUMPRODUCT((Inputs!$E$5:$E$230=$B55)*ISNUMBER(INDEX(Inputs!$K$5:$AJ$230,0,MATCH(G$2,Inputs!$K$4:$AJ$4,0))))=0,NA(),SUMPRODUCT((Inputs!$A$5:$A$230=$B55)*Inputs!$B$5:$B$230*(((Inputs!$G$5:$G$230="moeda")+(Inputs!$G$5:$G$230="acoes"))*Inputs!$B$1+((Inputs!$G$5:$G$230&lt;&gt;"moeda")*(Inputs!$G$5:$G$230&lt;&gt;"acoes")))*INDEX(Inputs!$K$5:$AJ$230,0,MATCH(G$2,Inputs!$K$4:$AJ$4,0)))+SUMPRODUCT((Inputs!$C$5:$C$230=$B55)*Inputs!$D$5:$D$230*(((Inputs!$G$5:$G$230="moeda")+(Inputs!$G$5:$G$230="acoes"))*Inputs!$B$1+((Inputs!$G$5:$G$230&lt;&gt;"moeda")*(Inputs!$G$5:$G$230&lt;&gt;"acoes")))*INDEX(Inputs!$K$5:$AJ$230,0,MATCH(G$2,Inputs!$K$4:$AJ$4,0)))+SUMPRODUCT((Inputs!$E$5:$E$230=$B55)*Inputs!$F$5:$F$230*(((Inputs!$G$5:$G$230="moeda")+(Inputs!$G$5:$G$230="acoes"))*Inputs!$B$1+((Inputs!$G$5:$G$230&lt;&gt;"moeda")*(Inputs!$G$5:$G$230&lt;&gt;"acoes")))*INDEX(Inputs!$K$5:$AJ$230,0,MATCH(G$2,Inputs!$K$4:$AJ$4,0)))))</f>
        <v>4.276</v>
      </c>
      <c r="H55" s="3">
        <f>SUM(D55:G55)</f>
        <v>30.915</v>
      </c>
      <c r="I55" s="6">
        <f>IF(ISNA(MATCH(I$2,Inputs!$K$4:$AJ$4,0)),NA(),IF(SUMPRODUCT((Inputs!$A$5:$A$230=$B55)*ISNUMBER(INDEX(Inputs!$K$5:$AJ$230,0,MATCH(I$2,Inputs!$K$4:$AJ$4,0))))+SUMPRODUCT((Inputs!$C$5:$C$230=$B55)*ISNUMBER(INDEX(Inputs!$K$5:$AJ$230,0,MATCH(I$2,Inputs!$K$4:$AJ$4,0))))+SUMPRODUCT((Inputs!$E$5:$E$230=$B55)*ISNUMBER(INDEX(Inputs!$K$5:$AJ$230,0,MATCH(I$2,Inputs!$K$4:$AJ$4,0))))=0,NA(),SUMPRODUCT((Inputs!$A$5:$A$230=$B55)*Inputs!$B$5:$B$230*(((Inputs!$G$5:$G$230="moeda")+(Inputs!$G$5:$G$230="acoes"))*Inputs!$B$1+((Inputs!$G$5:$G$230&lt;&gt;"moeda")*(Inputs!$G$5:$G$230&lt;&gt;"acoes")))*INDEX(Inputs!$K$5:$AJ$230,0,MATCH(I$2,Inputs!$K$4:$AJ$4,0)))+SUMPRODUCT((Inputs!$C$5:$C$230=$B55)*Inputs!$D$5:$D$230*(((Inputs!$G$5:$G$230="moeda")+(Inputs!$G$5:$G$230="acoes"))*Inputs!$B$1+((Inputs!$G$5:$G$230&lt;&gt;"moeda")*(Inputs!$G$5:$G$230&lt;&gt;"acoes")))*INDEX(Inputs!$K$5:$AJ$230,0,MATCH(I$2,Inputs!$K$4:$AJ$4,0)))+SUMPRODUCT((Inputs!$E$5:$E$230=$B55)*Inputs!$F$5:$F$230*(((Inputs!$G$5:$G$230="moeda")+(Inputs!$G$5:$G$230="acoes"))*Inputs!$B$1+((Inputs!$G$5:$G$230&lt;&gt;"moeda")*(Inputs!$G$5:$G$230&lt;&gt;"acoes")))*INDEX(Inputs!$K$5:$AJ$230,0,MATCH(I$2,Inputs!$K$4:$AJ$4,0)))))</f>
        <v>8.09</v>
      </c>
      <c r="J55" s="6">
        <f>IF(ISNA(MATCH(J$2,Inputs!$K$4:$AJ$4,0)),NA(),IF(SUMPRODUCT((Inputs!$A$5:$A$230=$B55)*ISNUMBER(INDEX(Inputs!$K$5:$AJ$230,0,MATCH(J$2,Inputs!$K$4:$AJ$4,0))))+SUMPRODUCT((Inputs!$C$5:$C$230=$B55)*ISNUMBER(INDEX(Inputs!$K$5:$AJ$230,0,MATCH(J$2,Inputs!$K$4:$AJ$4,0))))+SUMPRODUCT((Inputs!$E$5:$E$230=$B55)*ISNUMBER(INDEX(Inputs!$K$5:$AJ$230,0,MATCH(J$2,Inputs!$K$4:$AJ$4,0))))=0,NA(),SUMPRODUCT((Inputs!$A$5:$A$230=$B55)*Inputs!$B$5:$B$230*(((Inputs!$G$5:$G$230="moeda")+(Inputs!$G$5:$G$230="acoes"))*Inputs!$B$1+((Inputs!$G$5:$G$230&lt;&gt;"moeda")*(Inputs!$G$5:$G$230&lt;&gt;"acoes")))*INDEX(Inputs!$K$5:$AJ$230,0,MATCH(J$2,Inputs!$K$4:$AJ$4,0)))+SUMPRODUCT((Inputs!$C$5:$C$230=$B55)*Inputs!$D$5:$D$230*(((Inputs!$G$5:$G$230="moeda")+(Inputs!$G$5:$G$230="acoes"))*Inputs!$B$1+((Inputs!$G$5:$G$230&lt;&gt;"moeda")*(Inputs!$G$5:$G$230&lt;&gt;"acoes")))*INDEX(Inputs!$K$5:$AJ$230,0,MATCH(J$2,Inputs!$K$4:$AJ$4,0)))+SUMPRODUCT((Inputs!$E$5:$E$230=$B55)*Inputs!$F$5:$F$230*(((Inputs!$G$5:$G$230="moeda")+(Inputs!$G$5:$G$230="acoes"))*Inputs!$B$1+((Inputs!$G$5:$G$230&lt;&gt;"moeda")*(Inputs!$G$5:$G$230&lt;&gt;"acoes")))*INDEX(Inputs!$K$5:$AJ$230,0,MATCH(J$2,Inputs!$K$4:$AJ$4,0)))))</f>
        <v>7.591</v>
      </c>
      <c r="K55" s="6">
        <f>IF(ISNA(MATCH(K$2,Inputs!$K$4:$AJ$4,0)),NA(),IF(SUMPRODUCT((Inputs!$A$5:$A$230=$B55)*ISNUMBER(INDEX(Inputs!$K$5:$AJ$230,0,MATCH(K$2,Inputs!$K$4:$AJ$4,0))))+SUMPRODUCT((Inputs!$C$5:$C$230=$B55)*ISNUMBER(INDEX(Inputs!$K$5:$AJ$230,0,MATCH(K$2,Inputs!$K$4:$AJ$4,0))))+SUMPRODUCT((Inputs!$E$5:$E$230=$B55)*ISNUMBER(INDEX(Inputs!$K$5:$AJ$230,0,MATCH(K$2,Inputs!$K$4:$AJ$4,0))))=0,NA(),SUMPRODUCT((Inputs!$A$5:$A$230=$B55)*Inputs!$B$5:$B$230*(((Inputs!$G$5:$G$230="moeda")+(Inputs!$G$5:$G$230="acoes"))*Inputs!$B$1+((Inputs!$G$5:$G$230&lt;&gt;"moeda")*(Inputs!$G$5:$G$230&lt;&gt;"acoes")))*INDEX(Inputs!$K$5:$AJ$230,0,MATCH(K$2,Inputs!$K$4:$AJ$4,0)))+SUMPRODUCT((Inputs!$C$5:$C$230=$B55)*Inputs!$D$5:$D$230*(((Inputs!$G$5:$G$230="moeda")+(Inputs!$G$5:$G$230="acoes"))*Inputs!$B$1+((Inputs!$G$5:$G$230&lt;&gt;"moeda")*(Inputs!$G$5:$G$230&lt;&gt;"acoes")))*INDEX(Inputs!$K$5:$AJ$230,0,MATCH(K$2,Inputs!$K$4:$AJ$4,0)))+SUMPRODUCT((Inputs!$E$5:$E$230=$B55)*Inputs!$F$5:$F$230*(((Inputs!$G$5:$G$230="moeda")+(Inputs!$G$5:$G$230="acoes"))*Inputs!$B$1+((Inputs!$G$5:$G$230&lt;&gt;"moeda")*(Inputs!$G$5:$G$230&lt;&gt;"acoes")))*INDEX(Inputs!$K$5:$AJ$230,0,MATCH(K$2,Inputs!$K$4:$AJ$4,0)))))</f>
        <v>4.552</v>
      </c>
      <c r="L55" s="6">
        <f>IF(ISNA(MATCH(L$2,Inputs!$K$4:$AJ$4,0)),NA(),IF(SUMPRODUCT((Inputs!$A$5:$A$230=$B55)*ISNUMBER(INDEX(Inputs!$K$5:$AJ$230,0,MATCH(L$2,Inputs!$K$4:$AJ$4,0))))+SUMPRODUCT((Inputs!$C$5:$C$230=$B55)*ISNUMBER(INDEX(Inputs!$K$5:$AJ$230,0,MATCH(L$2,Inputs!$K$4:$AJ$4,0))))+SUMPRODUCT((Inputs!$E$5:$E$230=$B55)*ISNUMBER(INDEX(Inputs!$K$5:$AJ$230,0,MATCH(L$2,Inputs!$K$4:$AJ$4,0))))=0,NA(),SUMPRODUCT((Inputs!$A$5:$A$230=$B55)*Inputs!$B$5:$B$230*(((Inputs!$G$5:$G$230="moeda")+(Inputs!$G$5:$G$230="acoes"))*Inputs!$B$1+((Inputs!$G$5:$G$230&lt;&gt;"moeda")*(Inputs!$G$5:$G$230&lt;&gt;"acoes")))*INDEX(Inputs!$K$5:$AJ$230,0,MATCH(L$2,Inputs!$K$4:$AJ$4,0)))+SUMPRODUCT((Inputs!$C$5:$C$230=$B55)*Inputs!$D$5:$D$230*(((Inputs!$G$5:$G$230="moeda")+(Inputs!$G$5:$G$230="acoes"))*Inputs!$B$1+((Inputs!$G$5:$G$230&lt;&gt;"moeda")*(Inputs!$G$5:$G$230&lt;&gt;"acoes")))*INDEX(Inputs!$K$5:$AJ$230,0,MATCH(L$2,Inputs!$K$4:$AJ$4,0)))+SUMPRODUCT((Inputs!$E$5:$E$230=$B55)*Inputs!$F$5:$F$230*(((Inputs!$G$5:$G$230="moeda")+(Inputs!$G$5:$G$230="acoes"))*Inputs!$B$1+((Inputs!$G$5:$G$230&lt;&gt;"moeda")*(Inputs!$G$5:$G$230&lt;&gt;"acoes")))*INDEX(Inputs!$K$5:$AJ$230,0,MATCH(L$2,Inputs!$K$4:$AJ$4,0)))))</f>
        <v>2.359</v>
      </c>
      <c r="M55" s="3">
        <f>SUM(I55:L55)</f>
        <v>22.592</v>
      </c>
      <c r="N55" s="6">
        <f>IF(ISNA(MATCH(N$2,Inputs!$K$4:$AJ$4,0)),NA(),IF(SUMPRODUCT((Inputs!$A$5:$A$230=$B55)*ISNUMBER(INDEX(Inputs!$K$5:$AJ$230,0,MATCH(N$2,Inputs!$K$4:$AJ$4,0))))+SUMPRODUCT((Inputs!$C$5:$C$230=$B55)*ISNUMBER(INDEX(Inputs!$K$5:$AJ$230,0,MATCH(N$2,Inputs!$K$4:$AJ$4,0))))+SUMPRODUCT((Inputs!$E$5:$E$230=$B55)*ISNUMBER(INDEX(Inputs!$K$5:$AJ$230,0,MATCH(N$2,Inputs!$K$4:$AJ$4,0))))=0,NA(),SUMPRODUCT((Inputs!$A$5:$A$230=$B55)*Inputs!$B$5:$B$230*(((Inputs!$G$5:$G$230="moeda")+(Inputs!$G$5:$G$230="acoes"))*Inputs!$B$1+((Inputs!$G$5:$G$230&lt;&gt;"moeda")*(Inputs!$G$5:$G$230&lt;&gt;"acoes")))*INDEX(Inputs!$K$5:$AJ$230,0,MATCH(N$2,Inputs!$K$4:$AJ$4,0)))+SUMPRODUCT((Inputs!$C$5:$C$230=$B55)*Inputs!$D$5:$D$230*(((Inputs!$G$5:$G$230="moeda")+(Inputs!$G$5:$G$230="acoes"))*Inputs!$B$1+((Inputs!$G$5:$G$230&lt;&gt;"moeda")*(Inputs!$G$5:$G$230&lt;&gt;"acoes")))*INDEX(Inputs!$K$5:$AJ$230,0,MATCH(N$2,Inputs!$K$4:$AJ$4,0)))+SUMPRODUCT((Inputs!$E$5:$E$230=$B55)*Inputs!$F$5:$F$230*(((Inputs!$G$5:$G$230="moeda")+(Inputs!$G$5:$G$230="acoes"))*Inputs!$B$1+((Inputs!$G$5:$G$230&lt;&gt;"moeda")*(Inputs!$G$5:$G$230&lt;&gt;"acoes")))*INDEX(Inputs!$K$5:$AJ$230,0,MATCH(N$2,Inputs!$K$4:$AJ$4,0)))))</f>
        <v>4.895</v>
      </c>
      <c r="O55" s="6">
        <f>IF(ISNA(MATCH(O$2,Inputs!$K$4:$AJ$4,0)),NA(),IF(SUMPRODUCT((Inputs!$A$5:$A$230=$B55)*ISNUMBER(INDEX(Inputs!$K$5:$AJ$230,0,MATCH(O$2,Inputs!$K$4:$AJ$4,0))))+SUMPRODUCT((Inputs!$C$5:$C$230=$B55)*ISNUMBER(INDEX(Inputs!$K$5:$AJ$230,0,MATCH(O$2,Inputs!$K$4:$AJ$4,0))))+SUMPRODUCT((Inputs!$E$5:$E$230=$B55)*ISNUMBER(INDEX(Inputs!$K$5:$AJ$230,0,MATCH(O$2,Inputs!$K$4:$AJ$4,0))))=0,NA(),SUMPRODUCT((Inputs!$A$5:$A$230=$B55)*Inputs!$B$5:$B$230*(((Inputs!$G$5:$G$230="moeda")+(Inputs!$G$5:$G$230="acoes"))*Inputs!$B$1+((Inputs!$G$5:$G$230&lt;&gt;"moeda")*(Inputs!$G$5:$G$230&lt;&gt;"acoes")))*INDEX(Inputs!$K$5:$AJ$230,0,MATCH(O$2,Inputs!$K$4:$AJ$4,0)))+SUMPRODUCT((Inputs!$C$5:$C$230=$B55)*Inputs!$D$5:$D$230*(((Inputs!$G$5:$G$230="moeda")+(Inputs!$G$5:$G$230="acoes"))*Inputs!$B$1+((Inputs!$G$5:$G$230&lt;&gt;"moeda")*(Inputs!$G$5:$G$230&lt;&gt;"acoes")))*INDEX(Inputs!$K$5:$AJ$230,0,MATCH(O$2,Inputs!$K$4:$AJ$4,0)))+SUMPRODUCT((Inputs!$E$5:$E$230=$B55)*Inputs!$F$5:$F$230*(((Inputs!$G$5:$G$230="moeda")+(Inputs!$G$5:$G$230="acoes"))*Inputs!$B$1+((Inputs!$G$5:$G$230&lt;&gt;"moeda")*(Inputs!$G$5:$G$230&lt;&gt;"acoes")))*INDEX(Inputs!$K$5:$AJ$230,0,MATCH(O$2,Inputs!$K$4:$AJ$4,0)))))</f>
        <v>2.117</v>
      </c>
      <c r="P55" s="6">
        <f>IF(ISNA(MATCH(P$2,Inputs!$K$4:$AJ$4,0)),NA(),IF(SUMPRODUCT((Inputs!$A$5:$A$230=$B55)*ISNUMBER(INDEX(Inputs!$K$5:$AJ$230,0,MATCH(P$2,Inputs!$K$4:$AJ$4,0))))+SUMPRODUCT((Inputs!$C$5:$C$230=$B55)*ISNUMBER(INDEX(Inputs!$K$5:$AJ$230,0,MATCH(P$2,Inputs!$K$4:$AJ$4,0))))+SUMPRODUCT((Inputs!$E$5:$E$230=$B55)*ISNUMBER(INDEX(Inputs!$K$5:$AJ$230,0,MATCH(P$2,Inputs!$K$4:$AJ$4,0))))=0,NA(),SUMPRODUCT((Inputs!$A$5:$A$230=$B55)*Inputs!$B$5:$B$230*(((Inputs!$G$5:$G$230="moeda")+(Inputs!$G$5:$G$230="acoes"))*Inputs!$B$1+((Inputs!$G$5:$G$230&lt;&gt;"moeda")*(Inputs!$G$5:$G$230&lt;&gt;"acoes")))*INDEX(Inputs!$K$5:$AJ$230,0,MATCH(P$2,Inputs!$K$4:$AJ$4,0)))+SUMPRODUCT((Inputs!$C$5:$C$230=$B55)*Inputs!$D$5:$D$230*(((Inputs!$G$5:$G$230="moeda")+(Inputs!$G$5:$G$230="acoes"))*Inputs!$B$1+((Inputs!$G$5:$G$230&lt;&gt;"moeda")*(Inputs!$G$5:$G$230&lt;&gt;"acoes")))*INDEX(Inputs!$K$5:$AJ$230,0,MATCH(P$2,Inputs!$K$4:$AJ$4,0)))+SUMPRODUCT((Inputs!$E$5:$E$230=$B55)*Inputs!$F$5:$F$230*(((Inputs!$G$5:$G$230="moeda")+(Inputs!$G$5:$G$230="acoes"))*Inputs!$B$1+((Inputs!$G$5:$G$230&lt;&gt;"moeda")*(Inputs!$G$5:$G$230&lt;&gt;"acoes")))*INDEX(Inputs!$K$5:$AJ$230,0,MATCH(P$2,Inputs!$K$4:$AJ$4,0)))))</f>
        <v>2.107</v>
      </c>
      <c r="Q55" s="6">
        <f>IF(ISNA(MATCH(Q$2,Inputs!$K$4:$AJ$4,0)),NA(),IF(SUMPRODUCT((Inputs!$A$5:$A$230=$B55)*ISNUMBER(INDEX(Inputs!$K$5:$AJ$230,0,MATCH(Q$2,Inputs!$K$4:$AJ$4,0))))+SUMPRODUCT((Inputs!$C$5:$C$230=$B55)*ISNUMBER(INDEX(Inputs!$K$5:$AJ$230,0,MATCH(Q$2,Inputs!$K$4:$AJ$4,0))))+SUMPRODUCT((Inputs!$E$5:$E$230=$B55)*ISNUMBER(INDEX(Inputs!$K$5:$AJ$230,0,MATCH(Q$2,Inputs!$K$4:$AJ$4,0))))=0,NA(),SUMPRODUCT((Inputs!$A$5:$A$230=$B55)*Inputs!$B$5:$B$230*(((Inputs!$G$5:$G$230="moeda")+(Inputs!$G$5:$G$230="acoes"))*Inputs!$B$1+((Inputs!$G$5:$G$230&lt;&gt;"moeda")*(Inputs!$G$5:$G$230&lt;&gt;"acoes")))*INDEX(Inputs!$K$5:$AJ$230,0,MATCH(Q$2,Inputs!$K$4:$AJ$4,0)))+SUMPRODUCT((Inputs!$C$5:$C$230=$B55)*Inputs!$D$5:$D$230*(((Inputs!$G$5:$G$230="moeda")+(Inputs!$G$5:$G$230="acoes"))*Inputs!$B$1+((Inputs!$G$5:$G$230&lt;&gt;"moeda")*(Inputs!$G$5:$G$230&lt;&gt;"acoes")))*INDEX(Inputs!$K$5:$AJ$230,0,MATCH(Q$2,Inputs!$K$4:$AJ$4,0)))+SUMPRODUCT((Inputs!$E$5:$E$230=$B55)*Inputs!$F$5:$F$230*(((Inputs!$G$5:$G$230="moeda")+(Inputs!$G$5:$G$230="acoes"))*Inputs!$B$1+((Inputs!$G$5:$G$230&lt;&gt;"moeda")*(Inputs!$G$5:$G$230&lt;&gt;"acoes")))*INDEX(Inputs!$K$5:$AJ$230,0,MATCH(Q$2,Inputs!$K$4:$AJ$4,0)))))</f>
        <v>5.225</v>
      </c>
      <c r="R55" s="3">
        <f>SUM(N55:Q55)</f>
        <v>14.344</v>
      </c>
      <c r="S55" s="6">
        <f>IF(ISNA(MATCH(S$2,Inputs!$K$4:$AJ$4,0)),NA(),IF(SUMPRODUCT((Inputs!$A$5:$A$230=$B55)*ISNUMBER(INDEX(Inputs!$K$5:$AJ$230,0,MATCH(S$2,Inputs!$K$4:$AJ$4,0))))+SUMPRODUCT((Inputs!$C$5:$C$230=$B55)*ISNUMBER(INDEX(Inputs!$K$5:$AJ$230,0,MATCH(S$2,Inputs!$K$4:$AJ$4,0))))+SUMPRODUCT((Inputs!$E$5:$E$230=$B55)*ISNUMBER(INDEX(Inputs!$K$5:$AJ$230,0,MATCH(S$2,Inputs!$K$4:$AJ$4,0))))=0,NA(),SUMPRODUCT((Inputs!$A$5:$A$230=$B55)*Inputs!$B$5:$B$230*(((Inputs!$G$5:$G$230="moeda")+(Inputs!$G$5:$G$230="acoes"))*Inputs!$B$1+((Inputs!$G$5:$G$230&lt;&gt;"moeda")*(Inputs!$G$5:$G$230&lt;&gt;"acoes")))*INDEX(Inputs!$K$5:$AJ$230,0,MATCH(S$2,Inputs!$K$4:$AJ$4,0)))+SUMPRODUCT((Inputs!$C$5:$C$230=$B55)*Inputs!$D$5:$D$230*(((Inputs!$G$5:$G$230="moeda")+(Inputs!$G$5:$G$230="acoes"))*Inputs!$B$1+((Inputs!$G$5:$G$230&lt;&gt;"moeda")*(Inputs!$G$5:$G$230&lt;&gt;"acoes")))*INDEX(Inputs!$K$5:$AJ$230,0,MATCH(S$2,Inputs!$K$4:$AJ$4,0)))+SUMPRODUCT((Inputs!$E$5:$E$230=$B55)*Inputs!$F$5:$F$230*(((Inputs!$G$5:$G$230="moeda")+(Inputs!$G$5:$G$230="acoes"))*Inputs!$B$1+((Inputs!$G$5:$G$230&lt;&gt;"moeda")*(Inputs!$G$5:$G$230&lt;&gt;"acoes")))*INDEX(Inputs!$K$5:$AJ$230,0,MATCH(S$2,Inputs!$K$4:$AJ$4,0)))))</f>
        <v>4.328</v>
      </c>
      <c r="T55" s="6">
        <f>IF(ISNA(MATCH(T$2,Inputs!$K$4:$AJ$4,0)),NA(),IF(SUMPRODUCT((Inputs!$A$5:$A$230=$B55)*ISNUMBER(INDEX(Inputs!$K$5:$AJ$230,0,MATCH(T$2,Inputs!$K$4:$AJ$4,0))))+SUMPRODUCT((Inputs!$C$5:$C$230=$B55)*ISNUMBER(INDEX(Inputs!$K$5:$AJ$230,0,MATCH(T$2,Inputs!$K$4:$AJ$4,0))))+SUMPRODUCT((Inputs!$E$5:$E$230=$B55)*ISNUMBER(INDEX(Inputs!$K$5:$AJ$230,0,MATCH(T$2,Inputs!$K$4:$AJ$4,0))))=0,NA(),SUMPRODUCT((Inputs!$A$5:$A$230=$B55)*Inputs!$B$5:$B$230*(((Inputs!$G$5:$G$230="moeda")+(Inputs!$G$5:$G$230="acoes"))*Inputs!$B$1+((Inputs!$G$5:$G$230&lt;&gt;"moeda")*(Inputs!$G$5:$G$230&lt;&gt;"acoes")))*INDEX(Inputs!$K$5:$AJ$230,0,MATCH(T$2,Inputs!$K$4:$AJ$4,0)))+SUMPRODUCT((Inputs!$C$5:$C$230=$B55)*Inputs!$D$5:$D$230*(((Inputs!$G$5:$G$230="moeda")+(Inputs!$G$5:$G$230="acoes"))*Inputs!$B$1+((Inputs!$G$5:$G$230&lt;&gt;"moeda")*(Inputs!$G$5:$G$230&lt;&gt;"acoes")))*INDEX(Inputs!$K$5:$AJ$230,0,MATCH(T$2,Inputs!$K$4:$AJ$4,0)))+SUMPRODUCT((Inputs!$E$5:$E$230=$B55)*Inputs!$F$5:$F$230*(((Inputs!$G$5:$G$230="moeda")+(Inputs!$G$5:$G$230="acoes"))*Inputs!$B$1+((Inputs!$G$5:$G$230&lt;&gt;"moeda")*(Inputs!$G$5:$G$230&lt;&gt;"acoes")))*INDEX(Inputs!$K$5:$AJ$230,0,MATCH(T$2,Inputs!$K$4:$AJ$4,0)))))</f>
        <v>4.699</v>
      </c>
      <c r="U55" s="6">
        <f>IF(ISNA(MATCH(U$2,Inputs!$K$4:$AJ$4,0)),NA(),IF(SUMPRODUCT((Inputs!$A$5:$A$230=$B55)*ISNUMBER(INDEX(Inputs!$K$5:$AJ$230,0,MATCH(U$2,Inputs!$K$4:$AJ$4,0))))+SUMPRODUCT((Inputs!$C$5:$C$230=$B55)*ISNUMBER(INDEX(Inputs!$K$5:$AJ$230,0,MATCH(U$2,Inputs!$K$4:$AJ$4,0))))+SUMPRODUCT((Inputs!$E$5:$E$230=$B55)*ISNUMBER(INDEX(Inputs!$K$5:$AJ$230,0,MATCH(U$2,Inputs!$K$4:$AJ$4,0))))=0,NA(),SUMPRODUCT((Inputs!$A$5:$A$230=$B55)*Inputs!$B$5:$B$230*(((Inputs!$G$5:$G$230="moeda")+(Inputs!$G$5:$G$230="acoes"))*Inputs!$B$1+((Inputs!$G$5:$G$230&lt;&gt;"moeda")*(Inputs!$G$5:$G$230&lt;&gt;"acoes")))*INDEX(Inputs!$K$5:$AJ$230,0,MATCH(U$2,Inputs!$K$4:$AJ$4,0)))+SUMPRODUCT((Inputs!$C$5:$C$230=$B55)*Inputs!$D$5:$D$230*(((Inputs!$G$5:$G$230="moeda")+(Inputs!$G$5:$G$230="acoes"))*Inputs!$B$1+((Inputs!$G$5:$G$230&lt;&gt;"moeda")*(Inputs!$G$5:$G$230&lt;&gt;"acoes")))*INDEX(Inputs!$K$5:$AJ$230,0,MATCH(U$2,Inputs!$K$4:$AJ$4,0)))+SUMPRODUCT((Inputs!$E$5:$E$230=$B55)*Inputs!$F$5:$F$230*(((Inputs!$G$5:$G$230="moeda")+(Inputs!$G$5:$G$230="acoes"))*Inputs!$B$1+((Inputs!$G$5:$G$230&lt;&gt;"moeda")*(Inputs!$G$5:$G$230&lt;&gt;"acoes")))*INDEX(Inputs!$K$5:$AJ$230,0,MATCH(U$2,Inputs!$K$4:$AJ$4,0)))))</f>
        <v>5.314</v>
      </c>
      <c r="V55" s="6">
        <f>IF(ISNA(MATCH(V$2,Inputs!$K$4:$AJ$4,0)),NA(),IF(SUMPRODUCT((Inputs!$A$5:$A$230=$B55)*ISNUMBER(INDEX(Inputs!$K$5:$AJ$230,0,MATCH(V$2,Inputs!$K$4:$AJ$4,0))))+SUMPRODUCT((Inputs!$C$5:$C$230=$B55)*ISNUMBER(INDEX(Inputs!$K$5:$AJ$230,0,MATCH(V$2,Inputs!$K$4:$AJ$4,0))))+SUMPRODUCT((Inputs!$E$5:$E$230=$B55)*ISNUMBER(INDEX(Inputs!$K$5:$AJ$230,0,MATCH(V$2,Inputs!$K$4:$AJ$4,0))))=0,NA(),SUMPRODUCT((Inputs!$A$5:$A$230=$B55)*Inputs!$B$5:$B$230*(((Inputs!$G$5:$G$230="moeda")+(Inputs!$G$5:$G$230="acoes"))*Inputs!$B$1+((Inputs!$G$5:$G$230&lt;&gt;"moeda")*(Inputs!$G$5:$G$230&lt;&gt;"acoes")))*INDEX(Inputs!$K$5:$AJ$230,0,MATCH(V$2,Inputs!$K$4:$AJ$4,0)))+SUMPRODUCT((Inputs!$C$5:$C$230=$B55)*Inputs!$D$5:$D$230*(((Inputs!$G$5:$G$230="moeda")+(Inputs!$G$5:$G$230="acoes"))*Inputs!$B$1+((Inputs!$G$5:$G$230&lt;&gt;"moeda")*(Inputs!$G$5:$G$230&lt;&gt;"acoes")))*INDEX(Inputs!$K$5:$AJ$230,0,MATCH(V$2,Inputs!$K$4:$AJ$4,0)))+SUMPRODUCT((Inputs!$E$5:$E$230=$B55)*Inputs!$F$5:$F$230*(((Inputs!$G$5:$G$230="moeda")+(Inputs!$G$5:$G$230="acoes"))*Inputs!$B$1+((Inputs!$G$5:$G$230&lt;&gt;"moeda")*(Inputs!$G$5:$G$230&lt;&gt;"acoes")))*INDEX(Inputs!$K$5:$AJ$230,0,MATCH(V$2,Inputs!$K$4:$AJ$4,0)))))</f>
        <v>6.68</v>
      </c>
      <c r="W55" s="3">
        <f>SUM(S55:V55)</f>
        <v>21.021</v>
      </c>
      <c r="X55" s="6">
        <f>IF(ISNA(MATCH(X$2,Inputs!$K$4:$AJ$4,0)),NA(),IF(SUMPRODUCT((Inputs!$A$5:$A$230=$B55)*ISNUMBER(INDEX(Inputs!$K$5:$AJ$230,0,MATCH(X$2,Inputs!$K$4:$AJ$4,0))))+SUMPRODUCT((Inputs!$C$5:$C$230=$B55)*ISNUMBER(INDEX(Inputs!$K$5:$AJ$230,0,MATCH(X$2,Inputs!$K$4:$AJ$4,0))))+SUMPRODUCT((Inputs!$E$5:$E$230=$B55)*ISNUMBER(INDEX(Inputs!$K$5:$AJ$230,0,MATCH(X$2,Inputs!$K$4:$AJ$4,0))))=0,NA(),SUMPRODUCT((Inputs!$A$5:$A$230=$B55)*Inputs!$B$5:$B$230*(((Inputs!$G$5:$G$230="moeda")+(Inputs!$G$5:$G$230="acoes"))*Inputs!$B$1+((Inputs!$G$5:$G$230&lt;&gt;"moeda")*(Inputs!$G$5:$G$230&lt;&gt;"acoes")))*INDEX(Inputs!$K$5:$AJ$230,0,MATCH(X$2,Inputs!$K$4:$AJ$4,0)))+SUMPRODUCT((Inputs!$C$5:$C$230=$B55)*Inputs!$D$5:$D$230*(((Inputs!$G$5:$G$230="moeda")+(Inputs!$G$5:$G$230="acoes"))*Inputs!$B$1+((Inputs!$G$5:$G$230&lt;&gt;"moeda")*(Inputs!$G$5:$G$230&lt;&gt;"acoes")))*INDEX(Inputs!$K$5:$AJ$230,0,MATCH(X$2,Inputs!$K$4:$AJ$4,0)))+SUMPRODUCT((Inputs!$E$5:$E$230=$B55)*Inputs!$F$5:$F$230*(((Inputs!$G$5:$G$230="moeda")+(Inputs!$G$5:$G$230="acoes"))*Inputs!$B$1+((Inputs!$G$5:$G$230&lt;&gt;"moeda")*(Inputs!$G$5:$G$230&lt;&gt;"acoes")))*INDEX(Inputs!$K$5:$AJ$230,0,MATCH(X$2,Inputs!$K$4:$AJ$4,0)))))</f>
        <v>5.935</v>
      </c>
      <c r="Y55" s="6">
        <f>IF(ISNA(MATCH(Y$2,Inputs!$K$4:$AJ$4,0)),NA(),IF(SUMPRODUCT((Inputs!$A$5:$A$230=$B55)*ISNUMBER(INDEX(Inputs!$K$5:$AJ$230,0,MATCH(Y$2,Inputs!$K$4:$AJ$4,0))))+SUMPRODUCT((Inputs!$C$5:$C$230=$B55)*ISNUMBER(INDEX(Inputs!$K$5:$AJ$230,0,MATCH(Y$2,Inputs!$K$4:$AJ$4,0))))+SUMPRODUCT((Inputs!$E$5:$E$230=$B55)*ISNUMBER(INDEX(Inputs!$K$5:$AJ$230,0,MATCH(Y$2,Inputs!$K$4:$AJ$4,0))))=0,NA(),SUMPRODUCT((Inputs!$A$5:$A$230=$B55)*Inputs!$B$5:$B$230*(((Inputs!$G$5:$G$230="moeda")+(Inputs!$G$5:$G$230="acoes"))*Inputs!$B$1+((Inputs!$G$5:$G$230&lt;&gt;"moeda")*(Inputs!$G$5:$G$230&lt;&gt;"acoes")))*INDEX(Inputs!$K$5:$AJ$230,0,MATCH(Y$2,Inputs!$K$4:$AJ$4,0)))+SUMPRODUCT((Inputs!$C$5:$C$230=$B55)*Inputs!$D$5:$D$230*(((Inputs!$G$5:$G$230="moeda")+(Inputs!$G$5:$G$230="acoes"))*Inputs!$B$1+((Inputs!$G$5:$G$230&lt;&gt;"moeda")*(Inputs!$G$5:$G$230&lt;&gt;"acoes")))*INDEX(Inputs!$K$5:$AJ$230,0,MATCH(Y$2,Inputs!$K$4:$AJ$4,0)))+SUMPRODUCT((Inputs!$E$5:$E$230=$B55)*Inputs!$F$5:$F$230*(((Inputs!$G$5:$G$230="moeda")+(Inputs!$G$5:$G$230="acoes"))*Inputs!$B$1+((Inputs!$G$5:$G$230&lt;&gt;"moeda")*(Inputs!$G$5:$G$230&lt;&gt;"acoes")))*INDEX(Inputs!$K$5:$AJ$230,0,MATCH(Y$2,Inputs!$K$4:$AJ$4,0)))))</f>
        <v>3.672</v>
      </c>
      <c r="Z55" s="6">
        <f>IF(ISNA(MATCH(Z$2,Inputs!$K$4:$AJ$4,0)),NA(),IF(SUMPRODUCT((Inputs!$A$5:$A$230=$B55)*ISNUMBER(INDEX(Inputs!$K$5:$AJ$230,0,MATCH(Z$2,Inputs!$K$4:$AJ$4,0))))+SUMPRODUCT((Inputs!$C$5:$C$230=$B55)*ISNUMBER(INDEX(Inputs!$K$5:$AJ$230,0,MATCH(Z$2,Inputs!$K$4:$AJ$4,0))))+SUMPRODUCT((Inputs!$E$5:$E$230=$B55)*ISNUMBER(INDEX(Inputs!$K$5:$AJ$230,0,MATCH(Z$2,Inputs!$K$4:$AJ$4,0))))=0,NA(),SUMPRODUCT((Inputs!$A$5:$A$230=$B55)*Inputs!$B$5:$B$230*(((Inputs!$G$5:$G$230="moeda")+(Inputs!$G$5:$G$230="acoes"))*Inputs!$B$1+((Inputs!$G$5:$G$230&lt;&gt;"moeda")*(Inputs!$G$5:$G$230&lt;&gt;"acoes")))*INDEX(Inputs!$K$5:$AJ$230,0,MATCH(Z$2,Inputs!$K$4:$AJ$4,0)))+SUMPRODUCT((Inputs!$C$5:$C$230=$B55)*Inputs!$D$5:$D$230*(((Inputs!$G$5:$G$230="moeda")+(Inputs!$G$5:$G$230="acoes"))*Inputs!$B$1+((Inputs!$G$5:$G$230&lt;&gt;"moeda")*(Inputs!$G$5:$G$230&lt;&gt;"acoes")))*INDEX(Inputs!$K$5:$AJ$230,0,MATCH(Z$2,Inputs!$K$4:$AJ$4,0)))+SUMPRODUCT((Inputs!$E$5:$E$230=$B55)*Inputs!$F$5:$F$230*(((Inputs!$G$5:$G$230="moeda")+(Inputs!$G$5:$G$230="acoes"))*Inputs!$B$1+((Inputs!$G$5:$G$230&lt;&gt;"moeda")*(Inputs!$G$5:$G$230&lt;&gt;"acoes")))*INDEX(Inputs!$K$5:$AJ$230,0,MATCH(Z$2,Inputs!$K$4:$AJ$4,0)))))</f>
        <v>2.776</v>
      </c>
      <c r="AA55" s="6">
        <f>IF(ISNA(MATCH(AA$2,Inputs!$K$4:$AJ$4,0)),NA(),IF(SUMPRODUCT((Inputs!$A$5:$A$230=$B55)*ISNUMBER(INDEX(Inputs!$K$5:$AJ$230,0,MATCH(AA$2,Inputs!$K$4:$AJ$4,0))))+SUMPRODUCT((Inputs!$C$5:$C$230=$B55)*ISNUMBER(INDEX(Inputs!$K$5:$AJ$230,0,MATCH(AA$2,Inputs!$K$4:$AJ$4,0))))+SUMPRODUCT((Inputs!$E$5:$E$230=$B55)*ISNUMBER(INDEX(Inputs!$K$5:$AJ$230,0,MATCH(AA$2,Inputs!$K$4:$AJ$4,0))))=0,NA(),SUMPRODUCT((Inputs!$A$5:$A$230=$B55)*Inputs!$B$5:$B$230*(((Inputs!$G$5:$G$230="moeda")+(Inputs!$G$5:$G$230="acoes"))*Inputs!$B$1+((Inputs!$G$5:$G$230&lt;&gt;"moeda")*(Inputs!$G$5:$G$230&lt;&gt;"acoes")))*INDEX(Inputs!$K$5:$AJ$230,0,MATCH(AA$2,Inputs!$K$4:$AJ$4,0)))+SUMPRODUCT((Inputs!$C$5:$C$230=$B55)*Inputs!$D$5:$D$230*(((Inputs!$G$5:$G$230="moeda")+(Inputs!$G$5:$G$230="acoes"))*Inputs!$B$1+((Inputs!$G$5:$G$230&lt;&gt;"moeda")*(Inputs!$G$5:$G$230&lt;&gt;"acoes")))*INDEX(Inputs!$K$5:$AJ$230,0,MATCH(AA$2,Inputs!$K$4:$AJ$4,0)))+SUMPRODUCT((Inputs!$E$5:$E$230=$B55)*Inputs!$F$5:$F$230*(((Inputs!$G$5:$G$230="moeda")+(Inputs!$G$5:$G$230="acoes"))*Inputs!$B$1+((Inputs!$G$5:$G$230&lt;&gt;"moeda")*(Inputs!$G$5:$G$230&lt;&gt;"acoes")))*INDEX(Inputs!$K$5:$AJ$230,0,MATCH(AA$2,Inputs!$K$4:$AJ$4,0)))))</f>
        <v>4.435</v>
      </c>
      <c r="AB55" s="3">
        <f>SUM(X55:AA55)</f>
        <v>16.818</v>
      </c>
      <c r="AC55" s="6">
        <f>IF(ISNA(MATCH(AC$2,Inputs!$K$4:$AJ$4,0)),NA(),IF(SUMPRODUCT((Inputs!$A$5:$A$230=$B55)*ISNUMBER(INDEX(Inputs!$K$5:$AJ$230,0,MATCH(AC$2,Inputs!$K$4:$AJ$4,0))))+SUMPRODUCT((Inputs!$C$5:$C$230=$B55)*ISNUMBER(INDEX(Inputs!$K$5:$AJ$230,0,MATCH(AC$2,Inputs!$K$4:$AJ$4,0))))+SUMPRODUCT((Inputs!$E$5:$E$230=$B55)*ISNUMBER(INDEX(Inputs!$K$5:$AJ$230,0,MATCH(AC$2,Inputs!$K$4:$AJ$4,0))))=0,NA(),SUMPRODUCT((Inputs!$A$5:$A$230=$B55)*Inputs!$B$5:$B$230*(((Inputs!$G$5:$G$230="moeda")+(Inputs!$G$5:$G$230="acoes"))*Inputs!$B$1+((Inputs!$G$5:$G$230&lt;&gt;"moeda")*(Inputs!$G$5:$G$230&lt;&gt;"acoes")))*INDEX(Inputs!$K$5:$AJ$230,0,MATCH(AC$2,Inputs!$K$4:$AJ$4,0)))+SUMPRODUCT((Inputs!$C$5:$C$230=$B55)*Inputs!$D$5:$D$230*(((Inputs!$G$5:$G$230="moeda")+(Inputs!$G$5:$G$230="acoes"))*Inputs!$B$1+((Inputs!$G$5:$G$230&lt;&gt;"moeda")*(Inputs!$G$5:$G$230&lt;&gt;"acoes")))*INDEX(Inputs!$K$5:$AJ$230,0,MATCH(AC$2,Inputs!$K$4:$AJ$4,0)))+SUMPRODUCT((Inputs!$E$5:$E$230=$B55)*Inputs!$F$5:$F$230*(((Inputs!$G$5:$G$230="moeda")+(Inputs!$G$5:$G$230="acoes"))*Inputs!$B$1+((Inputs!$G$5:$G$230&lt;&gt;"moeda")*(Inputs!$G$5:$G$230&lt;&gt;"acoes")))*INDEX(Inputs!$K$5:$AJ$230,0,MATCH(AC$2,Inputs!$K$4:$AJ$4,0)))))</f>
        <v>3.928</v>
      </c>
      <c r="AD55" s="6">
        <f>IF(ISNA(MATCH(AD$2,Inputs!$K$4:$AJ$4,0)),NA(),IF(SUMPRODUCT((Inputs!$A$5:$A$230=$B55)*ISNUMBER(INDEX(Inputs!$K$5:$AJ$230,0,MATCH(AD$2,Inputs!$K$4:$AJ$4,0))))+SUMPRODUCT((Inputs!$C$5:$C$230=$B55)*ISNUMBER(INDEX(Inputs!$K$5:$AJ$230,0,MATCH(AD$2,Inputs!$K$4:$AJ$4,0))))+SUMPRODUCT((Inputs!$E$5:$E$230=$B55)*ISNUMBER(INDEX(Inputs!$K$5:$AJ$230,0,MATCH(AD$2,Inputs!$K$4:$AJ$4,0))))=0,NA(),SUMPRODUCT((Inputs!$A$5:$A$230=$B55)*Inputs!$B$5:$B$230*(((Inputs!$G$5:$G$230="moeda")+(Inputs!$G$5:$G$230="acoes"))*Inputs!$B$1+((Inputs!$G$5:$G$230&lt;&gt;"moeda")*(Inputs!$G$5:$G$230&lt;&gt;"acoes")))*INDEX(Inputs!$K$5:$AJ$230,0,MATCH(AD$2,Inputs!$K$4:$AJ$4,0)))+SUMPRODUCT((Inputs!$C$5:$C$230=$B55)*Inputs!$D$5:$D$230*(((Inputs!$G$5:$G$230="moeda")+(Inputs!$G$5:$G$230="acoes"))*Inputs!$B$1+((Inputs!$G$5:$G$230&lt;&gt;"moeda")*(Inputs!$G$5:$G$230&lt;&gt;"acoes")))*INDEX(Inputs!$K$5:$AJ$230,0,MATCH(AD$2,Inputs!$K$4:$AJ$4,0)))+SUMPRODUCT((Inputs!$E$5:$E$230=$B55)*Inputs!$F$5:$F$230*(((Inputs!$G$5:$G$230="moeda")+(Inputs!$G$5:$G$230="acoes"))*Inputs!$B$1+((Inputs!$G$5:$G$230&lt;&gt;"moeda")*(Inputs!$G$5:$G$230&lt;&gt;"acoes")))*INDEX(Inputs!$K$5:$AJ$230,0,MATCH(AD$2,Inputs!$K$4:$AJ$4,0)))))</f>
        <v>7.235</v>
      </c>
      <c r="AE55" s="6" t="e">
        <f>IF(ISNA(MATCH(AE$2,Inputs!$K$4:$AJ$4,0)),NA(),IF(SUMPRODUCT((Inputs!$A$5:$A$230=$B55)*ISNUMBER(INDEX(Inputs!$K$5:$AJ$230,0,MATCH(AE$2,Inputs!$K$4:$AJ$4,0))))+SUMPRODUCT((Inputs!$C$5:$C$230=$B55)*ISNUMBER(INDEX(Inputs!$K$5:$AJ$230,0,MATCH(AE$2,Inputs!$K$4:$AJ$4,0))))+SUMPRODUCT((Inputs!$E$5:$E$230=$B55)*ISNUMBER(INDEX(Inputs!$K$5:$AJ$230,0,MATCH(AE$2,Inputs!$K$4:$AJ$4,0))))=0,NA(),SUMPRODUCT((Inputs!$A$5:$A$230=$B55)*Inputs!$B$5:$B$230*(((Inputs!$G$5:$G$230="moeda")+(Inputs!$G$5:$G$230="acoes"))*Inputs!$B$1+((Inputs!$G$5:$G$230&lt;&gt;"moeda")*(Inputs!$G$5:$G$230&lt;&gt;"acoes")))*INDEX(Inputs!$K$5:$AJ$230,0,MATCH(AE$2,Inputs!$K$4:$AJ$4,0)))+SUMPRODUCT((Inputs!$C$5:$C$230=$B55)*Inputs!$D$5:$D$230*(((Inputs!$G$5:$G$230="moeda")+(Inputs!$G$5:$G$230="acoes"))*Inputs!$B$1+((Inputs!$G$5:$G$230&lt;&gt;"moeda")*(Inputs!$G$5:$G$230&lt;&gt;"acoes")))*INDEX(Inputs!$K$5:$AJ$230,0,MATCH(AE$2,Inputs!$K$4:$AJ$4,0)))+SUMPRODUCT((Inputs!$E$5:$E$230=$B55)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55" s="6" t="e">
        <f>IF(ISNA(MATCH(AF$2,Inputs!$K$4:$AJ$4,0)),NA(),IF(SUMPRODUCT((Inputs!$A$5:$A$230=$B55)*ISNUMBER(INDEX(Inputs!$K$5:$AJ$230,0,MATCH(AF$2,Inputs!$K$4:$AJ$4,0))))+SUMPRODUCT((Inputs!$C$5:$C$230=$B55)*ISNUMBER(INDEX(Inputs!$K$5:$AJ$230,0,MATCH(AF$2,Inputs!$K$4:$AJ$4,0))))+SUMPRODUCT((Inputs!$E$5:$E$230=$B55)*ISNUMBER(INDEX(Inputs!$K$5:$AJ$230,0,MATCH(AF$2,Inputs!$K$4:$AJ$4,0))))=0,NA(),SUMPRODUCT((Inputs!$A$5:$A$230=$B55)*Inputs!$B$5:$B$230*(((Inputs!$G$5:$G$230="moeda")+(Inputs!$G$5:$G$230="acoes"))*Inputs!$B$1+((Inputs!$G$5:$G$230&lt;&gt;"moeda")*(Inputs!$G$5:$G$230&lt;&gt;"acoes")))*INDEX(Inputs!$K$5:$AJ$230,0,MATCH(AF$2,Inputs!$K$4:$AJ$4,0)))+SUMPRODUCT((Inputs!$C$5:$C$230=$B55)*Inputs!$D$5:$D$230*(((Inputs!$G$5:$G$230="moeda")+(Inputs!$G$5:$G$230="acoes"))*Inputs!$B$1+((Inputs!$G$5:$G$230&lt;&gt;"moeda")*(Inputs!$G$5:$G$230&lt;&gt;"acoes")))*INDEX(Inputs!$K$5:$AJ$230,0,MATCH(AF$2,Inputs!$K$4:$AJ$4,0)))+SUMPRODUCT((Inputs!$E$5:$E$230=$B55)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55" s="3" t="e">
        <f>SUM(AC55:AF55)</f>
        <v>#N/A</v>
      </c>
      <c r="AH55" s="6">
        <f>IF(ISNA(MATCH(AH$2,Inputs!$K$4:$AJ$4,0)),NA(),IF(SUMPRODUCT((Inputs!$A$5:$A$230=$B55)*ISNUMBER(INDEX(Inputs!$K$5:$AJ$230,0,MATCH(AH$2,Inputs!$K$4:$AJ$4,0))))+SUMPRODUCT((Inputs!$C$5:$C$230=$B55)*ISNUMBER(INDEX(Inputs!$K$5:$AJ$230,0,MATCH(AH$2,Inputs!$K$4:$AJ$4,0))))+SUMPRODUCT((Inputs!$E$5:$E$230=$B55)*ISNUMBER(INDEX(Inputs!$K$5:$AJ$230,0,MATCH(AH$2,Inputs!$K$4:$AJ$4,0))))=0,NA(),SUMPRODUCT((Inputs!$A$5:$A$230=$B55)*Inputs!$B$5:$B$230*(((Inputs!$G$5:$G$230="moeda")+(Inputs!$G$5:$G$230="acoes"))*Inputs!$B$1+((Inputs!$G$5:$G$230&lt;&gt;"moeda")*(Inputs!$G$5:$G$230&lt;&gt;"acoes")))*INDEX(Inputs!$K$5:$AJ$230,0,MATCH(AH$2,Inputs!$K$4:$AJ$4,0)))+SUMPRODUCT((Inputs!$C$5:$C$230=$B55)*Inputs!$D$5:$D$230*(((Inputs!$G$5:$G$230="moeda")+(Inputs!$G$5:$G$230="acoes"))*Inputs!$B$1+((Inputs!$G$5:$G$230&lt;&gt;"moeda")*(Inputs!$G$5:$G$230&lt;&gt;"acoes")))*INDEX(Inputs!$K$5:$AJ$230,0,MATCH(AH$2,Inputs!$K$4:$AJ$4,0)))+SUMPRODUCT((Inputs!$E$5:$E$230=$B55)*Inputs!$F$5:$F$230*(((Inputs!$G$5:$G$230="moeda")+(Inputs!$G$5:$G$230="acoes"))*Inputs!$B$1+((Inputs!$G$5:$G$230&lt;&gt;"moeda")*(Inputs!$G$5:$G$230&lt;&gt;"acoes")))*INDEX(Inputs!$K$5:$AJ$230,0,MATCH(AH$2,Inputs!$K$4:$AJ$4,0)))))</f>
        <v>5.414</v>
      </c>
      <c r="AI55" s="6">
        <f>IF(ISNA(MATCH(AI$2,Inputs!$K$4:$AJ$4,0)),NA(),IF(SUMPRODUCT((Inputs!$A$5:$A$230=$B55)*ISNUMBER(INDEX(Inputs!$K$5:$AJ$230,0,MATCH(AI$2,Inputs!$K$4:$AJ$4,0))))+SUMPRODUCT((Inputs!$C$5:$C$230=$B55)*ISNUMBER(INDEX(Inputs!$K$5:$AJ$230,0,MATCH(AI$2,Inputs!$K$4:$AJ$4,0))))+SUMPRODUCT((Inputs!$E$5:$E$230=$B55)*ISNUMBER(INDEX(Inputs!$K$5:$AJ$230,0,MATCH(AI$2,Inputs!$K$4:$AJ$4,0))))=0,NA(),SUMPRODUCT((Inputs!$A$5:$A$230=$B55)*Inputs!$B$5:$B$230*(((Inputs!$G$5:$G$230="moeda")+(Inputs!$G$5:$G$230="acoes"))*Inputs!$B$1+((Inputs!$G$5:$G$230&lt;&gt;"moeda")*(Inputs!$G$5:$G$230&lt;&gt;"acoes")))*INDEX(Inputs!$K$5:$AJ$230,0,MATCH(AI$2,Inputs!$K$4:$AJ$4,0)))+SUMPRODUCT((Inputs!$C$5:$C$230=$B55)*Inputs!$D$5:$D$230*(((Inputs!$G$5:$G$230="moeda")+(Inputs!$G$5:$G$230="acoes"))*Inputs!$B$1+((Inputs!$G$5:$G$230&lt;&gt;"moeda")*(Inputs!$G$5:$G$230&lt;&gt;"acoes")))*INDEX(Inputs!$K$5:$AJ$230,0,MATCH(AI$2,Inputs!$K$4:$AJ$4,0)))+SUMPRODUCT((Inputs!$E$5:$E$230=$B55)*Inputs!$F$5:$F$230*(((Inputs!$G$5:$G$230="moeda")+(Inputs!$G$5:$G$230="acoes"))*Inputs!$B$1+((Inputs!$G$5:$G$230&lt;&gt;"moeda")*(Inputs!$G$5:$G$230&lt;&gt;"acoes")))*INDEX(Inputs!$K$5:$AJ$230,0,MATCH(AI$2,Inputs!$K$4:$AJ$4,0)))))</f>
        <v>5.338</v>
      </c>
      <c r="AJ55" s="6">
        <f>IF(ISNA(MATCH(AJ$2,Inputs!$K$4:$AJ$4,0)),NA(),IF(SUMPRODUCT((Inputs!$A$5:$A$230=$B55)*ISNUMBER(INDEX(Inputs!$K$5:$AJ$230,0,MATCH(AJ$2,Inputs!$K$4:$AJ$4,0))))+SUMPRODUCT((Inputs!$C$5:$C$230=$B55)*ISNUMBER(INDEX(Inputs!$K$5:$AJ$230,0,MATCH(AJ$2,Inputs!$K$4:$AJ$4,0))))+SUMPRODUCT((Inputs!$E$5:$E$230=$B55)*ISNUMBER(INDEX(Inputs!$K$5:$AJ$230,0,MATCH(AJ$2,Inputs!$K$4:$AJ$4,0))))=0,NA(),SUMPRODUCT((Inputs!$A$5:$A$230=$B55)*Inputs!$B$5:$B$230*(((Inputs!$G$5:$G$230="moeda")+(Inputs!$G$5:$G$230="acoes"))*Inputs!$B$1+((Inputs!$G$5:$G$230&lt;&gt;"moeda")*(Inputs!$G$5:$G$230&lt;&gt;"acoes")))*INDEX(Inputs!$K$5:$AJ$230,0,MATCH(AJ$2,Inputs!$K$4:$AJ$4,0)))+SUMPRODUCT((Inputs!$C$5:$C$230=$B55)*Inputs!$D$5:$D$230*(((Inputs!$G$5:$G$230="moeda")+(Inputs!$G$5:$G$230="acoes"))*Inputs!$B$1+((Inputs!$G$5:$G$230&lt;&gt;"moeda")*(Inputs!$G$5:$G$230&lt;&gt;"acoes")))*INDEX(Inputs!$K$5:$AJ$230,0,MATCH(AJ$2,Inputs!$K$4:$AJ$4,0)))+SUMPRODUCT((Inputs!$E$5:$E$230=$B55)*Inputs!$F$5:$F$230*(((Inputs!$G$5:$G$230="moeda")+(Inputs!$G$5:$G$230="acoes"))*Inputs!$B$1+((Inputs!$G$5:$G$230&lt;&gt;"moeda")*(Inputs!$G$5:$G$230&lt;&gt;"acoes")))*INDEX(Inputs!$K$5:$AJ$230,0,MATCH(AJ$2,Inputs!$K$4:$AJ$4,0)))))</f>
        <v>7.562</v>
      </c>
      <c r="AK55" s="6">
        <f>IF(ISNA(MATCH(AK$2,Inputs!$K$4:$AJ$4,0)),NA(),IF(SUMPRODUCT((Inputs!$A$5:$A$230=$B55)*ISNUMBER(INDEX(Inputs!$K$5:$AJ$230,0,MATCH(AK$2,Inputs!$K$4:$AJ$4,0))))+SUMPRODUCT((Inputs!$C$5:$C$230=$B55)*ISNUMBER(INDEX(Inputs!$K$5:$AJ$230,0,MATCH(AK$2,Inputs!$K$4:$AJ$4,0))))+SUMPRODUCT((Inputs!$E$5:$E$230=$B55)*ISNUMBER(INDEX(Inputs!$K$5:$AJ$230,0,MATCH(AK$2,Inputs!$K$4:$AJ$4,0))))=0,NA(),SUMPRODUCT((Inputs!$A$5:$A$230=$B55)*Inputs!$B$5:$B$230*(((Inputs!$G$5:$G$230="moeda")+(Inputs!$G$5:$G$230="acoes"))*Inputs!$B$1+((Inputs!$G$5:$G$230&lt;&gt;"moeda")*(Inputs!$G$5:$G$230&lt;&gt;"acoes")))*INDEX(Inputs!$K$5:$AJ$230,0,MATCH(AK$2,Inputs!$K$4:$AJ$4,0)))+SUMPRODUCT((Inputs!$C$5:$C$230=$B55)*Inputs!$D$5:$D$230*(((Inputs!$G$5:$G$230="moeda")+(Inputs!$G$5:$G$230="acoes"))*Inputs!$B$1+((Inputs!$G$5:$G$230&lt;&gt;"moeda")*(Inputs!$G$5:$G$230&lt;&gt;"acoes")))*INDEX(Inputs!$K$5:$AJ$230,0,MATCH(AK$2,Inputs!$K$4:$AJ$4,0)))+SUMPRODUCT((Inputs!$E$5:$E$230=$B55)*Inputs!$F$5:$F$230*(((Inputs!$G$5:$G$230="moeda")+(Inputs!$G$5:$G$230="acoes"))*Inputs!$B$1+((Inputs!$G$5:$G$230&lt;&gt;"moeda")*(Inputs!$G$5:$G$230&lt;&gt;"acoes")))*INDEX(Inputs!$K$5:$AJ$230,0,MATCH(AK$2,Inputs!$K$4:$AJ$4,0)))))</f>
        <v>20.455</v>
      </c>
      <c r="AL55" s="3">
        <f>SUM(AH55:AK55)</f>
        <v>38.769</v>
      </c>
    </row>
    <row r="56">
      <c r="B56" s="46" t="n">
        <v>48</v>
      </c>
      <c r="C56" s="29" t="inlineStr">
        <is>
          <t>Transmissao | Transleste</t>
        </is>
      </c>
      <c r="D56" s="6">
        <f>IF(ISNA(MATCH(D$2,Inputs!$K$4:$AJ$4,0)),NA(),IF(SUMPRODUCT((Inputs!$A$5:$A$230=$B56)*ISNUMBER(INDEX(Inputs!$K$5:$AJ$230,0,MATCH(D$2,Inputs!$K$4:$AJ$4,0))))+SUMPRODUCT((Inputs!$C$5:$C$230=$B56)*ISNUMBER(INDEX(Inputs!$K$5:$AJ$230,0,MATCH(D$2,Inputs!$K$4:$AJ$4,0))))+SUMPRODUCT((Inputs!$E$5:$E$230=$B56)*ISNUMBER(INDEX(Inputs!$K$5:$AJ$230,0,MATCH(D$2,Inputs!$K$4:$AJ$4,0))))=0,NA(),SUMPRODUCT((Inputs!$A$5:$A$230=$B56)*Inputs!$B$5:$B$230*(((Inputs!$G$5:$G$230="moeda")+(Inputs!$G$5:$G$230="acoes"))*Inputs!$B$1+((Inputs!$G$5:$G$230&lt;&gt;"moeda")*(Inputs!$G$5:$G$230&lt;&gt;"acoes")))*INDEX(Inputs!$K$5:$AJ$230,0,MATCH(D$2,Inputs!$K$4:$AJ$4,0)))+SUMPRODUCT((Inputs!$C$5:$C$230=$B56)*Inputs!$D$5:$D$230*(((Inputs!$G$5:$G$230="moeda")+(Inputs!$G$5:$G$230="acoes"))*Inputs!$B$1+((Inputs!$G$5:$G$230&lt;&gt;"moeda")*(Inputs!$G$5:$G$230&lt;&gt;"acoes")))*INDEX(Inputs!$K$5:$AJ$230,0,MATCH(D$2,Inputs!$K$4:$AJ$4,0)))+SUMPRODUCT((Inputs!$E$5:$E$230=$B56)*Inputs!$F$5:$F$230*(((Inputs!$G$5:$G$230="moeda")+(Inputs!$G$5:$G$230="acoes"))*Inputs!$B$1+((Inputs!$G$5:$G$230&lt;&gt;"moeda")*(Inputs!$G$5:$G$230&lt;&gt;"acoes")))*INDEX(Inputs!$K$5:$AJ$230,0,MATCH(D$2,Inputs!$K$4:$AJ$4,0)))))</f>
        <v>12.214</v>
      </c>
      <c r="E56" s="6">
        <f>IF(ISNA(MATCH(E$2,Inputs!$K$4:$AJ$4,0)),NA(),IF(SUMPRODUCT((Inputs!$A$5:$A$230=$B56)*ISNUMBER(INDEX(Inputs!$K$5:$AJ$230,0,MATCH(E$2,Inputs!$K$4:$AJ$4,0))))+SUMPRODUCT((Inputs!$C$5:$C$230=$B56)*ISNUMBER(INDEX(Inputs!$K$5:$AJ$230,0,MATCH(E$2,Inputs!$K$4:$AJ$4,0))))+SUMPRODUCT((Inputs!$E$5:$E$230=$B56)*ISNUMBER(INDEX(Inputs!$K$5:$AJ$230,0,MATCH(E$2,Inputs!$K$4:$AJ$4,0))))=0,NA(),SUMPRODUCT((Inputs!$A$5:$A$230=$B56)*Inputs!$B$5:$B$230*(((Inputs!$G$5:$G$230="moeda")+(Inputs!$G$5:$G$230="acoes"))*Inputs!$B$1+((Inputs!$G$5:$G$230&lt;&gt;"moeda")*(Inputs!$G$5:$G$230&lt;&gt;"acoes")))*INDEX(Inputs!$K$5:$AJ$230,0,MATCH(E$2,Inputs!$K$4:$AJ$4,0)))+SUMPRODUCT((Inputs!$C$5:$C$230=$B56)*Inputs!$D$5:$D$230*(((Inputs!$G$5:$G$230="moeda")+(Inputs!$G$5:$G$230="acoes"))*Inputs!$B$1+((Inputs!$G$5:$G$230&lt;&gt;"moeda")*(Inputs!$G$5:$G$230&lt;&gt;"acoes")))*INDEX(Inputs!$K$5:$AJ$230,0,MATCH(E$2,Inputs!$K$4:$AJ$4,0)))+SUMPRODUCT((Inputs!$E$5:$E$230=$B56)*Inputs!$F$5:$F$230*(((Inputs!$G$5:$G$230="moeda")+(Inputs!$G$5:$G$230="acoes"))*Inputs!$B$1+((Inputs!$G$5:$G$230&lt;&gt;"moeda")*(Inputs!$G$5:$G$230&lt;&gt;"acoes")))*INDEX(Inputs!$K$5:$AJ$230,0,MATCH(E$2,Inputs!$K$4:$AJ$4,0)))))</f>
        <v>16.259</v>
      </c>
      <c r="F56" s="6">
        <f>IF(ISNA(MATCH(F$2,Inputs!$K$4:$AJ$4,0)),NA(),IF(SUMPRODUCT((Inputs!$A$5:$A$230=$B56)*ISNUMBER(INDEX(Inputs!$K$5:$AJ$230,0,MATCH(F$2,Inputs!$K$4:$AJ$4,0))))+SUMPRODUCT((Inputs!$C$5:$C$230=$B56)*ISNUMBER(INDEX(Inputs!$K$5:$AJ$230,0,MATCH(F$2,Inputs!$K$4:$AJ$4,0))))+SUMPRODUCT((Inputs!$E$5:$E$230=$B56)*ISNUMBER(INDEX(Inputs!$K$5:$AJ$230,0,MATCH(F$2,Inputs!$K$4:$AJ$4,0))))=0,NA(),SUMPRODUCT((Inputs!$A$5:$A$230=$B56)*Inputs!$B$5:$B$230*(((Inputs!$G$5:$G$230="moeda")+(Inputs!$G$5:$G$230="acoes"))*Inputs!$B$1+((Inputs!$G$5:$G$230&lt;&gt;"moeda")*(Inputs!$G$5:$G$230&lt;&gt;"acoes")))*INDEX(Inputs!$K$5:$AJ$230,0,MATCH(F$2,Inputs!$K$4:$AJ$4,0)))+SUMPRODUCT((Inputs!$C$5:$C$230=$B56)*Inputs!$D$5:$D$230*(((Inputs!$G$5:$G$230="moeda")+(Inputs!$G$5:$G$230="acoes"))*Inputs!$B$1+((Inputs!$G$5:$G$230&lt;&gt;"moeda")*(Inputs!$G$5:$G$230&lt;&gt;"acoes")))*INDEX(Inputs!$K$5:$AJ$230,0,MATCH(F$2,Inputs!$K$4:$AJ$4,0)))+SUMPRODUCT((Inputs!$E$5:$E$230=$B56)*Inputs!$F$5:$F$230*(((Inputs!$G$5:$G$230="moeda")+(Inputs!$G$5:$G$230="acoes"))*Inputs!$B$1+((Inputs!$G$5:$G$230&lt;&gt;"moeda")*(Inputs!$G$5:$G$230&lt;&gt;"acoes")))*INDEX(Inputs!$K$5:$AJ$230,0,MATCH(F$2,Inputs!$K$4:$AJ$4,0)))))</f>
        <v>8.977</v>
      </c>
      <c r="G56" s="6">
        <f>IF(ISNA(MATCH(G$2,Inputs!$K$4:$AJ$4,0)),NA(),IF(SUMPRODUCT((Inputs!$A$5:$A$230=$B56)*ISNUMBER(INDEX(Inputs!$K$5:$AJ$230,0,MATCH(G$2,Inputs!$K$4:$AJ$4,0))))+SUMPRODUCT((Inputs!$C$5:$C$230=$B56)*ISNUMBER(INDEX(Inputs!$K$5:$AJ$230,0,MATCH(G$2,Inputs!$K$4:$AJ$4,0))))+SUMPRODUCT((Inputs!$E$5:$E$230=$B56)*ISNUMBER(INDEX(Inputs!$K$5:$AJ$230,0,MATCH(G$2,Inputs!$K$4:$AJ$4,0))))=0,NA(),SUMPRODUCT((Inputs!$A$5:$A$230=$B56)*Inputs!$B$5:$B$230*(((Inputs!$G$5:$G$230="moeda")+(Inputs!$G$5:$G$230="acoes"))*Inputs!$B$1+((Inputs!$G$5:$G$230&lt;&gt;"moeda")*(Inputs!$G$5:$G$230&lt;&gt;"acoes")))*INDEX(Inputs!$K$5:$AJ$230,0,MATCH(G$2,Inputs!$K$4:$AJ$4,0)))+SUMPRODUCT((Inputs!$C$5:$C$230=$B56)*Inputs!$D$5:$D$230*(((Inputs!$G$5:$G$230="moeda")+(Inputs!$G$5:$G$230="acoes"))*Inputs!$B$1+((Inputs!$G$5:$G$230&lt;&gt;"moeda")*(Inputs!$G$5:$G$230&lt;&gt;"acoes")))*INDEX(Inputs!$K$5:$AJ$230,0,MATCH(G$2,Inputs!$K$4:$AJ$4,0)))+SUMPRODUCT((Inputs!$E$5:$E$230=$B56)*Inputs!$F$5:$F$230*(((Inputs!$G$5:$G$230="moeda")+(Inputs!$G$5:$G$230="acoes"))*Inputs!$B$1+((Inputs!$G$5:$G$230&lt;&gt;"moeda")*(Inputs!$G$5:$G$230&lt;&gt;"acoes")))*INDEX(Inputs!$K$5:$AJ$230,0,MATCH(G$2,Inputs!$K$4:$AJ$4,0)))))</f>
        <v>6.607</v>
      </c>
      <c r="H56" s="3">
        <f>SUM(D56:G56)</f>
        <v>44.057</v>
      </c>
      <c r="I56" s="6">
        <f>IF(ISNA(MATCH(I$2,Inputs!$K$4:$AJ$4,0)),NA(),IF(SUMPRODUCT((Inputs!$A$5:$A$230=$B56)*ISNUMBER(INDEX(Inputs!$K$5:$AJ$230,0,MATCH(I$2,Inputs!$K$4:$AJ$4,0))))+SUMPRODUCT((Inputs!$C$5:$C$230=$B56)*ISNUMBER(INDEX(Inputs!$K$5:$AJ$230,0,MATCH(I$2,Inputs!$K$4:$AJ$4,0))))+SUMPRODUCT((Inputs!$E$5:$E$230=$B56)*ISNUMBER(INDEX(Inputs!$K$5:$AJ$230,0,MATCH(I$2,Inputs!$K$4:$AJ$4,0))))=0,NA(),SUMPRODUCT((Inputs!$A$5:$A$230=$B56)*Inputs!$B$5:$B$230*(((Inputs!$G$5:$G$230="moeda")+(Inputs!$G$5:$G$230="acoes"))*Inputs!$B$1+((Inputs!$G$5:$G$230&lt;&gt;"moeda")*(Inputs!$G$5:$G$230&lt;&gt;"acoes")))*INDEX(Inputs!$K$5:$AJ$230,0,MATCH(I$2,Inputs!$K$4:$AJ$4,0)))+SUMPRODUCT((Inputs!$C$5:$C$230=$B56)*Inputs!$D$5:$D$230*(((Inputs!$G$5:$G$230="moeda")+(Inputs!$G$5:$G$230="acoes"))*Inputs!$B$1+((Inputs!$G$5:$G$230&lt;&gt;"moeda")*(Inputs!$G$5:$G$230&lt;&gt;"acoes")))*INDEX(Inputs!$K$5:$AJ$230,0,MATCH(I$2,Inputs!$K$4:$AJ$4,0)))+SUMPRODUCT((Inputs!$E$5:$E$230=$B56)*Inputs!$F$5:$F$230*(((Inputs!$G$5:$G$230="moeda")+(Inputs!$G$5:$G$230="acoes"))*Inputs!$B$1+((Inputs!$G$5:$G$230&lt;&gt;"moeda")*(Inputs!$G$5:$G$230&lt;&gt;"acoes")))*INDEX(Inputs!$K$5:$AJ$230,0,MATCH(I$2,Inputs!$K$4:$AJ$4,0)))))</f>
        <v>12.373</v>
      </c>
      <c r="J56" s="6">
        <f>IF(ISNA(MATCH(J$2,Inputs!$K$4:$AJ$4,0)),NA(),IF(SUMPRODUCT((Inputs!$A$5:$A$230=$B56)*ISNUMBER(INDEX(Inputs!$K$5:$AJ$230,0,MATCH(J$2,Inputs!$K$4:$AJ$4,0))))+SUMPRODUCT((Inputs!$C$5:$C$230=$B56)*ISNUMBER(INDEX(Inputs!$K$5:$AJ$230,0,MATCH(J$2,Inputs!$K$4:$AJ$4,0))))+SUMPRODUCT((Inputs!$E$5:$E$230=$B56)*ISNUMBER(INDEX(Inputs!$K$5:$AJ$230,0,MATCH(J$2,Inputs!$K$4:$AJ$4,0))))=0,NA(),SUMPRODUCT((Inputs!$A$5:$A$230=$B56)*Inputs!$B$5:$B$230*(((Inputs!$G$5:$G$230="moeda")+(Inputs!$G$5:$G$230="acoes"))*Inputs!$B$1+((Inputs!$G$5:$G$230&lt;&gt;"moeda")*(Inputs!$G$5:$G$230&lt;&gt;"acoes")))*INDEX(Inputs!$K$5:$AJ$230,0,MATCH(J$2,Inputs!$K$4:$AJ$4,0)))+SUMPRODUCT((Inputs!$C$5:$C$230=$B56)*Inputs!$D$5:$D$230*(((Inputs!$G$5:$G$230="moeda")+(Inputs!$G$5:$G$230="acoes"))*Inputs!$B$1+((Inputs!$G$5:$G$230&lt;&gt;"moeda")*(Inputs!$G$5:$G$230&lt;&gt;"acoes")))*INDEX(Inputs!$K$5:$AJ$230,0,MATCH(J$2,Inputs!$K$4:$AJ$4,0)))+SUMPRODUCT((Inputs!$E$5:$E$230=$B56)*Inputs!$F$5:$F$230*(((Inputs!$G$5:$G$230="moeda")+(Inputs!$G$5:$G$230="acoes"))*Inputs!$B$1+((Inputs!$G$5:$G$230&lt;&gt;"moeda")*(Inputs!$G$5:$G$230&lt;&gt;"acoes")))*INDEX(Inputs!$K$5:$AJ$230,0,MATCH(J$2,Inputs!$K$4:$AJ$4,0)))))</f>
        <v>11.72</v>
      </c>
      <c r="K56" s="6">
        <f>IF(ISNA(MATCH(K$2,Inputs!$K$4:$AJ$4,0)),NA(),IF(SUMPRODUCT((Inputs!$A$5:$A$230=$B56)*ISNUMBER(INDEX(Inputs!$K$5:$AJ$230,0,MATCH(K$2,Inputs!$K$4:$AJ$4,0))))+SUMPRODUCT((Inputs!$C$5:$C$230=$B56)*ISNUMBER(INDEX(Inputs!$K$5:$AJ$230,0,MATCH(K$2,Inputs!$K$4:$AJ$4,0))))+SUMPRODUCT((Inputs!$E$5:$E$230=$B56)*ISNUMBER(INDEX(Inputs!$K$5:$AJ$230,0,MATCH(K$2,Inputs!$K$4:$AJ$4,0))))=0,NA(),SUMPRODUCT((Inputs!$A$5:$A$230=$B56)*Inputs!$B$5:$B$230*(((Inputs!$G$5:$G$230="moeda")+(Inputs!$G$5:$G$230="acoes"))*Inputs!$B$1+((Inputs!$G$5:$G$230&lt;&gt;"moeda")*(Inputs!$G$5:$G$230&lt;&gt;"acoes")))*INDEX(Inputs!$K$5:$AJ$230,0,MATCH(K$2,Inputs!$K$4:$AJ$4,0)))+SUMPRODUCT((Inputs!$C$5:$C$230=$B56)*Inputs!$D$5:$D$230*(((Inputs!$G$5:$G$230="moeda")+(Inputs!$G$5:$G$230="acoes"))*Inputs!$B$1+((Inputs!$G$5:$G$230&lt;&gt;"moeda")*(Inputs!$G$5:$G$230&lt;&gt;"acoes")))*INDEX(Inputs!$K$5:$AJ$230,0,MATCH(K$2,Inputs!$K$4:$AJ$4,0)))+SUMPRODUCT((Inputs!$E$5:$E$230=$B56)*Inputs!$F$5:$F$230*(((Inputs!$G$5:$G$230="moeda")+(Inputs!$G$5:$G$230="acoes"))*Inputs!$B$1+((Inputs!$G$5:$G$230&lt;&gt;"moeda")*(Inputs!$G$5:$G$230&lt;&gt;"acoes")))*INDEX(Inputs!$K$5:$AJ$230,0,MATCH(K$2,Inputs!$K$4:$AJ$4,0)))))</f>
        <v>7.207</v>
      </c>
      <c r="L56" s="6">
        <f>IF(ISNA(MATCH(L$2,Inputs!$K$4:$AJ$4,0)),NA(),IF(SUMPRODUCT((Inputs!$A$5:$A$230=$B56)*ISNUMBER(INDEX(Inputs!$K$5:$AJ$230,0,MATCH(L$2,Inputs!$K$4:$AJ$4,0))))+SUMPRODUCT((Inputs!$C$5:$C$230=$B56)*ISNUMBER(INDEX(Inputs!$K$5:$AJ$230,0,MATCH(L$2,Inputs!$K$4:$AJ$4,0))))+SUMPRODUCT((Inputs!$E$5:$E$230=$B56)*ISNUMBER(INDEX(Inputs!$K$5:$AJ$230,0,MATCH(L$2,Inputs!$K$4:$AJ$4,0))))=0,NA(),SUMPRODUCT((Inputs!$A$5:$A$230=$B56)*Inputs!$B$5:$B$230*(((Inputs!$G$5:$G$230="moeda")+(Inputs!$G$5:$G$230="acoes"))*Inputs!$B$1+((Inputs!$G$5:$G$230&lt;&gt;"moeda")*(Inputs!$G$5:$G$230&lt;&gt;"acoes")))*INDEX(Inputs!$K$5:$AJ$230,0,MATCH(L$2,Inputs!$K$4:$AJ$4,0)))+SUMPRODUCT((Inputs!$C$5:$C$230=$B56)*Inputs!$D$5:$D$230*(((Inputs!$G$5:$G$230="moeda")+(Inputs!$G$5:$G$230="acoes"))*Inputs!$B$1+((Inputs!$G$5:$G$230&lt;&gt;"moeda")*(Inputs!$G$5:$G$230&lt;&gt;"acoes")))*INDEX(Inputs!$K$5:$AJ$230,0,MATCH(L$2,Inputs!$K$4:$AJ$4,0)))+SUMPRODUCT((Inputs!$E$5:$E$230=$B56)*Inputs!$F$5:$F$230*(((Inputs!$G$5:$G$230="moeda")+(Inputs!$G$5:$G$230="acoes"))*Inputs!$B$1+((Inputs!$G$5:$G$230&lt;&gt;"moeda")*(Inputs!$G$5:$G$230&lt;&gt;"acoes")))*INDEX(Inputs!$K$5:$AJ$230,0,MATCH(L$2,Inputs!$K$4:$AJ$4,0)))))</f>
        <v>3.912</v>
      </c>
      <c r="M56" s="3">
        <f>SUM(I56:L56)</f>
        <v>35.212</v>
      </c>
      <c r="N56" s="6">
        <f>IF(ISNA(MATCH(N$2,Inputs!$K$4:$AJ$4,0)),NA(),IF(SUMPRODUCT((Inputs!$A$5:$A$230=$B56)*ISNUMBER(INDEX(Inputs!$K$5:$AJ$230,0,MATCH(N$2,Inputs!$K$4:$AJ$4,0))))+SUMPRODUCT((Inputs!$C$5:$C$230=$B56)*ISNUMBER(INDEX(Inputs!$K$5:$AJ$230,0,MATCH(N$2,Inputs!$K$4:$AJ$4,0))))+SUMPRODUCT((Inputs!$E$5:$E$230=$B56)*ISNUMBER(INDEX(Inputs!$K$5:$AJ$230,0,MATCH(N$2,Inputs!$K$4:$AJ$4,0))))=0,NA(),SUMPRODUCT((Inputs!$A$5:$A$230=$B56)*Inputs!$B$5:$B$230*(((Inputs!$G$5:$G$230="moeda")+(Inputs!$G$5:$G$230="acoes"))*Inputs!$B$1+((Inputs!$G$5:$G$230&lt;&gt;"moeda")*(Inputs!$G$5:$G$230&lt;&gt;"acoes")))*INDEX(Inputs!$K$5:$AJ$230,0,MATCH(N$2,Inputs!$K$4:$AJ$4,0)))+SUMPRODUCT((Inputs!$C$5:$C$230=$B56)*Inputs!$D$5:$D$230*(((Inputs!$G$5:$G$230="moeda")+(Inputs!$G$5:$G$230="acoes"))*Inputs!$B$1+((Inputs!$G$5:$G$230&lt;&gt;"moeda")*(Inputs!$G$5:$G$230&lt;&gt;"acoes")))*INDEX(Inputs!$K$5:$AJ$230,0,MATCH(N$2,Inputs!$K$4:$AJ$4,0)))+SUMPRODUCT((Inputs!$E$5:$E$230=$B56)*Inputs!$F$5:$F$230*(((Inputs!$G$5:$G$230="moeda")+(Inputs!$G$5:$G$230="acoes"))*Inputs!$B$1+((Inputs!$G$5:$G$230&lt;&gt;"moeda")*(Inputs!$G$5:$G$230&lt;&gt;"acoes")))*INDEX(Inputs!$K$5:$AJ$230,0,MATCH(N$2,Inputs!$K$4:$AJ$4,0)))))</f>
        <v>7.709</v>
      </c>
      <c r="O56" s="6">
        <f>IF(ISNA(MATCH(O$2,Inputs!$K$4:$AJ$4,0)),NA(),IF(SUMPRODUCT((Inputs!$A$5:$A$230=$B56)*ISNUMBER(INDEX(Inputs!$K$5:$AJ$230,0,MATCH(O$2,Inputs!$K$4:$AJ$4,0))))+SUMPRODUCT((Inputs!$C$5:$C$230=$B56)*ISNUMBER(INDEX(Inputs!$K$5:$AJ$230,0,MATCH(O$2,Inputs!$K$4:$AJ$4,0))))+SUMPRODUCT((Inputs!$E$5:$E$230=$B56)*ISNUMBER(INDEX(Inputs!$K$5:$AJ$230,0,MATCH(O$2,Inputs!$K$4:$AJ$4,0))))=0,NA(),SUMPRODUCT((Inputs!$A$5:$A$230=$B56)*Inputs!$B$5:$B$230*(((Inputs!$G$5:$G$230="moeda")+(Inputs!$G$5:$G$230="acoes"))*Inputs!$B$1+((Inputs!$G$5:$G$230&lt;&gt;"moeda")*(Inputs!$G$5:$G$230&lt;&gt;"acoes")))*INDEX(Inputs!$K$5:$AJ$230,0,MATCH(O$2,Inputs!$K$4:$AJ$4,0)))+SUMPRODUCT((Inputs!$C$5:$C$230=$B56)*Inputs!$D$5:$D$230*(((Inputs!$G$5:$G$230="moeda")+(Inputs!$G$5:$G$230="acoes"))*Inputs!$B$1+((Inputs!$G$5:$G$230&lt;&gt;"moeda")*(Inputs!$G$5:$G$230&lt;&gt;"acoes")))*INDEX(Inputs!$K$5:$AJ$230,0,MATCH(O$2,Inputs!$K$4:$AJ$4,0)))+SUMPRODUCT((Inputs!$E$5:$E$230=$B56)*Inputs!$F$5:$F$230*(((Inputs!$G$5:$G$230="moeda")+(Inputs!$G$5:$G$230="acoes"))*Inputs!$B$1+((Inputs!$G$5:$G$230&lt;&gt;"moeda")*(Inputs!$G$5:$G$230&lt;&gt;"acoes")))*INDEX(Inputs!$K$5:$AJ$230,0,MATCH(O$2,Inputs!$K$4:$AJ$4,0)))))</f>
        <v>3.53</v>
      </c>
      <c r="P56" s="6">
        <f>IF(ISNA(MATCH(P$2,Inputs!$K$4:$AJ$4,0)),NA(),IF(SUMPRODUCT((Inputs!$A$5:$A$230=$B56)*ISNUMBER(INDEX(Inputs!$K$5:$AJ$230,0,MATCH(P$2,Inputs!$K$4:$AJ$4,0))))+SUMPRODUCT((Inputs!$C$5:$C$230=$B56)*ISNUMBER(INDEX(Inputs!$K$5:$AJ$230,0,MATCH(P$2,Inputs!$K$4:$AJ$4,0))))+SUMPRODUCT((Inputs!$E$5:$E$230=$B56)*ISNUMBER(INDEX(Inputs!$K$5:$AJ$230,0,MATCH(P$2,Inputs!$K$4:$AJ$4,0))))=0,NA(),SUMPRODUCT((Inputs!$A$5:$A$230=$B56)*Inputs!$B$5:$B$230*(((Inputs!$G$5:$G$230="moeda")+(Inputs!$G$5:$G$230="acoes"))*Inputs!$B$1+((Inputs!$G$5:$G$230&lt;&gt;"moeda")*(Inputs!$G$5:$G$230&lt;&gt;"acoes")))*INDEX(Inputs!$K$5:$AJ$230,0,MATCH(P$2,Inputs!$K$4:$AJ$4,0)))+SUMPRODUCT((Inputs!$C$5:$C$230=$B56)*Inputs!$D$5:$D$230*(((Inputs!$G$5:$G$230="moeda")+(Inputs!$G$5:$G$230="acoes"))*Inputs!$B$1+((Inputs!$G$5:$G$230&lt;&gt;"moeda")*(Inputs!$G$5:$G$230&lt;&gt;"acoes")))*INDEX(Inputs!$K$5:$AJ$230,0,MATCH(P$2,Inputs!$K$4:$AJ$4,0)))+SUMPRODUCT((Inputs!$E$5:$E$230=$B56)*Inputs!$F$5:$F$230*(((Inputs!$G$5:$G$230="moeda")+(Inputs!$G$5:$G$230="acoes"))*Inputs!$B$1+((Inputs!$G$5:$G$230&lt;&gt;"moeda")*(Inputs!$G$5:$G$230&lt;&gt;"acoes")))*INDEX(Inputs!$K$5:$AJ$230,0,MATCH(P$2,Inputs!$K$4:$AJ$4,0)))))</f>
        <v>3.519</v>
      </c>
      <c r="Q56" s="6">
        <f>IF(ISNA(MATCH(Q$2,Inputs!$K$4:$AJ$4,0)),NA(),IF(SUMPRODUCT((Inputs!$A$5:$A$230=$B56)*ISNUMBER(INDEX(Inputs!$K$5:$AJ$230,0,MATCH(Q$2,Inputs!$K$4:$AJ$4,0))))+SUMPRODUCT((Inputs!$C$5:$C$230=$B56)*ISNUMBER(INDEX(Inputs!$K$5:$AJ$230,0,MATCH(Q$2,Inputs!$K$4:$AJ$4,0))))+SUMPRODUCT((Inputs!$E$5:$E$230=$B56)*ISNUMBER(INDEX(Inputs!$K$5:$AJ$230,0,MATCH(Q$2,Inputs!$K$4:$AJ$4,0))))=0,NA(),SUMPRODUCT((Inputs!$A$5:$A$230=$B56)*Inputs!$B$5:$B$230*(((Inputs!$G$5:$G$230="moeda")+(Inputs!$G$5:$G$230="acoes"))*Inputs!$B$1+((Inputs!$G$5:$G$230&lt;&gt;"moeda")*(Inputs!$G$5:$G$230&lt;&gt;"acoes")))*INDEX(Inputs!$K$5:$AJ$230,0,MATCH(Q$2,Inputs!$K$4:$AJ$4,0)))+SUMPRODUCT((Inputs!$C$5:$C$230=$B56)*Inputs!$D$5:$D$230*(((Inputs!$G$5:$G$230="moeda")+(Inputs!$G$5:$G$230="acoes"))*Inputs!$B$1+((Inputs!$G$5:$G$230&lt;&gt;"moeda")*(Inputs!$G$5:$G$230&lt;&gt;"acoes")))*INDEX(Inputs!$K$5:$AJ$230,0,MATCH(Q$2,Inputs!$K$4:$AJ$4,0)))+SUMPRODUCT((Inputs!$E$5:$E$230=$B56)*Inputs!$F$5:$F$230*(((Inputs!$G$5:$G$230="moeda")+(Inputs!$G$5:$G$230="acoes"))*Inputs!$B$1+((Inputs!$G$5:$G$230&lt;&gt;"moeda")*(Inputs!$G$5:$G$230&lt;&gt;"acoes")))*INDEX(Inputs!$K$5:$AJ$230,0,MATCH(Q$2,Inputs!$K$4:$AJ$4,0)))))</f>
        <v>8.162</v>
      </c>
      <c r="R56" s="3">
        <f>SUM(N56:Q56)</f>
        <v>22.92</v>
      </c>
      <c r="S56" s="6">
        <f>IF(ISNA(MATCH(S$2,Inputs!$K$4:$AJ$4,0)),NA(),IF(SUMPRODUCT((Inputs!$A$5:$A$230=$B56)*ISNUMBER(INDEX(Inputs!$K$5:$AJ$230,0,MATCH(S$2,Inputs!$K$4:$AJ$4,0))))+SUMPRODUCT((Inputs!$C$5:$C$230=$B56)*ISNUMBER(INDEX(Inputs!$K$5:$AJ$230,0,MATCH(S$2,Inputs!$K$4:$AJ$4,0))))+SUMPRODUCT((Inputs!$E$5:$E$230=$B56)*ISNUMBER(INDEX(Inputs!$K$5:$AJ$230,0,MATCH(S$2,Inputs!$K$4:$AJ$4,0))))=0,NA(),SUMPRODUCT((Inputs!$A$5:$A$230=$B56)*Inputs!$B$5:$B$230*(((Inputs!$G$5:$G$230="moeda")+(Inputs!$G$5:$G$230="acoes"))*Inputs!$B$1+((Inputs!$G$5:$G$230&lt;&gt;"moeda")*(Inputs!$G$5:$G$230&lt;&gt;"acoes")))*INDEX(Inputs!$K$5:$AJ$230,0,MATCH(S$2,Inputs!$K$4:$AJ$4,0)))+SUMPRODUCT((Inputs!$C$5:$C$230=$B56)*Inputs!$D$5:$D$230*(((Inputs!$G$5:$G$230="moeda")+(Inputs!$G$5:$G$230="acoes"))*Inputs!$B$1+((Inputs!$G$5:$G$230&lt;&gt;"moeda")*(Inputs!$G$5:$G$230&lt;&gt;"acoes")))*INDEX(Inputs!$K$5:$AJ$230,0,MATCH(S$2,Inputs!$K$4:$AJ$4,0)))+SUMPRODUCT((Inputs!$E$5:$E$230=$B56)*Inputs!$F$5:$F$230*(((Inputs!$G$5:$G$230="moeda")+(Inputs!$G$5:$G$230="acoes"))*Inputs!$B$1+((Inputs!$G$5:$G$230&lt;&gt;"moeda")*(Inputs!$G$5:$G$230&lt;&gt;"acoes")))*INDEX(Inputs!$K$5:$AJ$230,0,MATCH(S$2,Inputs!$K$4:$AJ$4,0)))))</f>
        <v>6.857</v>
      </c>
      <c r="T56" s="6">
        <f>IF(ISNA(MATCH(T$2,Inputs!$K$4:$AJ$4,0)),NA(),IF(SUMPRODUCT((Inputs!$A$5:$A$230=$B56)*ISNUMBER(INDEX(Inputs!$K$5:$AJ$230,0,MATCH(T$2,Inputs!$K$4:$AJ$4,0))))+SUMPRODUCT((Inputs!$C$5:$C$230=$B56)*ISNUMBER(INDEX(Inputs!$K$5:$AJ$230,0,MATCH(T$2,Inputs!$K$4:$AJ$4,0))))+SUMPRODUCT((Inputs!$E$5:$E$230=$B56)*ISNUMBER(INDEX(Inputs!$K$5:$AJ$230,0,MATCH(T$2,Inputs!$K$4:$AJ$4,0))))=0,NA(),SUMPRODUCT((Inputs!$A$5:$A$230=$B56)*Inputs!$B$5:$B$230*(((Inputs!$G$5:$G$230="moeda")+(Inputs!$G$5:$G$230="acoes"))*Inputs!$B$1+((Inputs!$G$5:$G$230&lt;&gt;"moeda")*(Inputs!$G$5:$G$230&lt;&gt;"acoes")))*INDEX(Inputs!$K$5:$AJ$230,0,MATCH(T$2,Inputs!$K$4:$AJ$4,0)))+SUMPRODUCT((Inputs!$C$5:$C$230=$B56)*Inputs!$D$5:$D$230*(((Inputs!$G$5:$G$230="moeda")+(Inputs!$G$5:$G$230="acoes"))*Inputs!$B$1+((Inputs!$G$5:$G$230&lt;&gt;"moeda")*(Inputs!$G$5:$G$230&lt;&gt;"acoes")))*INDEX(Inputs!$K$5:$AJ$230,0,MATCH(T$2,Inputs!$K$4:$AJ$4,0)))+SUMPRODUCT((Inputs!$E$5:$E$230=$B56)*Inputs!$F$5:$F$230*(((Inputs!$G$5:$G$230="moeda")+(Inputs!$G$5:$G$230="acoes"))*Inputs!$B$1+((Inputs!$G$5:$G$230&lt;&gt;"moeda")*(Inputs!$G$5:$G$230&lt;&gt;"acoes")))*INDEX(Inputs!$K$5:$AJ$230,0,MATCH(T$2,Inputs!$K$4:$AJ$4,0)))))</f>
        <v>7.362</v>
      </c>
      <c r="U56" s="6">
        <f>IF(ISNA(MATCH(U$2,Inputs!$K$4:$AJ$4,0)),NA(),IF(SUMPRODUCT((Inputs!$A$5:$A$230=$B56)*ISNUMBER(INDEX(Inputs!$K$5:$AJ$230,0,MATCH(U$2,Inputs!$K$4:$AJ$4,0))))+SUMPRODUCT((Inputs!$C$5:$C$230=$B56)*ISNUMBER(INDEX(Inputs!$K$5:$AJ$230,0,MATCH(U$2,Inputs!$K$4:$AJ$4,0))))+SUMPRODUCT((Inputs!$E$5:$E$230=$B56)*ISNUMBER(INDEX(Inputs!$K$5:$AJ$230,0,MATCH(U$2,Inputs!$K$4:$AJ$4,0))))=0,NA(),SUMPRODUCT((Inputs!$A$5:$A$230=$B56)*Inputs!$B$5:$B$230*(((Inputs!$G$5:$G$230="moeda")+(Inputs!$G$5:$G$230="acoes"))*Inputs!$B$1+((Inputs!$G$5:$G$230&lt;&gt;"moeda")*(Inputs!$G$5:$G$230&lt;&gt;"acoes")))*INDEX(Inputs!$K$5:$AJ$230,0,MATCH(U$2,Inputs!$K$4:$AJ$4,0)))+SUMPRODUCT((Inputs!$C$5:$C$230=$B56)*Inputs!$D$5:$D$230*(((Inputs!$G$5:$G$230="moeda")+(Inputs!$G$5:$G$230="acoes"))*Inputs!$B$1+((Inputs!$G$5:$G$230&lt;&gt;"moeda")*(Inputs!$G$5:$G$230&lt;&gt;"acoes")))*INDEX(Inputs!$K$5:$AJ$230,0,MATCH(U$2,Inputs!$K$4:$AJ$4,0)))+SUMPRODUCT((Inputs!$E$5:$E$230=$B56)*Inputs!$F$5:$F$230*(((Inputs!$G$5:$G$230="moeda")+(Inputs!$G$5:$G$230="acoes"))*Inputs!$B$1+((Inputs!$G$5:$G$230&lt;&gt;"moeda")*(Inputs!$G$5:$G$230&lt;&gt;"acoes")))*INDEX(Inputs!$K$5:$AJ$230,0,MATCH(U$2,Inputs!$K$4:$AJ$4,0)))))</f>
        <v>8.284</v>
      </c>
      <c r="V56" s="6">
        <f>IF(ISNA(MATCH(V$2,Inputs!$K$4:$AJ$4,0)),NA(),IF(SUMPRODUCT((Inputs!$A$5:$A$230=$B56)*ISNUMBER(INDEX(Inputs!$K$5:$AJ$230,0,MATCH(V$2,Inputs!$K$4:$AJ$4,0))))+SUMPRODUCT((Inputs!$C$5:$C$230=$B56)*ISNUMBER(INDEX(Inputs!$K$5:$AJ$230,0,MATCH(V$2,Inputs!$K$4:$AJ$4,0))))+SUMPRODUCT((Inputs!$E$5:$E$230=$B56)*ISNUMBER(INDEX(Inputs!$K$5:$AJ$230,0,MATCH(V$2,Inputs!$K$4:$AJ$4,0))))=0,NA(),SUMPRODUCT((Inputs!$A$5:$A$230=$B56)*Inputs!$B$5:$B$230*(((Inputs!$G$5:$G$230="moeda")+(Inputs!$G$5:$G$230="acoes"))*Inputs!$B$1+((Inputs!$G$5:$G$230&lt;&gt;"moeda")*(Inputs!$G$5:$G$230&lt;&gt;"acoes")))*INDEX(Inputs!$K$5:$AJ$230,0,MATCH(V$2,Inputs!$K$4:$AJ$4,0)))+SUMPRODUCT((Inputs!$C$5:$C$230=$B56)*Inputs!$D$5:$D$230*(((Inputs!$G$5:$G$230="moeda")+(Inputs!$G$5:$G$230="acoes"))*Inputs!$B$1+((Inputs!$G$5:$G$230&lt;&gt;"moeda")*(Inputs!$G$5:$G$230&lt;&gt;"acoes")))*INDEX(Inputs!$K$5:$AJ$230,0,MATCH(V$2,Inputs!$K$4:$AJ$4,0)))+SUMPRODUCT((Inputs!$E$5:$E$230=$B56)*Inputs!$F$5:$F$230*(((Inputs!$G$5:$G$230="moeda")+(Inputs!$G$5:$G$230="acoes"))*Inputs!$B$1+((Inputs!$G$5:$G$230&lt;&gt;"moeda")*(Inputs!$G$5:$G$230&lt;&gt;"acoes")))*INDEX(Inputs!$K$5:$AJ$230,0,MATCH(V$2,Inputs!$K$4:$AJ$4,0)))))</f>
        <v>10.303</v>
      </c>
      <c r="W56" s="3">
        <f>SUM(S56:V56)</f>
        <v>32.806</v>
      </c>
      <c r="X56" s="6">
        <f>IF(ISNA(MATCH(X$2,Inputs!$K$4:$AJ$4,0)),NA(),IF(SUMPRODUCT((Inputs!$A$5:$A$230=$B56)*ISNUMBER(INDEX(Inputs!$K$5:$AJ$230,0,MATCH(X$2,Inputs!$K$4:$AJ$4,0))))+SUMPRODUCT((Inputs!$C$5:$C$230=$B56)*ISNUMBER(INDEX(Inputs!$K$5:$AJ$230,0,MATCH(X$2,Inputs!$K$4:$AJ$4,0))))+SUMPRODUCT((Inputs!$E$5:$E$230=$B56)*ISNUMBER(INDEX(Inputs!$K$5:$AJ$230,0,MATCH(X$2,Inputs!$K$4:$AJ$4,0))))=0,NA(),SUMPRODUCT((Inputs!$A$5:$A$230=$B56)*Inputs!$B$5:$B$230*(((Inputs!$G$5:$G$230="moeda")+(Inputs!$G$5:$G$230="acoes"))*Inputs!$B$1+((Inputs!$G$5:$G$230&lt;&gt;"moeda")*(Inputs!$G$5:$G$230&lt;&gt;"acoes")))*INDEX(Inputs!$K$5:$AJ$230,0,MATCH(X$2,Inputs!$K$4:$AJ$4,0)))+SUMPRODUCT((Inputs!$C$5:$C$230=$B56)*Inputs!$D$5:$D$230*(((Inputs!$G$5:$G$230="moeda")+(Inputs!$G$5:$G$230="acoes"))*Inputs!$B$1+((Inputs!$G$5:$G$230&lt;&gt;"moeda")*(Inputs!$G$5:$G$230&lt;&gt;"acoes")))*INDEX(Inputs!$K$5:$AJ$230,0,MATCH(X$2,Inputs!$K$4:$AJ$4,0)))+SUMPRODUCT((Inputs!$E$5:$E$230=$B56)*Inputs!$F$5:$F$230*(((Inputs!$G$5:$G$230="moeda")+(Inputs!$G$5:$G$230="acoes"))*Inputs!$B$1+((Inputs!$G$5:$G$230&lt;&gt;"moeda")*(Inputs!$G$5:$G$230&lt;&gt;"acoes")))*INDEX(Inputs!$K$5:$AJ$230,0,MATCH(X$2,Inputs!$K$4:$AJ$4,0)))))</f>
        <v>9.195</v>
      </c>
      <c r="Y56" s="6">
        <f>IF(ISNA(MATCH(Y$2,Inputs!$K$4:$AJ$4,0)),NA(),IF(SUMPRODUCT((Inputs!$A$5:$A$230=$B56)*ISNUMBER(INDEX(Inputs!$K$5:$AJ$230,0,MATCH(Y$2,Inputs!$K$4:$AJ$4,0))))+SUMPRODUCT((Inputs!$C$5:$C$230=$B56)*ISNUMBER(INDEX(Inputs!$K$5:$AJ$230,0,MATCH(Y$2,Inputs!$K$4:$AJ$4,0))))+SUMPRODUCT((Inputs!$E$5:$E$230=$B56)*ISNUMBER(INDEX(Inputs!$K$5:$AJ$230,0,MATCH(Y$2,Inputs!$K$4:$AJ$4,0))))=0,NA(),SUMPRODUCT((Inputs!$A$5:$A$230=$B56)*Inputs!$B$5:$B$230*(((Inputs!$G$5:$G$230="moeda")+(Inputs!$G$5:$G$230="acoes"))*Inputs!$B$1+((Inputs!$G$5:$G$230&lt;&gt;"moeda")*(Inputs!$G$5:$G$230&lt;&gt;"acoes")))*INDEX(Inputs!$K$5:$AJ$230,0,MATCH(Y$2,Inputs!$K$4:$AJ$4,0)))+SUMPRODUCT((Inputs!$C$5:$C$230=$B56)*Inputs!$D$5:$D$230*(((Inputs!$G$5:$G$230="moeda")+(Inputs!$G$5:$G$230="acoes"))*Inputs!$B$1+((Inputs!$G$5:$G$230&lt;&gt;"moeda")*(Inputs!$G$5:$G$230&lt;&gt;"acoes")))*INDEX(Inputs!$K$5:$AJ$230,0,MATCH(Y$2,Inputs!$K$4:$AJ$4,0)))+SUMPRODUCT((Inputs!$E$5:$E$230=$B56)*Inputs!$F$5:$F$230*(((Inputs!$G$5:$G$230="moeda")+(Inputs!$G$5:$G$230="acoes"))*Inputs!$B$1+((Inputs!$G$5:$G$230&lt;&gt;"moeda")*(Inputs!$G$5:$G$230&lt;&gt;"acoes")))*INDEX(Inputs!$K$5:$AJ$230,0,MATCH(Y$2,Inputs!$K$4:$AJ$4,0)))))</f>
        <v>5.859</v>
      </c>
      <c r="Z56" s="6">
        <f>IF(ISNA(MATCH(Z$2,Inputs!$K$4:$AJ$4,0)),NA(),IF(SUMPRODUCT((Inputs!$A$5:$A$230=$B56)*ISNUMBER(INDEX(Inputs!$K$5:$AJ$230,0,MATCH(Z$2,Inputs!$K$4:$AJ$4,0))))+SUMPRODUCT((Inputs!$C$5:$C$230=$B56)*ISNUMBER(INDEX(Inputs!$K$5:$AJ$230,0,MATCH(Z$2,Inputs!$K$4:$AJ$4,0))))+SUMPRODUCT((Inputs!$E$5:$E$230=$B56)*ISNUMBER(INDEX(Inputs!$K$5:$AJ$230,0,MATCH(Z$2,Inputs!$K$4:$AJ$4,0))))=0,NA(),SUMPRODUCT((Inputs!$A$5:$A$230=$B56)*Inputs!$B$5:$B$230*(((Inputs!$G$5:$G$230="moeda")+(Inputs!$G$5:$G$230="acoes"))*Inputs!$B$1+((Inputs!$G$5:$G$230&lt;&gt;"moeda")*(Inputs!$G$5:$G$230&lt;&gt;"acoes")))*INDEX(Inputs!$K$5:$AJ$230,0,MATCH(Z$2,Inputs!$K$4:$AJ$4,0)))+SUMPRODUCT((Inputs!$C$5:$C$230=$B56)*Inputs!$D$5:$D$230*(((Inputs!$G$5:$G$230="moeda")+(Inputs!$G$5:$G$230="acoes"))*Inputs!$B$1+((Inputs!$G$5:$G$230&lt;&gt;"moeda")*(Inputs!$G$5:$G$230&lt;&gt;"acoes")))*INDEX(Inputs!$K$5:$AJ$230,0,MATCH(Z$2,Inputs!$K$4:$AJ$4,0)))+SUMPRODUCT((Inputs!$E$5:$E$230=$B56)*Inputs!$F$5:$F$230*(((Inputs!$G$5:$G$230="moeda")+(Inputs!$G$5:$G$230="acoes"))*Inputs!$B$1+((Inputs!$G$5:$G$230&lt;&gt;"moeda")*(Inputs!$G$5:$G$230&lt;&gt;"acoes")))*INDEX(Inputs!$K$5:$AJ$230,0,MATCH(Z$2,Inputs!$K$4:$AJ$4,0)))))</f>
        <v>4.573</v>
      </c>
      <c r="AA56" s="6">
        <f>IF(ISNA(MATCH(AA$2,Inputs!$K$4:$AJ$4,0)),NA(),IF(SUMPRODUCT((Inputs!$A$5:$A$230=$B56)*ISNUMBER(INDEX(Inputs!$K$5:$AJ$230,0,MATCH(AA$2,Inputs!$K$4:$AJ$4,0))))+SUMPRODUCT((Inputs!$C$5:$C$230=$B56)*ISNUMBER(INDEX(Inputs!$K$5:$AJ$230,0,MATCH(AA$2,Inputs!$K$4:$AJ$4,0))))+SUMPRODUCT((Inputs!$E$5:$E$230=$B56)*ISNUMBER(INDEX(Inputs!$K$5:$AJ$230,0,MATCH(AA$2,Inputs!$K$4:$AJ$4,0))))=0,NA(),SUMPRODUCT((Inputs!$A$5:$A$230=$B56)*Inputs!$B$5:$B$230*(((Inputs!$G$5:$G$230="moeda")+(Inputs!$G$5:$G$230="acoes"))*Inputs!$B$1+((Inputs!$G$5:$G$230&lt;&gt;"moeda")*(Inputs!$G$5:$G$230&lt;&gt;"acoes")))*INDEX(Inputs!$K$5:$AJ$230,0,MATCH(AA$2,Inputs!$K$4:$AJ$4,0)))+SUMPRODUCT((Inputs!$C$5:$C$230=$B56)*Inputs!$D$5:$D$230*(((Inputs!$G$5:$G$230="moeda")+(Inputs!$G$5:$G$230="acoes"))*Inputs!$B$1+((Inputs!$G$5:$G$230&lt;&gt;"moeda")*(Inputs!$G$5:$G$230&lt;&gt;"acoes")))*INDEX(Inputs!$K$5:$AJ$230,0,MATCH(AA$2,Inputs!$K$4:$AJ$4,0)))+SUMPRODUCT((Inputs!$E$5:$E$230=$B56)*Inputs!$F$5:$F$230*(((Inputs!$G$5:$G$230="moeda")+(Inputs!$G$5:$G$230="acoes"))*Inputs!$B$1+((Inputs!$G$5:$G$230&lt;&gt;"moeda")*(Inputs!$G$5:$G$230&lt;&gt;"acoes")))*INDEX(Inputs!$K$5:$AJ$230,0,MATCH(AA$2,Inputs!$K$4:$AJ$4,0)))))</f>
        <v>6.627</v>
      </c>
      <c r="AB56" s="3">
        <f>SUM(X56:AA56)</f>
        <v>26.254</v>
      </c>
      <c r="AC56" s="6">
        <f>IF(ISNA(MATCH(AC$2,Inputs!$K$4:$AJ$4,0)),NA(),IF(SUMPRODUCT((Inputs!$A$5:$A$230=$B56)*ISNUMBER(INDEX(Inputs!$K$5:$AJ$230,0,MATCH(AC$2,Inputs!$K$4:$AJ$4,0))))+SUMPRODUCT((Inputs!$C$5:$C$230=$B56)*ISNUMBER(INDEX(Inputs!$K$5:$AJ$230,0,MATCH(AC$2,Inputs!$K$4:$AJ$4,0))))+SUMPRODUCT((Inputs!$E$5:$E$230=$B56)*ISNUMBER(INDEX(Inputs!$K$5:$AJ$230,0,MATCH(AC$2,Inputs!$K$4:$AJ$4,0))))=0,NA(),SUMPRODUCT((Inputs!$A$5:$A$230=$B56)*Inputs!$B$5:$B$230*(((Inputs!$G$5:$G$230="moeda")+(Inputs!$G$5:$G$230="acoes"))*Inputs!$B$1+((Inputs!$G$5:$G$230&lt;&gt;"moeda")*(Inputs!$G$5:$G$230&lt;&gt;"acoes")))*INDEX(Inputs!$K$5:$AJ$230,0,MATCH(AC$2,Inputs!$K$4:$AJ$4,0)))+SUMPRODUCT((Inputs!$C$5:$C$230=$B56)*Inputs!$D$5:$D$230*(((Inputs!$G$5:$G$230="moeda")+(Inputs!$G$5:$G$230="acoes"))*Inputs!$B$1+((Inputs!$G$5:$G$230&lt;&gt;"moeda")*(Inputs!$G$5:$G$230&lt;&gt;"acoes")))*INDEX(Inputs!$K$5:$AJ$230,0,MATCH(AC$2,Inputs!$K$4:$AJ$4,0)))+SUMPRODUCT((Inputs!$E$5:$E$230=$B56)*Inputs!$F$5:$F$230*(((Inputs!$G$5:$G$230="moeda")+(Inputs!$G$5:$G$230="acoes"))*Inputs!$B$1+((Inputs!$G$5:$G$230&lt;&gt;"moeda")*(Inputs!$G$5:$G$230&lt;&gt;"acoes")))*INDEX(Inputs!$K$5:$AJ$230,0,MATCH(AC$2,Inputs!$K$4:$AJ$4,0)))))</f>
        <v>6.118</v>
      </c>
      <c r="AD56" s="6">
        <f>IF(ISNA(MATCH(AD$2,Inputs!$K$4:$AJ$4,0)),NA(),IF(SUMPRODUCT((Inputs!$A$5:$A$230=$B56)*ISNUMBER(INDEX(Inputs!$K$5:$AJ$230,0,MATCH(AD$2,Inputs!$K$4:$AJ$4,0))))+SUMPRODUCT((Inputs!$C$5:$C$230=$B56)*ISNUMBER(INDEX(Inputs!$K$5:$AJ$230,0,MATCH(AD$2,Inputs!$K$4:$AJ$4,0))))+SUMPRODUCT((Inputs!$E$5:$E$230=$B56)*ISNUMBER(INDEX(Inputs!$K$5:$AJ$230,0,MATCH(AD$2,Inputs!$K$4:$AJ$4,0))))=0,NA(),SUMPRODUCT((Inputs!$A$5:$A$230=$B56)*Inputs!$B$5:$B$230*(((Inputs!$G$5:$G$230="moeda")+(Inputs!$G$5:$G$230="acoes"))*Inputs!$B$1+((Inputs!$G$5:$G$230&lt;&gt;"moeda")*(Inputs!$G$5:$G$230&lt;&gt;"acoes")))*INDEX(Inputs!$K$5:$AJ$230,0,MATCH(AD$2,Inputs!$K$4:$AJ$4,0)))+SUMPRODUCT((Inputs!$C$5:$C$230=$B56)*Inputs!$D$5:$D$230*(((Inputs!$G$5:$G$230="moeda")+(Inputs!$G$5:$G$230="acoes"))*Inputs!$B$1+((Inputs!$G$5:$G$230&lt;&gt;"moeda")*(Inputs!$G$5:$G$230&lt;&gt;"acoes")))*INDEX(Inputs!$K$5:$AJ$230,0,MATCH(AD$2,Inputs!$K$4:$AJ$4,0)))+SUMPRODUCT((Inputs!$E$5:$E$230=$B56)*Inputs!$F$5:$F$230*(((Inputs!$G$5:$G$230="moeda")+(Inputs!$G$5:$G$230="acoes"))*Inputs!$B$1+((Inputs!$G$5:$G$230&lt;&gt;"moeda")*(Inputs!$G$5:$G$230&lt;&gt;"acoes")))*INDEX(Inputs!$K$5:$AJ$230,0,MATCH(AD$2,Inputs!$K$4:$AJ$4,0)))))</f>
        <v>11.048</v>
      </c>
      <c r="AE56" s="6" t="e">
        <f>IF(ISNA(MATCH(AE$2,Inputs!$K$4:$AJ$4,0)),NA(),IF(SUMPRODUCT((Inputs!$A$5:$A$230=$B56)*ISNUMBER(INDEX(Inputs!$K$5:$AJ$230,0,MATCH(AE$2,Inputs!$K$4:$AJ$4,0))))+SUMPRODUCT((Inputs!$C$5:$C$230=$B56)*ISNUMBER(INDEX(Inputs!$K$5:$AJ$230,0,MATCH(AE$2,Inputs!$K$4:$AJ$4,0))))+SUMPRODUCT((Inputs!$E$5:$E$230=$B56)*ISNUMBER(INDEX(Inputs!$K$5:$AJ$230,0,MATCH(AE$2,Inputs!$K$4:$AJ$4,0))))=0,NA(),SUMPRODUCT((Inputs!$A$5:$A$230=$B56)*Inputs!$B$5:$B$230*(((Inputs!$G$5:$G$230="moeda")+(Inputs!$G$5:$G$230="acoes"))*Inputs!$B$1+((Inputs!$G$5:$G$230&lt;&gt;"moeda")*(Inputs!$G$5:$G$230&lt;&gt;"acoes")))*INDEX(Inputs!$K$5:$AJ$230,0,MATCH(AE$2,Inputs!$K$4:$AJ$4,0)))+SUMPRODUCT((Inputs!$C$5:$C$230=$B56)*Inputs!$D$5:$D$230*(((Inputs!$G$5:$G$230="moeda")+(Inputs!$G$5:$G$230="acoes"))*Inputs!$B$1+((Inputs!$G$5:$G$230&lt;&gt;"moeda")*(Inputs!$G$5:$G$230&lt;&gt;"acoes")))*INDEX(Inputs!$K$5:$AJ$230,0,MATCH(AE$2,Inputs!$K$4:$AJ$4,0)))+SUMPRODUCT((Inputs!$E$5:$E$230=$B56)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56" s="6" t="e">
        <f>IF(ISNA(MATCH(AF$2,Inputs!$K$4:$AJ$4,0)),NA(),IF(SUMPRODUCT((Inputs!$A$5:$A$230=$B56)*ISNUMBER(INDEX(Inputs!$K$5:$AJ$230,0,MATCH(AF$2,Inputs!$K$4:$AJ$4,0))))+SUMPRODUCT((Inputs!$C$5:$C$230=$B56)*ISNUMBER(INDEX(Inputs!$K$5:$AJ$230,0,MATCH(AF$2,Inputs!$K$4:$AJ$4,0))))+SUMPRODUCT((Inputs!$E$5:$E$230=$B56)*ISNUMBER(INDEX(Inputs!$K$5:$AJ$230,0,MATCH(AF$2,Inputs!$K$4:$AJ$4,0))))=0,NA(),SUMPRODUCT((Inputs!$A$5:$A$230=$B56)*Inputs!$B$5:$B$230*(((Inputs!$G$5:$G$230="moeda")+(Inputs!$G$5:$G$230="acoes"))*Inputs!$B$1+((Inputs!$G$5:$G$230&lt;&gt;"moeda")*(Inputs!$G$5:$G$230&lt;&gt;"acoes")))*INDEX(Inputs!$K$5:$AJ$230,0,MATCH(AF$2,Inputs!$K$4:$AJ$4,0)))+SUMPRODUCT((Inputs!$C$5:$C$230=$B56)*Inputs!$D$5:$D$230*(((Inputs!$G$5:$G$230="moeda")+(Inputs!$G$5:$G$230="acoes"))*Inputs!$B$1+((Inputs!$G$5:$G$230&lt;&gt;"moeda")*(Inputs!$G$5:$G$230&lt;&gt;"acoes")))*INDEX(Inputs!$K$5:$AJ$230,0,MATCH(AF$2,Inputs!$K$4:$AJ$4,0)))+SUMPRODUCT((Inputs!$E$5:$E$230=$B56)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56" s="3" t="e">
        <f>SUM(AC56:AF56)</f>
        <v>#N/A</v>
      </c>
      <c r="AH56" s="6">
        <f>IF(ISNA(MATCH(AH$2,Inputs!$K$4:$AJ$4,0)),NA(),IF(SUMPRODUCT((Inputs!$A$5:$A$230=$B56)*ISNUMBER(INDEX(Inputs!$K$5:$AJ$230,0,MATCH(AH$2,Inputs!$K$4:$AJ$4,0))))+SUMPRODUCT((Inputs!$C$5:$C$230=$B56)*ISNUMBER(INDEX(Inputs!$K$5:$AJ$230,0,MATCH(AH$2,Inputs!$K$4:$AJ$4,0))))+SUMPRODUCT((Inputs!$E$5:$E$230=$B56)*ISNUMBER(INDEX(Inputs!$K$5:$AJ$230,0,MATCH(AH$2,Inputs!$K$4:$AJ$4,0))))=0,NA(),SUMPRODUCT((Inputs!$A$5:$A$230=$B56)*Inputs!$B$5:$B$230*(((Inputs!$G$5:$G$230="moeda")+(Inputs!$G$5:$G$230="acoes"))*Inputs!$B$1+((Inputs!$G$5:$G$230&lt;&gt;"moeda")*(Inputs!$G$5:$G$230&lt;&gt;"acoes")))*INDEX(Inputs!$K$5:$AJ$230,0,MATCH(AH$2,Inputs!$K$4:$AJ$4,0)))+SUMPRODUCT((Inputs!$C$5:$C$230=$B56)*Inputs!$D$5:$D$230*(((Inputs!$G$5:$G$230="moeda")+(Inputs!$G$5:$G$230="acoes"))*Inputs!$B$1+((Inputs!$G$5:$G$230&lt;&gt;"moeda")*(Inputs!$G$5:$G$230&lt;&gt;"acoes")))*INDEX(Inputs!$K$5:$AJ$230,0,MATCH(AH$2,Inputs!$K$4:$AJ$4,0)))+SUMPRODUCT((Inputs!$E$5:$E$230=$B56)*Inputs!$F$5:$F$230*(((Inputs!$G$5:$G$230="moeda")+(Inputs!$G$5:$G$230="acoes"))*Inputs!$B$1+((Inputs!$G$5:$G$230&lt;&gt;"moeda")*(Inputs!$G$5:$G$230&lt;&gt;"acoes")))*INDEX(Inputs!$K$5:$AJ$230,0,MATCH(AH$2,Inputs!$K$4:$AJ$4,0)))))</f>
        <v>6.395</v>
      </c>
      <c r="AI56" s="6">
        <f>IF(ISNA(MATCH(AI$2,Inputs!$K$4:$AJ$4,0)),NA(),IF(SUMPRODUCT((Inputs!$A$5:$A$230=$B56)*ISNUMBER(INDEX(Inputs!$K$5:$AJ$230,0,MATCH(AI$2,Inputs!$K$4:$AJ$4,0))))+SUMPRODUCT((Inputs!$C$5:$C$230=$B56)*ISNUMBER(INDEX(Inputs!$K$5:$AJ$230,0,MATCH(AI$2,Inputs!$K$4:$AJ$4,0))))+SUMPRODUCT((Inputs!$E$5:$E$230=$B56)*ISNUMBER(INDEX(Inputs!$K$5:$AJ$230,0,MATCH(AI$2,Inputs!$K$4:$AJ$4,0))))=0,NA(),SUMPRODUCT((Inputs!$A$5:$A$230=$B56)*Inputs!$B$5:$B$230*(((Inputs!$G$5:$G$230="moeda")+(Inputs!$G$5:$G$230="acoes"))*Inputs!$B$1+((Inputs!$G$5:$G$230&lt;&gt;"moeda")*(Inputs!$G$5:$G$230&lt;&gt;"acoes")))*INDEX(Inputs!$K$5:$AJ$230,0,MATCH(AI$2,Inputs!$K$4:$AJ$4,0)))+SUMPRODUCT((Inputs!$C$5:$C$230=$B56)*Inputs!$D$5:$D$230*(((Inputs!$G$5:$G$230="moeda")+(Inputs!$G$5:$G$230="acoes"))*Inputs!$B$1+((Inputs!$G$5:$G$230&lt;&gt;"moeda")*(Inputs!$G$5:$G$230&lt;&gt;"acoes")))*INDEX(Inputs!$K$5:$AJ$230,0,MATCH(AI$2,Inputs!$K$4:$AJ$4,0)))+SUMPRODUCT((Inputs!$E$5:$E$230=$B56)*Inputs!$F$5:$F$230*(((Inputs!$G$5:$G$230="moeda")+(Inputs!$G$5:$G$230="acoes"))*Inputs!$B$1+((Inputs!$G$5:$G$230&lt;&gt;"moeda")*(Inputs!$G$5:$G$230&lt;&gt;"acoes")))*INDEX(Inputs!$K$5:$AJ$230,0,MATCH(AI$2,Inputs!$K$4:$AJ$4,0)))))</f>
        <v>7.682</v>
      </c>
      <c r="AJ56" s="6">
        <f>IF(ISNA(MATCH(AJ$2,Inputs!$K$4:$AJ$4,0)),NA(),IF(SUMPRODUCT((Inputs!$A$5:$A$230=$B56)*ISNUMBER(INDEX(Inputs!$K$5:$AJ$230,0,MATCH(AJ$2,Inputs!$K$4:$AJ$4,0))))+SUMPRODUCT((Inputs!$C$5:$C$230=$B56)*ISNUMBER(INDEX(Inputs!$K$5:$AJ$230,0,MATCH(AJ$2,Inputs!$K$4:$AJ$4,0))))+SUMPRODUCT((Inputs!$E$5:$E$230=$B56)*ISNUMBER(INDEX(Inputs!$K$5:$AJ$230,0,MATCH(AJ$2,Inputs!$K$4:$AJ$4,0))))=0,NA(),SUMPRODUCT((Inputs!$A$5:$A$230=$B56)*Inputs!$B$5:$B$230*(((Inputs!$G$5:$G$230="moeda")+(Inputs!$G$5:$G$230="acoes"))*Inputs!$B$1+((Inputs!$G$5:$G$230&lt;&gt;"moeda")*(Inputs!$G$5:$G$230&lt;&gt;"acoes")))*INDEX(Inputs!$K$5:$AJ$230,0,MATCH(AJ$2,Inputs!$K$4:$AJ$4,0)))+SUMPRODUCT((Inputs!$C$5:$C$230=$B56)*Inputs!$D$5:$D$230*(((Inputs!$G$5:$G$230="moeda")+(Inputs!$G$5:$G$230="acoes"))*Inputs!$B$1+((Inputs!$G$5:$G$230&lt;&gt;"moeda")*(Inputs!$G$5:$G$230&lt;&gt;"acoes")))*INDEX(Inputs!$K$5:$AJ$230,0,MATCH(AJ$2,Inputs!$K$4:$AJ$4,0)))+SUMPRODUCT((Inputs!$E$5:$E$230=$B56)*Inputs!$F$5:$F$230*(((Inputs!$G$5:$G$230="moeda")+(Inputs!$G$5:$G$230="acoes"))*Inputs!$B$1+((Inputs!$G$5:$G$230&lt;&gt;"moeda")*(Inputs!$G$5:$G$230&lt;&gt;"acoes")))*INDEX(Inputs!$K$5:$AJ$230,0,MATCH(AJ$2,Inputs!$K$4:$AJ$4,0)))))</f>
        <v>11.674</v>
      </c>
      <c r="AK56" s="6">
        <f>IF(ISNA(MATCH(AK$2,Inputs!$K$4:$AJ$4,0)),NA(),IF(SUMPRODUCT((Inputs!$A$5:$A$230=$B56)*ISNUMBER(INDEX(Inputs!$K$5:$AJ$230,0,MATCH(AK$2,Inputs!$K$4:$AJ$4,0))))+SUMPRODUCT((Inputs!$C$5:$C$230=$B56)*ISNUMBER(INDEX(Inputs!$K$5:$AJ$230,0,MATCH(AK$2,Inputs!$K$4:$AJ$4,0))))+SUMPRODUCT((Inputs!$E$5:$E$230=$B56)*ISNUMBER(INDEX(Inputs!$K$5:$AJ$230,0,MATCH(AK$2,Inputs!$K$4:$AJ$4,0))))=0,NA(),SUMPRODUCT((Inputs!$A$5:$A$230=$B56)*Inputs!$B$5:$B$230*(((Inputs!$G$5:$G$230="moeda")+(Inputs!$G$5:$G$230="acoes"))*Inputs!$B$1+((Inputs!$G$5:$G$230&lt;&gt;"moeda")*(Inputs!$G$5:$G$230&lt;&gt;"acoes")))*INDEX(Inputs!$K$5:$AJ$230,0,MATCH(AK$2,Inputs!$K$4:$AJ$4,0)))+SUMPRODUCT((Inputs!$C$5:$C$230=$B56)*Inputs!$D$5:$D$230*(((Inputs!$G$5:$G$230="moeda")+(Inputs!$G$5:$G$230="acoes"))*Inputs!$B$1+((Inputs!$G$5:$G$230&lt;&gt;"moeda")*(Inputs!$G$5:$G$230&lt;&gt;"acoes")))*INDEX(Inputs!$K$5:$AJ$230,0,MATCH(AK$2,Inputs!$K$4:$AJ$4,0)))+SUMPRODUCT((Inputs!$E$5:$E$230=$B56)*Inputs!$F$5:$F$230*(((Inputs!$G$5:$G$230="moeda")+(Inputs!$G$5:$G$230="acoes"))*Inputs!$B$1+((Inputs!$G$5:$G$230&lt;&gt;"moeda")*(Inputs!$G$5:$G$230&lt;&gt;"acoes")))*INDEX(Inputs!$K$5:$AJ$230,0,MATCH(AK$2,Inputs!$K$4:$AJ$4,0)))))</f>
        <v>16.433</v>
      </c>
      <c r="AL56" s="3">
        <f>SUM(AH56:AK56)</f>
        <v>42.184</v>
      </c>
    </row>
    <row r="57">
      <c r="B57" s="46" t="n">
        <v>49</v>
      </c>
      <c r="C57" s="29" t="inlineStr">
        <is>
          <t>Transmissao | Transirapé</t>
        </is>
      </c>
      <c r="D57" s="6">
        <f>IF(ISNA(MATCH(D$2,Inputs!$K$4:$AJ$4,0)),NA(),IF(SUMPRODUCT((Inputs!$A$5:$A$230=$B57)*ISNUMBER(INDEX(Inputs!$K$5:$AJ$230,0,MATCH(D$2,Inputs!$K$4:$AJ$4,0))))+SUMPRODUCT((Inputs!$C$5:$C$230=$B57)*ISNUMBER(INDEX(Inputs!$K$5:$AJ$230,0,MATCH(D$2,Inputs!$K$4:$AJ$4,0))))+SUMPRODUCT((Inputs!$E$5:$E$230=$B57)*ISNUMBER(INDEX(Inputs!$K$5:$AJ$230,0,MATCH(D$2,Inputs!$K$4:$AJ$4,0))))=0,NA(),SUMPRODUCT((Inputs!$A$5:$A$230=$B57)*Inputs!$B$5:$B$230*(((Inputs!$G$5:$G$230="moeda")+(Inputs!$G$5:$G$230="acoes"))*Inputs!$B$1+((Inputs!$G$5:$G$230&lt;&gt;"moeda")*(Inputs!$G$5:$G$230&lt;&gt;"acoes")))*INDEX(Inputs!$K$5:$AJ$230,0,MATCH(D$2,Inputs!$K$4:$AJ$4,0)))+SUMPRODUCT((Inputs!$C$5:$C$230=$B57)*Inputs!$D$5:$D$230*(((Inputs!$G$5:$G$230="moeda")+(Inputs!$G$5:$G$230="acoes"))*Inputs!$B$1+((Inputs!$G$5:$G$230&lt;&gt;"moeda")*(Inputs!$G$5:$G$230&lt;&gt;"acoes")))*INDEX(Inputs!$K$5:$AJ$230,0,MATCH(D$2,Inputs!$K$4:$AJ$4,0)))+SUMPRODUCT((Inputs!$E$5:$E$230=$B57)*Inputs!$F$5:$F$230*(((Inputs!$G$5:$G$230="moeda")+(Inputs!$G$5:$G$230="acoes"))*Inputs!$B$1+((Inputs!$G$5:$G$230&lt;&gt;"moeda")*(Inputs!$G$5:$G$230&lt;&gt;"acoes")))*INDEX(Inputs!$K$5:$AJ$230,0,MATCH(D$2,Inputs!$K$4:$AJ$4,0)))))</f>
        <v>26.869</v>
      </c>
      <c r="E57" s="6">
        <f>IF(ISNA(MATCH(E$2,Inputs!$K$4:$AJ$4,0)),NA(),IF(SUMPRODUCT((Inputs!$A$5:$A$230=$B57)*ISNUMBER(INDEX(Inputs!$K$5:$AJ$230,0,MATCH(E$2,Inputs!$K$4:$AJ$4,0))))+SUMPRODUCT((Inputs!$C$5:$C$230=$B57)*ISNUMBER(INDEX(Inputs!$K$5:$AJ$230,0,MATCH(E$2,Inputs!$K$4:$AJ$4,0))))+SUMPRODUCT((Inputs!$E$5:$E$230=$B57)*ISNUMBER(INDEX(Inputs!$K$5:$AJ$230,0,MATCH(E$2,Inputs!$K$4:$AJ$4,0))))=0,NA(),SUMPRODUCT((Inputs!$A$5:$A$230=$B57)*Inputs!$B$5:$B$230*(((Inputs!$G$5:$G$230="moeda")+(Inputs!$G$5:$G$230="acoes"))*Inputs!$B$1+((Inputs!$G$5:$G$230&lt;&gt;"moeda")*(Inputs!$G$5:$G$230&lt;&gt;"acoes")))*INDEX(Inputs!$K$5:$AJ$230,0,MATCH(E$2,Inputs!$K$4:$AJ$4,0)))+SUMPRODUCT((Inputs!$C$5:$C$230=$B57)*Inputs!$D$5:$D$230*(((Inputs!$G$5:$G$230="moeda")+(Inputs!$G$5:$G$230="acoes"))*Inputs!$B$1+((Inputs!$G$5:$G$230&lt;&gt;"moeda")*(Inputs!$G$5:$G$230&lt;&gt;"acoes")))*INDEX(Inputs!$K$5:$AJ$230,0,MATCH(E$2,Inputs!$K$4:$AJ$4,0)))+SUMPRODUCT((Inputs!$E$5:$E$230=$B57)*Inputs!$F$5:$F$230*(((Inputs!$G$5:$G$230="moeda")+(Inputs!$G$5:$G$230="acoes"))*Inputs!$B$1+((Inputs!$G$5:$G$230&lt;&gt;"moeda")*(Inputs!$G$5:$G$230&lt;&gt;"acoes")))*INDEX(Inputs!$K$5:$AJ$230,0,MATCH(E$2,Inputs!$K$4:$AJ$4,0)))))</f>
        <v>26.737</v>
      </c>
      <c r="F57" s="6">
        <f>IF(ISNA(MATCH(F$2,Inputs!$K$4:$AJ$4,0)),NA(),IF(SUMPRODUCT((Inputs!$A$5:$A$230=$B57)*ISNUMBER(INDEX(Inputs!$K$5:$AJ$230,0,MATCH(F$2,Inputs!$K$4:$AJ$4,0))))+SUMPRODUCT((Inputs!$C$5:$C$230=$B57)*ISNUMBER(INDEX(Inputs!$K$5:$AJ$230,0,MATCH(F$2,Inputs!$K$4:$AJ$4,0))))+SUMPRODUCT((Inputs!$E$5:$E$230=$B57)*ISNUMBER(INDEX(Inputs!$K$5:$AJ$230,0,MATCH(F$2,Inputs!$K$4:$AJ$4,0))))=0,NA(),SUMPRODUCT((Inputs!$A$5:$A$230=$B57)*Inputs!$B$5:$B$230*(((Inputs!$G$5:$G$230="moeda")+(Inputs!$G$5:$G$230="acoes"))*Inputs!$B$1+((Inputs!$G$5:$G$230&lt;&gt;"moeda")*(Inputs!$G$5:$G$230&lt;&gt;"acoes")))*INDEX(Inputs!$K$5:$AJ$230,0,MATCH(F$2,Inputs!$K$4:$AJ$4,0)))+SUMPRODUCT((Inputs!$C$5:$C$230=$B57)*Inputs!$D$5:$D$230*(((Inputs!$G$5:$G$230="moeda")+(Inputs!$G$5:$G$230="acoes"))*Inputs!$B$1+((Inputs!$G$5:$G$230&lt;&gt;"moeda")*(Inputs!$G$5:$G$230&lt;&gt;"acoes")))*INDEX(Inputs!$K$5:$AJ$230,0,MATCH(F$2,Inputs!$K$4:$AJ$4,0)))+SUMPRODUCT((Inputs!$E$5:$E$230=$B57)*Inputs!$F$5:$F$230*(((Inputs!$G$5:$G$230="moeda")+(Inputs!$G$5:$G$230="acoes"))*Inputs!$B$1+((Inputs!$G$5:$G$230&lt;&gt;"moeda")*(Inputs!$G$5:$G$230&lt;&gt;"acoes")))*INDEX(Inputs!$K$5:$AJ$230,0,MATCH(F$2,Inputs!$K$4:$AJ$4,0)))))</f>
        <v>11.462</v>
      </c>
      <c r="G57" s="6">
        <f>IF(ISNA(MATCH(G$2,Inputs!$K$4:$AJ$4,0)),NA(),IF(SUMPRODUCT((Inputs!$A$5:$A$230=$B57)*ISNUMBER(INDEX(Inputs!$K$5:$AJ$230,0,MATCH(G$2,Inputs!$K$4:$AJ$4,0))))+SUMPRODUCT((Inputs!$C$5:$C$230=$B57)*ISNUMBER(INDEX(Inputs!$K$5:$AJ$230,0,MATCH(G$2,Inputs!$K$4:$AJ$4,0))))+SUMPRODUCT((Inputs!$E$5:$E$230=$B57)*ISNUMBER(INDEX(Inputs!$K$5:$AJ$230,0,MATCH(G$2,Inputs!$K$4:$AJ$4,0))))=0,NA(),SUMPRODUCT((Inputs!$A$5:$A$230=$B57)*Inputs!$B$5:$B$230*(((Inputs!$G$5:$G$230="moeda")+(Inputs!$G$5:$G$230="acoes"))*Inputs!$B$1+((Inputs!$G$5:$G$230&lt;&gt;"moeda")*(Inputs!$G$5:$G$230&lt;&gt;"acoes")))*INDEX(Inputs!$K$5:$AJ$230,0,MATCH(G$2,Inputs!$K$4:$AJ$4,0)))+SUMPRODUCT((Inputs!$C$5:$C$230=$B57)*Inputs!$D$5:$D$230*(((Inputs!$G$5:$G$230="moeda")+(Inputs!$G$5:$G$230="acoes"))*Inputs!$B$1+((Inputs!$G$5:$G$230&lt;&gt;"moeda")*(Inputs!$G$5:$G$230&lt;&gt;"acoes")))*INDEX(Inputs!$K$5:$AJ$230,0,MATCH(G$2,Inputs!$K$4:$AJ$4,0)))+SUMPRODUCT((Inputs!$E$5:$E$230=$B57)*Inputs!$F$5:$F$230*(((Inputs!$G$5:$G$230="moeda")+(Inputs!$G$5:$G$230="acoes"))*Inputs!$B$1+((Inputs!$G$5:$G$230&lt;&gt;"moeda")*(Inputs!$G$5:$G$230&lt;&gt;"acoes")))*INDEX(Inputs!$K$5:$AJ$230,0,MATCH(G$2,Inputs!$K$4:$AJ$4,0)))))</f>
        <v>7.568</v>
      </c>
      <c r="H57" s="3">
        <f>SUM(D57:G57)</f>
        <v>72.636</v>
      </c>
      <c r="I57" s="6">
        <f>IF(ISNA(MATCH(I$2,Inputs!$K$4:$AJ$4,0)),NA(),IF(SUMPRODUCT((Inputs!$A$5:$A$230=$B57)*ISNUMBER(INDEX(Inputs!$K$5:$AJ$230,0,MATCH(I$2,Inputs!$K$4:$AJ$4,0))))+SUMPRODUCT((Inputs!$C$5:$C$230=$B57)*ISNUMBER(INDEX(Inputs!$K$5:$AJ$230,0,MATCH(I$2,Inputs!$K$4:$AJ$4,0))))+SUMPRODUCT((Inputs!$E$5:$E$230=$B57)*ISNUMBER(INDEX(Inputs!$K$5:$AJ$230,0,MATCH(I$2,Inputs!$K$4:$AJ$4,0))))=0,NA(),SUMPRODUCT((Inputs!$A$5:$A$230=$B57)*Inputs!$B$5:$B$230*(((Inputs!$G$5:$G$230="moeda")+(Inputs!$G$5:$G$230="acoes"))*Inputs!$B$1+((Inputs!$G$5:$G$230&lt;&gt;"moeda")*(Inputs!$G$5:$G$230&lt;&gt;"acoes")))*INDEX(Inputs!$K$5:$AJ$230,0,MATCH(I$2,Inputs!$K$4:$AJ$4,0)))+SUMPRODUCT((Inputs!$C$5:$C$230=$B57)*Inputs!$D$5:$D$230*(((Inputs!$G$5:$G$230="moeda")+(Inputs!$G$5:$G$230="acoes"))*Inputs!$B$1+((Inputs!$G$5:$G$230&lt;&gt;"moeda")*(Inputs!$G$5:$G$230&lt;&gt;"acoes")))*INDEX(Inputs!$K$5:$AJ$230,0,MATCH(I$2,Inputs!$K$4:$AJ$4,0)))+SUMPRODUCT((Inputs!$E$5:$E$230=$B57)*Inputs!$F$5:$F$230*(((Inputs!$G$5:$G$230="moeda")+(Inputs!$G$5:$G$230="acoes"))*Inputs!$B$1+((Inputs!$G$5:$G$230&lt;&gt;"moeda")*(Inputs!$G$5:$G$230&lt;&gt;"acoes")))*INDEX(Inputs!$K$5:$AJ$230,0,MATCH(I$2,Inputs!$K$4:$AJ$4,0)))))</f>
        <v>16.523</v>
      </c>
      <c r="J57" s="6">
        <f>IF(ISNA(MATCH(J$2,Inputs!$K$4:$AJ$4,0)),NA(),IF(SUMPRODUCT((Inputs!$A$5:$A$230=$B57)*ISNUMBER(INDEX(Inputs!$K$5:$AJ$230,0,MATCH(J$2,Inputs!$K$4:$AJ$4,0))))+SUMPRODUCT((Inputs!$C$5:$C$230=$B57)*ISNUMBER(INDEX(Inputs!$K$5:$AJ$230,0,MATCH(J$2,Inputs!$K$4:$AJ$4,0))))+SUMPRODUCT((Inputs!$E$5:$E$230=$B57)*ISNUMBER(INDEX(Inputs!$K$5:$AJ$230,0,MATCH(J$2,Inputs!$K$4:$AJ$4,0))))=0,NA(),SUMPRODUCT((Inputs!$A$5:$A$230=$B57)*Inputs!$B$5:$B$230*(((Inputs!$G$5:$G$230="moeda")+(Inputs!$G$5:$G$230="acoes"))*Inputs!$B$1+((Inputs!$G$5:$G$230&lt;&gt;"moeda")*(Inputs!$G$5:$G$230&lt;&gt;"acoes")))*INDEX(Inputs!$K$5:$AJ$230,0,MATCH(J$2,Inputs!$K$4:$AJ$4,0)))+SUMPRODUCT((Inputs!$C$5:$C$230=$B57)*Inputs!$D$5:$D$230*(((Inputs!$G$5:$G$230="moeda")+(Inputs!$G$5:$G$230="acoes"))*Inputs!$B$1+((Inputs!$G$5:$G$230&lt;&gt;"moeda")*(Inputs!$G$5:$G$230&lt;&gt;"acoes")))*INDEX(Inputs!$K$5:$AJ$230,0,MATCH(J$2,Inputs!$K$4:$AJ$4,0)))+SUMPRODUCT((Inputs!$E$5:$E$230=$B57)*Inputs!$F$5:$F$230*(((Inputs!$G$5:$G$230="moeda")+(Inputs!$G$5:$G$230="acoes"))*Inputs!$B$1+((Inputs!$G$5:$G$230&lt;&gt;"moeda")*(Inputs!$G$5:$G$230&lt;&gt;"acoes")))*INDEX(Inputs!$K$5:$AJ$230,0,MATCH(J$2,Inputs!$K$4:$AJ$4,0)))))</f>
        <v>16.033</v>
      </c>
      <c r="K57" s="6">
        <f>IF(ISNA(MATCH(K$2,Inputs!$K$4:$AJ$4,0)),NA(),IF(SUMPRODUCT((Inputs!$A$5:$A$230=$B57)*ISNUMBER(INDEX(Inputs!$K$5:$AJ$230,0,MATCH(K$2,Inputs!$K$4:$AJ$4,0))))+SUMPRODUCT((Inputs!$C$5:$C$230=$B57)*ISNUMBER(INDEX(Inputs!$K$5:$AJ$230,0,MATCH(K$2,Inputs!$K$4:$AJ$4,0))))+SUMPRODUCT((Inputs!$E$5:$E$230=$B57)*ISNUMBER(INDEX(Inputs!$K$5:$AJ$230,0,MATCH(K$2,Inputs!$K$4:$AJ$4,0))))=0,NA(),SUMPRODUCT((Inputs!$A$5:$A$230=$B57)*Inputs!$B$5:$B$230*(((Inputs!$G$5:$G$230="moeda")+(Inputs!$G$5:$G$230="acoes"))*Inputs!$B$1+((Inputs!$G$5:$G$230&lt;&gt;"moeda")*(Inputs!$G$5:$G$230&lt;&gt;"acoes")))*INDEX(Inputs!$K$5:$AJ$230,0,MATCH(K$2,Inputs!$K$4:$AJ$4,0)))+SUMPRODUCT((Inputs!$C$5:$C$230=$B57)*Inputs!$D$5:$D$230*(((Inputs!$G$5:$G$230="moeda")+(Inputs!$G$5:$G$230="acoes"))*Inputs!$B$1+((Inputs!$G$5:$G$230&lt;&gt;"moeda")*(Inputs!$G$5:$G$230&lt;&gt;"acoes")))*INDEX(Inputs!$K$5:$AJ$230,0,MATCH(K$2,Inputs!$K$4:$AJ$4,0)))+SUMPRODUCT((Inputs!$E$5:$E$230=$B57)*Inputs!$F$5:$F$230*(((Inputs!$G$5:$G$230="moeda")+(Inputs!$G$5:$G$230="acoes"))*Inputs!$B$1+((Inputs!$G$5:$G$230&lt;&gt;"moeda")*(Inputs!$G$5:$G$230&lt;&gt;"acoes")))*INDEX(Inputs!$K$5:$AJ$230,0,MATCH(K$2,Inputs!$K$4:$AJ$4,0)))))</f>
        <v>9.113</v>
      </c>
      <c r="L57" s="6">
        <f>IF(ISNA(MATCH(L$2,Inputs!$K$4:$AJ$4,0)),NA(),IF(SUMPRODUCT((Inputs!$A$5:$A$230=$B57)*ISNUMBER(INDEX(Inputs!$K$5:$AJ$230,0,MATCH(L$2,Inputs!$K$4:$AJ$4,0))))+SUMPRODUCT((Inputs!$C$5:$C$230=$B57)*ISNUMBER(INDEX(Inputs!$K$5:$AJ$230,0,MATCH(L$2,Inputs!$K$4:$AJ$4,0))))+SUMPRODUCT((Inputs!$E$5:$E$230=$B57)*ISNUMBER(INDEX(Inputs!$K$5:$AJ$230,0,MATCH(L$2,Inputs!$K$4:$AJ$4,0))))=0,NA(),SUMPRODUCT((Inputs!$A$5:$A$230=$B57)*Inputs!$B$5:$B$230*(((Inputs!$G$5:$G$230="moeda")+(Inputs!$G$5:$G$230="acoes"))*Inputs!$B$1+((Inputs!$G$5:$G$230&lt;&gt;"moeda")*(Inputs!$G$5:$G$230&lt;&gt;"acoes")))*INDEX(Inputs!$K$5:$AJ$230,0,MATCH(L$2,Inputs!$K$4:$AJ$4,0)))+SUMPRODUCT((Inputs!$C$5:$C$230=$B57)*Inputs!$D$5:$D$230*(((Inputs!$G$5:$G$230="moeda")+(Inputs!$G$5:$G$230="acoes"))*Inputs!$B$1+((Inputs!$G$5:$G$230&lt;&gt;"moeda")*(Inputs!$G$5:$G$230&lt;&gt;"acoes")))*INDEX(Inputs!$K$5:$AJ$230,0,MATCH(L$2,Inputs!$K$4:$AJ$4,0)))+SUMPRODUCT((Inputs!$E$5:$E$230=$B57)*Inputs!$F$5:$F$230*(((Inputs!$G$5:$G$230="moeda")+(Inputs!$G$5:$G$230="acoes"))*Inputs!$B$1+((Inputs!$G$5:$G$230&lt;&gt;"moeda")*(Inputs!$G$5:$G$230&lt;&gt;"acoes")))*INDEX(Inputs!$K$5:$AJ$230,0,MATCH(L$2,Inputs!$K$4:$AJ$4,0)))))</f>
        <v>1.196</v>
      </c>
      <c r="M57" s="3">
        <f>SUM(I57:L57)</f>
        <v>42.865</v>
      </c>
      <c r="N57" s="6">
        <f>IF(ISNA(MATCH(N$2,Inputs!$K$4:$AJ$4,0)),NA(),IF(SUMPRODUCT((Inputs!$A$5:$A$230=$B57)*ISNUMBER(INDEX(Inputs!$K$5:$AJ$230,0,MATCH(N$2,Inputs!$K$4:$AJ$4,0))))+SUMPRODUCT((Inputs!$C$5:$C$230=$B57)*ISNUMBER(INDEX(Inputs!$K$5:$AJ$230,0,MATCH(N$2,Inputs!$K$4:$AJ$4,0))))+SUMPRODUCT((Inputs!$E$5:$E$230=$B57)*ISNUMBER(INDEX(Inputs!$K$5:$AJ$230,0,MATCH(N$2,Inputs!$K$4:$AJ$4,0))))=0,NA(),SUMPRODUCT((Inputs!$A$5:$A$230=$B57)*Inputs!$B$5:$B$230*(((Inputs!$G$5:$G$230="moeda")+(Inputs!$G$5:$G$230="acoes"))*Inputs!$B$1+((Inputs!$G$5:$G$230&lt;&gt;"moeda")*(Inputs!$G$5:$G$230&lt;&gt;"acoes")))*INDEX(Inputs!$K$5:$AJ$230,0,MATCH(N$2,Inputs!$K$4:$AJ$4,0)))+SUMPRODUCT((Inputs!$C$5:$C$230=$B57)*Inputs!$D$5:$D$230*(((Inputs!$G$5:$G$230="moeda")+(Inputs!$G$5:$G$230="acoes"))*Inputs!$B$1+((Inputs!$G$5:$G$230&lt;&gt;"moeda")*(Inputs!$G$5:$G$230&lt;&gt;"acoes")))*INDEX(Inputs!$K$5:$AJ$230,0,MATCH(N$2,Inputs!$K$4:$AJ$4,0)))+SUMPRODUCT((Inputs!$E$5:$E$230=$B57)*Inputs!$F$5:$F$230*(((Inputs!$G$5:$G$230="moeda")+(Inputs!$G$5:$G$230="acoes"))*Inputs!$B$1+((Inputs!$G$5:$G$230&lt;&gt;"moeda")*(Inputs!$G$5:$G$230&lt;&gt;"acoes")))*INDEX(Inputs!$K$5:$AJ$230,0,MATCH(N$2,Inputs!$K$4:$AJ$4,0)))))</f>
        <v>7.905</v>
      </c>
      <c r="O57" s="6">
        <f>IF(ISNA(MATCH(O$2,Inputs!$K$4:$AJ$4,0)),NA(),IF(SUMPRODUCT((Inputs!$A$5:$A$230=$B57)*ISNUMBER(INDEX(Inputs!$K$5:$AJ$230,0,MATCH(O$2,Inputs!$K$4:$AJ$4,0))))+SUMPRODUCT((Inputs!$C$5:$C$230=$B57)*ISNUMBER(INDEX(Inputs!$K$5:$AJ$230,0,MATCH(O$2,Inputs!$K$4:$AJ$4,0))))+SUMPRODUCT((Inputs!$E$5:$E$230=$B57)*ISNUMBER(INDEX(Inputs!$K$5:$AJ$230,0,MATCH(O$2,Inputs!$K$4:$AJ$4,0))))=0,NA(),SUMPRODUCT((Inputs!$A$5:$A$230=$B57)*Inputs!$B$5:$B$230*(((Inputs!$G$5:$G$230="moeda")+(Inputs!$G$5:$G$230="acoes"))*Inputs!$B$1+((Inputs!$G$5:$G$230&lt;&gt;"moeda")*(Inputs!$G$5:$G$230&lt;&gt;"acoes")))*INDEX(Inputs!$K$5:$AJ$230,0,MATCH(O$2,Inputs!$K$4:$AJ$4,0)))+SUMPRODUCT((Inputs!$C$5:$C$230=$B57)*Inputs!$D$5:$D$230*(((Inputs!$G$5:$G$230="moeda")+(Inputs!$G$5:$G$230="acoes"))*Inputs!$B$1+((Inputs!$G$5:$G$230&lt;&gt;"moeda")*(Inputs!$G$5:$G$230&lt;&gt;"acoes")))*INDEX(Inputs!$K$5:$AJ$230,0,MATCH(O$2,Inputs!$K$4:$AJ$4,0)))+SUMPRODUCT((Inputs!$E$5:$E$230=$B57)*Inputs!$F$5:$F$230*(((Inputs!$G$5:$G$230="moeda")+(Inputs!$G$5:$G$230="acoes"))*Inputs!$B$1+((Inputs!$G$5:$G$230&lt;&gt;"moeda")*(Inputs!$G$5:$G$230&lt;&gt;"acoes")))*INDEX(Inputs!$K$5:$AJ$230,0,MATCH(O$2,Inputs!$K$4:$AJ$4,0)))))</f>
        <v>0.551</v>
      </c>
      <c r="P57" s="6">
        <f>IF(ISNA(MATCH(P$2,Inputs!$K$4:$AJ$4,0)),NA(),IF(SUMPRODUCT((Inputs!$A$5:$A$230=$B57)*ISNUMBER(INDEX(Inputs!$K$5:$AJ$230,0,MATCH(P$2,Inputs!$K$4:$AJ$4,0))))+SUMPRODUCT((Inputs!$C$5:$C$230=$B57)*ISNUMBER(INDEX(Inputs!$K$5:$AJ$230,0,MATCH(P$2,Inputs!$K$4:$AJ$4,0))))+SUMPRODUCT((Inputs!$E$5:$E$230=$B57)*ISNUMBER(INDEX(Inputs!$K$5:$AJ$230,0,MATCH(P$2,Inputs!$K$4:$AJ$4,0))))=0,NA(),SUMPRODUCT((Inputs!$A$5:$A$230=$B57)*Inputs!$B$5:$B$230*(((Inputs!$G$5:$G$230="moeda")+(Inputs!$G$5:$G$230="acoes"))*Inputs!$B$1+((Inputs!$G$5:$G$230&lt;&gt;"moeda")*(Inputs!$G$5:$G$230&lt;&gt;"acoes")))*INDEX(Inputs!$K$5:$AJ$230,0,MATCH(P$2,Inputs!$K$4:$AJ$4,0)))+SUMPRODUCT((Inputs!$C$5:$C$230=$B57)*Inputs!$D$5:$D$230*(((Inputs!$G$5:$G$230="moeda")+(Inputs!$G$5:$G$230="acoes"))*Inputs!$B$1+((Inputs!$G$5:$G$230&lt;&gt;"moeda")*(Inputs!$G$5:$G$230&lt;&gt;"acoes")))*INDEX(Inputs!$K$5:$AJ$230,0,MATCH(P$2,Inputs!$K$4:$AJ$4,0)))+SUMPRODUCT((Inputs!$E$5:$E$230=$B57)*Inputs!$F$5:$F$230*(((Inputs!$G$5:$G$230="moeda")+(Inputs!$G$5:$G$230="acoes"))*Inputs!$B$1+((Inputs!$G$5:$G$230&lt;&gt;"moeda")*(Inputs!$G$5:$G$230&lt;&gt;"acoes")))*INDEX(Inputs!$K$5:$AJ$230,0,MATCH(P$2,Inputs!$K$4:$AJ$4,0)))))</f>
        <v>2.447</v>
      </c>
      <c r="Q57" s="6">
        <f>IF(ISNA(MATCH(Q$2,Inputs!$K$4:$AJ$4,0)),NA(),IF(SUMPRODUCT((Inputs!$A$5:$A$230=$B57)*ISNUMBER(INDEX(Inputs!$K$5:$AJ$230,0,MATCH(Q$2,Inputs!$K$4:$AJ$4,0))))+SUMPRODUCT((Inputs!$C$5:$C$230=$B57)*ISNUMBER(INDEX(Inputs!$K$5:$AJ$230,0,MATCH(Q$2,Inputs!$K$4:$AJ$4,0))))+SUMPRODUCT((Inputs!$E$5:$E$230=$B57)*ISNUMBER(INDEX(Inputs!$K$5:$AJ$230,0,MATCH(Q$2,Inputs!$K$4:$AJ$4,0))))=0,NA(),SUMPRODUCT((Inputs!$A$5:$A$230=$B57)*Inputs!$B$5:$B$230*(((Inputs!$G$5:$G$230="moeda")+(Inputs!$G$5:$G$230="acoes"))*Inputs!$B$1+((Inputs!$G$5:$G$230&lt;&gt;"moeda")*(Inputs!$G$5:$G$230&lt;&gt;"acoes")))*INDEX(Inputs!$K$5:$AJ$230,0,MATCH(Q$2,Inputs!$K$4:$AJ$4,0)))+SUMPRODUCT((Inputs!$C$5:$C$230=$B57)*Inputs!$D$5:$D$230*(((Inputs!$G$5:$G$230="moeda")+(Inputs!$G$5:$G$230="acoes"))*Inputs!$B$1+((Inputs!$G$5:$G$230&lt;&gt;"moeda")*(Inputs!$G$5:$G$230&lt;&gt;"acoes")))*INDEX(Inputs!$K$5:$AJ$230,0,MATCH(Q$2,Inputs!$K$4:$AJ$4,0)))+SUMPRODUCT((Inputs!$E$5:$E$230=$B57)*Inputs!$F$5:$F$230*(((Inputs!$G$5:$G$230="moeda")+(Inputs!$G$5:$G$230="acoes"))*Inputs!$B$1+((Inputs!$G$5:$G$230&lt;&gt;"moeda")*(Inputs!$G$5:$G$230&lt;&gt;"acoes")))*INDEX(Inputs!$K$5:$AJ$230,0,MATCH(Q$2,Inputs!$K$4:$AJ$4,0)))))</f>
        <v>9.014</v>
      </c>
      <c r="R57" s="3">
        <f>SUM(N57:Q57)</f>
        <v>19.917</v>
      </c>
      <c r="S57" s="6">
        <f>IF(ISNA(MATCH(S$2,Inputs!$K$4:$AJ$4,0)),NA(),IF(SUMPRODUCT((Inputs!$A$5:$A$230=$B57)*ISNUMBER(INDEX(Inputs!$K$5:$AJ$230,0,MATCH(S$2,Inputs!$K$4:$AJ$4,0))))+SUMPRODUCT((Inputs!$C$5:$C$230=$B57)*ISNUMBER(INDEX(Inputs!$K$5:$AJ$230,0,MATCH(S$2,Inputs!$K$4:$AJ$4,0))))+SUMPRODUCT((Inputs!$E$5:$E$230=$B57)*ISNUMBER(INDEX(Inputs!$K$5:$AJ$230,0,MATCH(S$2,Inputs!$K$4:$AJ$4,0))))=0,NA(),SUMPRODUCT((Inputs!$A$5:$A$230=$B57)*Inputs!$B$5:$B$230*(((Inputs!$G$5:$G$230="moeda")+(Inputs!$G$5:$G$230="acoes"))*Inputs!$B$1+((Inputs!$G$5:$G$230&lt;&gt;"moeda")*(Inputs!$G$5:$G$230&lt;&gt;"acoes")))*INDEX(Inputs!$K$5:$AJ$230,0,MATCH(S$2,Inputs!$K$4:$AJ$4,0)))+SUMPRODUCT((Inputs!$C$5:$C$230=$B57)*Inputs!$D$5:$D$230*(((Inputs!$G$5:$G$230="moeda")+(Inputs!$G$5:$G$230="acoes"))*Inputs!$B$1+((Inputs!$G$5:$G$230&lt;&gt;"moeda")*(Inputs!$G$5:$G$230&lt;&gt;"acoes")))*INDEX(Inputs!$K$5:$AJ$230,0,MATCH(S$2,Inputs!$K$4:$AJ$4,0)))+SUMPRODUCT((Inputs!$E$5:$E$230=$B57)*Inputs!$F$5:$F$230*(((Inputs!$G$5:$G$230="moeda")+(Inputs!$G$5:$G$230="acoes"))*Inputs!$B$1+((Inputs!$G$5:$G$230&lt;&gt;"moeda")*(Inputs!$G$5:$G$230&lt;&gt;"acoes")))*INDEX(Inputs!$K$5:$AJ$230,0,MATCH(S$2,Inputs!$K$4:$AJ$4,0)))))</f>
        <v>6.608</v>
      </c>
      <c r="T57" s="6">
        <f>IF(ISNA(MATCH(T$2,Inputs!$K$4:$AJ$4,0)),NA(),IF(SUMPRODUCT((Inputs!$A$5:$A$230=$B57)*ISNUMBER(INDEX(Inputs!$K$5:$AJ$230,0,MATCH(T$2,Inputs!$K$4:$AJ$4,0))))+SUMPRODUCT((Inputs!$C$5:$C$230=$B57)*ISNUMBER(INDEX(Inputs!$K$5:$AJ$230,0,MATCH(T$2,Inputs!$K$4:$AJ$4,0))))+SUMPRODUCT((Inputs!$E$5:$E$230=$B57)*ISNUMBER(INDEX(Inputs!$K$5:$AJ$230,0,MATCH(T$2,Inputs!$K$4:$AJ$4,0))))=0,NA(),SUMPRODUCT((Inputs!$A$5:$A$230=$B57)*Inputs!$B$5:$B$230*(((Inputs!$G$5:$G$230="moeda")+(Inputs!$G$5:$G$230="acoes"))*Inputs!$B$1+((Inputs!$G$5:$G$230&lt;&gt;"moeda")*(Inputs!$G$5:$G$230&lt;&gt;"acoes")))*INDEX(Inputs!$K$5:$AJ$230,0,MATCH(T$2,Inputs!$K$4:$AJ$4,0)))+SUMPRODUCT((Inputs!$C$5:$C$230=$B57)*Inputs!$D$5:$D$230*(((Inputs!$G$5:$G$230="moeda")+(Inputs!$G$5:$G$230="acoes"))*Inputs!$B$1+((Inputs!$G$5:$G$230&lt;&gt;"moeda")*(Inputs!$G$5:$G$230&lt;&gt;"acoes")))*INDEX(Inputs!$K$5:$AJ$230,0,MATCH(T$2,Inputs!$K$4:$AJ$4,0)))+SUMPRODUCT((Inputs!$E$5:$E$230=$B57)*Inputs!$F$5:$F$230*(((Inputs!$G$5:$G$230="moeda")+(Inputs!$G$5:$G$230="acoes"))*Inputs!$B$1+((Inputs!$G$5:$G$230&lt;&gt;"moeda")*(Inputs!$G$5:$G$230&lt;&gt;"acoes")))*INDEX(Inputs!$K$5:$AJ$230,0,MATCH(T$2,Inputs!$K$4:$AJ$4,0)))))</f>
        <v>7.553</v>
      </c>
      <c r="U57" s="6">
        <f>IF(ISNA(MATCH(U$2,Inputs!$K$4:$AJ$4,0)),NA(),IF(SUMPRODUCT((Inputs!$A$5:$A$230=$B57)*ISNUMBER(INDEX(Inputs!$K$5:$AJ$230,0,MATCH(U$2,Inputs!$K$4:$AJ$4,0))))+SUMPRODUCT((Inputs!$C$5:$C$230=$B57)*ISNUMBER(INDEX(Inputs!$K$5:$AJ$230,0,MATCH(U$2,Inputs!$K$4:$AJ$4,0))))+SUMPRODUCT((Inputs!$E$5:$E$230=$B57)*ISNUMBER(INDEX(Inputs!$K$5:$AJ$230,0,MATCH(U$2,Inputs!$K$4:$AJ$4,0))))=0,NA(),SUMPRODUCT((Inputs!$A$5:$A$230=$B57)*Inputs!$B$5:$B$230*(((Inputs!$G$5:$G$230="moeda")+(Inputs!$G$5:$G$230="acoes"))*Inputs!$B$1+((Inputs!$G$5:$G$230&lt;&gt;"moeda")*(Inputs!$G$5:$G$230&lt;&gt;"acoes")))*INDEX(Inputs!$K$5:$AJ$230,0,MATCH(U$2,Inputs!$K$4:$AJ$4,0)))+SUMPRODUCT((Inputs!$C$5:$C$230=$B57)*Inputs!$D$5:$D$230*(((Inputs!$G$5:$G$230="moeda")+(Inputs!$G$5:$G$230="acoes"))*Inputs!$B$1+((Inputs!$G$5:$G$230&lt;&gt;"moeda")*(Inputs!$G$5:$G$230&lt;&gt;"acoes")))*INDEX(Inputs!$K$5:$AJ$230,0,MATCH(U$2,Inputs!$K$4:$AJ$4,0)))+SUMPRODUCT((Inputs!$E$5:$E$230=$B57)*Inputs!$F$5:$F$230*(((Inputs!$G$5:$G$230="moeda")+(Inputs!$G$5:$G$230="acoes"))*Inputs!$B$1+((Inputs!$G$5:$G$230&lt;&gt;"moeda")*(Inputs!$G$5:$G$230&lt;&gt;"acoes")))*INDEX(Inputs!$K$5:$AJ$230,0,MATCH(U$2,Inputs!$K$4:$AJ$4,0)))))</f>
        <v>13.378</v>
      </c>
      <c r="V57" s="6">
        <f>IF(ISNA(MATCH(V$2,Inputs!$K$4:$AJ$4,0)),NA(),IF(SUMPRODUCT((Inputs!$A$5:$A$230=$B57)*ISNUMBER(INDEX(Inputs!$K$5:$AJ$230,0,MATCH(V$2,Inputs!$K$4:$AJ$4,0))))+SUMPRODUCT((Inputs!$C$5:$C$230=$B57)*ISNUMBER(INDEX(Inputs!$K$5:$AJ$230,0,MATCH(V$2,Inputs!$K$4:$AJ$4,0))))+SUMPRODUCT((Inputs!$E$5:$E$230=$B57)*ISNUMBER(INDEX(Inputs!$K$5:$AJ$230,0,MATCH(V$2,Inputs!$K$4:$AJ$4,0))))=0,NA(),SUMPRODUCT((Inputs!$A$5:$A$230=$B57)*Inputs!$B$5:$B$230*(((Inputs!$G$5:$G$230="moeda")+(Inputs!$G$5:$G$230="acoes"))*Inputs!$B$1+((Inputs!$G$5:$G$230&lt;&gt;"moeda")*(Inputs!$G$5:$G$230&lt;&gt;"acoes")))*INDEX(Inputs!$K$5:$AJ$230,0,MATCH(V$2,Inputs!$K$4:$AJ$4,0)))+SUMPRODUCT((Inputs!$C$5:$C$230=$B57)*Inputs!$D$5:$D$230*(((Inputs!$G$5:$G$230="moeda")+(Inputs!$G$5:$G$230="acoes"))*Inputs!$B$1+((Inputs!$G$5:$G$230&lt;&gt;"moeda")*(Inputs!$G$5:$G$230&lt;&gt;"acoes")))*INDEX(Inputs!$K$5:$AJ$230,0,MATCH(V$2,Inputs!$K$4:$AJ$4,0)))+SUMPRODUCT((Inputs!$E$5:$E$230=$B57)*Inputs!$F$5:$F$230*(((Inputs!$G$5:$G$230="moeda")+(Inputs!$G$5:$G$230="acoes"))*Inputs!$B$1+((Inputs!$G$5:$G$230&lt;&gt;"moeda")*(Inputs!$G$5:$G$230&lt;&gt;"acoes")))*INDEX(Inputs!$K$5:$AJ$230,0,MATCH(V$2,Inputs!$K$4:$AJ$4,0)))))</f>
        <v>13.906</v>
      </c>
      <c r="W57" s="3">
        <f>SUM(S57:V57)</f>
        <v>41.445</v>
      </c>
      <c r="X57" s="6">
        <f>IF(ISNA(MATCH(X$2,Inputs!$K$4:$AJ$4,0)),NA(),IF(SUMPRODUCT((Inputs!$A$5:$A$230=$B57)*ISNUMBER(INDEX(Inputs!$K$5:$AJ$230,0,MATCH(X$2,Inputs!$K$4:$AJ$4,0))))+SUMPRODUCT((Inputs!$C$5:$C$230=$B57)*ISNUMBER(INDEX(Inputs!$K$5:$AJ$230,0,MATCH(X$2,Inputs!$K$4:$AJ$4,0))))+SUMPRODUCT((Inputs!$E$5:$E$230=$B57)*ISNUMBER(INDEX(Inputs!$K$5:$AJ$230,0,MATCH(X$2,Inputs!$K$4:$AJ$4,0))))=0,NA(),SUMPRODUCT((Inputs!$A$5:$A$230=$B57)*Inputs!$B$5:$B$230*(((Inputs!$G$5:$G$230="moeda")+(Inputs!$G$5:$G$230="acoes"))*Inputs!$B$1+((Inputs!$G$5:$G$230&lt;&gt;"moeda")*(Inputs!$G$5:$G$230&lt;&gt;"acoes")))*INDEX(Inputs!$K$5:$AJ$230,0,MATCH(X$2,Inputs!$K$4:$AJ$4,0)))+SUMPRODUCT((Inputs!$C$5:$C$230=$B57)*Inputs!$D$5:$D$230*(((Inputs!$G$5:$G$230="moeda")+(Inputs!$G$5:$G$230="acoes"))*Inputs!$B$1+((Inputs!$G$5:$G$230&lt;&gt;"moeda")*(Inputs!$G$5:$G$230&lt;&gt;"acoes")))*INDEX(Inputs!$K$5:$AJ$230,0,MATCH(X$2,Inputs!$K$4:$AJ$4,0)))+SUMPRODUCT((Inputs!$E$5:$E$230=$B57)*Inputs!$F$5:$F$230*(((Inputs!$G$5:$G$230="moeda")+(Inputs!$G$5:$G$230="acoes"))*Inputs!$B$1+((Inputs!$G$5:$G$230&lt;&gt;"moeda")*(Inputs!$G$5:$G$230&lt;&gt;"acoes")))*INDEX(Inputs!$K$5:$AJ$230,0,MATCH(X$2,Inputs!$K$4:$AJ$4,0)))))</f>
        <v>12.179</v>
      </c>
      <c r="Y57" s="6">
        <f>IF(ISNA(MATCH(Y$2,Inputs!$K$4:$AJ$4,0)),NA(),IF(SUMPRODUCT((Inputs!$A$5:$A$230=$B57)*ISNUMBER(INDEX(Inputs!$K$5:$AJ$230,0,MATCH(Y$2,Inputs!$K$4:$AJ$4,0))))+SUMPRODUCT((Inputs!$C$5:$C$230=$B57)*ISNUMBER(INDEX(Inputs!$K$5:$AJ$230,0,MATCH(Y$2,Inputs!$K$4:$AJ$4,0))))+SUMPRODUCT((Inputs!$E$5:$E$230=$B57)*ISNUMBER(INDEX(Inputs!$K$5:$AJ$230,0,MATCH(Y$2,Inputs!$K$4:$AJ$4,0))))=0,NA(),SUMPRODUCT((Inputs!$A$5:$A$230=$B57)*Inputs!$B$5:$B$230*(((Inputs!$G$5:$G$230="moeda")+(Inputs!$G$5:$G$230="acoes"))*Inputs!$B$1+((Inputs!$G$5:$G$230&lt;&gt;"moeda")*(Inputs!$G$5:$G$230&lt;&gt;"acoes")))*INDEX(Inputs!$K$5:$AJ$230,0,MATCH(Y$2,Inputs!$K$4:$AJ$4,0)))+SUMPRODUCT((Inputs!$C$5:$C$230=$B57)*Inputs!$D$5:$D$230*(((Inputs!$G$5:$G$230="moeda")+(Inputs!$G$5:$G$230="acoes"))*Inputs!$B$1+((Inputs!$G$5:$G$230&lt;&gt;"moeda")*(Inputs!$G$5:$G$230&lt;&gt;"acoes")))*INDEX(Inputs!$K$5:$AJ$230,0,MATCH(Y$2,Inputs!$K$4:$AJ$4,0)))+SUMPRODUCT((Inputs!$E$5:$E$230=$B57)*Inputs!$F$5:$F$230*(((Inputs!$G$5:$G$230="moeda")+(Inputs!$G$5:$G$230="acoes"))*Inputs!$B$1+((Inputs!$G$5:$G$230&lt;&gt;"moeda")*(Inputs!$G$5:$G$230&lt;&gt;"acoes")))*INDEX(Inputs!$K$5:$AJ$230,0,MATCH(Y$2,Inputs!$K$4:$AJ$4,0)))))</f>
        <v>5.952</v>
      </c>
      <c r="Z57" s="6">
        <f>IF(ISNA(MATCH(Z$2,Inputs!$K$4:$AJ$4,0)),NA(),IF(SUMPRODUCT((Inputs!$A$5:$A$230=$B57)*ISNUMBER(INDEX(Inputs!$K$5:$AJ$230,0,MATCH(Z$2,Inputs!$K$4:$AJ$4,0))))+SUMPRODUCT((Inputs!$C$5:$C$230=$B57)*ISNUMBER(INDEX(Inputs!$K$5:$AJ$230,0,MATCH(Z$2,Inputs!$K$4:$AJ$4,0))))+SUMPRODUCT((Inputs!$E$5:$E$230=$B57)*ISNUMBER(INDEX(Inputs!$K$5:$AJ$230,0,MATCH(Z$2,Inputs!$K$4:$AJ$4,0))))=0,NA(),SUMPRODUCT((Inputs!$A$5:$A$230=$B57)*Inputs!$B$5:$B$230*(((Inputs!$G$5:$G$230="moeda")+(Inputs!$G$5:$G$230="acoes"))*Inputs!$B$1+((Inputs!$G$5:$G$230&lt;&gt;"moeda")*(Inputs!$G$5:$G$230&lt;&gt;"acoes")))*INDEX(Inputs!$K$5:$AJ$230,0,MATCH(Z$2,Inputs!$K$4:$AJ$4,0)))+SUMPRODUCT((Inputs!$C$5:$C$230=$B57)*Inputs!$D$5:$D$230*(((Inputs!$G$5:$G$230="moeda")+(Inputs!$G$5:$G$230="acoes"))*Inputs!$B$1+((Inputs!$G$5:$G$230&lt;&gt;"moeda")*(Inputs!$G$5:$G$230&lt;&gt;"acoes")))*INDEX(Inputs!$K$5:$AJ$230,0,MATCH(Z$2,Inputs!$K$4:$AJ$4,0)))+SUMPRODUCT((Inputs!$E$5:$E$230=$B57)*Inputs!$F$5:$F$230*(((Inputs!$G$5:$G$230="moeda")+(Inputs!$G$5:$G$230="acoes"))*Inputs!$B$1+((Inputs!$G$5:$G$230&lt;&gt;"moeda")*(Inputs!$G$5:$G$230&lt;&gt;"acoes")))*INDEX(Inputs!$K$5:$AJ$230,0,MATCH(Z$2,Inputs!$K$4:$AJ$4,0)))))</f>
        <v>2.723</v>
      </c>
      <c r="AA57" s="6">
        <f>IF(ISNA(MATCH(AA$2,Inputs!$K$4:$AJ$4,0)),NA(),IF(SUMPRODUCT((Inputs!$A$5:$A$230=$B57)*ISNUMBER(INDEX(Inputs!$K$5:$AJ$230,0,MATCH(AA$2,Inputs!$K$4:$AJ$4,0))))+SUMPRODUCT((Inputs!$C$5:$C$230=$B57)*ISNUMBER(INDEX(Inputs!$K$5:$AJ$230,0,MATCH(AA$2,Inputs!$K$4:$AJ$4,0))))+SUMPRODUCT((Inputs!$E$5:$E$230=$B57)*ISNUMBER(INDEX(Inputs!$K$5:$AJ$230,0,MATCH(AA$2,Inputs!$K$4:$AJ$4,0))))=0,NA(),SUMPRODUCT((Inputs!$A$5:$A$230=$B57)*Inputs!$B$5:$B$230*(((Inputs!$G$5:$G$230="moeda")+(Inputs!$G$5:$G$230="acoes"))*Inputs!$B$1+((Inputs!$G$5:$G$230&lt;&gt;"moeda")*(Inputs!$G$5:$G$230&lt;&gt;"acoes")))*INDEX(Inputs!$K$5:$AJ$230,0,MATCH(AA$2,Inputs!$K$4:$AJ$4,0)))+SUMPRODUCT((Inputs!$C$5:$C$230=$B57)*Inputs!$D$5:$D$230*(((Inputs!$G$5:$G$230="moeda")+(Inputs!$G$5:$G$230="acoes"))*Inputs!$B$1+((Inputs!$G$5:$G$230&lt;&gt;"moeda")*(Inputs!$G$5:$G$230&lt;&gt;"acoes")))*INDEX(Inputs!$K$5:$AJ$230,0,MATCH(AA$2,Inputs!$K$4:$AJ$4,0)))+SUMPRODUCT((Inputs!$E$5:$E$230=$B57)*Inputs!$F$5:$F$230*(((Inputs!$G$5:$G$230="moeda")+(Inputs!$G$5:$G$230="acoes"))*Inputs!$B$1+((Inputs!$G$5:$G$230&lt;&gt;"moeda")*(Inputs!$G$5:$G$230&lt;&gt;"acoes")))*INDEX(Inputs!$K$5:$AJ$230,0,MATCH(AA$2,Inputs!$K$4:$AJ$4,0)))))</f>
        <v>21.417</v>
      </c>
      <c r="AB57" s="3">
        <f>SUM(X57:AA57)</f>
        <v>42.271</v>
      </c>
      <c r="AC57" s="6">
        <f>IF(ISNA(MATCH(AC$2,Inputs!$K$4:$AJ$4,0)),NA(),IF(SUMPRODUCT((Inputs!$A$5:$A$230=$B57)*ISNUMBER(INDEX(Inputs!$K$5:$AJ$230,0,MATCH(AC$2,Inputs!$K$4:$AJ$4,0))))+SUMPRODUCT((Inputs!$C$5:$C$230=$B57)*ISNUMBER(INDEX(Inputs!$K$5:$AJ$230,0,MATCH(AC$2,Inputs!$K$4:$AJ$4,0))))+SUMPRODUCT((Inputs!$E$5:$E$230=$B57)*ISNUMBER(INDEX(Inputs!$K$5:$AJ$230,0,MATCH(AC$2,Inputs!$K$4:$AJ$4,0))))=0,NA(),SUMPRODUCT((Inputs!$A$5:$A$230=$B57)*Inputs!$B$5:$B$230*(((Inputs!$G$5:$G$230="moeda")+(Inputs!$G$5:$G$230="acoes"))*Inputs!$B$1+((Inputs!$G$5:$G$230&lt;&gt;"moeda")*(Inputs!$G$5:$G$230&lt;&gt;"acoes")))*INDEX(Inputs!$K$5:$AJ$230,0,MATCH(AC$2,Inputs!$K$4:$AJ$4,0)))+SUMPRODUCT((Inputs!$C$5:$C$230=$B57)*Inputs!$D$5:$D$230*(((Inputs!$G$5:$G$230="moeda")+(Inputs!$G$5:$G$230="acoes"))*Inputs!$B$1+((Inputs!$G$5:$G$230&lt;&gt;"moeda")*(Inputs!$G$5:$G$230&lt;&gt;"acoes")))*INDEX(Inputs!$K$5:$AJ$230,0,MATCH(AC$2,Inputs!$K$4:$AJ$4,0)))+SUMPRODUCT((Inputs!$E$5:$E$230=$B57)*Inputs!$F$5:$F$230*(((Inputs!$G$5:$G$230="moeda")+(Inputs!$G$5:$G$230="acoes"))*Inputs!$B$1+((Inputs!$G$5:$G$230&lt;&gt;"moeda")*(Inputs!$G$5:$G$230&lt;&gt;"acoes")))*INDEX(Inputs!$K$5:$AJ$230,0,MATCH(AC$2,Inputs!$K$4:$AJ$4,0)))))</f>
        <v>6.358</v>
      </c>
      <c r="AD57" s="6">
        <f>IF(ISNA(MATCH(AD$2,Inputs!$K$4:$AJ$4,0)),NA(),IF(SUMPRODUCT((Inputs!$A$5:$A$230=$B57)*ISNUMBER(INDEX(Inputs!$K$5:$AJ$230,0,MATCH(AD$2,Inputs!$K$4:$AJ$4,0))))+SUMPRODUCT((Inputs!$C$5:$C$230=$B57)*ISNUMBER(INDEX(Inputs!$K$5:$AJ$230,0,MATCH(AD$2,Inputs!$K$4:$AJ$4,0))))+SUMPRODUCT((Inputs!$E$5:$E$230=$B57)*ISNUMBER(INDEX(Inputs!$K$5:$AJ$230,0,MATCH(AD$2,Inputs!$K$4:$AJ$4,0))))=0,NA(),SUMPRODUCT((Inputs!$A$5:$A$230=$B57)*Inputs!$B$5:$B$230*(((Inputs!$G$5:$G$230="moeda")+(Inputs!$G$5:$G$230="acoes"))*Inputs!$B$1+((Inputs!$G$5:$G$230&lt;&gt;"moeda")*(Inputs!$G$5:$G$230&lt;&gt;"acoes")))*INDEX(Inputs!$K$5:$AJ$230,0,MATCH(AD$2,Inputs!$K$4:$AJ$4,0)))+SUMPRODUCT((Inputs!$C$5:$C$230=$B57)*Inputs!$D$5:$D$230*(((Inputs!$G$5:$G$230="moeda")+(Inputs!$G$5:$G$230="acoes"))*Inputs!$B$1+((Inputs!$G$5:$G$230&lt;&gt;"moeda")*(Inputs!$G$5:$G$230&lt;&gt;"acoes")))*INDEX(Inputs!$K$5:$AJ$230,0,MATCH(AD$2,Inputs!$K$4:$AJ$4,0)))+SUMPRODUCT((Inputs!$E$5:$E$230=$B57)*Inputs!$F$5:$F$230*(((Inputs!$G$5:$G$230="moeda")+(Inputs!$G$5:$G$230="acoes"))*Inputs!$B$1+((Inputs!$G$5:$G$230&lt;&gt;"moeda")*(Inputs!$G$5:$G$230&lt;&gt;"acoes")))*INDEX(Inputs!$K$5:$AJ$230,0,MATCH(AD$2,Inputs!$K$4:$AJ$4,0)))))</f>
        <v>15.274</v>
      </c>
      <c r="AE57" s="6" t="e">
        <f>IF(ISNA(MATCH(AE$2,Inputs!$K$4:$AJ$4,0)),NA(),IF(SUMPRODUCT((Inputs!$A$5:$A$230=$B57)*ISNUMBER(INDEX(Inputs!$K$5:$AJ$230,0,MATCH(AE$2,Inputs!$K$4:$AJ$4,0))))+SUMPRODUCT((Inputs!$C$5:$C$230=$B57)*ISNUMBER(INDEX(Inputs!$K$5:$AJ$230,0,MATCH(AE$2,Inputs!$K$4:$AJ$4,0))))+SUMPRODUCT((Inputs!$E$5:$E$230=$B57)*ISNUMBER(INDEX(Inputs!$K$5:$AJ$230,0,MATCH(AE$2,Inputs!$K$4:$AJ$4,0))))=0,NA(),SUMPRODUCT((Inputs!$A$5:$A$230=$B57)*Inputs!$B$5:$B$230*(((Inputs!$G$5:$G$230="moeda")+(Inputs!$G$5:$G$230="acoes"))*Inputs!$B$1+((Inputs!$G$5:$G$230&lt;&gt;"moeda")*(Inputs!$G$5:$G$230&lt;&gt;"acoes")))*INDEX(Inputs!$K$5:$AJ$230,0,MATCH(AE$2,Inputs!$K$4:$AJ$4,0)))+SUMPRODUCT((Inputs!$C$5:$C$230=$B57)*Inputs!$D$5:$D$230*(((Inputs!$G$5:$G$230="moeda")+(Inputs!$G$5:$G$230="acoes"))*Inputs!$B$1+((Inputs!$G$5:$G$230&lt;&gt;"moeda")*(Inputs!$G$5:$G$230&lt;&gt;"acoes")))*INDEX(Inputs!$K$5:$AJ$230,0,MATCH(AE$2,Inputs!$K$4:$AJ$4,0)))+SUMPRODUCT((Inputs!$E$5:$E$230=$B57)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57" s="6" t="e">
        <f>IF(ISNA(MATCH(AF$2,Inputs!$K$4:$AJ$4,0)),NA(),IF(SUMPRODUCT((Inputs!$A$5:$A$230=$B57)*ISNUMBER(INDEX(Inputs!$K$5:$AJ$230,0,MATCH(AF$2,Inputs!$K$4:$AJ$4,0))))+SUMPRODUCT((Inputs!$C$5:$C$230=$B57)*ISNUMBER(INDEX(Inputs!$K$5:$AJ$230,0,MATCH(AF$2,Inputs!$K$4:$AJ$4,0))))+SUMPRODUCT((Inputs!$E$5:$E$230=$B57)*ISNUMBER(INDEX(Inputs!$K$5:$AJ$230,0,MATCH(AF$2,Inputs!$K$4:$AJ$4,0))))=0,NA(),SUMPRODUCT((Inputs!$A$5:$A$230=$B57)*Inputs!$B$5:$B$230*(((Inputs!$G$5:$G$230="moeda")+(Inputs!$G$5:$G$230="acoes"))*Inputs!$B$1+((Inputs!$G$5:$G$230&lt;&gt;"moeda")*(Inputs!$G$5:$G$230&lt;&gt;"acoes")))*INDEX(Inputs!$K$5:$AJ$230,0,MATCH(AF$2,Inputs!$K$4:$AJ$4,0)))+SUMPRODUCT((Inputs!$C$5:$C$230=$B57)*Inputs!$D$5:$D$230*(((Inputs!$G$5:$G$230="moeda")+(Inputs!$G$5:$G$230="acoes"))*Inputs!$B$1+((Inputs!$G$5:$G$230&lt;&gt;"moeda")*(Inputs!$G$5:$G$230&lt;&gt;"acoes")))*INDEX(Inputs!$K$5:$AJ$230,0,MATCH(AF$2,Inputs!$K$4:$AJ$4,0)))+SUMPRODUCT((Inputs!$E$5:$E$230=$B57)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57" s="3" t="e">
        <f>SUM(AC57:AF57)</f>
        <v>#N/A</v>
      </c>
      <c r="AH57" s="6">
        <f>IF(ISNA(MATCH(AH$2,Inputs!$K$4:$AJ$4,0)),NA(),IF(SUMPRODUCT((Inputs!$A$5:$A$230=$B57)*ISNUMBER(INDEX(Inputs!$K$5:$AJ$230,0,MATCH(AH$2,Inputs!$K$4:$AJ$4,0))))+SUMPRODUCT((Inputs!$C$5:$C$230=$B57)*ISNUMBER(INDEX(Inputs!$K$5:$AJ$230,0,MATCH(AH$2,Inputs!$K$4:$AJ$4,0))))+SUMPRODUCT((Inputs!$E$5:$E$230=$B57)*ISNUMBER(INDEX(Inputs!$K$5:$AJ$230,0,MATCH(AH$2,Inputs!$K$4:$AJ$4,0))))=0,NA(),SUMPRODUCT((Inputs!$A$5:$A$230=$B57)*Inputs!$B$5:$B$230*(((Inputs!$G$5:$G$230="moeda")+(Inputs!$G$5:$G$230="acoes"))*Inputs!$B$1+((Inputs!$G$5:$G$230&lt;&gt;"moeda")*(Inputs!$G$5:$G$230&lt;&gt;"acoes")))*INDEX(Inputs!$K$5:$AJ$230,0,MATCH(AH$2,Inputs!$K$4:$AJ$4,0)))+SUMPRODUCT((Inputs!$C$5:$C$230=$B57)*Inputs!$D$5:$D$230*(((Inputs!$G$5:$G$230="moeda")+(Inputs!$G$5:$G$230="acoes"))*Inputs!$B$1+((Inputs!$G$5:$G$230&lt;&gt;"moeda")*(Inputs!$G$5:$G$230&lt;&gt;"acoes")))*INDEX(Inputs!$K$5:$AJ$230,0,MATCH(AH$2,Inputs!$K$4:$AJ$4,0)))+SUMPRODUCT((Inputs!$E$5:$E$230=$B57)*Inputs!$F$5:$F$230*(((Inputs!$G$5:$G$230="moeda")+(Inputs!$G$5:$G$230="acoes"))*Inputs!$B$1+((Inputs!$G$5:$G$230&lt;&gt;"moeda")*(Inputs!$G$5:$G$230&lt;&gt;"acoes")))*INDEX(Inputs!$K$5:$AJ$230,0,MATCH(AH$2,Inputs!$K$4:$AJ$4,0)))))</f>
        <v>13.827</v>
      </c>
      <c r="AI57" s="6">
        <f>IF(ISNA(MATCH(AI$2,Inputs!$K$4:$AJ$4,0)),NA(),IF(SUMPRODUCT((Inputs!$A$5:$A$230=$B57)*ISNUMBER(INDEX(Inputs!$K$5:$AJ$230,0,MATCH(AI$2,Inputs!$K$4:$AJ$4,0))))+SUMPRODUCT((Inputs!$C$5:$C$230=$B57)*ISNUMBER(INDEX(Inputs!$K$5:$AJ$230,0,MATCH(AI$2,Inputs!$K$4:$AJ$4,0))))+SUMPRODUCT((Inputs!$E$5:$E$230=$B57)*ISNUMBER(INDEX(Inputs!$K$5:$AJ$230,0,MATCH(AI$2,Inputs!$K$4:$AJ$4,0))))=0,NA(),SUMPRODUCT((Inputs!$A$5:$A$230=$B57)*Inputs!$B$5:$B$230*(((Inputs!$G$5:$G$230="moeda")+(Inputs!$G$5:$G$230="acoes"))*Inputs!$B$1+((Inputs!$G$5:$G$230&lt;&gt;"moeda")*(Inputs!$G$5:$G$230&lt;&gt;"acoes")))*INDEX(Inputs!$K$5:$AJ$230,0,MATCH(AI$2,Inputs!$K$4:$AJ$4,0)))+SUMPRODUCT((Inputs!$C$5:$C$230=$B57)*Inputs!$D$5:$D$230*(((Inputs!$G$5:$G$230="moeda")+(Inputs!$G$5:$G$230="acoes"))*Inputs!$B$1+((Inputs!$G$5:$G$230&lt;&gt;"moeda")*(Inputs!$G$5:$G$230&lt;&gt;"acoes")))*INDEX(Inputs!$K$5:$AJ$230,0,MATCH(AI$2,Inputs!$K$4:$AJ$4,0)))+SUMPRODUCT((Inputs!$E$5:$E$230=$B57)*Inputs!$F$5:$F$230*(((Inputs!$G$5:$G$230="moeda")+(Inputs!$G$5:$G$230="acoes"))*Inputs!$B$1+((Inputs!$G$5:$G$230&lt;&gt;"moeda")*(Inputs!$G$5:$G$230&lt;&gt;"acoes")))*INDEX(Inputs!$K$5:$AJ$230,0,MATCH(AI$2,Inputs!$K$4:$AJ$4,0)))))</f>
        <v>21.423</v>
      </c>
      <c r="AJ57" s="6">
        <f>IF(ISNA(MATCH(AJ$2,Inputs!$K$4:$AJ$4,0)),NA(),IF(SUMPRODUCT((Inputs!$A$5:$A$230=$B57)*ISNUMBER(INDEX(Inputs!$K$5:$AJ$230,0,MATCH(AJ$2,Inputs!$K$4:$AJ$4,0))))+SUMPRODUCT((Inputs!$C$5:$C$230=$B57)*ISNUMBER(INDEX(Inputs!$K$5:$AJ$230,0,MATCH(AJ$2,Inputs!$K$4:$AJ$4,0))))+SUMPRODUCT((Inputs!$E$5:$E$230=$B57)*ISNUMBER(INDEX(Inputs!$K$5:$AJ$230,0,MATCH(AJ$2,Inputs!$K$4:$AJ$4,0))))=0,NA(),SUMPRODUCT((Inputs!$A$5:$A$230=$B57)*Inputs!$B$5:$B$230*(((Inputs!$G$5:$G$230="moeda")+(Inputs!$G$5:$G$230="acoes"))*Inputs!$B$1+((Inputs!$G$5:$G$230&lt;&gt;"moeda")*(Inputs!$G$5:$G$230&lt;&gt;"acoes")))*INDEX(Inputs!$K$5:$AJ$230,0,MATCH(AJ$2,Inputs!$K$4:$AJ$4,0)))+SUMPRODUCT((Inputs!$C$5:$C$230=$B57)*Inputs!$D$5:$D$230*(((Inputs!$G$5:$G$230="moeda")+(Inputs!$G$5:$G$230="acoes"))*Inputs!$B$1+((Inputs!$G$5:$G$230&lt;&gt;"moeda")*(Inputs!$G$5:$G$230&lt;&gt;"acoes")))*INDEX(Inputs!$K$5:$AJ$230,0,MATCH(AJ$2,Inputs!$K$4:$AJ$4,0)))+SUMPRODUCT((Inputs!$E$5:$E$230=$B57)*Inputs!$F$5:$F$230*(((Inputs!$G$5:$G$230="moeda")+(Inputs!$G$5:$G$230="acoes"))*Inputs!$B$1+((Inputs!$G$5:$G$230&lt;&gt;"moeda")*(Inputs!$G$5:$G$230&lt;&gt;"acoes")))*INDEX(Inputs!$K$5:$AJ$230,0,MATCH(AJ$2,Inputs!$K$4:$AJ$4,0)))))</f>
        <v>28.352</v>
      </c>
      <c r="AK57" s="6">
        <f>IF(ISNA(MATCH(AK$2,Inputs!$K$4:$AJ$4,0)),NA(),IF(SUMPRODUCT((Inputs!$A$5:$A$230=$B57)*ISNUMBER(INDEX(Inputs!$K$5:$AJ$230,0,MATCH(AK$2,Inputs!$K$4:$AJ$4,0))))+SUMPRODUCT((Inputs!$C$5:$C$230=$B57)*ISNUMBER(INDEX(Inputs!$K$5:$AJ$230,0,MATCH(AK$2,Inputs!$K$4:$AJ$4,0))))+SUMPRODUCT((Inputs!$E$5:$E$230=$B57)*ISNUMBER(INDEX(Inputs!$K$5:$AJ$230,0,MATCH(AK$2,Inputs!$K$4:$AJ$4,0))))=0,NA(),SUMPRODUCT((Inputs!$A$5:$A$230=$B57)*Inputs!$B$5:$B$230*(((Inputs!$G$5:$G$230="moeda")+(Inputs!$G$5:$G$230="acoes"))*Inputs!$B$1+((Inputs!$G$5:$G$230&lt;&gt;"moeda")*(Inputs!$G$5:$G$230&lt;&gt;"acoes")))*INDEX(Inputs!$K$5:$AJ$230,0,MATCH(AK$2,Inputs!$K$4:$AJ$4,0)))+SUMPRODUCT((Inputs!$C$5:$C$230=$B57)*Inputs!$D$5:$D$230*(((Inputs!$G$5:$G$230="moeda")+(Inputs!$G$5:$G$230="acoes"))*Inputs!$B$1+((Inputs!$G$5:$G$230&lt;&gt;"moeda")*(Inputs!$G$5:$G$230&lt;&gt;"acoes")))*INDEX(Inputs!$K$5:$AJ$230,0,MATCH(AK$2,Inputs!$K$4:$AJ$4,0)))+SUMPRODUCT((Inputs!$E$5:$E$230=$B57)*Inputs!$F$5:$F$230*(((Inputs!$G$5:$G$230="moeda")+(Inputs!$G$5:$G$230="acoes"))*Inputs!$B$1+((Inputs!$G$5:$G$230&lt;&gt;"moeda")*(Inputs!$G$5:$G$230&lt;&gt;"acoes")))*INDEX(Inputs!$K$5:$AJ$230,0,MATCH(AK$2,Inputs!$K$4:$AJ$4,0)))))</f>
        <v>26.923</v>
      </c>
      <c r="AL57" s="3">
        <f>SUM(AH57:AK57)</f>
        <v>90.525</v>
      </c>
    </row>
    <row r="58">
      <c r="B58" s="46" t="n">
        <v>50</v>
      </c>
      <c r="C58" s="29" t="inlineStr">
        <is>
          <t>Transmissao | EATE</t>
        </is>
      </c>
      <c r="D58" s="6">
        <f>IF(ISNA(MATCH(D$2,Inputs!$K$4:$AJ$4,0)),NA(),IF(SUMPRODUCT((Inputs!$A$5:$A$230=$B58)*ISNUMBER(INDEX(Inputs!$K$5:$AJ$230,0,MATCH(D$2,Inputs!$K$4:$AJ$4,0))))+SUMPRODUCT((Inputs!$C$5:$C$230=$B58)*ISNUMBER(INDEX(Inputs!$K$5:$AJ$230,0,MATCH(D$2,Inputs!$K$4:$AJ$4,0))))+SUMPRODUCT((Inputs!$E$5:$E$230=$B58)*ISNUMBER(INDEX(Inputs!$K$5:$AJ$230,0,MATCH(D$2,Inputs!$K$4:$AJ$4,0))))=0,NA(),SUMPRODUCT((Inputs!$A$5:$A$230=$B58)*Inputs!$B$5:$B$230*(((Inputs!$G$5:$G$230="moeda")+(Inputs!$G$5:$G$230="acoes"))*Inputs!$B$1+((Inputs!$G$5:$G$230&lt;&gt;"moeda")*(Inputs!$G$5:$G$230&lt;&gt;"acoes")))*INDEX(Inputs!$K$5:$AJ$230,0,MATCH(D$2,Inputs!$K$4:$AJ$4,0)))+SUMPRODUCT((Inputs!$C$5:$C$230=$B58)*Inputs!$D$5:$D$230*(((Inputs!$G$5:$G$230="moeda")+(Inputs!$G$5:$G$230="acoes"))*Inputs!$B$1+((Inputs!$G$5:$G$230&lt;&gt;"moeda")*(Inputs!$G$5:$G$230&lt;&gt;"acoes")))*INDEX(Inputs!$K$5:$AJ$230,0,MATCH(D$2,Inputs!$K$4:$AJ$4,0)))+SUMPRODUCT((Inputs!$E$5:$E$230=$B58)*Inputs!$F$5:$F$230*(((Inputs!$G$5:$G$230="moeda")+(Inputs!$G$5:$G$230="acoes"))*Inputs!$B$1+((Inputs!$G$5:$G$230&lt;&gt;"moeda")*(Inputs!$G$5:$G$230&lt;&gt;"acoes")))*INDEX(Inputs!$K$5:$AJ$230,0,MATCH(D$2,Inputs!$K$4:$AJ$4,0)))))</f>
        <v>134.791</v>
      </c>
      <c r="E58" s="6">
        <f>IF(ISNA(MATCH(E$2,Inputs!$K$4:$AJ$4,0)),NA(),IF(SUMPRODUCT((Inputs!$A$5:$A$230=$B58)*ISNUMBER(INDEX(Inputs!$K$5:$AJ$230,0,MATCH(E$2,Inputs!$K$4:$AJ$4,0))))+SUMPRODUCT((Inputs!$C$5:$C$230=$B58)*ISNUMBER(INDEX(Inputs!$K$5:$AJ$230,0,MATCH(E$2,Inputs!$K$4:$AJ$4,0))))+SUMPRODUCT((Inputs!$E$5:$E$230=$B58)*ISNUMBER(INDEX(Inputs!$K$5:$AJ$230,0,MATCH(E$2,Inputs!$K$4:$AJ$4,0))))=0,NA(),SUMPRODUCT((Inputs!$A$5:$A$230=$B58)*Inputs!$B$5:$B$230*(((Inputs!$G$5:$G$230="moeda")+(Inputs!$G$5:$G$230="acoes"))*Inputs!$B$1+((Inputs!$G$5:$G$230&lt;&gt;"moeda")*(Inputs!$G$5:$G$230&lt;&gt;"acoes")))*INDEX(Inputs!$K$5:$AJ$230,0,MATCH(E$2,Inputs!$K$4:$AJ$4,0)))+SUMPRODUCT((Inputs!$C$5:$C$230=$B58)*Inputs!$D$5:$D$230*(((Inputs!$G$5:$G$230="moeda")+(Inputs!$G$5:$G$230="acoes"))*Inputs!$B$1+((Inputs!$G$5:$G$230&lt;&gt;"moeda")*(Inputs!$G$5:$G$230&lt;&gt;"acoes")))*INDEX(Inputs!$K$5:$AJ$230,0,MATCH(E$2,Inputs!$K$4:$AJ$4,0)))+SUMPRODUCT((Inputs!$E$5:$E$230=$B58)*Inputs!$F$5:$F$230*(((Inputs!$G$5:$G$230="moeda")+(Inputs!$G$5:$G$230="acoes"))*Inputs!$B$1+((Inputs!$G$5:$G$230&lt;&gt;"moeda")*(Inputs!$G$5:$G$230&lt;&gt;"acoes")))*INDEX(Inputs!$K$5:$AJ$230,0,MATCH(E$2,Inputs!$K$4:$AJ$4,0)))))</f>
        <v>182.84</v>
      </c>
      <c r="F58" s="6">
        <f>IF(ISNA(MATCH(F$2,Inputs!$K$4:$AJ$4,0)),NA(),IF(SUMPRODUCT((Inputs!$A$5:$A$230=$B58)*ISNUMBER(INDEX(Inputs!$K$5:$AJ$230,0,MATCH(F$2,Inputs!$K$4:$AJ$4,0))))+SUMPRODUCT((Inputs!$C$5:$C$230=$B58)*ISNUMBER(INDEX(Inputs!$K$5:$AJ$230,0,MATCH(F$2,Inputs!$K$4:$AJ$4,0))))+SUMPRODUCT((Inputs!$E$5:$E$230=$B58)*ISNUMBER(INDEX(Inputs!$K$5:$AJ$230,0,MATCH(F$2,Inputs!$K$4:$AJ$4,0))))=0,NA(),SUMPRODUCT((Inputs!$A$5:$A$230=$B58)*Inputs!$B$5:$B$230*(((Inputs!$G$5:$G$230="moeda")+(Inputs!$G$5:$G$230="acoes"))*Inputs!$B$1+((Inputs!$G$5:$G$230&lt;&gt;"moeda")*(Inputs!$G$5:$G$230&lt;&gt;"acoes")))*INDEX(Inputs!$K$5:$AJ$230,0,MATCH(F$2,Inputs!$K$4:$AJ$4,0)))+SUMPRODUCT((Inputs!$C$5:$C$230=$B58)*Inputs!$D$5:$D$230*(((Inputs!$G$5:$G$230="moeda")+(Inputs!$G$5:$G$230="acoes"))*Inputs!$B$1+((Inputs!$G$5:$G$230&lt;&gt;"moeda")*(Inputs!$G$5:$G$230&lt;&gt;"acoes")))*INDEX(Inputs!$K$5:$AJ$230,0,MATCH(F$2,Inputs!$K$4:$AJ$4,0)))+SUMPRODUCT((Inputs!$E$5:$E$230=$B58)*Inputs!$F$5:$F$230*(((Inputs!$G$5:$G$230="moeda")+(Inputs!$G$5:$G$230="acoes"))*Inputs!$B$1+((Inputs!$G$5:$G$230&lt;&gt;"moeda")*(Inputs!$G$5:$G$230&lt;&gt;"acoes")))*INDEX(Inputs!$K$5:$AJ$230,0,MATCH(F$2,Inputs!$K$4:$AJ$4,0)))))</f>
        <v>89.435</v>
      </c>
      <c r="G58" s="6">
        <f>IF(ISNA(MATCH(G$2,Inputs!$K$4:$AJ$4,0)),NA(),IF(SUMPRODUCT((Inputs!$A$5:$A$230=$B58)*ISNUMBER(INDEX(Inputs!$K$5:$AJ$230,0,MATCH(G$2,Inputs!$K$4:$AJ$4,0))))+SUMPRODUCT((Inputs!$C$5:$C$230=$B58)*ISNUMBER(INDEX(Inputs!$K$5:$AJ$230,0,MATCH(G$2,Inputs!$K$4:$AJ$4,0))))+SUMPRODUCT((Inputs!$E$5:$E$230=$B58)*ISNUMBER(INDEX(Inputs!$K$5:$AJ$230,0,MATCH(G$2,Inputs!$K$4:$AJ$4,0))))=0,NA(),SUMPRODUCT((Inputs!$A$5:$A$230=$B58)*Inputs!$B$5:$B$230*(((Inputs!$G$5:$G$230="moeda")+(Inputs!$G$5:$G$230="acoes"))*Inputs!$B$1+((Inputs!$G$5:$G$230&lt;&gt;"moeda")*(Inputs!$G$5:$G$230&lt;&gt;"acoes")))*INDEX(Inputs!$K$5:$AJ$230,0,MATCH(G$2,Inputs!$K$4:$AJ$4,0)))+SUMPRODUCT((Inputs!$C$5:$C$230=$B58)*Inputs!$D$5:$D$230*(((Inputs!$G$5:$G$230="moeda")+(Inputs!$G$5:$G$230="acoes"))*Inputs!$B$1+((Inputs!$G$5:$G$230&lt;&gt;"moeda")*(Inputs!$G$5:$G$230&lt;&gt;"acoes")))*INDEX(Inputs!$K$5:$AJ$230,0,MATCH(G$2,Inputs!$K$4:$AJ$4,0)))+SUMPRODUCT((Inputs!$E$5:$E$230=$B58)*Inputs!$F$5:$F$230*(((Inputs!$G$5:$G$230="moeda")+(Inputs!$G$5:$G$230="acoes"))*Inputs!$B$1+((Inputs!$G$5:$G$230&lt;&gt;"moeda")*(Inputs!$G$5:$G$230&lt;&gt;"acoes")))*INDEX(Inputs!$K$5:$AJ$230,0,MATCH(G$2,Inputs!$K$4:$AJ$4,0)))))</f>
        <v>60.356</v>
      </c>
      <c r="H58" s="3">
        <f>SUM(D58:G58)</f>
        <v>467.422</v>
      </c>
      <c r="I58" s="6">
        <f>IF(ISNA(MATCH(I$2,Inputs!$K$4:$AJ$4,0)),NA(),IF(SUMPRODUCT((Inputs!$A$5:$A$230=$B58)*ISNUMBER(INDEX(Inputs!$K$5:$AJ$230,0,MATCH(I$2,Inputs!$K$4:$AJ$4,0))))+SUMPRODUCT((Inputs!$C$5:$C$230=$B58)*ISNUMBER(INDEX(Inputs!$K$5:$AJ$230,0,MATCH(I$2,Inputs!$K$4:$AJ$4,0))))+SUMPRODUCT((Inputs!$E$5:$E$230=$B58)*ISNUMBER(INDEX(Inputs!$K$5:$AJ$230,0,MATCH(I$2,Inputs!$K$4:$AJ$4,0))))=0,NA(),SUMPRODUCT((Inputs!$A$5:$A$230=$B58)*Inputs!$B$5:$B$230*(((Inputs!$G$5:$G$230="moeda")+(Inputs!$G$5:$G$230="acoes"))*Inputs!$B$1+((Inputs!$G$5:$G$230&lt;&gt;"moeda")*(Inputs!$G$5:$G$230&lt;&gt;"acoes")))*INDEX(Inputs!$K$5:$AJ$230,0,MATCH(I$2,Inputs!$K$4:$AJ$4,0)))+SUMPRODUCT((Inputs!$C$5:$C$230=$B58)*Inputs!$D$5:$D$230*(((Inputs!$G$5:$G$230="moeda")+(Inputs!$G$5:$G$230="acoes"))*Inputs!$B$1+((Inputs!$G$5:$G$230&lt;&gt;"moeda")*(Inputs!$G$5:$G$230&lt;&gt;"acoes")))*INDEX(Inputs!$K$5:$AJ$230,0,MATCH(I$2,Inputs!$K$4:$AJ$4,0)))+SUMPRODUCT((Inputs!$E$5:$E$230=$B58)*Inputs!$F$5:$F$230*(((Inputs!$G$5:$G$230="moeda")+(Inputs!$G$5:$G$230="acoes"))*Inputs!$B$1+((Inputs!$G$5:$G$230&lt;&gt;"moeda")*(Inputs!$G$5:$G$230&lt;&gt;"acoes")))*INDEX(Inputs!$K$5:$AJ$230,0,MATCH(I$2,Inputs!$K$4:$AJ$4,0)))))</f>
        <v>129.129</v>
      </c>
      <c r="J58" s="6">
        <f>IF(ISNA(MATCH(J$2,Inputs!$K$4:$AJ$4,0)),NA(),IF(SUMPRODUCT((Inputs!$A$5:$A$230=$B58)*ISNUMBER(INDEX(Inputs!$K$5:$AJ$230,0,MATCH(J$2,Inputs!$K$4:$AJ$4,0))))+SUMPRODUCT((Inputs!$C$5:$C$230=$B58)*ISNUMBER(INDEX(Inputs!$K$5:$AJ$230,0,MATCH(J$2,Inputs!$K$4:$AJ$4,0))))+SUMPRODUCT((Inputs!$E$5:$E$230=$B58)*ISNUMBER(INDEX(Inputs!$K$5:$AJ$230,0,MATCH(J$2,Inputs!$K$4:$AJ$4,0))))=0,NA(),SUMPRODUCT((Inputs!$A$5:$A$230=$B58)*Inputs!$B$5:$B$230*(((Inputs!$G$5:$G$230="moeda")+(Inputs!$G$5:$G$230="acoes"))*Inputs!$B$1+((Inputs!$G$5:$G$230&lt;&gt;"moeda")*(Inputs!$G$5:$G$230&lt;&gt;"acoes")))*INDEX(Inputs!$K$5:$AJ$230,0,MATCH(J$2,Inputs!$K$4:$AJ$4,0)))+SUMPRODUCT((Inputs!$C$5:$C$230=$B58)*Inputs!$D$5:$D$230*(((Inputs!$G$5:$G$230="moeda")+(Inputs!$G$5:$G$230="acoes"))*Inputs!$B$1+((Inputs!$G$5:$G$230&lt;&gt;"moeda")*(Inputs!$G$5:$G$230&lt;&gt;"acoes")))*INDEX(Inputs!$K$5:$AJ$230,0,MATCH(J$2,Inputs!$K$4:$AJ$4,0)))+SUMPRODUCT((Inputs!$E$5:$E$230=$B58)*Inputs!$F$5:$F$230*(((Inputs!$G$5:$G$230="moeda")+(Inputs!$G$5:$G$230="acoes"))*Inputs!$B$1+((Inputs!$G$5:$G$230&lt;&gt;"moeda")*(Inputs!$G$5:$G$230&lt;&gt;"acoes")))*INDEX(Inputs!$K$5:$AJ$230,0,MATCH(J$2,Inputs!$K$4:$AJ$4,0)))))</f>
        <v>121.287</v>
      </c>
      <c r="K58" s="6">
        <f>IF(ISNA(MATCH(K$2,Inputs!$K$4:$AJ$4,0)),NA(),IF(SUMPRODUCT((Inputs!$A$5:$A$230=$B58)*ISNUMBER(INDEX(Inputs!$K$5:$AJ$230,0,MATCH(K$2,Inputs!$K$4:$AJ$4,0))))+SUMPRODUCT((Inputs!$C$5:$C$230=$B58)*ISNUMBER(INDEX(Inputs!$K$5:$AJ$230,0,MATCH(K$2,Inputs!$K$4:$AJ$4,0))))+SUMPRODUCT((Inputs!$E$5:$E$230=$B58)*ISNUMBER(INDEX(Inputs!$K$5:$AJ$230,0,MATCH(K$2,Inputs!$K$4:$AJ$4,0))))=0,NA(),SUMPRODUCT((Inputs!$A$5:$A$230=$B58)*Inputs!$B$5:$B$230*(((Inputs!$G$5:$G$230="moeda")+(Inputs!$G$5:$G$230="acoes"))*Inputs!$B$1+((Inputs!$G$5:$G$230&lt;&gt;"moeda")*(Inputs!$G$5:$G$230&lt;&gt;"acoes")))*INDEX(Inputs!$K$5:$AJ$230,0,MATCH(K$2,Inputs!$K$4:$AJ$4,0)))+SUMPRODUCT((Inputs!$C$5:$C$230=$B58)*Inputs!$D$5:$D$230*(((Inputs!$G$5:$G$230="moeda")+(Inputs!$G$5:$G$230="acoes"))*Inputs!$B$1+((Inputs!$G$5:$G$230&lt;&gt;"moeda")*(Inputs!$G$5:$G$230&lt;&gt;"acoes")))*INDEX(Inputs!$K$5:$AJ$230,0,MATCH(K$2,Inputs!$K$4:$AJ$4,0)))+SUMPRODUCT((Inputs!$E$5:$E$230=$B58)*Inputs!$F$5:$F$230*(((Inputs!$G$5:$G$230="moeda")+(Inputs!$G$5:$G$230="acoes"))*Inputs!$B$1+((Inputs!$G$5:$G$230&lt;&gt;"moeda")*(Inputs!$G$5:$G$230&lt;&gt;"acoes")))*INDEX(Inputs!$K$5:$AJ$230,0,MATCH(K$2,Inputs!$K$4:$AJ$4,0)))))</f>
        <v>64.751</v>
      </c>
      <c r="L58" s="6">
        <f>IF(ISNA(MATCH(L$2,Inputs!$K$4:$AJ$4,0)),NA(),IF(SUMPRODUCT((Inputs!$A$5:$A$230=$B58)*ISNUMBER(INDEX(Inputs!$K$5:$AJ$230,0,MATCH(L$2,Inputs!$K$4:$AJ$4,0))))+SUMPRODUCT((Inputs!$C$5:$C$230=$B58)*ISNUMBER(INDEX(Inputs!$K$5:$AJ$230,0,MATCH(L$2,Inputs!$K$4:$AJ$4,0))))+SUMPRODUCT((Inputs!$E$5:$E$230=$B58)*ISNUMBER(INDEX(Inputs!$K$5:$AJ$230,0,MATCH(L$2,Inputs!$K$4:$AJ$4,0))))=0,NA(),SUMPRODUCT((Inputs!$A$5:$A$230=$B58)*Inputs!$B$5:$B$230*(((Inputs!$G$5:$G$230="moeda")+(Inputs!$G$5:$G$230="acoes"))*Inputs!$B$1+((Inputs!$G$5:$G$230&lt;&gt;"moeda")*(Inputs!$G$5:$G$230&lt;&gt;"acoes")))*INDEX(Inputs!$K$5:$AJ$230,0,MATCH(L$2,Inputs!$K$4:$AJ$4,0)))+SUMPRODUCT((Inputs!$C$5:$C$230=$B58)*Inputs!$D$5:$D$230*(((Inputs!$G$5:$G$230="moeda")+(Inputs!$G$5:$G$230="acoes"))*Inputs!$B$1+((Inputs!$G$5:$G$230&lt;&gt;"moeda")*(Inputs!$G$5:$G$230&lt;&gt;"acoes")))*INDEX(Inputs!$K$5:$AJ$230,0,MATCH(L$2,Inputs!$K$4:$AJ$4,0)))+SUMPRODUCT((Inputs!$E$5:$E$230=$B58)*Inputs!$F$5:$F$230*(((Inputs!$G$5:$G$230="moeda")+(Inputs!$G$5:$G$230="acoes"))*Inputs!$B$1+((Inputs!$G$5:$G$230&lt;&gt;"moeda")*(Inputs!$G$5:$G$230&lt;&gt;"acoes")))*INDEX(Inputs!$K$5:$AJ$230,0,MATCH(L$2,Inputs!$K$4:$AJ$4,0)))))</f>
        <v>26.032</v>
      </c>
      <c r="M58" s="3">
        <f>SUM(I58:L58)</f>
        <v>341.199</v>
      </c>
      <c r="N58" s="6">
        <f>IF(ISNA(MATCH(N$2,Inputs!$K$4:$AJ$4,0)),NA(),IF(SUMPRODUCT((Inputs!$A$5:$A$230=$B58)*ISNUMBER(INDEX(Inputs!$K$5:$AJ$230,0,MATCH(N$2,Inputs!$K$4:$AJ$4,0))))+SUMPRODUCT((Inputs!$C$5:$C$230=$B58)*ISNUMBER(INDEX(Inputs!$K$5:$AJ$230,0,MATCH(N$2,Inputs!$K$4:$AJ$4,0))))+SUMPRODUCT((Inputs!$E$5:$E$230=$B58)*ISNUMBER(INDEX(Inputs!$K$5:$AJ$230,0,MATCH(N$2,Inputs!$K$4:$AJ$4,0))))=0,NA(),SUMPRODUCT((Inputs!$A$5:$A$230=$B58)*Inputs!$B$5:$B$230*(((Inputs!$G$5:$G$230="moeda")+(Inputs!$G$5:$G$230="acoes"))*Inputs!$B$1+((Inputs!$G$5:$G$230&lt;&gt;"moeda")*(Inputs!$G$5:$G$230&lt;&gt;"acoes")))*INDEX(Inputs!$K$5:$AJ$230,0,MATCH(N$2,Inputs!$K$4:$AJ$4,0)))+SUMPRODUCT((Inputs!$C$5:$C$230=$B58)*Inputs!$D$5:$D$230*(((Inputs!$G$5:$G$230="moeda")+(Inputs!$G$5:$G$230="acoes"))*Inputs!$B$1+((Inputs!$G$5:$G$230&lt;&gt;"moeda")*(Inputs!$G$5:$G$230&lt;&gt;"acoes")))*INDEX(Inputs!$K$5:$AJ$230,0,MATCH(N$2,Inputs!$K$4:$AJ$4,0)))+SUMPRODUCT((Inputs!$E$5:$E$230=$B58)*Inputs!$F$5:$F$230*(((Inputs!$G$5:$G$230="moeda")+(Inputs!$G$5:$G$230="acoes"))*Inputs!$B$1+((Inputs!$G$5:$G$230&lt;&gt;"moeda")*(Inputs!$G$5:$G$230&lt;&gt;"acoes")))*INDEX(Inputs!$K$5:$AJ$230,0,MATCH(N$2,Inputs!$K$4:$AJ$4,0)))))</f>
        <v>70.348</v>
      </c>
      <c r="O58" s="6">
        <f>IF(ISNA(MATCH(O$2,Inputs!$K$4:$AJ$4,0)),NA(),IF(SUMPRODUCT((Inputs!$A$5:$A$230=$B58)*ISNUMBER(INDEX(Inputs!$K$5:$AJ$230,0,MATCH(O$2,Inputs!$K$4:$AJ$4,0))))+SUMPRODUCT((Inputs!$C$5:$C$230=$B58)*ISNUMBER(INDEX(Inputs!$K$5:$AJ$230,0,MATCH(O$2,Inputs!$K$4:$AJ$4,0))))+SUMPRODUCT((Inputs!$E$5:$E$230=$B58)*ISNUMBER(INDEX(Inputs!$K$5:$AJ$230,0,MATCH(O$2,Inputs!$K$4:$AJ$4,0))))=0,NA(),SUMPRODUCT((Inputs!$A$5:$A$230=$B58)*Inputs!$B$5:$B$230*(((Inputs!$G$5:$G$230="moeda")+(Inputs!$G$5:$G$230="acoes"))*Inputs!$B$1+((Inputs!$G$5:$G$230&lt;&gt;"moeda")*(Inputs!$G$5:$G$230&lt;&gt;"acoes")))*INDEX(Inputs!$K$5:$AJ$230,0,MATCH(O$2,Inputs!$K$4:$AJ$4,0)))+SUMPRODUCT((Inputs!$C$5:$C$230=$B58)*Inputs!$D$5:$D$230*(((Inputs!$G$5:$G$230="moeda")+(Inputs!$G$5:$G$230="acoes"))*Inputs!$B$1+((Inputs!$G$5:$G$230&lt;&gt;"moeda")*(Inputs!$G$5:$G$230&lt;&gt;"acoes")))*INDEX(Inputs!$K$5:$AJ$230,0,MATCH(O$2,Inputs!$K$4:$AJ$4,0)))+SUMPRODUCT((Inputs!$E$5:$E$230=$B58)*Inputs!$F$5:$F$230*(((Inputs!$G$5:$G$230="moeda")+(Inputs!$G$5:$G$230="acoes"))*Inputs!$B$1+((Inputs!$G$5:$G$230&lt;&gt;"moeda")*(Inputs!$G$5:$G$230&lt;&gt;"acoes")))*INDEX(Inputs!$K$5:$AJ$230,0,MATCH(O$2,Inputs!$K$4:$AJ$4,0)))))</f>
        <v>19.009</v>
      </c>
      <c r="P58" s="6">
        <f>IF(ISNA(MATCH(P$2,Inputs!$K$4:$AJ$4,0)),NA(),IF(SUMPRODUCT((Inputs!$A$5:$A$230=$B58)*ISNUMBER(INDEX(Inputs!$K$5:$AJ$230,0,MATCH(P$2,Inputs!$K$4:$AJ$4,0))))+SUMPRODUCT((Inputs!$C$5:$C$230=$B58)*ISNUMBER(INDEX(Inputs!$K$5:$AJ$230,0,MATCH(P$2,Inputs!$K$4:$AJ$4,0))))+SUMPRODUCT((Inputs!$E$5:$E$230=$B58)*ISNUMBER(INDEX(Inputs!$K$5:$AJ$230,0,MATCH(P$2,Inputs!$K$4:$AJ$4,0))))=0,NA(),SUMPRODUCT((Inputs!$A$5:$A$230=$B58)*Inputs!$B$5:$B$230*(((Inputs!$G$5:$G$230="moeda")+(Inputs!$G$5:$G$230="acoes"))*Inputs!$B$1+((Inputs!$G$5:$G$230&lt;&gt;"moeda")*(Inputs!$G$5:$G$230&lt;&gt;"acoes")))*INDEX(Inputs!$K$5:$AJ$230,0,MATCH(P$2,Inputs!$K$4:$AJ$4,0)))+SUMPRODUCT((Inputs!$C$5:$C$230=$B58)*Inputs!$D$5:$D$230*(((Inputs!$G$5:$G$230="moeda")+(Inputs!$G$5:$G$230="acoes"))*Inputs!$B$1+((Inputs!$G$5:$G$230&lt;&gt;"moeda")*(Inputs!$G$5:$G$230&lt;&gt;"acoes")))*INDEX(Inputs!$K$5:$AJ$230,0,MATCH(P$2,Inputs!$K$4:$AJ$4,0)))+SUMPRODUCT((Inputs!$E$5:$E$230=$B58)*Inputs!$F$5:$F$230*(((Inputs!$G$5:$G$230="moeda")+(Inputs!$G$5:$G$230="acoes"))*Inputs!$B$1+((Inputs!$G$5:$G$230&lt;&gt;"moeda")*(Inputs!$G$5:$G$230&lt;&gt;"acoes")))*INDEX(Inputs!$K$5:$AJ$230,0,MATCH(P$2,Inputs!$K$4:$AJ$4,0)))))</f>
        <v>18.724</v>
      </c>
      <c r="Q58" s="6">
        <f>IF(ISNA(MATCH(Q$2,Inputs!$K$4:$AJ$4,0)),NA(),IF(SUMPRODUCT((Inputs!$A$5:$A$230=$B58)*ISNUMBER(INDEX(Inputs!$K$5:$AJ$230,0,MATCH(Q$2,Inputs!$K$4:$AJ$4,0))))+SUMPRODUCT((Inputs!$C$5:$C$230=$B58)*ISNUMBER(INDEX(Inputs!$K$5:$AJ$230,0,MATCH(Q$2,Inputs!$K$4:$AJ$4,0))))+SUMPRODUCT((Inputs!$E$5:$E$230=$B58)*ISNUMBER(INDEX(Inputs!$K$5:$AJ$230,0,MATCH(Q$2,Inputs!$K$4:$AJ$4,0))))=0,NA(),SUMPRODUCT((Inputs!$A$5:$A$230=$B58)*Inputs!$B$5:$B$230*(((Inputs!$G$5:$G$230="moeda")+(Inputs!$G$5:$G$230="acoes"))*Inputs!$B$1+((Inputs!$G$5:$G$230&lt;&gt;"moeda")*(Inputs!$G$5:$G$230&lt;&gt;"acoes")))*INDEX(Inputs!$K$5:$AJ$230,0,MATCH(Q$2,Inputs!$K$4:$AJ$4,0)))+SUMPRODUCT((Inputs!$C$5:$C$230=$B58)*Inputs!$D$5:$D$230*(((Inputs!$G$5:$G$230="moeda")+(Inputs!$G$5:$G$230="acoes"))*Inputs!$B$1+((Inputs!$G$5:$G$230&lt;&gt;"moeda")*(Inputs!$G$5:$G$230&lt;&gt;"acoes")))*INDEX(Inputs!$K$5:$AJ$230,0,MATCH(Q$2,Inputs!$K$4:$AJ$4,0)))+SUMPRODUCT((Inputs!$E$5:$E$230=$B58)*Inputs!$F$5:$F$230*(((Inputs!$G$5:$G$230="moeda")+(Inputs!$G$5:$G$230="acoes"))*Inputs!$B$1+((Inputs!$G$5:$G$230&lt;&gt;"moeda")*(Inputs!$G$5:$G$230&lt;&gt;"acoes")))*INDEX(Inputs!$K$5:$AJ$230,0,MATCH(Q$2,Inputs!$K$4:$AJ$4,0)))))</f>
        <v>79.422</v>
      </c>
      <c r="R58" s="3">
        <f>SUM(N58:Q58)</f>
        <v>187.503</v>
      </c>
      <c r="S58" s="6">
        <f>IF(ISNA(MATCH(S$2,Inputs!$K$4:$AJ$4,0)),NA(),IF(SUMPRODUCT((Inputs!$A$5:$A$230=$B58)*ISNUMBER(INDEX(Inputs!$K$5:$AJ$230,0,MATCH(S$2,Inputs!$K$4:$AJ$4,0))))+SUMPRODUCT((Inputs!$C$5:$C$230=$B58)*ISNUMBER(INDEX(Inputs!$K$5:$AJ$230,0,MATCH(S$2,Inputs!$K$4:$AJ$4,0))))+SUMPRODUCT((Inputs!$E$5:$E$230=$B58)*ISNUMBER(INDEX(Inputs!$K$5:$AJ$230,0,MATCH(S$2,Inputs!$K$4:$AJ$4,0))))=0,NA(),SUMPRODUCT((Inputs!$A$5:$A$230=$B58)*Inputs!$B$5:$B$230*(((Inputs!$G$5:$G$230="moeda")+(Inputs!$G$5:$G$230="acoes"))*Inputs!$B$1+((Inputs!$G$5:$G$230&lt;&gt;"moeda")*(Inputs!$G$5:$G$230&lt;&gt;"acoes")))*INDEX(Inputs!$K$5:$AJ$230,0,MATCH(S$2,Inputs!$K$4:$AJ$4,0)))+SUMPRODUCT((Inputs!$C$5:$C$230=$B58)*Inputs!$D$5:$D$230*(((Inputs!$G$5:$G$230="moeda")+(Inputs!$G$5:$G$230="acoes"))*Inputs!$B$1+((Inputs!$G$5:$G$230&lt;&gt;"moeda")*(Inputs!$G$5:$G$230&lt;&gt;"acoes")))*INDEX(Inputs!$K$5:$AJ$230,0,MATCH(S$2,Inputs!$K$4:$AJ$4,0)))+SUMPRODUCT((Inputs!$E$5:$E$230=$B58)*Inputs!$F$5:$F$230*(((Inputs!$G$5:$G$230="moeda")+(Inputs!$G$5:$G$230="acoes"))*Inputs!$B$1+((Inputs!$G$5:$G$230&lt;&gt;"moeda")*(Inputs!$G$5:$G$230&lt;&gt;"acoes")))*INDEX(Inputs!$K$5:$AJ$230,0,MATCH(S$2,Inputs!$K$4:$AJ$4,0)))))</f>
        <v>60.003</v>
      </c>
      <c r="T58" s="6">
        <f>IF(ISNA(MATCH(T$2,Inputs!$K$4:$AJ$4,0)),NA(),IF(SUMPRODUCT((Inputs!$A$5:$A$230=$B58)*ISNUMBER(INDEX(Inputs!$K$5:$AJ$230,0,MATCH(T$2,Inputs!$K$4:$AJ$4,0))))+SUMPRODUCT((Inputs!$C$5:$C$230=$B58)*ISNUMBER(INDEX(Inputs!$K$5:$AJ$230,0,MATCH(T$2,Inputs!$K$4:$AJ$4,0))))+SUMPRODUCT((Inputs!$E$5:$E$230=$B58)*ISNUMBER(INDEX(Inputs!$K$5:$AJ$230,0,MATCH(T$2,Inputs!$K$4:$AJ$4,0))))=0,NA(),SUMPRODUCT((Inputs!$A$5:$A$230=$B58)*Inputs!$B$5:$B$230*(((Inputs!$G$5:$G$230="moeda")+(Inputs!$G$5:$G$230="acoes"))*Inputs!$B$1+((Inputs!$G$5:$G$230&lt;&gt;"moeda")*(Inputs!$G$5:$G$230&lt;&gt;"acoes")))*INDEX(Inputs!$K$5:$AJ$230,0,MATCH(T$2,Inputs!$K$4:$AJ$4,0)))+SUMPRODUCT((Inputs!$C$5:$C$230=$B58)*Inputs!$D$5:$D$230*(((Inputs!$G$5:$G$230="moeda")+(Inputs!$G$5:$G$230="acoes"))*Inputs!$B$1+((Inputs!$G$5:$G$230&lt;&gt;"moeda")*(Inputs!$G$5:$G$230&lt;&gt;"acoes")))*INDEX(Inputs!$K$5:$AJ$230,0,MATCH(T$2,Inputs!$K$4:$AJ$4,0)))+SUMPRODUCT((Inputs!$E$5:$E$230=$B58)*Inputs!$F$5:$F$230*(((Inputs!$G$5:$G$230="moeda")+(Inputs!$G$5:$G$230="acoes"))*Inputs!$B$1+((Inputs!$G$5:$G$230&lt;&gt;"moeda")*(Inputs!$G$5:$G$230&lt;&gt;"acoes")))*INDEX(Inputs!$K$5:$AJ$230,0,MATCH(T$2,Inputs!$K$4:$AJ$4,0)))))</f>
        <v>64.939</v>
      </c>
      <c r="U58" s="6">
        <f>IF(ISNA(MATCH(U$2,Inputs!$K$4:$AJ$4,0)),NA(),IF(SUMPRODUCT((Inputs!$A$5:$A$230=$B58)*ISNUMBER(INDEX(Inputs!$K$5:$AJ$230,0,MATCH(U$2,Inputs!$K$4:$AJ$4,0))))+SUMPRODUCT((Inputs!$C$5:$C$230=$B58)*ISNUMBER(INDEX(Inputs!$K$5:$AJ$230,0,MATCH(U$2,Inputs!$K$4:$AJ$4,0))))+SUMPRODUCT((Inputs!$E$5:$E$230=$B58)*ISNUMBER(INDEX(Inputs!$K$5:$AJ$230,0,MATCH(U$2,Inputs!$K$4:$AJ$4,0))))=0,NA(),SUMPRODUCT((Inputs!$A$5:$A$230=$B58)*Inputs!$B$5:$B$230*(((Inputs!$G$5:$G$230="moeda")+(Inputs!$G$5:$G$230="acoes"))*Inputs!$B$1+((Inputs!$G$5:$G$230&lt;&gt;"moeda")*(Inputs!$G$5:$G$230&lt;&gt;"acoes")))*INDEX(Inputs!$K$5:$AJ$230,0,MATCH(U$2,Inputs!$K$4:$AJ$4,0)))+SUMPRODUCT((Inputs!$C$5:$C$230=$B58)*Inputs!$D$5:$D$230*(((Inputs!$G$5:$G$230="moeda")+(Inputs!$G$5:$G$230="acoes"))*Inputs!$B$1+((Inputs!$G$5:$G$230&lt;&gt;"moeda")*(Inputs!$G$5:$G$230&lt;&gt;"acoes")))*INDEX(Inputs!$K$5:$AJ$230,0,MATCH(U$2,Inputs!$K$4:$AJ$4,0)))+SUMPRODUCT((Inputs!$E$5:$E$230=$B58)*Inputs!$F$5:$F$230*(((Inputs!$G$5:$G$230="moeda")+(Inputs!$G$5:$G$230="acoes"))*Inputs!$B$1+((Inputs!$G$5:$G$230&lt;&gt;"moeda")*(Inputs!$G$5:$G$230&lt;&gt;"acoes")))*INDEX(Inputs!$K$5:$AJ$230,0,MATCH(U$2,Inputs!$K$4:$AJ$4,0)))))</f>
        <v>73.684</v>
      </c>
      <c r="V58" s="6">
        <f>IF(ISNA(MATCH(V$2,Inputs!$K$4:$AJ$4,0)),NA(),IF(SUMPRODUCT((Inputs!$A$5:$A$230=$B58)*ISNUMBER(INDEX(Inputs!$K$5:$AJ$230,0,MATCH(V$2,Inputs!$K$4:$AJ$4,0))))+SUMPRODUCT((Inputs!$C$5:$C$230=$B58)*ISNUMBER(INDEX(Inputs!$K$5:$AJ$230,0,MATCH(V$2,Inputs!$K$4:$AJ$4,0))))+SUMPRODUCT((Inputs!$E$5:$E$230=$B58)*ISNUMBER(INDEX(Inputs!$K$5:$AJ$230,0,MATCH(V$2,Inputs!$K$4:$AJ$4,0))))=0,NA(),SUMPRODUCT((Inputs!$A$5:$A$230=$B58)*Inputs!$B$5:$B$230*(((Inputs!$G$5:$G$230="moeda")+(Inputs!$G$5:$G$230="acoes"))*Inputs!$B$1+((Inputs!$G$5:$G$230&lt;&gt;"moeda")*(Inputs!$G$5:$G$230&lt;&gt;"acoes")))*INDEX(Inputs!$K$5:$AJ$230,0,MATCH(V$2,Inputs!$K$4:$AJ$4,0)))+SUMPRODUCT((Inputs!$C$5:$C$230=$B58)*Inputs!$D$5:$D$230*(((Inputs!$G$5:$G$230="moeda")+(Inputs!$G$5:$G$230="acoes"))*Inputs!$B$1+((Inputs!$G$5:$G$230&lt;&gt;"moeda")*(Inputs!$G$5:$G$230&lt;&gt;"acoes")))*INDEX(Inputs!$K$5:$AJ$230,0,MATCH(V$2,Inputs!$K$4:$AJ$4,0)))+SUMPRODUCT((Inputs!$E$5:$E$230=$B58)*Inputs!$F$5:$F$230*(((Inputs!$G$5:$G$230="moeda")+(Inputs!$G$5:$G$230="acoes"))*Inputs!$B$1+((Inputs!$G$5:$G$230&lt;&gt;"moeda")*(Inputs!$G$5:$G$230&lt;&gt;"acoes")))*INDEX(Inputs!$K$5:$AJ$230,0,MATCH(V$2,Inputs!$K$4:$AJ$4,0)))))</f>
        <v>99.562</v>
      </c>
      <c r="W58" s="3">
        <f>SUM(S58:V58)</f>
        <v>298.188</v>
      </c>
      <c r="X58" s="6">
        <f>IF(ISNA(MATCH(X$2,Inputs!$K$4:$AJ$4,0)),NA(),IF(SUMPRODUCT((Inputs!$A$5:$A$230=$B58)*ISNUMBER(INDEX(Inputs!$K$5:$AJ$230,0,MATCH(X$2,Inputs!$K$4:$AJ$4,0))))+SUMPRODUCT((Inputs!$C$5:$C$230=$B58)*ISNUMBER(INDEX(Inputs!$K$5:$AJ$230,0,MATCH(X$2,Inputs!$K$4:$AJ$4,0))))+SUMPRODUCT((Inputs!$E$5:$E$230=$B58)*ISNUMBER(INDEX(Inputs!$K$5:$AJ$230,0,MATCH(X$2,Inputs!$K$4:$AJ$4,0))))=0,NA(),SUMPRODUCT((Inputs!$A$5:$A$230=$B58)*Inputs!$B$5:$B$230*(((Inputs!$G$5:$G$230="moeda")+(Inputs!$G$5:$G$230="acoes"))*Inputs!$B$1+((Inputs!$G$5:$G$230&lt;&gt;"moeda")*(Inputs!$G$5:$G$230&lt;&gt;"acoes")))*INDEX(Inputs!$K$5:$AJ$230,0,MATCH(X$2,Inputs!$K$4:$AJ$4,0)))+SUMPRODUCT((Inputs!$C$5:$C$230=$B58)*Inputs!$D$5:$D$230*(((Inputs!$G$5:$G$230="moeda")+(Inputs!$G$5:$G$230="acoes"))*Inputs!$B$1+((Inputs!$G$5:$G$230&lt;&gt;"moeda")*(Inputs!$G$5:$G$230&lt;&gt;"acoes")))*INDEX(Inputs!$K$5:$AJ$230,0,MATCH(X$2,Inputs!$K$4:$AJ$4,0)))+SUMPRODUCT((Inputs!$E$5:$E$230=$B58)*Inputs!$F$5:$F$230*(((Inputs!$G$5:$G$230="moeda")+(Inputs!$G$5:$G$230="acoes"))*Inputs!$B$1+((Inputs!$G$5:$G$230&lt;&gt;"moeda")*(Inputs!$G$5:$G$230&lt;&gt;"acoes")))*INDEX(Inputs!$K$5:$AJ$230,0,MATCH(X$2,Inputs!$K$4:$AJ$4,0)))))</f>
        <v>84.531</v>
      </c>
      <c r="Y58" s="6">
        <f>IF(ISNA(MATCH(Y$2,Inputs!$K$4:$AJ$4,0)),NA(),IF(SUMPRODUCT((Inputs!$A$5:$A$230=$B58)*ISNUMBER(INDEX(Inputs!$K$5:$AJ$230,0,MATCH(Y$2,Inputs!$K$4:$AJ$4,0))))+SUMPRODUCT((Inputs!$C$5:$C$230=$B58)*ISNUMBER(INDEX(Inputs!$K$5:$AJ$230,0,MATCH(Y$2,Inputs!$K$4:$AJ$4,0))))+SUMPRODUCT((Inputs!$E$5:$E$230=$B58)*ISNUMBER(INDEX(Inputs!$K$5:$AJ$230,0,MATCH(Y$2,Inputs!$K$4:$AJ$4,0))))=0,NA(),SUMPRODUCT((Inputs!$A$5:$A$230=$B58)*Inputs!$B$5:$B$230*(((Inputs!$G$5:$G$230="moeda")+(Inputs!$G$5:$G$230="acoes"))*Inputs!$B$1+((Inputs!$G$5:$G$230&lt;&gt;"moeda")*(Inputs!$G$5:$G$230&lt;&gt;"acoes")))*INDEX(Inputs!$K$5:$AJ$230,0,MATCH(Y$2,Inputs!$K$4:$AJ$4,0)))+SUMPRODUCT((Inputs!$C$5:$C$230=$B58)*Inputs!$D$5:$D$230*(((Inputs!$G$5:$G$230="moeda")+(Inputs!$G$5:$G$230="acoes"))*Inputs!$B$1+((Inputs!$G$5:$G$230&lt;&gt;"moeda")*(Inputs!$G$5:$G$230&lt;&gt;"acoes")))*INDEX(Inputs!$K$5:$AJ$230,0,MATCH(Y$2,Inputs!$K$4:$AJ$4,0)))+SUMPRODUCT((Inputs!$E$5:$E$230=$B58)*Inputs!$F$5:$F$230*(((Inputs!$G$5:$G$230="moeda")+(Inputs!$G$5:$G$230="acoes"))*Inputs!$B$1+((Inputs!$G$5:$G$230&lt;&gt;"moeda")*(Inputs!$G$5:$G$230&lt;&gt;"acoes")))*INDEX(Inputs!$K$5:$AJ$230,0,MATCH(Y$2,Inputs!$K$4:$AJ$4,0)))))</f>
        <v>48.536</v>
      </c>
      <c r="Z58" s="6">
        <f>IF(ISNA(MATCH(Z$2,Inputs!$K$4:$AJ$4,0)),NA(),IF(SUMPRODUCT((Inputs!$A$5:$A$230=$B58)*ISNUMBER(INDEX(Inputs!$K$5:$AJ$230,0,MATCH(Z$2,Inputs!$K$4:$AJ$4,0))))+SUMPRODUCT((Inputs!$C$5:$C$230=$B58)*ISNUMBER(INDEX(Inputs!$K$5:$AJ$230,0,MATCH(Z$2,Inputs!$K$4:$AJ$4,0))))+SUMPRODUCT((Inputs!$E$5:$E$230=$B58)*ISNUMBER(INDEX(Inputs!$K$5:$AJ$230,0,MATCH(Z$2,Inputs!$K$4:$AJ$4,0))))=0,NA(),SUMPRODUCT((Inputs!$A$5:$A$230=$B58)*Inputs!$B$5:$B$230*(((Inputs!$G$5:$G$230="moeda")+(Inputs!$G$5:$G$230="acoes"))*Inputs!$B$1+((Inputs!$G$5:$G$230&lt;&gt;"moeda")*(Inputs!$G$5:$G$230&lt;&gt;"acoes")))*INDEX(Inputs!$K$5:$AJ$230,0,MATCH(Z$2,Inputs!$K$4:$AJ$4,0)))+SUMPRODUCT((Inputs!$C$5:$C$230=$B58)*Inputs!$D$5:$D$230*(((Inputs!$G$5:$G$230="moeda")+(Inputs!$G$5:$G$230="acoes"))*Inputs!$B$1+((Inputs!$G$5:$G$230&lt;&gt;"moeda")*(Inputs!$G$5:$G$230&lt;&gt;"acoes")))*INDEX(Inputs!$K$5:$AJ$230,0,MATCH(Z$2,Inputs!$K$4:$AJ$4,0)))+SUMPRODUCT((Inputs!$E$5:$E$230=$B58)*Inputs!$F$5:$F$230*(((Inputs!$G$5:$G$230="moeda")+(Inputs!$G$5:$G$230="acoes"))*Inputs!$B$1+((Inputs!$G$5:$G$230&lt;&gt;"moeda")*(Inputs!$G$5:$G$230&lt;&gt;"acoes")))*INDEX(Inputs!$K$5:$AJ$230,0,MATCH(Z$2,Inputs!$K$4:$AJ$4,0)))))</f>
        <v>72.832</v>
      </c>
      <c r="AA58" s="6">
        <f>IF(ISNA(MATCH(AA$2,Inputs!$K$4:$AJ$4,0)),NA(),IF(SUMPRODUCT((Inputs!$A$5:$A$230=$B58)*ISNUMBER(INDEX(Inputs!$K$5:$AJ$230,0,MATCH(AA$2,Inputs!$K$4:$AJ$4,0))))+SUMPRODUCT((Inputs!$C$5:$C$230=$B58)*ISNUMBER(INDEX(Inputs!$K$5:$AJ$230,0,MATCH(AA$2,Inputs!$K$4:$AJ$4,0))))+SUMPRODUCT((Inputs!$E$5:$E$230=$B58)*ISNUMBER(INDEX(Inputs!$K$5:$AJ$230,0,MATCH(AA$2,Inputs!$K$4:$AJ$4,0))))=0,NA(),SUMPRODUCT((Inputs!$A$5:$A$230=$B58)*Inputs!$B$5:$B$230*(((Inputs!$G$5:$G$230="moeda")+(Inputs!$G$5:$G$230="acoes"))*Inputs!$B$1+((Inputs!$G$5:$G$230&lt;&gt;"moeda")*(Inputs!$G$5:$G$230&lt;&gt;"acoes")))*INDEX(Inputs!$K$5:$AJ$230,0,MATCH(AA$2,Inputs!$K$4:$AJ$4,0)))+SUMPRODUCT((Inputs!$C$5:$C$230=$B58)*Inputs!$D$5:$D$230*(((Inputs!$G$5:$G$230="moeda")+(Inputs!$G$5:$G$230="acoes"))*Inputs!$B$1+((Inputs!$G$5:$G$230&lt;&gt;"moeda")*(Inputs!$G$5:$G$230&lt;&gt;"acoes")))*INDEX(Inputs!$K$5:$AJ$230,0,MATCH(AA$2,Inputs!$K$4:$AJ$4,0)))+SUMPRODUCT((Inputs!$E$5:$E$230=$B58)*Inputs!$F$5:$F$230*(((Inputs!$G$5:$G$230="moeda")+(Inputs!$G$5:$G$230="acoes"))*Inputs!$B$1+((Inputs!$G$5:$G$230&lt;&gt;"moeda")*(Inputs!$G$5:$G$230&lt;&gt;"acoes")))*INDEX(Inputs!$K$5:$AJ$230,0,MATCH(AA$2,Inputs!$K$4:$AJ$4,0)))))</f>
        <v>84.444</v>
      </c>
      <c r="AB58" s="3">
        <f>SUM(X58:AA58)</f>
        <v>290.343</v>
      </c>
      <c r="AC58" s="6">
        <f>IF(ISNA(MATCH(AC$2,Inputs!$K$4:$AJ$4,0)),NA(),IF(SUMPRODUCT((Inputs!$A$5:$A$230=$B58)*ISNUMBER(INDEX(Inputs!$K$5:$AJ$230,0,MATCH(AC$2,Inputs!$K$4:$AJ$4,0))))+SUMPRODUCT((Inputs!$C$5:$C$230=$B58)*ISNUMBER(INDEX(Inputs!$K$5:$AJ$230,0,MATCH(AC$2,Inputs!$K$4:$AJ$4,0))))+SUMPRODUCT((Inputs!$E$5:$E$230=$B58)*ISNUMBER(INDEX(Inputs!$K$5:$AJ$230,0,MATCH(AC$2,Inputs!$K$4:$AJ$4,0))))=0,NA(),SUMPRODUCT((Inputs!$A$5:$A$230=$B58)*Inputs!$B$5:$B$230*(((Inputs!$G$5:$G$230="moeda")+(Inputs!$G$5:$G$230="acoes"))*Inputs!$B$1+((Inputs!$G$5:$G$230&lt;&gt;"moeda")*(Inputs!$G$5:$G$230&lt;&gt;"acoes")))*INDEX(Inputs!$K$5:$AJ$230,0,MATCH(AC$2,Inputs!$K$4:$AJ$4,0)))+SUMPRODUCT((Inputs!$C$5:$C$230=$B58)*Inputs!$D$5:$D$230*(((Inputs!$G$5:$G$230="moeda")+(Inputs!$G$5:$G$230="acoes"))*Inputs!$B$1+((Inputs!$G$5:$G$230&lt;&gt;"moeda")*(Inputs!$G$5:$G$230&lt;&gt;"acoes")))*INDEX(Inputs!$K$5:$AJ$230,0,MATCH(AC$2,Inputs!$K$4:$AJ$4,0)))+SUMPRODUCT((Inputs!$E$5:$E$230=$B58)*Inputs!$F$5:$F$230*(((Inputs!$G$5:$G$230="moeda")+(Inputs!$G$5:$G$230="acoes"))*Inputs!$B$1+((Inputs!$G$5:$G$230&lt;&gt;"moeda")*(Inputs!$G$5:$G$230&lt;&gt;"acoes")))*INDEX(Inputs!$K$5:$AJ$230,0,MATCH(AC$2,Inputs!$K$4:$AJ$4,0)))))</f>
        <v>125.373</v>
      </c>
      <c r="AD58" s="6">
        <f>IF(ISNA(MATCH(AD$2,Inputs!$K$4:$AJ$4,0)),NA(),IF(SUMPRODUCT((Inputs!$A$5:$A$230=$B58)*ISNUMBER(INDEX(Inputs!$K$5:$AJ$230,0,MATCH(AD$2,Inputs!$K$4:$AJ$4,0))))+SUMPRODUCT((Inputs!$C$5:$C$230=$B58)*ISNUMBER(INDEX(Inputs!$K$5:$AJ$230,0,MATCH(AD$2,Inputs!$K$4:$AJ$4,0))))+SUMPRODUCT((Inputs!$E$5:$E$230=$B58)*ISNUMBER(INDEX(Inputs!$K$5:$AJ$230,0,MATCH(AD$2,Inputs!$K$4:$AJ$4,0))))=0,NA(),SUMPRODUCT((Inputs!$A$5:$A$230=$B58)*Inputs!$B$5:$B$230*(((Inputs!$G$5:$G$230="moeda")+(Inputs!$G$5:$G$230="acoes"))*Inputs!$B$1+((Inputs!$G$5:$G$230&lt;&gt;"moeda")*(Inputs!$G$5:$G$230&lt;&gt;"acoes")))*INDEX(Inputs!$K$5:$AJ$230,0,MATCH(AD$2,Inputs!$K$4:$AJ$4,0)))+SUMPRODUCT((Inputs!$C$5:$C$230=$B58)*Inputs!$D$5:$D$230*(((Inputs!$G$5:$G$230="moeda")+(Inputs!$G$5:$G$230="acoes"))*Inputs!$B$1+((Inputs!$G$5:$G$230&lt;&gt;"moeda")*(Inputs!$G$5:$G$230&lt;&gt;"acoes")))*INDEX(Inputs!$K$5:$AJ$230,0,MATCH(AD$2,Inputs!$K$4:$AJ$4,0)))+SUMPRODUCT((Inputs!$E$5:$E$230=$B58)*Inputs!$F$5:$F$230*(((Inputs!$G$5:$G$230="moeda")+(Inputs!$G$5:$G$230="acoes"))*Inputs!$B$1+((Inputs!$G$5:$G$230&lt;&gt;"moeda")*(Inputs!$G$5:$G$230&lt;&gt;"acoes")))*INDEX(Inputs!$K$5:$AJ$230,0,MATCH(AD$2,Inputs!$K$4:$AJ$4,0)))))</f>
        <v>194.523</v>
      </c>
      <c r="AE58" s="6" t="e">
        <f>IF(ISNA(MATCH(AE$2,Inputs!$K$4:$AJ$4,0)),NA(),IF(SUMPRODUCT((Inputs!$A$5:$A$230=$B58)*ISNUMBER(INDEX(Inputs!$K$5:$AJ$230,0,MATCH(AE$2,Inputs!$K$4:$AJ$4,0))))+SUMPRODUCT((Inputs!$C$5:$C$230=$B58)*ISNUMBER(INDEX(Inputs!$K$5:$AJ$230,0,MATCH(AE$2,Inputs!$K$4:$AJ$4,0))))+SUMPRODUCT((Inputs!$E$5:$E$230=$B58)*ISNUMBER(INDEX(Inputs!$K$5:$AJ$230,0,MATCH(AE$2,Inputs!$K$4:$AJ$4,0))))=0,NA(),SUMPRODUCT((Inputs!$A$5:$A$230=$B58)*Inputs!$B$5:$B$230*(((Inputs!$G$5:$G$230="moeda")+(Inputs!$G$5:$G$230="acoes"))*Inputs!$B$1+((Inputs!$G$5:$G$230&lt;&gt;"moeda")*(Inputs!$G$5:$G$230&lt;&gt;"acoes")))*INDEX(Inputs!$K$5:$AJ$230,0,MATCH(AE$2,Inputs!$K$4:$AJ$4,0)))+SUMPRODUCT((Inputs!$C$5:$C$230=$B58)*Inputs!$D$5:$D$230*(((Inputs!$G$5:$G$230="moeda")+(Inputs!$G$5:$G$230="acoes"))*Inputs!$B$1+((Inputs!$G$5:$G$230&lt;&gt;"moeda")*(Inputs!$G$5:$G$230&lt;&gt;"acoes")))*INDEX(Inputs!$K$5:$AJ$230,0,MATCH(AE$2,Inputs!$K$4:$AJ$4,0)))+SUMPRODUCT((Inputs!$E$5:$E$230=$B58)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58" s="6" t="e">
        <f>IF(ISNA(MATCH(AF$2,Inputs!$K$4:$AJ$4,0)),NA(),IF(SUMPRODUCT((Inputs!$A$5:$A$230=$B58)*ISNUMBER(INDEX(Inputs!$K$5:$AJ$230,0,MATCH(AF$2,Inputs!$K$4:$AJ$4,0))))+SUMPRODUCT((Inputs!$C$5:$C$230=$B58)*ISNUMBER(INDEX(Inputs!$K$5:$AJ$230,0,MATCH(AF$2,Inputs!$K$4:$AJ$4,0))))+SUMPRODUCT((Inputs!$E$5:$E$230=$B58)*ISNUMBER(INDEX(Inputs!$K$5:$AJ$230,0,MATCH(AF$2,Inputs!$K$4:$AJ$4,0))))=0,NA(),SUMPRODUCT((Inputs!$A$5:$A$230=$B58)*Inputs!$B$5:$B$230*(((Inputs!$G$5:$G$230="moeda")+(Inputs!$G$5:$G$230="acoes"))*Inputs!$B$1+((Inputs!$G$5:$G$230&lt;&gt;"moeda")*(Inputs!$G$5:$G$230&lt;&gt;"acoes")))*INDEX(Inputs!$K$5:$AJ$230,0,MATCH(AF$2,Inputs!$K$4:$AJ$4,0)))+SUMPRODUCT((Inputs!$C$5:$C$230=$B58)*Inputs!$D$5:$D$230*(((Inputs!$G$5:$G$230="moeda")+(Inputs!$G$5:$G$230="acoes"))*Inputs!$B$1+((Inputs!$G$5:$G$230&lt;&gt;"moeda")*(Inputs!$G$5:$G$230&lt;&gt;"acoes")))*INDEX(Inputs!$K$5:$AJ$230,0,MATCH(AF$2,Inputs!$K$4:$AJ$4,0)))+SUMPRODUCT((Inputs!$E$5:$E$230=$B58)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58" s="3" t="e">
        <f>SUM(AC58:AF58)</f>
        <v>#N/A</v>
      </c>
      <c r="AH58" s="6">
        <f>IF(ISNA(MATCH(AH$2,Inputs!$K$4:$AJ$4,0)),NA(),IF(SUMPRODUCT((Inputs!$A$5:$A$230=$B58)*ISNUMBER(INDEX(Inputs!$K$5:$AJ$230,0,MATCH(AH$2,Inputs!$K$4:$AJ$4,0))))+SUMPRODUCT((Inputs!$C$5:$C$230=$B58)*ISNUMBER(INDEX(Inputs!$K$5:$AJ$230,0,MATCH(AH$2,Inputs!$K$4:$AJ$4,0))))+SUMPRODUCT((Inputs!$E$5:$E$230=$B58)*ISNUMBER(INDEX(Inputs!$K$5:$AJ$230,0,MATCH(AH$2,Inputs!$K$4:$AJ$4,0))))=0,NA(),SUMPRODUCT((Inputs!$A$5:$A$230=$B58)*Inputs!$B$5:$B$230*(((Inputs!$G$5:$G$230="moeda")+(Inputs!$G$5:$G$230="acoes"))*Inputs!$B$1+((Inputs!$G$5:$G$230&lt;&gt;"moeda")*(Inputs!$G$5:$G$230&lt;&gt;"acoes")))*INDEX(Inputs!$K$5:$AJ$230,0,MATCH(AH$2,Inputs!$K$4:$AJ$4,0)))+SUMPRODUCT((Inputs!$C$5:$C$230=$B58)*Inputs!$D$5:$D$230*(((Inputs!$G$5:$G$230="moeda")+(Inputs!$G$5:$G$230="acoes"))*Inputs!$B$1+((Inputs!$G$5:$G$230&lt;&gt;"moeda")*(Inputs!$G$5:$G$230&lt;&gt;"acoes")))*INDEX(Inputs!$K$5:$AJ$230,0,MATCH(AH$2,Inputs!$K$4:$AJ$4,0)))+SUMPRODUCT((Inputs!$E$5:$E$230=$B58)*Inputs!$F$5:$F$230*(((Inputs!$G$5:$G$230="moeda")+(Inputs!$G$5:$G$230="acoes"))*Inputs!$B$1+((Inputs!$G$5:$G$230&lt;&gt;"moeda")*(Inputs!$G$5:$G$230&lt;&gt;"acoes")))*INDEX(Inputs!$K$5:$AJ$230,0,MATCH(AH$2,Inputs!$K$4:$AJ$4,0)))))</f>
        <v>73.371</v>
      </c>
      <c r="AI58" s="6">
        <f>IF(ISNA(MATCH(AI$2,Inputs!$K$4:$AJ$4,0)),NA(),IF(SUMPRODUCT((Inputs!$A$5:$A$230=$B58)*ISNUMBER(INDEX(Inputs!$K$5:$AJ$230,0,MATCH(AI$2,Inputs!$K$4:$AJ$4,0))))+SUMPRODUCT((Inputs!$C$5:$C$230=$B58)*ISNUMBER(INDEX(Inputs!$K$5:$AJ$230,0,MATCH(AI$2,Inputs!$K$4:$AJ$4,0))))+SUMPRODUCT((Inputs!$E$5:$E$230=$B58)*ISNUMBER(INDEX(Inputs!$K$5:$AJ$230,0,MATCH(AI$2,Inputs!$K$4:$AJ$4,0))))=0,NA(),SUMPRODUCT((Inputs!$A$5:$A$230=$B58)*Inputs!$B$5:$B$230*(((Inputs!$G$5:$G$230="moeda")+(Inputs!$G$5:$G$230="acoes"))*Inputs!$B$1+((Inputs!$G$5:$G$230&lt;&gt;"moeda")*(Inputs!$G$5:$G$230&lt;&gt;"acoes")))*INDEX(Inputs!$K$5:$AJ$230,0,MATCH(AI$2,Inputs!$K$4:$AJ$4,0)))+SUMPRODUCT((Inputs!$C$5:$C$230=$B58)*Inputs!$D$5:$D$230*(((Inputs!$G$5:$G$230="moeda")+(Inputs!$G$5:$G$230="acoes"))*Inputs!$B$1+((Inputs!$G$5:$G$230&lt;&gt;"moeda")*(Inputs!$G$5:$G$230&lt;&gt;"acoes")))*INDEX(Inputs!$K$5:$AJ$230,0,MATCH(AI$2,Inputs!$K$4:$AJ$4,0)))+SUMPRODUCT((Inputs!$E$5:$E$230=$B58)*Inputs!$F$5:$F$230*(((Inputs!$G$5:$G$230="moeda")+(Inputs!$G$5:$G$230="acoes"))*Inputs!$B$1+((Inputs!$G$5:$G$230&lt;&gt;"moeda")*(Inputs!$G$5:$G$230&lt;&gt;"acoes")))*INDEX(Inputs!$K$5:$AJ$230,0,MATCH(AI$2,Inputs!$K$4:$AJ$4,0)))))</f>
        <v>76.838</v>
      </c>
      <c r="AJ58" s="6">
        <f>IF(ISNA(MATCH(AJ$2,Inputs!$K$4:$AJ$4,0)),NA(),IF(SUMPRODUCT((Inputs!$A$5:$A$230=$B58)*ISNUMBER(INDEX(Inputs!$K$5:$AJ$230,0,MATCH(AJ$2,Inputs!$K$4:$AJ$4,0))))+SUMPRODUCT((Inputs!$C$5:$C$230=$B58)*ISNUMBER(INDEX(Inputs!$K$5:$AJ$230,0,MATCH(AJ$2,Inputs!$K$4:$AJ$4,0))))+SUMPRODUCT((Inputs!$E$5:$E$230=$B58)*ISNUMBER(INDEX(Inputs!$K$5:$AJ$230,0,MATCH(AJ$2,Inputs!$K$4:$AJ$4,0))))=0,NA(),SUMPRODUCT((Inputs!$A$5:$A$230=$B58)*Inputs!$B$5:$B$230*(((Inputs!$G$5:$G$230="moeda")+(Inputs!$G$5:$G$230="acoes"))*Inputs!$B$1+((Inputs!$G$5:$G$230&lt;&gt;"moeda")*(Inputs!$G$5:$G$230&lt;&gt;"acoes")))*INDEX(Inputs!$K$5:$AJ$230,0,MATCH(AJ$2,Inputs!$K$4:$AJ$4,0)))+SUMPRODUCT((Inputs!$C$5:$C$230=$B58)*Inputs!$D$5:$D$230*(((Inputs!$G$5:$G$230="moeda")+(Inputs!$G$5:$G$230="acoes"))*Inputs!$B$1+((Inputs!$G$5:$G$230&lt;&gt;"moeda")*(Inputs!$G$5:$G$230&lt;&gt;"acoes")))*INDEX(Inputs!$K$5:$AJ$230,0,MATCH(AJ$2,Inputs!$K$4:$AJ$4,0)))+SUMPRODUCT((Inputs!$E$5:$E$230=$B58)*Inputs!$F$5:$F$230*(((Inputs!$G$5:$G$230="moeda")+(Inputs!$G$5:$G$230="acoes"))*Inputs!$B$1+((Inputs!$G$5:$G$230&lt;&gt;"moeda")*(Inputs!$G$5:$G$230&lt;&gt;"acoes")))*INDEX(Inputs!$K$5:$AJ$230,0,MATCH(AJ$2,Inputs!$K$4:$AJ$4,0)))))</f>
        <v>119.599</v>
      </c>
      <c r="AK58" s="6">
        <f>IF(ISNA(MATCH(AK$2,Inputs!$K$4:$AJ$4,0)),NA(),IF(SUMPRODUCT((Inputs!$A$5:$A$230=$B58)*ISNUMBER(INDEX(Inputs!$K$5:$AJ$230,0,MATCH(AK$2,Inputs!$K$4:$AJ$4,0))))+SUMPRODUCT((Inputs!$C$5:$C$230=$B58)*ISNUMBER(INDEX(Inputs!$K$5:$AJ$230,0,MATCH(AK$2,Inputs!$K$4:$AJ$4,0))))+SUMPRODUCT((Inputs!$E$5:$E$230=$B58)*ISNUMBER(INDEX(Inputs!$K$5:$AJ$230,0,MATCH(AK$2,Inputs!$K$4:$AJ$4,0))))=0,NA(),SUMPRODUCT((Inputs!$A$5:$A$230=$B58)*Inputs!$B$5:$B$230*(((Inputs!$G$5:$G$230="moeda")+(Inputs!$G$5:$G$230="acoes"))*Inputs!$B$1+((Inputs!$G$5:$G$230&lt;&gt;"moeda")*(Inputs!$G$5:$G$230&lt;&gt;"acoes")))*INDEX(Inputs!$K$5:$AJ$230,0,MATCH(AK$2,Inputs!$K$4:$AJ$4,0)))+SUMPRODUCT((Inputs!$C$5:$C$230=$B58)*Inputs!$D$5:$D$230*(((Inputs!$G$5:$G$230="moeda")+(Inputs!$G$5:$G$230="acoes"))*Inputs!$B$1+((Inputs!$G$5:$G$230&lt;&gt;"moeda")*(Inputs!$G$5:$G$230&lt;&gt;"acoes")))*INDEX(Inputs!$K$5:$AJ$230,0,MATCH(AK$2,Inputs!$K$4:$AJ$4,0)))+SUMPRODUCT((Inputs!$E$5:$E$230=$B58)*Inputs!$F$5:$F$230*(((Inputs!$G$5:$G$230="moeda")+(Inputs!$G$5:$G$230="acoes"))*Inputs!$B$1+((Inputs!$G$5:$G$230&lt;&gt;"moeda")*(Inputs!$G$5:$G$230&lt;&gt;"acoes")))*INDEX(Inputs!$K$5:$AJ$230,0,MATCH(AK$2,Inputs!$K$4:$AJ$4,0)))))</f>
        <v>172.701</v>
      </c>
      <c r="AL58" s="3">
        <f>SUM(AH58:AK58)</f>
        <v>442.509</v>
      </c>
    </row>
    <row r="59">
      <c r="B59" s="46" t="n">
        <v>51</v>
      </c>
      <c r="C59" s="29" t="inlineStr">
        <is>
          <t>Transmissao | ETEP</t>
        </is>
      </c>
      <c r="D59" s="6">
        <f>IF(ISNA(MATCH(D$2,Inputs!$K$4:$AJ$4,0)),NA(),IF(SUMPRODUCT((Inputs!$A$5:$A$230=$B59)*ISNUMBER(INDEX(Inputs!$K$5:$AJ$230,0,MATCH(D$2,Inputs!$K$4:$AJ$4,0))))+SUMPRODUCT((Inputs!$C$5:$C$230=$B59)*ISNUMBER(INDEX(Inputs!$K$5:$AJ$230,0,MATCH(D$2,Inputs!$K$4:$AJ$4,0))))+SUMPRODUCT((Inputs!$E$5:$E$230=$B59)*ISNUMBER(INDEX(Inputs!$K$5:$AJ$230,0,MATCH(D$2,Inputs!$K$4:$AJ$4,0))))=0,NA(),SUMPRODUCT((Inputs!$A$5:$A$230=$B59)*Inputs!$B$5:$B$230*(((Inputs!$G$5:$G$230="moeda")+(Inputs!$G$5:$G$230="acoes"))*Inputs!$B$1+((Inputs!$G$5:$G$230&lt;&gt;"moeda")*(Inputs!$G$5:$G$230&lt;&gt;"acoes")))*INDEX(Inputs!$K$5:$AJ$230,0,MATCH(D$2,Inputs!$K$4:$AJ$4,0)))+SUMPRODUCT((Inputs!$C$5:$C$230=$B59)*Inputs!$D$5:$D$230*(((Inputs!$G$5:$G$230="moeda")+(Inputs!$G$5:$G$230="acoes"))*Inputs!$B$1+((Inputs!$G$5:$G$230&lt;&gt;"moeda")*(Inputs!$G$5:$G$230&lt;&gt;"acoes")))*INDEX(Inputs!$K$5:$AJ$230,0,MATCH(D$2,Inputs!$K$4:$AJ$4,0)))+SUMPRODUCT((Inputs!$E$5:$E$230=$B59)*Inputs!$F$5:$F$230*(((Inputs!$G$5:$G$230="moeda")+(Inputs!$G$5:$G$230="acoes"))*Inputs!$B$1+((Inputs!$G$5:$G$230&lt;&gt;"moeda")*(Inputs!$G$5:$G$230&lt;&gt;"acoes")))*INDEX(Inputs!$K$5:$AJ$230,0,MATCH(D$2,Inputs!$K$4:$AJ$4,0)))))</f>
        <v>30.299</v>
      </c>
      <c r="E59" s="6">
        <f>IF(ISNA(MATCH(E$2,Inputs!$K$4:$AJ$4,0)),NA(),IF(SUMPRODUCT((Inputs!$A$5:$A$230=$B59)*ISNUMBER(INDEX(Inputs!$K$5:$AJ$230,0,MATCH(E$2,Inputs!$K$4:$AJ$4,0))))+SUMPRODUCT((Inputs!$C$5:$C$230=$B59)*ISNUMBER(INDEX(Inputs!$K$5:$AJ$230,0,MATCH(E$2,Inputs!$K$4:$AJ$4,0))))+SUMPRODUCT((Inputs!$E$5:$E$230=$B59)*ISNUMBER(INDEX(Inputs!$K$5:$AJ$230,0,MATCH(E$2,Inputs!$K$4:$AJ$4,0))))=0,NA(),SUMPRODUCT((Inputs!$A$5:$A$230=$B59)*Inputs!$B$5:$B$230*(((Inputs!$G$5:$G$230="moeda")+(Inputs!$G$5:$G$230="acoes"))*Inputs!$B$1+((Inputs!$G$5:$G$230&lt;&gt;"moeda")*(Inputs!$G$5:$G$230&lt;&gt;"acoes")))*INDEX(Inputs!$K$5:$AJ$230,0,MATCH(E$2,Inputs!$K$4:$AJ$4,0)))+SUMPRODUCT((Inputs!$C$5:$C$230=$B59)*Inputs!$D$5:$D$230*(((Inputs!$G$5:$G$230="moeda")+(Inputs!$G$5:$G$230="acoes"))*Inputs!$B$1+((Inputs!$G$5:$G$230&lt;&gt;"moeda")*(Inputs!$G$5:$G$230&lt;&gt;"acoes")))*INDEX(Inputs!$K$5:$AJ$230,0,MATCH(E$2,Inputs!$K$4:$AJ$4,0)))+SUMPRODUCT((Inputs!$E$5:$E$230=$B59)*Inputs!$F$5:$F$230*(((Inputs!$G$5:$G$230="moeda")+(Inputs!$G$5:$G$230="acoes"))*Inputs!$B$1+((Inputs!$G$5:$G$230&lt;&gt;"moeda")*(Inputs!$G$5:$G$230&lt;&gt;"acoes")))*INDEX(Inputs!$K$5:$AJ$230,0,MATCH(E$2,Inputs!$K$4:$AJ$4,0)))))</f>
        <v>41.039</v>
      </c>
      <c r="F59" s="6">
        <f>IF(ISNA(MATCH(F$2,Inputs!$K$4:$AJ$4,0)),NA(),IF(SUMPRODUCT((Inputs!$A$5:$A$230=$B59)*ISNUMBER(INDEX(Inputs!$K$5:$AJ$230,0,MATCH(F$2,Inputs!$K$4:$AJ$4,0))))+SUMPRODUCT((Inputs!$C$5:$C$230=$B59)*ISNUMBER(INDEX(Inputs!$K$5:$AJ$230,0,MATCH(F$2,Inputs!$K$4:$AJ$4,0))))+SUMPRODUCT((Inputs!$E$5:$E$230=$B59)*ISNUMBER(INDEX(Inputs!$K$5:$AJ$230,0,MATCH(F$2,Inputs!$K$4:$AJ$4,0))))=0,NA(),SUMPRODUCT((Inputs!$A$5:$A$230=$B59)*Inputs!$B$5:$B$230*(((Inputs!$G$5:$G$230="moeda")+(Inputs!$G$5:$G$230="acoes"))*Inputs!$B$1+((Inputs!$G$5:$G$230&lt;&gt;"moeda")*(Inputs!$G$5:$G$230&lt;&gt;"acoes")))*INDEX(Inputs!$K$5:$AJ$230,0,MATCH(F$2,Inputs!$K$4:$AJ$4,0)))+SUMPRODUCT((Inputs!$C$5:$C$230=$B59)*Inputs!$D$5:$D$230*(((Inputs!$G$5:$G$230="moeda")+(Inputs!$G$5:$G$230="acoes"))*Inputs!$B$1+((Inputs!$G$5:$G$230&lt;&gt;"moeda")*(Inputs!$G$5:$G$230&lt;&gt;"acoes")))*INDEX(Inputs!$K$5:$AJ$230,0,MATCH(F$2,Inputs!$K$4:$AJ$4,0)))+SUMPRODUCT((Inputs!$E$5:$E$230=$B59)*Inputs!$F$5:$F$230*(((Inputs!$G$5:$G$230="moeda")+(Inputs!$G$5:$G$230="acoes"))*Inputs!$B$1+((Inputs!$G$5:$G$230&lt;&gt;"moeda")*(Inputs!$G$5:$G$230&lt;&gt;"acoes")))*INDEX(Inputs!$K$5:$AJ$230,0,MATCH(F$2,Inputs!$K$4:$AJ$4,0)))))</f>
        <v>20.165</v>
      </c>
      <c r="G59" s="6">
        <f>IF(ISNA(MATCH(G$2,Inputs!$K$4:$AJ$4,0)),NA(),IF(SUMPRODUCT((Inputs!$A$5:$A$230=$B59)*ISNUMBER(INDEX(Inputs!$K$5:$AJ$230,0,MATCH(G$2,Inputs!$K$4:$AJ$4,0))))+SUMPRODUCT((Inputs!$C$5:$C$230=$B59)*ISNUMBER(INDEX(Inputs!$K$5:$AJ$230,0,MATCH(G$2,Inputs!$K$4:$AJ$4,0))))+SUMPRODUCT((Inputs!$E$5:$E$230=$B59)*ISNUMBER(INDEX(Inputs!$K$5:$AJ$230,0,MATCH(G$2,Inputs!$K$4:$AJ$4,0))))=0,NA(),SUMPRODUCT((Inputs!$A$5:$A$230=$B59)*Inputs!$B$5:$B$230*(((Inputs!$G$5:$G$230="moeda")+(Inputs!$G$5:$G$230="acoes"))*Inputs!$B$1+((Inputs!$G$5:$G$230&lt;&gt;"moeda")*(Inputs!$G$5:$G$230&lt;&gt;"acoes")))*INDEX(Inputs!$K$5:$AJ$230,0,MATCH(G$2,Inputs!$K$4:$AJ$4,0)))+SUMPRODUCT((Inputs!$C$5:$C$230=$B59)*Inputs!$D$5:$D$230*(((Inputs!$G$5:$G$230="moeda")+(Inputs!$G$5:$G$230="acoes"))*Inputs!$B$1+((Inputs!$G$5:$G$230&lt;&gt;"moeda")*(Inputs!$G$5:$G$230&lt;&gt;"acoes")))*INDEX(Inputs!$K$5:$AJ$230,0,MATCH(G$2,Inputs!$K$4:$AJ$4,0)))+SUMPRODUCT((Inputs!$E$5:$E$230=$B59)*Inputs!$F$5:$F$230*(((Inputs!$G$5:$G$230="moeda")+(Inputs!$G$5:$G$230="acoes"))*Inputs!$B$1+((Inputs!$G$5:$G$230&lt;&gt;"moeda")*(Inputs!$G$5:$G$230&lt;&gt;"acoes")))*INDEX(Inputs!$K$5:$AJ$230,0,MATCH(G$2,Inputs!$K$4:$AJ$4,0)))))</f>
        <v>5.949</v>
      </c>
      <c r="H59" s="3">
        <f>SUM(D59:G59)</f>
        <v>97.452</v>
      </c>
      <c r="I59" s="6">
        <f>IF(ISNA(MATCH(I$2,Inputs!$K$4:$AJ$4,0)),NA(),IF(SUMPRODUCT((Inputs!$A$5:$A$230=$B59)*ISNUMBER(INDEX(Inputs!$K$5:$AJ$230,0,MATCH(I$2,Inputs!$K$4:$AJ$4,0))))+SUMPRODUCT((Inputs!$C$5:$C$230=$B59)*ISNUMBER(INDEX(Inputs!$K$5:$AJ$230,0,MATCH(I$2,Inputs!$K$4:$AJ$4,0))))+SUMPRODUCT((Inputs!$E$5:$E$230=$B59)*ISNUMBER(INDEX(Inputs!$K$5:$AJ$230,0,MATCH(I$2,Inputs!$K$4:$AJ$4,0))))=0,NA(),SUMPRODUCT((Inputs!$A$5:$A$230=$B59)*Inputs!$B$5:$B$230*(((Inputs!$G$5:$G$230="moeda")+(Inputs!$G$5:$G$230="acoes"))*Inputs!$B$1+((Inputs!$G$5:$G$230&lt;&gt;"moeda")*(Inputs!$G$5:$G$230&lt;&gt;"acoes")))*INDEX(Inputs!$K$5:$AJ$230,0,MATCH(I$2,Inputs!$K$4:$AJ$4,0)))+SUMPRODUCT((Inputs!$C$5:$C$230=$B59)*Inputs!$D$5:$D$230*(((Inputs!$G$5:$G$230="moeda")+(Inputs!$G$5:$G$230="acoes"))*Inputs!$B$1+((Inputs!$G$5:$G$230&lt;&gt;"moeda")*(Inputs!$G$5:$G$230&lt;&gt;"acoes")))*INDEX(Inputs!$K$5:$AJ$230,0,MATCH(I$2,Inputs!$K$4:$AJ$4,0)))+SUMPRODUCT((Inputs!$E$5:$E$230=$B59)*Inputs!$F$5:$F$230*(((Inputs!$G$5:$G$230="moeda")+(Inputs!$G$5:$G$230="acoes"))*Inputs!$B$1+((Inputs!$G$5:$G$230&lt;&gt;"moeda")*(Inputs!$G$5:$G$230&lt;&gt;"acoes")))*INDEX(Inputs!$K$5:$AJ$230,0,MATCH(I$2,Inputs!$K$4:$AJ$4,0)))))</f>
        <v>29.092</v>
      </c>
      <c r="J59" s="6">
        <f>IF(ISNA(MATCH(J$2,Inputs!$K$4:$AJ$4,0)),NA(),IF(SUMPRODUCT((Inputs!$A$5:$A$230=$B59)*ISNUMBER(INDEX(Inputs!$K$5:$AJ$230,0,MATCH(J$2,Inputs!$K$4:$AJ$4,0))))+SUMPRODUCT((Inputs!$C$5:$C$230=$B59)*ISNUMBER(INDEX(Inputs!$K$5:$AJ$230,0,MATCH(J$2,Inputs!$K$4:$AJ$4,0))))+SUMPRODUCT((Inputs!$E$5:$E$230=$B59)*ISNUMBER(INDEX(Inputs!$K$5:$AJ$230,0,MATCH(J$2,Inputs!$K$4:$AJ$4,0))))=0,NA(),SUMPRODUCT((Inputs!$A$5:$A$230=$B59)*Inputs!$B$5:$B$230*(((Inputs!$G$5:$G$230="moeda")+(Inputs!$G$5:$G$230="acoes"))*Inputs!$B$1+((Inputs!$G$5:$G$230&lt;&gt;"moeda")*(Inputs!$G$5:$G$230&lt;&gt;"acoes")))*INDEX(Inputs!$K$5:$AJ$230,0,MATCH(J$2,Inputs!$K$4:$AJ$4,0)))+SUMPRODUCT((Inputs!$C$5:$C$230=$B59)*Inputs!$D$5:$D$230*(((Inputs!$G$5:$G$230="moeda")+(Inputs!$G$5:$G$230="acoes"))*Inputs!$B$1+((Inputs!$G$5:$G$230&lt;&gt;"moeda")*(Inputs!$G$5:$G$230&lt;&gt;"acoes")))*INDEX(Inputs!$K$5:$AJ$230,0,MATCH(J$2,Inputs!$K$4:$AJ$4,0)))+SUMPRODUCT((Inputs!$E$5:$E$230=$B59)*Inputs!$F$5:$F$230*(((Inputs!$G$5:$G$230="moeda")+(Inputs!$G$5:$G$230="acoes"))*Inputs!$B$1+((Inputs!$G$5:$G$230&lt;&gt;"moeda")*(Inputs!$G$5:$G$230&lt;&gt;"acoes")))*INDEX(Inputs!$K$5:$AJ$230,0,MATCH(J$2,Inputs!$K$4:$AJ$4,0)))))</f>
        <v>26.372</v>
      </c>
      <c r="K59" s="6">
        <f>IF(ISNA(MATCH(K$2,Inputs!$K$4:$AJ$4,0)),NA(),IF(SUMPRODUCT((Inputs!$A$5:$A$230=$B59)*ISNUMBER(INDEX(Inputs!$K$5:$AJ$230,0,MATCH(K$2,Inputs!$K$4:$AJ$4,0))))+SUMPRODUCT((Inputs!$C$5:$C$230=$B59)*ISNUMBER(INDEX(Inputs!$K$5:$AJ$230,0,MATCH(K$2,Inputs!$K$4:$AJ$4,0))))+SUMPRODUCT((Inputs!$E$5:$E$230=$B59)*ISNUMBER(INDEX(Inputs!$K$5:$AJ$230,0,MATCH(K$2,Inputs!$K$4:$AJ$4,0))))=0,NA(),SUMPRODUCT((Inputs!$A$5:$A$230=$B59)*Inputs!$B$5:$B$230*(((Inputs!$G$5:$G$230="moeda")+(Inputs!$G$5:$G$230="acoes"))*Inputs!$B$1+((Inputs!$G$5:$G$230&lt;&gt;"moeda")*(Inputs!$G$5:$G$230&lt;&gt;"acoes")))*INDEX(Inputs!$K$5:$AJ$230,0,MATCH(K$2,Inputs!$K$4:$AJ$4,0)))+SUMPRODUCT((Inputs!$C$5:$C$230=$B59)*Inputs!$D$5:$D$230*(((Inputs!$G$5:$G$230="moeda")+(Inputs!$G$5:$G$230="acoes"))*Inputs!$B$1+((Inputs!$G$5:$G$230&lt;&gt;"moeda")*(Inputs!$G$5:$G$230&lt;&gt;"acoes")))*INDEX(Inputs!$K$5:$AJ$230,0,MATCH(K$2,Inputs!$K$4:$AJ$4,0)))+SUMPRODUCT((Inputs!$E$5:$E$230=$B59)*Inputs!$F$5:$F$230*(((Inputs!$G$5:$G$230="moeda")+(Inputs!$G$5:$G$230="acoes"))*Inputs!$B$1+((Inputs!$G$5:$G$230&lt;&gt;"moeda")*(Inputs!$G$5:$G$230&lt;&gt;"acoes")))*INDEX(Inputs!$K$5:$AJ$230,0,MATCH(K$2,Inputs!$K$4:$AJ$4,0)))))</f>
        <v>14.811</v>
      </c>
      <c r="L59" s="6">
        <f>IF(ISNA(MATCH(L$2,Inputs!$K$4:$AJ$4,0)),NA(),IF(SUMPRODUCT((Inputs!$A$5:$A$230=$B59)*ISNUMBER(INDEX(Inputs!$K$5:$AJ$230,0,MATCH(L$2,Inputs!$K$4:$AJ$4,0))))+SUMPRODUCT((Inputs!$C$5:$C$230=$B59)*ISNUMBER(INDEX(Inputs!$K$5:$AJ$230,0,MATCH(L$2,Inputs!$K$4:$AJ$4,0))))+SUMPRODUCT((Inputs!$E$5:$E$230=$B59)*ISNUMBER(INDEX(Inputs!$K$5:$AJ$230,0,MATCH(L$2,Inputs!$K$4:$AJ$4,0))))=0,NA(),SUMPRODUCT((Inputs!$A$5:$A$230=$B59)*Inputs!$B$5:$B$230*(((Inputs!$G$5:$G$230="moeda")+(Inputs!$G$5:$G$230="acoes"))*Inputs!$B$1+((Inputs!$G$5:$G$230&lt;&gt;"moeda")*(Inputs!$G$5:$G$230&lt;&gt;"acoes")))*INDEX(Inputs!$K$5:$AJ$230,0,MATCH(L$2,Inputs!$K$4:$AJ$4,0)))+SUMPRODUCT((Inputs!$C$5:$C$230=$B59)*Inputs!$D$5:$D$230*(((Inputs!$G$5:$G$230="moeda")+(Inputs!$G$5:$G$230="acoes"))*Inputs!$B$1+((Inputs!$G$5:$G$230&lt;&gt;"moeda")*(Inputs!$G$5:$G$230&lt;&gt;"acoes")))*INDEX(Inputs!$K$5:$AJ$230,0,MATCH(L$2,Inputs!$K$4:$AJ$4,0)))+SUMPRODUCT((Inputs!$E$5:$E$230=$B59)*Inputs!$F$5:$F$230*(((Inputs!$G$5:$G$230="moeda")+(Inputs!$G$5:$G$230="acoes"))*Inputs!$B$1+((Inputs!$G$5:$G$230&lt;&gt;"moeda")*(Inputs!$G$5:$G$230&lt;&gt;"acoes")))*INDEX(Inputs!$K$5:$AJ$230,0,MATCH(L$2,Inputs!$K$4:$AJ$4,0)))))</f>
        <v>6.241</v>
      </c>
      <c r="M59" s="3">
        <f>SUM(I59:L59)</f>
        <v>76.516</v>
      </c>
      <c r="N59" s="6">
        <f>IF(ISNA(MATCH(N$2,Inputs!$K$4:$AJ$4,0)),NA(),IF(SUMPRODUCT((Inputs!$A$5:$A$230=$B59)*ISNUMBER(INDEX(Inputs!$K$5:$AJ$230,0,MATCH(N$2,Inputs!$K$4:$AJ$4,0))))+SUMPRODUCT((Inputs!$C$5:$C$230=$B59)*ISNUMBER(INDEX(Inputs!$K$5:$AJ$230,0,MATCH(N$2,Inputs!$K$4:$AJ$4,0))))+SUMPRODUCT((Inputs!$E$5:$E$230=$B59)*ISNUMBER(INDEX(Inputs!$K$5:$AJ$230,0,MATCH(N$2,Inputs!$K$4:$AJ$4,0))))=0,NA(),SUMPRODUCT((Inputs!$A$5:$A$230=$B59)*Inputs!$B$5:$B$230*(((Inputs!$G$5:$G$230="moeda")+(Inputs!$G$5:$G$230="acoes"))*Inputs!$B$1+((Inputs!$G$5:$G$230&lt;&gt;"moeda")*(Inputs!$G$5:$G$230&lt;&gt;"acoes")))*INDEX(Inputs!$K$5:$AJ$230,0,MATCH(N$2,Inputs!$K$4:$AJ$4,0)))+SUMPRODUCT((Inputs!$C$5:$C$230=$B59)*Inputs!$D$5:$D$230*(((Inputs!$G$5:$G$230="moeda")+(Inputs!$G$5:$G$230="acoes"))*Inputs!$B$1+((Inputs!$G$5:$G$230&lt;&gt;"moeda")*(Inputs!$G$5:$G$230&lt;&gt;"acoes")))*INDEX(Inputs!$K$5:$AJ$230,0,MATCH(N$2,Inputs!$K$4:$AJ$4,0)))+SUMPRODUCT((Inputs!$E$5:$E$230=$B59)*Inputs!$F$5:$F$230*(((Inputs!$G$5:$G$230="moeda")+(Inputs!$G$5:$G$230="acoes"))*Inputs!$B$1+((Inputs!$G$5:$G$230&lt;&gt;"moeda")*(Inputs!$G$5:$G$230&lt;&gt;"acoes")))*INDEX(Inputs!$K$5:$AJ$230,0,MATCH(N$2,Inputs!$K$4:$AJ$4,0)))))</f>
        <v>16.005</v>
      </c>
      <c r="O59" s="6">
        <f>IF(ISNA(MATCH(O$2,Inputs!$K$4:$AJ$4,0)),NA(),IF(SUMPRODUCT((Inputs!$A$5:$A$230=$B59)*ISNUMBER(INDEX(Inputs!$K$5:$AJ$230,0,MATCH(O$2,Inputs!$K$4:$AJ$4,0))))+SUMPRODUCT((Inputs!$C$5:$C$230=$B59)*ISNUMBER(INDEX(Inputs!$K$5:$AJ$230,0,MATCH(O$2,Inputs!$K$4:$AJ$4,0))))+SUMPRODUCT((Inputs!$E$5:$E$230=$B59)*ISNUMBER(INDEX(Inputs!$K$5:$AJ$230,0,MATCH(O$2,Inputs!$K$4:$AJ$4,0))))=0,NA(),SUMPRODUCT((Inputs!$A$5:$A$230=$B59)*Inputs!$B$5:$B$230*(((Inputs!$G$5:$G$230="moeda")+(Inputs!$G$5:$G$230="acoes"))*Inputs!$B$1+((Inputs!$G$5:$G$230&lt;&gt;"moeda")*(Inputs!$G$5:$G$230&lt;&gt;"acoes")))*INDEX(Inputs!$K$5:$AJ$230,0,MATCH(O$2,Inputs!$K$4:$AJ$4,0)))+SUMPRODUCT((Inputs!$C$5:$C$230=$B59)*Inputs!$D$5:$D$230*(((Inputs!$G$5:$G$230="moeda")+(Inputs!$G$5:$G$230="acoes"))*Inputs!$B$1+((Inputs!$G$5:$G$230&lt;&gt;"moeda")*(Inputs!$G$5:$G$230&lt;&gt;"acoes")))*INDEX(Inputs!$K$5:$AJ$230,0,MATCH(O$2,Inputs!$K$4:$AJ$4,0)))+SUMPRODUCT((Inputs!$E$5:$E$230=$B59)*Inputs!$F$5:$F$230*(((Inputs!$G$5:$G$230="moeda")+(Inputs!$G$5:$G$230="acoes"))*Inputs!$B$1+((Inputs!$G$5:$G$230&lt;&gt;"moeda")*(Inputs!$G$5:$G$230&lt;&gt;"acoes")))*INDEX(Inputs!$K$5:$AJ$230,0,MATCH(O$2,Inputs!$K$4:$AJ$4,0)))))</f>
        <v>4.288</v>
      </c>
      <c r="P59" s="6">
        <f>IF(ISNA(MATCH(P$2,Inputs!$K$4:$AJ$4,0)),NA(),IF(SUMPRODUCT((Inputs!$A$5:$A$230=$B59)*ISNUMBER(INDEX(Inputs!$K$5:$AJ$230,0,MATCH(P$2,Inputs!$K$4:$AJ$4,0))))+SUMPRODUCT((Inputs!$C$5:$C$230=$B59)*ISNUMBER(INDEX(Inputs!$K$5:$AJ$230,0,MATCH(P$2,Inputs!$K$4:$AJ$4,0))))+SUMPRODUCT((Inputs!$E$5:$E$230=$B59)*ISNUMBER(INDEX(Inputs!$K$5:$AJ$230,0,MATCH(P$2,Inputs!$K$4:$AJ$4,0))))=0,NA(),SUMPRODUCT((Inputs!$A$5:$A$230=$B59)*Inputs!$B$5:$B$230*(((Inputs!$G$5:$G$230="moeda")+(Inputs!$G$5:$G$230="acoes"))*Inputs!$B$1+((Inputs!$G$5:$G$230&lt;&gt;"moeda")*(Inputs!$G$5:$G$230&lt;&gt;"acoes")))*INDEX(Inputs!$K$5:$AJ$230,0,MATCH(P$2,Inputs!$K$4:$AJ$4,0)))+SUMPRODUCT((Inputs!$C$5:$C$230=$B59)*Inputs!$D$5:$D$230*(((Inputs!$G$5:$G$230="moeda")+(Inputs!$G$5:$G$230="acoes"))*Inputs!$B$1+((Inputs!$G$5:$G$230&lt;&gt;"moeda")*(Inputs!$G$5:$G$230&lt;&gt;"acoes")))*INDEX(Inputs!$K$5:$AJ$230,0,MATCH(P$2,Inputs!$K$4:$AJ$4,0)))+SUMPRODUCT((Inputs!$E$5:$E$230=$B59)*Inputs!$F$5:$F$230*(((Inputs!$G$5:$G$230="moeda")+(Inputs!$G$5:$G$230="acoes"))*Inputs!$B$1+((Inputs!$G$5:$G$230&lt;&gt;"moeda")*(Inputs!$G$5:$G$230&lt;&gt;"acoes")))*INDEX(Inputs!$K$5:$AJ$230,0,MATCH(P$2,Inputs!$K$4:$AJ$4,0)))))</f>
        <v>5.467</v>
      </c>
      <c r="Q59" s="6">
        <f>IF(ISNA(MATCH(Q$2,Inputs!$K$4:$AJ$4,0)),NA(),IF(SUMPRODUCT((Inputs!$A$5:$A$230=$B59)*ISNUMBER(INDEX(Inputs!$K$5:$AJ$230,0,MATCH(Q$2,Inputs!$K$4:$AJ$4,0))))+SUMPRODUCT((Inputs!$C$5:$C$230=$B59)*ISNUMBER(INDEX(Inputs!$K$5:$AJ$230,0,MATCH(Q$2,Inputs!$K$4:$AJ$4,0))))+SUMPRODUCT((Inputs!$E$5:$E$230=$B59)*ISNUMBER(INDEX(Inputs!$K$5:$AJ$230,0,MATCH(Q$2,Inputs!$K$4:$AJ$4,0))))=0,NA(),SUMPRODUCT((Inputs!$A$5:$A$230=$B59)*Inputs!$B$5:$B$230*(((Inputs!$G$5:$G$230="moeda")+(Inputs!$G$5:$G$230="acoes"))*Inputs!$B$1+((Inputs!$G$5:$G$230&lt;&gt;"moeda")*(Inputs!$G$5:$G$230&lt;&gt;"acoes")))*INDEX(Inputs!$K$5:$AJ$230,0,MATCH(Q$2,Inputs!$K$4:$AJ$4,0)))+SUMPRODUCT((Inputs!$C$5:$C$230=$B59)*Inputs!$D$5:$D$230*(((Inputs!$G$5:$G$230="moeda")+(Inputs!$G$5:$G$230="acoes"))*Inputs!$B$1+((Inputs!$G$5:$G$230&lt;&gt;"moeda")*(Inputs!$G$5:$G$230&lt;&gt;"acoes")))*INDEX(Inputs!$K$5:$AJ$230,0,MATCH(Q$2,Inputs!$K$4:$AJ$4,0)))+SUMPRODUCT((Inputs!$E$5:$E$230=$B59)*Inputs!$F$5:$F$230*(((Inputs!$G$5:$G$230="moeda")+(Inputs!$G$5:$G$230="acoes"))*Inputs!$B$1+((Inputs!$G$5:$G$230&lt;&gt;"moeda")*(Inputs!$G$5:$G$230&lt;&gt;"acoes")))*INDEX(Inputs!$K$5:$AJ$230,0,MATCH(Q$2,Inputs!$K$4:$AJ$4,0)))))</f>
        <v>17.654</v>
      </c>
      <c r="R59" s="3">
        <f>SUM(N59:Q59)</f>
        <v>43.414</v>
      </c>
      <c r="S59" s="6">
        <f>IF(ISNA(MATCH(S$2,Inputs!$K$4:$AJ$4,0)),NA(),IF(SUMPRODUCT((Inputs!$A$5:$A$230=$B59)*ISNUMBER(INDEX(Inputs!$K$5:$AJ$230,0,MATCH(S$2,Inputs!$K$4:$AJ$4,0))))+SUMPRODUCT((Inputs!$C$5:$C$230=$B59)*ISNUMBER(INDEX(Inputs!$K$5:$AJ$230,0,MATCH(S$2,Inputs!$K$4:$AJ$4,0))))+SUMPRODUCT((Inputs!$E$5:$E$230=$B59)*ISNUMBER(INDEX(Inputs!$K$5:$AJ$230,0,MATCH(S$2,Inputs!$K$4:$AJ$4,0))))=0,NA(),SUMPRODUCT((Inputs!$A$5:$A$230=$B59)*Inputs!$B$5:$B$230*(((Inputs!$G$5:$G$230="moeda")+(Inputs!$G$5:$G$230="acoes"))*Inputs!$B$1+((Inputs!$G$5:$G$230&lt;&gt;"moeda")*(Inputs!$G$5:$G$230&lt;&gt;"acoes")))*INDEX(Inputs!$K$5:$AJ$230,0,MATCH(S$2,Inputs!$K$4:$AJ$4,0)))+SUMPRODUCT((Inputs!$C$5:$C$230=$B59)*Inputs!$D$5:$D$230*(((Inputs!$G$5:$G$230="moeda")+(Inputs!$G$5:$G$230="acoes"))*Inputs!$B$1+((Inputs!$G$5:$G$230&lt;&gt;"moeda")*(Inputs!$G$5:$G$230&lt;&gt;"acoes")))*INDEX(Inputs!$K$5:$AJ$230,0,MATCH(S$2,Inputs!$K$4:$AJ$4,0)))+SUMPRODUCT((Inputs!$E$5:$E$230=$B59)*Inputs!$F$5:$F$230*(((Inputs!$G$5:$G$230="moeda")+(Inputs!$G$5:$G$230="acoes"))*Inputs!$B$1+((Inputs!$G$5:$G$230&lt;&gt;"moeda")*(Inputs!$G$5:$G$230&lt;&gt;"acoes")))*INDEX(Inputs!$K$5:$AJ$230,0,MATCH(S$2,Inputs!$K$4:$AJ$4,0)))))</f>
        <v>13.681</v>
      </c>
      <c r="T59" s="6">
        <f>IF(ISNA(MATCH(T$2,Inputs!$K$4:$AJ$4,0)),NA(),IF(SUMPRODUCT((Inputs!$A$5:$A$230=$B59)*ISNUMBER(INDEX(Inputs!$K$5:$AJ$230,0,MATCH(T$2,Inputs!$K$4:$AJ$4,0))))+SUMPRODUCT((Inputs!$C$5:$C$230=$B59)*ISNUMBER(INDEX(Inputs!$K$5:$AJ$230,0,MATCH(T$2,Inputs!$K$4:$AJ$4,0))))+SUMPRODUCT((Inputs!$E$5:$E$230=$B59)*ISNUMBER(INDEX(Inputs!$K$5:$AJ$230,0,MATCH(T$2,Inputs!$K$4:$AJ$4,0))))=0,NA(),SUMPRODUCT((Inputs!$A$5:$A$230=$B59)*Inputs!$B$5:$B$230*(((Inputs!$G$5:$G$230="moeda")+(Inputs!$G$5:$G$230="acoes"))*Inputs!$B$1+((Inputs!$G$5:$G$230&lt;&gt;"moeda")*(Inputs!$G$5:$G$230&lt;&gt;"acoes")))*INDEX(Inputs!$K$5:$AJ$230,0,MATCH(T$2,Inputs!$K$4:$AJ$4,0)))+SUMPRODUCT((Inputs!$C$5:$C$230=$B59)*Inputs!$D$5:$D$230*(((Inputs!$G$5:$G$230="moeda")+(Inputs!$G$5:$G$230="acoes"))*Inputs!$B$1+((Inputs!$G$5:$G$230&lt;&gt;"moeda")*(Inputs!$G$5:$G$230&lt;&gt;"acoes")))*INDEX(Inputs!$K$5:$AJ$230,0,MATCH(T$2,Inputs!$K$4:$AJ$4,0)))+SUMPRODUCT((Inputs!$E$5:$E$230=$B59)*Inputs!$F$5:$F$230*(((Inputs!$G$5:$G$230="moeda")+(Inputs!$G$5:$G$230="acoes"))*Inputs!$B$1+((Inputs!$G$5:$G$230&lt;&gt;"moeda")*(Inputs!$G$5:$G$230&lt;&gt;"acoes")))*INDEX(Inputs!$K$5:$AJ$230,0,MATCH(T$2,Inputs!$K$4:$AJ$4,0)))))</f>
        <v>14.856</v>
      </c>
      <c r="U59" s="6">
        <f>IF(ISNA(MATCH(U$2,Inputs!$K$4:$AJ$4,0)),NA(),IF(SUMPRODUCT((Inputs!$A$5:$A$230=$B59)*ISNUMBER(INDEX(Inputs!$K$5:$AJ$230,0,MATCH(U$2,Inputs!$K$4:$AJ$4,0))))+SUMPRODUCT((Inputs!$C$5:$C$230=$B59)*ISNUMBER(INDEX(Inputs!$K$5:$AJ$230,0,MATCH(U$2,Inputs!$K$4:$AJ$4,0))))+SUMPRODUCT((Inputs!$E$5:$E$230=$B59)*ISNUMBER(INDEX(Inputs!$K$5:$AJ$230,0,MATCH(U$2,Inputs!$K$4:$AJ$4,0))))=0,NA(),SUMPRODUCT((Inputs!$A$5:$A$230=$B59)*Inputs!$B$5:$B$230*(((Inputs!$G$5:$G$230="moeda")+(Inputs!$G$5:$G$230="acoes"))*Inputs!$B$1+((Inputs!$G$5:$G$230&lt;&gt;"moeda")*(Inputs!$G$5:$G$230&lt;&gt;"acoes")))*INDEX(Inputs!$K$5:$AJ$230,0,MATCH(U$2,Inputs!$K$4:$AJ$4,0)))+SUMPRODUCT((Inputs!$C$5:$C$230=$B59)*Inputs!$D$5:$D$230*(((Inputs!$G$5:$G$230="moeda")+(Inputs!$G$5:$G$230="acoes"))*Inputs!$B$1+((Inputs!$G$5:$G$230&lt;&gt;"moeda")*(Inputs!$G$5:$G$230&lt;&gt;"acoes")))*INDEX(Inputs!$K$5:$AJ$230,0,MATCH(U$2,Inputs!$K$4:$AJ$4,0)))+SUMPRODUCT((Inputs!$E$5:$E$230=$B59)*Inputs!$F$5:$F$230*(((Inputs!$G$5:$G$230="moeda")+(Inputs!$G$5:$G$230="acoes"))*Inputs!$B$1+((Inputs!$G$5:$G$230&lt;&gt;"moeda")*(Inputs!$G$5:$G$230&lt;&gt;"acoes")))*INDEX(Inputs!$K$5:$AJ$230,0,MATCH(U$2,Inputs!$K$4:$AJ$4,0)))))</f>
        <v>16.837</v>
      </c>
      <c r="V59" s="6">
        <f>IF(ISNA(MATCH(V$2,Inputs!$K$4:$AJ$4,0)),NA(),IF(SUMPRODUCT((Inputs!$A$5:$A$230=$B59)*ISNUMBER(INDEX(Inputs!$K$5:$AJ$230,0,MATCH(V$2,Inputs!$K$4:$AJ$4,0))))+SUMPRODUCT((Inputs!$C$5:$C$230=$B59)*ISNUMBER(INDEX(Inputs!$K$5:$AJ$230,0,MATCH(V$2,Inputs!$K$4:$AJ$4,0))))+SUMPRODUCT((Inputs!$E$5:$E$230=$B59)*ISNUMBER(INDEX(Inputs!$K$5:$AJ$230,0,MATCH(V$2,Inputs!$K$4:$AJ$4,0))))=0,NA(),SUMPRODUCT((Inputs!$A$5:$A$230=$B59)*Inputs!$B$5:$B$230*(((Inputs!$G$5:$G$230="moeda")+(Inputs!$G$5:$G$230="acoes"))*Inputs!$B$1+((Inputs!$G$5:$G$230&lt;&gt;"moeda")*(Inputs!$G$5:$G$230&lt;&gt;"acoes")))*INDEX(Inputs!$K$5:$AJ$230,0,MATCH(V$2,Inputs!$K$4:$AJ$4,0)))+SUMPRODUCT((Inputs!$C$5:$C$230=$B59)*Inputs!$D$5:$D$230*(((Inputs!$G$5:$G$230="moeda")+(Inputs!$G$5:$G$230="acoes"))*Inputs!$B$1+((Inputs!$G$5:$G$230&lt;&gt;"moeda")*(Inputs!$G$5:$G$230&lt;&gt;"acoes")))*INDEX(Inputs!$K$5:$AJ$230,0,MATCH(V$2,Inputs!$K$4:$AJ$4,0)))+SUMPRODUCT((Inputs!$E$5:$E$230=$B59)*Inputs!$F$5:$F$230*(((Inputs!$G$5:$G$230="moeda")+(Inputs!$G$5:$G$230="acoes"))*Inputs!$B$1+((Inputs!$G$5:$G$230&lt;&gt;"moeda")*(Inputs!$G$5:$G$230&lt;&gt;"acoes")))*INDEX(Inputs!$K$5:$AJ$230,0,MATCH(V$2,Inputs!$K$4:$AJ$4,0)))))</f>
        <v>22.467</v>
      </c>
      <c r="W59" s="3">
        <f>SUM(S59:V59)</f>
        <v>67.841</v>
      </c>
      <c r="X59" s="6">
        <f>IF(ISNA(MATCH(X$2,Inputs!$K$4:$AJ$4,0)),NA(),IF(SUMPRODUCT((Inputs!$A$5:$A$230=$B59)*ISNUMBER(INDEX(Inputs!$K$5:$AJ$230,0,MATCH(X$2,Inputs!$K$4:$AJ$4,0))))+SUMPRODUCT((Inputs!$C$5:$C$230=$B59)*ISNUMBER(INDEX(Inputs!$K$5:$AJ$230,0,MATCH(X$2,Inputs!$K$4:$AJ$4,0))))+SUMPRODUCT((Inputs!$E$5:$E$230=$B59)*ISNUMBER(INDEX(Inputs!$K$5:$AJ$230,0,MATCH(X$2,Inputs!$K$4:$AJ$4,0))))=0,NA(),SUMPRODUCT((Inputs!$A$5:$A$230=$B59)*Inputs!$B$5:$B$230*(((Inputs!$G$5:$G$230="moeda")+(Inputs!$G$5:$G$230="acoes"))*Inputs!$B$1+((Inputs!$G$5:$G$230&lt;&gt;"moeda")*(Inputs!$G$5:$G$230&lt;&gt;"acoes")))*INDEX(Inputs!$K$5:$AJ$230,0,MATCH(X$2,Inputs!$K$4:$AJ$4,0)))+SUMPRODUCT((Inputs!$C$5:$C$230=$B59)*Inputs!$D$5:$D$230*(((Inputs!$G$5:$G$230="moeda")+(Inputs!$G$5:$G$230="acoes"))*Inputs!$B$1+((Inputs!$G$5:$G$230&lt;&gt;"moeda")*(Inputs!$G$5:$G$230&lt;&gt;"acoes")))*INDEX(Inputs!$K$5:$AJ$230,0,MATCH(X$2,Inputs!$K$4:$AJ$4,0)))+SUMPRODUCT((Inputs!$E$5:$E$230=$B59)*Inputs!$F$5:$F$230*(((Inputs!$G$5:$G$230="moeda")+(Inputs!$G$5:$G$230="acoes"))*Inputs!$B$1+((Inputs!$G$5:$G$230&lt;&gt;"moeda")*(Inputs!$G$5:$G$230&lt;&gt;"acoes")))*INDEX(Inputs!$K$5:$AJ$230,0,MATCH(X$2,Inputs!$K$4:$AJ$4,0)))))</f>
        <v>19.09</v>
      </c>
      <c r="Y59" s="6">
        <f>IF(ISNA(MATCH(Y$2,Inputs!$K$4:$AJ$4,0)),NA(),IF(SUMPRODUCT((Inputs!$A$5:$A$230=$B59)*ISNUMBER(INDEX(Inputs!$K$5:$AJ$230,0,MATCH(Y$2,Inputs!$K$4:$AJ$4,0))))+SUMPRODUCT((Inputs!$C$5:$C$230=$B59)*ISNUMBER(INDEX(Inputs!$K$5:$AJ$230,0,MATCH(Y$2,Inputs!$K$4:$AJ$4,0))))+SUMPRODUCT((Inputs!$E$5:$E$230=$B59)*ISNUMBER(INDEX(Inputs!$K$5:$AJ$230,0,MATCH(Y$2,Inputs!$K$4:$AJ$4,0))))=0,NA(),SUMPRODUCT((Inputs!$A$5:$A$230=$B59)*Inputs!$B$5:$B$230*(((Inputs!$G$5:$G$230="moeda")+(Inputs!$G$5:$G$230="acoes"))*Inputs!$B$1+((Inputs!$G$5:$G$230&lt;&gt;"moeda")*(Inputs!$G$5:$G$230&lt;&gt;"acoes")))*INDEX(Inputs!$K$5:$AJ$230,0,MATCH(Y$2,Inputs!$K$4:$AJ$4,0)))+SUMPRODUCT((Inputs!$C$5:$C$230=$B59)*Inputs!$D$5:$D$230*(((Inputs!$G$5:$G$230="moeda")+(Inputs!$G$5:$G$230="acoes"))*Inputs!$B$1+((Inputs!$G$5:$G$230&lt;&gt;"moeda")*(Inputs!$G$5:$G$230&lt;&gt;"acoes")))*INDEX(Inputs!$K$5:$AJ$230,0,MATCH(Y$2,Inputs!$K$4:$AJ$4,0)))+SUMPRODUCT((Inputs!$E$5:$E$230=$B59)*Inputs!$F$5:$F$230*(((Inputs!$G$5:$G$230="moeda")+(Inputs!$G$5:$G$230="acoes"))*Inputs!$B$1+((Inputs!$G$5:$G$230&lt;&gt;"moeda")*(Inputs!$G$5:$G$230&lt;&gt;"acoes")))*INDEX(Inputs!$K$5:$AJ$230,0,MATCH(Y$2,Inputs!$K$4:$AJ$4,0)))))</f>
        <v>10.98</v>
      </c>
      <c r="Z59" s="6">
        <f>IF(ISNA(MATCH(Z$2,Inputs!$K$4:$AJ$4,0)),NA(),IF(SUMPRODUCT((Inputs!$A$5:$A$230=$B59)*ISNUMBER(INDEX(Inputs!$K$5:$AJ$230,0,MATCH(Z$2,Inputs!$K$4:$AJ$4,0))))+SUMPRODUCT((Inputs!$C$5:$C$230=$B59)*ISNUMBER(INDEX(Inputs!$K$5:$AJ$230,0,MATCH(Z$2,Inputs!$K$4:$AJ$4,0))))+SUMPRODUCT((Inputs!$E$5:$E$230=$B59)*ISNUMBER(INDEX(Inputs!$K$5:$AJ$230,0,MATCH(Z$2,Inputs!$K$4:$AJ$4,0))))=0,NA(),SUMPRODUCT((Inputs!$A$5:$A$230=$B59)*Inputs!$B$5:$B$230*(((Inputs!$G$5:$G$230="moeda")+(Inputs!$G$5:$G$230="acoes"))*Inputs!$B$1+((Inputs!$G$5:$G$230&lt;&gt;"moeda")*(Inputs!$G$5:$G$230&lt;&gt;"acoes")))*INDEX(Inputs!$K$5:$AJ$230,0,MATCH(Z$2,Inputs!$K$4:$AJ$4,0)))+SUMPRODUCT((Inputs!$C$5:$C$230=$B59)*Inputs!$D$5:$D$230*(((Inputs!$G$5:$G$230="moeda")+(Inputs!$G$5:$G$230="acoes"))*Inputs!$B$1+((Inputs!$G$5:$G$230&lt;&gt;"moeda")*(Inputs!$G$5:$G$230&lt;&gt;"acoes")))*INDEX(Inputs!$K$5:$AJ$230,0,MATCH(Z$2,Inputs!$K$4:$AJ$4,0)))+SUMPRODUCT((Inputs!$E$5:$E$230=$B59)*Inputs!$F$5:$F$230*(((Inputs!$G$5:$G$230="moeda")+(Inputs!$G$5:$G$230="acoes"))*Inputs!$B$1+((Inputs!$G$5:$G$230&lt;&gt;"moeda")*(Inputs!$G$5:$G$230&lt;&gt;"acoes")))*INDEX(Inputs!$K$5:$AJ$230,0,MATCH(Z$2,Inputs!$K$4:$AJ$4,0)))))</f>
        <v>10.236</v>
      </c>
      <c r="AA59" s="6">
        <f>IF(ISNA(MATCH(AA$2,Inputs!$K$4:$AJ$4,0)),NA(),IF(SUMPRODUCT((Inputs!$A$5:$A$230=$B59)*ISNUMBER(INDEX(Inputs!$K$5:$AJ$230,0,MATCH(AA$2,Inputs!$K$4:$AJ$4,0))))+SUMPRODUCT((Inputs!$C$5:$C$230=$B59)*ISNUMBER(INDEX(Inputs!$K$5:$AJ$230,0,MATCH(AA$2,Inputs!$K$4:$AJ$4,0))))+SUMPRODUCT((Inputs!$E$5:$E$230=$B59)*ISNUMBER(INDEX(Inputs!$K$5:$AJ$230,0,MATCH(AA$2,Inputs!$K$4:$AJ$4,0))))=0,NA(),SUMPRODUCT((Inputs!$A$5:$A$230=$B59)*Inputs!$B$5:$B$230*(((Inputs!$G$5:$G$230="moeda")+(Inputs!$G$5:$G$230="acoes"))*Inputs!$B$1+((Inputs!$G$5:$G$230&lt;&gt;"moeda")*(Inputs!$G$5:$G$230&lt;&gt;"acoes")))*INDEX(Inputs!$K$5:$AJ$230,0,MATCH(AA$2,Inputs!$K$4:$AJ$4,0)))+SUMPRODUCT((Inputs!$C$5:$C$230=$B59)*Inputs!$D$5:$D$230*(((Inputs!$G$5:$G$230="moeda")+(Inputs!$G$5:$G$230="acoes"))*Inputs!$B$1+((Inputs!$G$5:$G$230&lt;&gt;"moeda")*(Inputs!$G$5:$G$230&lt;&gt;"acoes")))*INDEX(Inputs!$K$5:$AJ$230,0,MATCH(AA$2,Inputs!$K$4:$AJ$4,0)))+SUMPRODUCT((Inputs!$E$5:$E$230=$B59)*Inputs!$F$5:$F$230*(((Inputs!$G$5:$G$230="moeda")+(Inputs!$G$5:$G$230="acoes"))*Inputs!$B$1+((Inputs!$G$5:$G$230&lt;&gt;"moeda")*(Inputs!$G$5:$G$230&lt;&gt;"acoes")))*INDEX(Inputs!$K$5:$AJ$230,0,MATCH(AA$2,Inputs!$K$4:$AJ$4,0)))))</f>
        <v>15.541</v>
      </c>
      <c r="AB59" s="3">
        <f>SUM(X59:AA59)</f>
        <v>55.847</v>
      </c>
      <c r="AC59" s="6">
        <f>IF(ISNA(MATCH(AC$2,Inputs!$K$4:$AJ$4,0)),NA(),IF(SUMPRODUCT((Inputs!$A$5:$A$230=$B59)*ISNUMBER(INDEX(Inputs!$K$5:$AJ$230,0,MATCH(AC$2,Inputs!$K$4:$AJ$4,0))))+SUMPRODUCT((Inputs!$C$5:$C$230=$B59)*ISNUMBER(INDEX(Inputs!$K$5:$AJ$230,0,MATCH(AC$2,Inputs!$K$4:$AJ$4,0))))+SUMPRODUCT((Inputs!$E$5:$E$230=$B59)*ISNUMBER(INDEX(Inputs!$K$5:$AJ$230,0,MATCH(AC$2,Inputs!$K$4:$AJ$4,0))))=0,NA(),SUMPRODUCT((Inputs!$A$5:$A$230=$B59)*Inputs!$B$5:$B$230*(((Inputs!$G$5:$G$230="moeda")+(Inputs!$G$5:$G$230="acoes"))*Inputs!$B$1+((Inputs!$G$5:$G$230&lt;&gt;"moeda")*(Inputs!$G$5:$G$230&lt;&gt;"acoes")))*INDEX(Inputs!$K$5:$AJ$230,0,MATCH(AC$2,Inputs!$K$4:$AJ$4,0)))+SUMPRODUCT((Inputs!$C$5:$C$230=$B59)*Inputs!$D$5:$D$230*(((Inputs!$G$5:$G$230="moeda")+(Inputs!$G$5:$G$230="acoes"))*Inputs!$B$1+((Inputs!$G$5:$G$230&lt;&gt;"moeda")*(Inputs!$G$5:$G$230&lt;&gt;"acoes")))*INDEX(Inputs!$K$5:$AJ$230,0,MATCH(AC$2,Inputs!$K$4:$AJ$4,0)))+SUMPRODUCT((Inputs!$E$5:$E$230=$B59)*Inputs!$F$5:$F$230*(((Inputs!$G$5:$G$230="moeda")+(Inputs!$G$5:$G$230="acoes"))*Inputs!$B$1+((Inputs!$G$5:$G$230&lt;&gt;"moeda")*(Inputs!$G$5:$G$230&lt;&gt;"acoes")))*INDEX(Inputs!$K$5:$AJ$230,0,MATCH(AC$2,Inputs!$K$4:$AJ$4,0)))))</f>
        <v>12.463</v>
      </c>
      <c r="AD59" s="6">
        <f>IF(ISNA(MATCH(AD$2,Inputs!$K$4:$AJ$4,0)),NA(),IF(SUMPRODUCT((Inputs!$A$5:$A$230=$B59)*ISNUMBER(INDEX(Inputs!$K$5:$AJ$230,0,MATCH(AD$2,Inputs!$K$4:$AJ$4,0))))+SUMPRODUCT((Inputs!$C$5:$C$230=$B59)*ISNUMBER(INDEX(Inputs!$K$5:$AJ$230,0,MATCH(AD$2,Inputs!$K$4:$AJ$4,0))))+SUMPRODUCT((Inputs!$E$5:$E$230=$B59)*ISNUMBER(INDEX(Inputs!$K$5:$AJ$230,0,MATCH(AD$2,Inputs!$K$4:$AJ$4,0))))=0,NA(),SUMPRODUCT((Inputs!$A$5:$A$230=$B59)*Inputs!$B$5:$B$230*(((Inputs!$G$5:$G$230="moeda")+(Inputs!$G$5:$G$230="acoes"))*Inputs!$B$1+((Inputs!$G$5:$G$230&lt;&gt;"moeda")*(Inputs!$G$5:$G$230&lt;&gt;"acoes")))*INDEX(Inputs!$K$5:$AJ$230,0,MATCH(AD$2,Inputs!$K$4:$AJ$4,0)))+SUMPRODUCT((Inputs!$C$5:$C$230=$B59)*Inputs!$D$5:$D$230*(((Inputs!$G$5:$G$230="moeda")+(Inputs!$G$5:$G$230="acoes"))*Inputs!$B$1+((Inputs!$G$5:$G$230&lt;&gt;"moeda")*(Inputs!$G$5:$G$230&lt;&gt;"acoes")))*INDEX(Inputs!$K$5:$AJ$230,0,MATCH(AD$2,Inputs!$K$4:$AJ$4,0)))+SUMPRODUCT((Inputs!$E$5:$E$230=$B59)*Inputs!$F$5:$F$230*(((Inputs!$G$5:$G$230="moeda")+(Inputs!$G$5:$G$230="acoes"))*Inputs!$B$1+((Inputs!$G$5:$G$230&lt;&gt;"moeda")*(Inputs!$G$5:$G$230&lt;&gt;"acoes")))*INDEX(Inputs!$K$5:$AJ$230,0,MATCH(AD$2,Inputs!$K$4:$AJ$4,0)))))</f>
        <v>21.406</v>
      </c>
      <c r="AE59" s="6" t="e">
        <f>IF(ISNA(MATCH(AE$2,Inputs!$K$4:$AJ$4,0)),NA(),IF(SUMPRODUCT((Inputs!$A$5:$A$230=$B59)*ISNUMBER(INDEX(Inputs!$K$5:$AJ$230,0,MATCH(AE$2,Inputs!$K$4:$AJ$4,0))))+SUMPRODUCT((Inputs!$C$5:$C$230=$B59)*ISNUMBER(INDEX(Inputs!$K$5:$AJ$230,0,MATCH(AE$2,Inputs!$K$4:$AJ$4,0))))+SUMPRODUCT((Inputs!$E$5:$E$230=$B59)*ISNUMBER(INDEX(Inputs!$K$5:$AJ$230,0,MATCH(AE$2,Inputs!$K$4:$AJ$4,0))))=0,NA(),SUMPRODUCT((Inputs!$A$5:$A$230=$B59)*Inputs!$B$5:$B$230*(((Inputs!$G$5:$G$230="moeda")+(Inputs!$G$5:$G$230="acoes"))*Inputs!$B$1+((Inputs!$G$5:$G$230&lt;&gt;"moeda")*(Inputs!$G$5:$G$230&lt;&gt;"acoes")))*INDEX(Inputs!$K$5:$AJ$230,0,MATCH(AE$2,Inputs!$K$4:$AJ$4,0)))+SUMPRODUCT((Inputs!$C$5:$C$230=$B59)*Inputs!$D$5:$D$230*(((Inputs!$G$5:$G$230="moeda")+(Inputs!$G$5:$G$230="acoes"))*Inputs!$B$1+((Inputs!$G$5:$G$230&lt;&gt;"moeda")*(Inputs!$G$5:$G$230&lt;&gt;"acoes")))*INDEX(Inputs!$K$5:$AJ$230,0,MATCH(AE$2,Inputs!$K$4:$AJ$4,0)))+SUMPRODUCT((Inputs!$E$5:$E$230=$B59)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59" s="6" t="e">
        <f>IF(ISNA(MATCH(AF$2,Inputs!$K$4:$AJ$4,0)),NA(),IF(SUMPRODUCT((Inputs!$A$5:$A$230=$B59)*ISNUMBER(INDEX(Inputs!$K$5:$AJ$230,0,MATCH(AF$2,Inputs!$K$4:$AJ$4,0))))+SUMPRODUCT((Inputs!$C$5:$C$230=$B59)*ISNUMBER(INDEX(Inputs!$K$5:$AJ$230,0,MATCH(AF$2,Inputs!$K$4:$AJ$4,0))))+SUMPRODUCT((Inputs!$E$5:$E$230=$B59)*ISNUMBER(INDEX(Inputs!$K$5:$AJ$230,0,MATCH(AF$2,Inputs!$K$4:$AJ$4,0))))=0,NA(),SUMPRODUCT((Inputs!$A$5:$A$230=$B59)*Inputs!$B$5:$B$230*(((Inputs!$G$5:$G$230="moeda")+(Inputs!$G$5:$G$230="acoes"))*Inputs!$B$1+((Inputs!$G$5:$G$230&lt;&gt;"moeda")*(Inputs!$G$5:$G$230&lt;&gt;"acoes")))*INDEX(Inputs!$K$5:$AJ$230,0,MATCH(AF$2,Inputs!$K$4:$AJ$4,0)))+SUMPRODUCT((Inputs!$C$5:$C$230=$B59)*Inputs!$D$5:$D$230*(((Inputs!$G$5:$G$230="moeda")+(Inputs!$G$5:$G$230="acoes"))*Inputs!$B$1+((Inputs!$G$5:$G$230&lt;&gt;"moeda")*(Inputs!$G$5:$G$230&lt;&gt;"acoes")))*INDEX(Inputs!$K$5:$AJ$230,0,MATCH(AF$2,Inputs!$K$4:$AJ$4,0)))+SUMPRODUCT((Inputs!$E$5:$E$230=$B59)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59" s="3" t="e">
        <f>SUM(AC59:AF59)</f>
        <v>#N/A</v>
      </c>
      <c r="AH59" s="6">
        <f>IF(ISNA(MATCH(AH$2,Inputs!$K$4:$AJ$4,0)),NA(),IF(SUMPRODUCT((Inputs!$A$5:$A$230=$B59)*ISNUMBER(INDEX(Inputs!$K$5:$AJ$230,0,MATCH(AH$2,Inputs!$K$4:$AJ$4,0))))+SUMPRODUCT((Inputs!$C$5:$C$230=$B59)*ISNUMBER(INDEX(Inputs!$K$5:$AJ$230,0,MATCH(AH$2,Inputs!$K$4:$AJ$4,0))))+SUMPRODUCT((Inputs!$E$5:$E$230=$B59)*ISNUMBER(INDEX(Inputs!$K$5:$AJ$230,0,MATCH(AH$2,Inputs!$K$4:$AJ$4,0))))=0,NA(),SUMPRODUCT((Inputs!$A$5:$A$230=$B59)*Inputs!$B$5:$B$230*(((Inputs!$G$5:$G$230="moeda")+(Inputs!$G$5:$G$230="acoes"))*Inputs!$B$1+((Inputs!$G$5:$G$230&lt;&gt;"moeda")*(Inputs!$G$5:$G$230&lt;&gt;"acoes")))*INDEX(Inputs!$K$5:$AJ$230,0,MATCH(AH$2,Inputs!$K$4:$AJ$4,0)))+SUMPRODUCT((Inputs!$C$5:$C$230=$B59)*Inputs!$D$5:$D$230*(((Inputs!$G$5:$G$230="moeda")+(Inputs!$G$5:$G$230="acoes"))*Inputs!$B$1+((Inputs!$G$5:$G$230&lt;&gt;"moeda")*(Inputs!$G$5:$G$230&lt;&gt;"acoes")))*INDEX(Inputs!$K$5:$AJ$230,0,MATCH(AH$2,Inputs!$K$4:$AJ$4,0)))+SUMPRODUCT((Inputs!$E$5:$E$230=$B59)*Inputs!$F$5:$F$230*(((Inputs!$G$5:$G$230="moeda")+(Inputs!$G$5:$G$230="acoes"))*Inputs!$B$1+((Inputs!$G$5:$G$230&lt;&gt;"moeda")*(Inputs!$G$5:$G$230&lt;&gt;"acoes")))*INDEX(Inputs!$K$5:$AJ$230,0,MATCH(AH$2,Inputs!$K$4:$AJ$4,0)))))</f>
        <v>16.6</v>
      </c>
      <c r="AI59" s="6">
        <f>IF(ISNA(MATCH(AI$2,Inputs!$K$4:$AJ$4,0)),NA(),IF(SUMPRODUCT((Inputs!$A$5:$A$230=$B59)*ISNUMBER(INDEX(Inputs!$K$5:$AJ$230,0,MATCH(AI$2,Inputs!$K$4:$AJ$4,0))))+SUMPRODUCT((Inputs!$C$5:$C$230=$B59)*ISNUMBER(INDEX(Inputs!$K$5:$AJ$230,0,MATCH(AI$2,Inputs!$K$4:$AJ$4,0))))+SUMPRODUCT((Inputs!$E$5:$E$230=$B59)*ISNUMBER(INDEX(Inputs!$K$5:$AJ$230,0,MATCH(AI$2,Inputs!$K$4:$AJ$4,0))))=0,NA(),SUMPRODUCT((Inputs!$A$5:$A$230=$B59)*Inputs!$B$5:$B$230*(((Inputs!$G$5:$G$230="moeda")+(Inputs!$G$5:$G$230="acoes"))*Inputs!$B$1+((Inputs!$G$5:$G$230&lt;&gt;"moeda")*(Inputs!$G$5:$G$230&lt;&gt;"acoes")))*INDEX(Inputs!$K$5:$AJ$230,0,MATCH(AI$2,Inputs!$K$4:$AJ$4,0)))+SUMPRODUCT((Inputs!$C$5:$C$230=$B59)*Inputs!$D$5:$D$230*(((Inputs!$G$5:$G$230="moeda")+(Inputs!$G$5:$G$230="acoes"))*Inputs!$B$1+((Inputs!$G$5:$G$230&lt;&gt;"moeda")*(Inputs!$G$5:$G$230&lt;&gt;"acoes")))*INDEX(Inputs!$K$5:$AJ$230,0,MATCH(AI$2,Inputs!$K$4:$AJ$4,0)))+SUMPRODUCT((Inputs!$E$5:$E$230=$B59)*Inputs!$F$5:$F$230*(((Inputs!$G$5:$G$230="moeda")+(Inputs!$G$5:$G$230="acoes"))*Inputs!$B$1+((Inputs!$G$5:$G$230&lt;&gt;"moeda")*(Inputs!$G$5:$G$230&lt;&gt;"acoes")))*INDEX(Inputs!$K$5:$AJ$230,0,MATCH(AI$2,Inputs!$K$4:$AJ$4,0)))))</f>
        <v>16.513</v>
      </c>
      <c r="AJ59" s="6">
        <f>IF(ISNA(MATCH(AJ$2,Inputs!$K$4:$AJ$4,0)),NA(),IF(SUMPRODUCT((Inputs!$A$5:$A$230=$B59)*ISNUMBER(INDEX(Inputs!$K$5:$AJ$230,0,MATCH(AJ$2,Inputs!$K$4:$AJ$4,0))))+SUMPRODUCT((Inputs!$C$5:$C$230=$B59)*ISNUMBER(INDEX(Inputs!$K$5:$AJ$230,0,MATCH(AJ$2,Inputs!$K$4:$AJ$4,0))))+SUMPRODUCT((Inputs!$E$5:$E$230=$B59)*ISNUMBER(INDEX(Inputs!$K$5:$AJ$230,0,MATCH(AJ$2,Inputs!$K$4:$AJ$4,0))))=0,NA(),SUMPRODUCT((Inputs!$A$5:$A$230=$B59)*Inputs!$B$5:$B$230*(((Inputs!$G$5:$G$230="moeda")+(Inputs!$G$5:$G$230="acoes"))*Inputs!$B$1+((Inputs!$G$5:$G$230&lt;&gt;"moeda")*(Inputs!$G$5:$G$230&lt;&gt;"acoes")))*INDEX(Inputs!$K$5:$AJ$230,0,MATCH(AJ$2,Inputs!$K$4:$AJ$4,0)))+SUMPRODUCT((Inputs!$C$5:$C$230=$B59)*Inputs!$D$5:$D$230*(((Inputs!$G$5:$G$230="moeda")+(Inputs!$G$5:$G$230="acoes"))*Inputs!$B$1+((Inputs!$G$5:$G$230&lt;&gt;"moeda")*(Inputs!$G$5:$G$230&lt;&gt;"acoes")))*INDEX(Inputs!$K$5:$AJ$230,0,MATCH(AJ$2,Inputs!$K$4:$AJ$4,0)))+SUMPRODUCT((Inputs!$E$5:$E$230=$B59)*Inputs!$F$5:$F$230*(((Inputs!$G$5:$G$230="moeda")+(Inputs!$G$5:$G$230="acoes"))*Inputs!$B$1+((Inputs!$G$5:$G$230&lt;&gt;"moeda")*(Inputs!$G$5:$G$230&lt;&gt;"acoes")))*INDEX(Inputs!$K$5:$AJ$230,0,MATCH(AJ$2,Inputs!$K$4:$AJ$4,0)))))</f>
        <v>26.746</v>
      </c>
      <c r="AK59" s="6">
        <f>IF(ISNA(MATCH(AK$2,Inputs!$K$4:$AJ$4,0)),NA(),IF(SUMPRODUCT((Inputs!$A$5:$A$230=$B59)*ISNUMBER(INDEX(Inputs!$K$5:$AJ$230,0,MATCH(AK$2,Inputs!$K$4:$AJ$4,0))))+SUMPRODUCT((Inputs!$C$5:$C$230=$B59)*ISNUMBER(INDEX(Inputs!$K$5:$AJ$230,0,MATCH(AK$2,Inputs!$K$4:$AJ$4,0))))+SUMPRODUCT((Inputs!$E$5:$E$230=$B59)*ISNUMBER(INDEX(Inputs!$K$5:$AJ$230,0,MATCH(AK$2,Inputs!$K$4:$AJ$4,0))))=0,NA(),SUMPRODUCT((Inputs!$A$5:$A$230=$B59)*Inputs!$B$5:$B$230*(((Inputs!$G$5:$G$230="moeda")+(Inputs!$G$5:$G$230="acoes"))*Inputs!$B$1+((Inputs!$G$5:$G$230&lt;&gt;"moeda")*(Inputs!$G$5:$G$230&lt;&gt;"acoes")))*INDEX(Inputs!$K$5:$AJ$230,0,MATCH(AK$2,Inputs!$K$4:$AJ$4,0)))+SUMPRODUCT((Inputs!$C$5:$C$230=$B59)*Inputs!$D$5:$D$230*(((Inputs!$G$5:$G$230="moeda")+(Inputs!$G$5:$G$230="acoes"))*Inputs!$B$1+((Inputs!$G$5:$G$230&lt;&gt;"moeda")*(Inputs!$G$5:$G$230&lt;&gt;"acoes")))*INDEX(Inputs!$K$5:$AJ$230,0,MATCH(AK$2,Inputs!$K$4:$AJ$4,0)))+SUMPRODUCT((Inputs!$E$5:$E$230=$B59)*Inputs!$F$5:$F$230*(((Inputs!$G$5:$G$230="moeda")+(Inputs!$G$5:$G$230="acoes"))*Inputs!$B$1+((Inputs!$G$5:$G$230&lt;&gt;"moeda")*(Inputs!$G$5:$G$230&lt;&gt;"acoes")))*INDEX(Inputs!$K$5:$AJ$230,0,MATCH(AK$2,Inputs!$K$4:$AJ$4,0)))))</f>
        <v>38.375</v>
      </c>
      <c r="AL59" s="3">
        <f>SUM(AH59:AK59)</f>
        <v>98.234</v>
      </c>
    </row>
    <row r="60">
      <c r="B60" s="46" t="n">
        <v>52</v>
      </c>
      <c r="C60" s="29" t="inlineStr">
        <is>
          <t>Transmissao | ECTE</t>
        </is>
      </c>
      <c r="D60" s="6">
        <f>IF(ISNA(MATCH(D$2,Inputs!$K$4:$AJ$4,0)),NA(),IF(SUMPRODUCT((Inputs!$A$5:$A$230=$B60)*ISNUMBER(INDEX(Inputs!$K$5:$AJ$230,0,MATCH(D$2,Inputs!$K$4:$AJ$4,0))))+SUMPRODUCT((Inputs!$C$5:$C$230=$B60)*ISNUMBER(INDEX(Inputs!$K$5:$AJ$230,0,MATCH(D$2,Inputs!$K$4:$AJ$4,0))))+SUMPRODUCT((Inputs!$E$5:$E$230=$B60)*ISNUMBER(INDEX(Inputs!$K$5:$AJ$230,0,MATCH(D$2,Inputs!$K$4:$AJ$4,0))))=0,NA(),SUMPRODUCT((Inputs!$A$5:$A$230=$B60)*Inputs!$B$5:$B$230*(((Inputs!$G$5:$G$230="moeda")+(Inputs!$G$5:$G$230="acoes"))*Inputs!$B$1+((Inputs!$G$5:$G$230&lt;&gt;"moeda")*(Inputs!$G$5:$G$230&lt;&gt;"acoes")))*INDEX(Inputs!$K$5:$AJ$230,0,MATCH(D$2,Inputs!$K$4:$AJ$4,0)))+SUMPRODUCT((Inputs!$C$5:$C$230=$B60)*Inputs!$D$5:$D$230*(((Inputs!$G$5:$G$230="moeda")+(Inputs!$G$5:$G$230="acoes"))*Inputs!$B$1+((Inputs!$G$5:$G$230&lt;&gt;"moeda")*(Inputs!$G$5:$G$230&lt;&gt;"acoes")))*INDEX(Inputs!$K$5:$AJ$230,0,MATCH(D$2,Inputs!$K$4:$AJ$4,0)))+SUMPRODUCT((Inputs!$E$5:$E$230=$B60)*Inputs!$F$5:$F$230*(((Inputs!$G$5:$G$230="moeda")+(Inputs!$G$5:$G$230="acoes"))*Inputs!$B$1+((Inputs!$G$5:$G$230&lt;&gt;"moeda")*(Inputs!$G$5:$G$230&lt;&gt;"acoes")))*INDEX(Inputs!$K$5:$AJ$230,0,MATCH(D$2,Inputs!$K$4:$AJ$4,0)))))</f>
        <v>28.355</v>
      </c>
      <c r="E60" s="6">
        <f>IF(ISNA(MATCH(E$2,Inputs!$K$4:$AJ$4,0)),NA(),IF(SUMPRODUCT((Inputs!$A$5:$A$230=$B60)*ISNUMBER(INDEX(Inputs!$K$5:$AJ$230,0,MATCH(E$2,Inputs!$K$4:$AJ$4,0))))+SUMPRODUCT((Inputs!$C$5:$C$230=$B60)*ISNUMBER(INDEX(Inputs!$K$5:$AJ$230,0,MATCH(E$2,Inputs!$K$4:$AJ$4,0))))+SUMPRODUCT((Inputs!$E$5:$E$230=$B60)*ISNUMBER(INDEX(Inputs!$K$5:$AJ$230,0,MATCH(E$2,Inputs!$K$4:$AJ$4,0))))=0,NA(),SUMPRODUCT((Inputs!$A$5:$A$230=$B60)*Inputs!$B$5:$B$230*(((Inputs!$G$5:$G$230="moeda")+(Inputs!$G$5:$G$230="acoes"))*Inputs!$B$1+((Inputs!$G$5:$G$230&lt;&gt;"moeda")*(Inputs!$G$5:$G$230&lt;&gt;"acoes")))*INDEX(Inputs!$K$5:$AJ$230,0,MATCH(E$2,Inputs!$K$4:$AJ$4,0)))+SUMPRODUCT((Inputs!$C$5:$C$230=$B60)*Inputs!$D$5:$D$230*(((Inputs!$G$5:$G$230="moeda")+(Inputs!$G$5:$G$230="acoes"))*Inputs!$B$1+((Inputs!$G$5:$G$230&lt;&gt;"moeda")*(Inputs!$G$5:$G$230&lt;&gt;"acoes")))*INDEX(Inputs!$K$5:$AJ$230,0,MATCH(E$2,Inputs!$K$4:$AJ$4,0)))+SUMPRODUCT((Inputs!$E$5:$E$230=$B60)*Inputs!$F$5:$F$230*(((Inputs!$G$5:$G$230="moeda")+(Inputs!$G$5:$G$230="acoes"))*Inputs!$B$1+((Inputs!$G$5:$G$230&lt;&gt;"moeda")*(Inputs!$G$5:$G$230&lt;&gt;"acoes")))*INDEX(Inputs!$K$5:$AJ$230,0,MATCH(E$2,Inputs!$K$4:$AJ$4,0)))))</f>
        <v>42.125</v>
      </c>
      <c r="F60" s="6">
        <f>IF(ISNA(MATCH(F$2,Inputs!$K$4:$AJ$4,0)),NA(),IF(SUMPRODUCT((Inputs!$A$5:$A$230=$B60)*ISNUMBER(INDEX(Inputs!$K$5:$AJ$230,0,MATCH(F$2,Inputs!$K$4:$AJ$4,0))))+SUMPRODUCT((Inputs!$C$5:$C$230=$B60)*ISNUMBER(INDEX(Inputs!$K$5:$AJ$230,0,MATCH(F$2,Inputs!$K$4:$AJ$4,0))))+SUMPRODUCT((Inputs!$E$5:$E$230=$B60)*ISNUMBER(INDEX(Inputs!$K$5:$AJ$230,0,MATCH(F$2,Inputs!$K$4:$AJ$4,0))))=0,NA(),SUMPRODUCT((Inputs!$A$5:$A$230=$B60)*Inputs!$B$5:$B$230*(((Inputs!$G$5:$G$230="moeda")+(Inputs!$G$5:$G$230="acoes"))*Inputs!$B$1+((Inputs!$G$5:$G$230&lt;&gt;"moeda")*(Inputs!$G$5:$G$230&lt;&gt;"acoes")))*INDEX(Inputs!$K$5:$AJ$230,0,MATCH(F$2,Inputs!$K$4:$AJ$4,0)))+SUMPRODUCT((Inputs!$C$5:$C$230=$B60)*Inputs!$D$5:$D$230*(((Inputs!$G$5:$G$230="moeda")+(Inputs!$G$5:$G$230="acoes"))*Inputs!$B$1+((Inputs!$G$5:$G$230&lt;&gt;"moeda")*(Inputs!$G$5:$G$230&lt;&gt;"acoes")))*INDEX(Inputs!$K$5:$AJ$230,0,MATCH(F$2,Inputs!$K$4:$AJ$4,0)))+SUMPRODUCT((Inputs!$E$5:$E$230=$B60)*Inputs!$F$5:$F$230*(((Inputs!$G$5:$G$230="moeda")+(Inputs!$G$5:$G$230="acoes"))*Inputs!$B$1+((Inputs!$G$5:$G$230&lt;&gt;"moeda")*(Inputs!$G$5:$G$230&lt;&gt;"acoes")))*INDEX(Inputs!$K$5:$AJ$230,0,MATCH(F$2,Inputs!$K$4:$AJ$4,0)))))</f>
        <v>18.911</v>
      </c>
      <c r="G60" s="6">
        <f>IF(ISNA(MATCH(G$2,Inputs!$K$4:$AJ$4,0)),NA(),IF(SUMPRODUCT((Inputs!$A$5:$A$230=$B60)*ISNUMBER(INDEX(Inputs!$K$5:$AJ$230,0,MATCH(G$2,Inputs!$K$4:$AJ$4,0))))+SUMPRODUCT((Inputs!$C$5:$C$230=$B60)*ISNUMBER(INDEX(Inputs!$K$5:$AJ$230,0,MATCH(G$2,Inputs!$K$4:$AJ$4,0))))+SUMPRODUCT((Inputs!$E$5:$E$230=$B60)*ISNUMBER(INDEX(Inputs!$K$5:$AJ$230,0,MATCH(G$2,Inputs!$K$4:$AJ$4,0))))=0,NA(),SUMPRODUCT((Inputs!$A$5:$A$230=$B60)*Inputs!$B$5:$B$230*(((Inputs!$G$5:$G$230="moeda")+(Inputs!$G$5:$G$230="acoes"))*Inputs!$B$1+((Inputs!$G$5:$G$230&lt;&gt;"moeda")*(Inputs!$G$5:$G$230&lt;&gt;"acoes")))*INDEX(Inputs!$K$5:$AJ$230,0,MATCH(G$2,Inputs!$K$4:$AJ$4,0)))+SUMPRODUCT((Inputs!$C$5:$C$230=$B60)*Inputs!$D$5:$D$230*(((Inputs!$G$5:$G$230="moeda")+(Inputs!$G$5:$G$230="acoes"))*Inputs!$B$1+((Inputs!$G$5:$G$230&lt;&gt;"moeda")*(Inputs!$G$5:$G$230&lt;&gt;"acoes")))*INDEX(Inputs!$K$5:$AJ$230,0,MATCH(G$2,Inputs!$K$4:$AJ$4,0)))+SUMPRODUCT((Inputs!$E$5:$E$230=$B60)*Inputs!$F$5:$F$230*(((Inputs!$G$5:$G$230="moeda")+(Inputs!$G$5:$G$230="acoes"))*Inputs!$B$1+((Inputs!$G$5:$G$230&lt;&gt;"moeda")*(Inputs!$G$5:$G$230&lt;&gt;"acoes")))*INDEX(Inputs!$K$5:$AJ$230,0,MATCH(G$2,Inputs!$K$4:$AJ$4,0)))))</f>
        <v>12.897</v>
      </c>
      <c r="H60" s="3">
        <f>SUM(D60:G60)</f>
        <v>102.288</v>
      </c>
      <c r="I60" s="6">
        <f>IF(ISNA(MATCH(I$2,Inputs!$K$4:$AJ$4,0)),NA(),IF(SUMPRODUCT((Inputs!$A$5:$A$230=$B60)*ISNUMBER(INDEX(Inputs!$K$5:$AJ$230,0,MATCH(I$2,Inputs!$K$4:$AJ$4,0))))+SUMPRODUCT((Inputs!$C$5:$C$230=$B60)*ISNUMBER(INDEX(Inputs!$K$5:$AJ$230,0,MATCH(I$2,Inputs!$K$4:$AJ$4,0))))+SUMPRODUCT((Inputs!$E$5:$E$230=$B60)*ISNUMBER(INDEX(Inputs!$K$5:$AJ$230,0,MATCH(I$2,Inputs!$K$4:$AJ$4,0))))=0,NA(),SUMPRODUCT((Inputs!$A$5:$A$230=$B60)*Inputs!$B$5:$B$230*(((Inputs!$G$5:$G$230="moeda")+(Inputs!$G$5:$G$230="acoes"))*Inputs!$B$1+((Inputs!$G$5:$G$230&lt;&gt;"moeda")*(Inputs!$G$5:$G$230&lt;&gt;"acoes")))*INDEX(Inputs!$K$5:$AJ$230,0,MATCH(I$2,Inputs!$K$4:$AJ$4,0)))+SUMPRODUCT((Inputs!$C$5:$C$230=$B60)*Inputs!$D$5:$D$230*(((Inputs!$G$5:$G$230="moeda")+(Inputs!$G$5:$G$230="acoes"))*Inputs!$B$1+((Inputs!$G$5:$G$230&lt;&gt;"moeda")*(Inputs!$G$5:$G$230&lt;&gt;"acoes")))*INDEX(Inputs!$K$5:$AJ$230,0,MATCH(I$2,Inputs!$K$4:$AJ$4,0)))+SUMPRODUCT((Inputs!$E$5:$E$230=$B60)*Inputs!$F$5:$F$230*(((Inputs!$G$5:$G$230="moeda")+(Inputs!$G$5:$G$230="acoes"))*Inputs!$B$1+((Inputs!$G$5:$G$230&lt;&gt;"moeda")*(Inputs!$G$5:$G$230&lt;&gt;"acoes")))*INDEX(Inputs!$K$5:$AJ$230,0,MATCH(I$2,Inputs!$K$4:$AJ$4,0)))))</f>
        <v>26.96</v>
      </c>
      <c r="J60" s="6">
        <f>IF(ISNA(MATCH(J$2,Inputs!$K$4:$AJ$4,0)),NA(),IF(SUMPRODUCT((Inputs!$A$5:$A$230=$B60)*ISNUMBER(INDEX(Inputs!$K$5:$AJ$230,0,MATCH(J$2,Inputs!$K$4:$AJ$4,0))))+SUMPRODUCT((Inputs!$C$5:$C$230=$B60)*ISNUMBER(INDEX(Inputs!$K$5:$AJ$230,0,MATCH(J$2,Inputs!$K$4:$AJ$4,0))))+SUMPRODUCT((Inputs!$E$5:$E$230=$B60)*ISNUMBER(INDEX(Inputs!$K$5:$AJ$230,0,MATCH(J$2,Inputs!$K$4:$AJ$4,0))))=0,NA(),SUMPRODUCT((Inputs!$A$5:$A$230=$B60)*Inputs!$B$5:$B$230*(((Inputs!$G$5:$G$230="moeda")+(Inputs!$G$5:$G$230="acoes"))*Inputs!$B$1+((Inputs!$G$5:$G$230&lt;&gt;"moeda")*(Inputs!$G$5:$G$230&lt;&gt;"acoes")))*INDEX(Inputs!$K$5:$AJ$230,0,MATCH(J$2,Inputs!$K$4:$AJ$4,0)))+SUMPRODUCT((Inputs!$C$5:$C$230=$B60)*Inputs!$D$5:$D$230*(((Inputs!$G$5:$G$230="moeda")+(Inputs!$G$5:$G$230="acoes"))*Inputs!$B$1+((Inputs!$G$5:$G$230&lt;&gt;"moeda")*(Inputs!$G$5:$G$230&lt;&gt;"acoes")))*INDEX(Inputs!$K$5:$AJ$230,0,MATCH(J$2,Inputs!$K$4:$AJ$4,0)))+SUMPRODUCT((Inputs!$E$5:$E$230=$B60)*Inputs!$F$5:$F$230*(((Inputs!$G$5:$G$230="moeda")+(Inputs!$G$5:$G$230="acoes"))*Inputs!$B$1+((Inputs!$G$5:$G$230&lt;&gt;"moeda")*(Inputs!$G$5:$G$230&lt;&gt;"acoes")))*INDEX(Inputs!$K$5:$AJ$230,0,MATCH(J$2,Inputs!$K$4:$AJ$4,0)))))</f>
        <v>25.592</v>
      </c>
      <c r="K60" s="6">
        <f>IF(ISNA(MATCH(K$2,Inputs!$K$4:$AJ$4,0)),NA(),IF(SUMPRODUCT((Inputs!$A$5:$A$230=$B60)*ISNUMBER(INDEX(Inputs!$K$5:$AJ$230,0,MATCH(K$2,Inputs!$K$4:$AJ$4,0))))+SUMPRODUCT((Inputs!$C$5:$C$230=$B60)*ISNUMBER(INDEX(Inputs!$K$5:$AJ$230,0,MATCH(K$2,Inputs!$K$4:$AJ$4,0))))+SUMPRODUCT((Inputs!$E$5:$E$230=$B60)*ISNUMBER(INDEX(Inputs!$K$5:$AJ$230,0,MATCH(K$2,Inputs!$K$4:$AJ$4,0))))=0,NA(),SUMPRODUCT((Inputs!$A$5:$A$230=$B60)*Inputs!$B$5:$B$230*(((Inputs!$G$5:$G$230="moeda")+(Inputs!$G$5:$G$230="acoes"))*Inputs!$B$1+((Inputs!$G$5:$G$230&lt;&gt;"moeda")*(Inputs!$G$5:$G$230&lt;&gt;"acoes")))*INDEX(Inputs!$K$5:$AJ$230,0,MATCH(K$2,Inputs!$K$4:$AJ$4,0)))+SUMPRODUCT((Inputs!$C$5:$C$230=$B60)*Inputs!$D$5:$D$230*(((Inputs!$G$5:$G$230="moeda")+(Inputs!$G$5:$G$230="acoes"))*Inputs!$B$1+((Inputs!$G$5:$G$230&lt;&gt;"moeda")*(Inputs!$G$5:$G$230&lt;&gt;"acoes")))*INDEX(Inputs!$K$5:$AJ$230,0,MATCH(K$2,Inputs!$K$4:$AJ$4,0)))+SUMPRODUCT((Inputs!$E$5:$E$230=$B60)*Inputs!$F$5:$F$230*(((Inputs!$G$5:$G$230="moeda")+(Inputs!$G$5:$G$230="acoes"))*Inputs!$B$1+((Inputs!$G$5:$G$230&lt;&gt;"moeda")*(Inputs!$G$5:$G$230&lt;&gt;"acoes")))*INDEX(Inputs!$K$5:$AJ$230,0,MATCH(K$2,Inputs!$K$4:$AJ$4,0)))))</f>
        <v>13.855</v>
      </c>
      <c r="L60" s="6">
        <f>IF(ISNA(MATCH(L$2,Inputs!$K$4:$AJ$4,0)),NA(),IF(SUMPRODUCT((Inputs!$A$5:$A$230=$B60)*ISNUMBER(INDEX(Inputs!$K$5:$AJ$230,0,MATCH(L$2,Inputs!$K$4:$AJ$4,0))))+SUMPRODUCT((Inputs!$C$5:$C$230=$B60)*ISNUMBER(INDEX(Inputs!$K$5:$AJ$230,0,MATCH(L$2,Inputs!$K$4:$AJ$4,0))))+SUMPRODUCT((Inputs!$E$5:$E$230=$B60)*ISNUMBER(INDEX(Inputs!$K$5:$AJ$230,0,MATCH(L$2,Inputs!$K$4:$AJ$4,0))))=0,NA(),SUMPRODUCT((Inputs!$A$5:$A$230=$B60)*Inputs!$B$5:$B$230*(((Inputs!$G$5:$G$230="moeda")+(Inputs!$G$5:$G$230="acoes"))*Inputs!$B$1+((Inputs!$G$5:$G$230&lt;&gt;"moeda")*(Inputs!$G$5:$G$230&lt;&gt;"acoes")))*INDEX(Inputs!$K$5:$AJ$230,0,MATCH(L$2,Inputs!$K$4:$AJ$4,0)))+SUMPRODUCT((Inputs!$C$5:$C$230=$B60)*Inputs!$D$5:$D$230*(((Inputs!$G$5:$G$230="moeda")+(Inputs!$G$5:$G$230="acoes"))*Inputs!$B$1+((Inputs!$G$5:$G$230&lt;&gt;"moeda")*(Inputs!$G$5:$G$230&lt;&gt;"acoes")))*INDEX(Inputs!$K$5:$AJ$230,0,MATCH(L$2,Inputs!$K$4:$AJ$4,0)))+SUMPRODUCT((Inputs!$E$5:$E$230=$B60)*Inputs!$F$5:$F$230*(((Inputs!$G$5:$G$230="moeda")+(Inputs!$G$5:$G$230="acoes"))*Inputs!$B$1+((Inputs!$G$5:$G$230&lt;&gt;"moeda")*(Inputs!$G$5:$G$230&lt;&gt;"acoes")))*INDEX(Inputs!$K$5:$AJ$230,0,MATCH(L$2,Inputs!$K$4:$AJ$4,0)))))</f>
        <v>5.87</v>
      </c>
      <c r="M60" s="3">
        <f>SUM(I60:L60)</f>
        <v>72.277</v>
      </c>
      <c r="N60" s="6">
        <f>IF(ISNA(MATCH(N$2,Inputs!$K$4:$AJ$4,0)),NA(),IF(SUMPRODUCT((Inputs!$A$5:$A$230=$B60)*ISNUMBER(INDEX(Inputs!$K$5:$AJ$230,0,MATCH(N$2,Inputs!$K$4:$AJ$4,0))))+SUMPRODUCT((Inputs!$C$5:$C$230=$B60)*ISNUMBER(INDEX(Inputs!$K$5:$AJ$230,0,MATCH(N$2,Inputs!$K$4:$AJ$4,0))))+SUMPRODUCT((Inputs!$E$5:$E$230=$B60)*ISNUMBER(INDEX(Inputs!$K$5:$AJ$230,0,MATCH(N$2,Inputs!$K$4:$AJ$4,0))))=0,NA(),SUMPRODUCT((Inputs!$A$5:$A$230=$B60)*Inputs!$B$5:$B$230*(((Inputs!$G$5:$G$230="moeda")+(Inputs!$G$5:$G$230="acoes"))*Inputs!$B$1+((Inputs!$G$5:$G$230&lt;&gt;"moeda")*(Inputs!$G$5:$G$230&lt;&gt;"acoes")))*INDEX(Inputs!$K$5:$AJ$230,0,MATCH(N$2,Inputs!$K$4:$AJ$4,0)))+SUMPRODUCT((Inputs!$C$5:$C$230=$B60)*Inputs!$D$5:$D$230*(((Inputs!$G$5:$G$230="moeda")+(Inputs!$G$5:$G$230="acoes"))*Inputs!$B$1+((Inputs!$G$5:$G$230&lt;&gt;"moeda")*(Inputs!$G$5:$G$230&lt;&gt;"acoes")))*INDEX(Inputs!$K$5:$AJ$230,0,MATCH(N$2,Inputs!$K$4:$AJ$4,0)))+SUMPRODUCT((Inputs!$E$5:$E$230=$B60)*Inputs!$F$5:$F$230*(((Inputs!$G$5:$G$230="moeda")+(Inputs!$G$5:$G$230="acoes"))*Inputs!$B$1+((Inputs!$G$5:$G$230&lt;&gt;"moeda")*(Inputs!$G$5:$G$230&lt;&gt;"acoes")))*INDEX(Inputs!$K$5:$AJ$230,0,MATCH(N$2,Inputs!$K$4:$AJ$4,0)))))</f>
        <v>14.905</v>
      </c>
      <c r="O60" s="6">
        <f>IF(ISNA(MATCH(O$2,Inputs!$K$4:$AJ$4,0)),NA(),IF(SUMPRODUCT((Inputs!$A$5:$A$230=$B60)*ISNUMBER(INDEX(Inputs!$K$5:$AJ$230,0,MATCH(O$2,Inputs!$K$4:$AJ$4,0))))+SUMPRODUCT((Inputs!$C$5:$C$230=$B60)*ISNUMBER(INDEX(Inputs!$K$5:$AJ$230,0,MATCH(O$2,Inputs!$K$4:$AJ$4,0))))+SUMPRODUCT((Inputs!$E$5:$E$230=$B60)*ISNUMBER(INDEX(Inputs!$K$5:$AJ$230,0,MATCH(O$2,Inputs!$K$4:$AJ$4,0))))=0,NA(),SUMPRODUCT((Inputs!$A$5:$A$230=$B60)*Inputs!$B$5:$B$230*(((Inputs!$G$5:$G$230="moeda")+(Inputs!$G$5:$G$230="acoes"))*Inputs!$B$1+((Inputs!$G$5:$G$230&lt;&gt;"moeda")*(Inputs!$G$5:$G$230&lt;&gt;"acoes")))*INDEX(Inputs!$K$5:$AJ$230,0,MATCH(O$2,Inputs!$K$4:$AJ$4,0)))+SUMPRODUCT((Inputs!$C$5:$C$230=$B60)*Inputs!$D$5:$D$230*(((Inputs!$G$5:$G$230="moeda")+(Inputs!$G$5:$G$230="acoes"))*Inputs!$B$1+((Inputs!$G$5:$G$230&lt;&gt;"moeda")*(Inputs!$G$5:$G$230&lt;&gt;"acoes")))*INDEX(Inputs!$K$5:$AJ$230,0,MATCH(O$2,Inputs!$K$4:$AJ$4,0)))+SUMPRODUCT((Inputs!$E$5:$E$230=$B60)*Inputs!$F$5:$F$230*(((Inputs!$G$5:$G$230="moeda")+(Inputs!$G$5:$G$230="acoes"))*Inputs!$B$1+((Inputs!$G$5:$G$230&lt;&gt;"moeda")*(Inputs!$G$5:$G$230&lt;&gt;"acoes")))*INDEX(Inputs!$K$5:$AJ$230,0,MATCH(O$2,Inputs!$K$4:$AJ$4,0)))))</f>
        <v>4.709</v>
      </c>
      <c r="P60" s="6">
        <f>IF(ISNA(MATCH(P$2,Inputs!$K$4:$AJ$4,0)),NA(),IF(SUMPRODUCT((Inputs!$A$5:$A$230=$B60)*ISNUMBER(INDEX(Inputs!$K$5:$AJ$230,0,MATCH(P$2,Inputs!$K$4:$AJ$4,0))))+SUMPRODUCT((Inputs!$C$5:$C$230=$B60)*ISNUMBER(INDEX(Inputs!$K$5:$AJ$230,0,MATCH(P$2,Inputs!$K$4:$AJ$4,0))))+SUMPRODUCT((Inputs!$E$5:$E$230=$B60)*ISNUMBER(INDEX(Inputs!$K$5:$AJ$230,0,MATCH(P$2,Inputs!$K$4:$AJ$4,0))))=0,NA(),SUMPRODUCT((Inputs!$A$5:$A$230=$B60)*Inputs!$B$5:$B$230*(((Inputs!$G$5:$G$230="moeda")+(Inputs!$G$5:$G$230="acoes"))*Inputs!$B$1+((Inputs!$G$5:$G$230&lt;&gt;"moeda")*(Inputs!$G$5:$G$230&lt;&gt;"acoes")))*INDEX(Inputs!$K$5:$AJ$230,0,MATCH(P$2,Inputs!$K$4:$AJ$4,0)))+SUMPRODUCT((Inputs!$C$5:$C$230=$B60)*Inputs!$D$5:$D$230*(((Inputs!$G$5:$G$230="moeda")+(Inputs!$G$5:$G$230="acoes"))*Inputs!$B$1+((Inputs!$G$5:$G$230&lt;&gt;"moeda")*(Inputs!$G$5:$G$230&lt;&gt;"acoes")))*INDEX(Inputs!$K$5:$AJ$230,0,MATCH(P$2,Inputs!$K$4:$AJ$4,0)))+SUMPRODUCT((Inputs!$E$5:$E$230=$B60)*Inputs!$F$5:$F$230*(((Inputs!$G$5:$G$230="moeda")+(Inputs!$G$5:$G$230="acoes"))*Inputs!$B$1+((Inputs!$G$5:$G$230&lt;&gt;"moeda")*(Inputs!$G$5:$G$230&lt;&gt;"acoes")))*INDEX(Inputs!$K$5:$AJ$230,0,MATCH(P$2,Inputs!$K$4:$AJ$4,0)))))</f>
        <v>4.923</v>
      </c>
      <c r="Q60" s="6">
        <f>IF(ISNA(MATCH(Q$2,Inputs!$K$4:$AJ$4,0)),NA(),IF(SUMPRODUCT((Inputs!$A$5:$A$230=$B60)*ISNUMBER(INDEX(Inputs!$K$5:$AJ$230,0,MATCH(Q$2,Inputs!$K$4:$AJ$4,0))))+SUMPRODUCT((Inputs!$C$5:$C$230=$B60)*ISNUMBER(INDEX(Inputs!$K$5:$AJ$230,0,MATCH(Q$2,Inputs!$K$4:$AJ$4,0))))+SUMPRODUCT((Inputs!$E$5:$E$230=$B60)*ISNUMBER(INDEX(Inputs!$K$5:$AJ$230,0,MATCH(Q$2,Inputs!$K$4:$AJ$4,0))))=0,NA(),SUMPRODUCT((Inputs!$A$5:$A$230=$B60)*Inputs!$B$5:$B$230*(((Inputs!$G$5:$G$230="moeda")+(Inputs!$G$5:$G$230="acoes"))*Inputs!$B$1+((Inputs!$G$5:$G$230&lt;&gt;"moeda")*(Inputs!$G$5:$G$230&lt;&gt;"acoes")))*INDEX(Inputs!$K$5:$AJ$230,0,MATCH(Q$2,Inputs!$K$4:$AJ$4,0)))+SUMPRODUCT((Inputs!$C$5:$C$230=$B60)*Inputs!$D$5:$D$230*(((Inputs!$G$5:$G$230="moeda")+(Inputs!$G$5:$G$230="acoes"))*Inputs!$B$1+((Inputs!$G$5:$G$230&lt;&gt;"moeda")*(Inputs!$G$5:$G$230&lt;&gt;"acoes")))*INDEX(Inputs!$K$5:$AJ$230,0,MATCH(Q$2,Inputs!$K$4:$AJ$4,0)))+SUMPRODUCT((Inputs!$E$5:$E$230=$B60)*Inputs!$F$5:$F$230*(((Inputs!$G$5:$G$230="moeda")+(Inputs!$G$5:$G$230="acoes"))*Inputs!$B$1+((Inputs!$G$5:$G$230&lt;&gt;"moeda")*(Inputs!$G$5:$G$230&lt;&gt;"acoes")))*INDEX(Inputs!$K$5:$AJ$230,0,MATCH(Q$2,Inputs!$K$4:$AJ$4,0)))))</f>
        <v>16.666</v>
      </c>
      <c r="R60" s="3">
        <f>SUM(N60:Q60)</f>
        <v>41.203</v>
      </c>
      <c r="S60" s="6">
        <f>IF(ISNA(MATCH(S$2,Inputs!$K$4:$AJ$4,0)),NA(),IF(SUMPRODUCT((Inputs!$A$5:$A$230=$B60)*ISNUMBER(INDEX(Inputs!$K$5:$AJ$230,0,MATCH(S$2,Inputs!$K$4:$AJ$4,0))))+SUMPRODUCT((Inputs!$C$5:$C$230=$B60)*ISNUMBER(INDEX(Inputs!$K$5:$AJ$230,0,MATCH(S$2,Inputs!$K$4:$AJ$4,0))))+SUMPRODUCT((Inputs!$E$5:$E$230=$B60)*ISNUMBER(INDEX(Inputs!$K$5:$AJ$230,0,MATCH(S$2,Inputs!$K$4:$AJ$4,0))))=0,NA(),SUMPRODUCT((Inputs!$A$5:$A$230=$B60)*Inputs!$B$5:$B$230*(((Inputs!$G$5:$G$230="moeda")+(Inputs!$G$5:$G$230="acoes"))*Inputs!$B$1+((Inputs!$G$5:$G$230&lt;&gt;"moeda")*(Inputs!$G$5:$G$230&lt;&gt;"acoes")))*INDEX(Inputs!$K$5:$AJ$230,0,MATCH(S$2,Inputs!$K$4:$AJ$4,0)))+SUMPRODUCT((Inputs!$C$5:$C$230=$B60)*Inputs!$D$5:$D$230*(((Inputs!$G$5:$G$230="moeda")+(Inputs!$G$5:$G$230="acoes"))*Inputs!$B$1+((Inputs!$G$5:$G$230&lt;&gt;"moeda")*(Inputs!$G$5:$G$230&lt;&gt;"acoes")))*INDEX(Inputs!$K$5:$AJ$230,0,MATCH(S$2,Inputs!$K$4:$AJ$4,0)))+SUMPRODUCT((Inputs!$E$5:$E$230=$B60)*Inputs!$F$5:$F$230*(((Inputs!$G$5:$G$230="moeda")+(Inputs!$G$5:$G$230="acoes"))*Inputs!$B$1+((Inputs!$G$5:$G$230&lt;&gt;"moeda")*(Inputs!$G$5:$G$230&lt;&gt;"acoes")))*INDEX(Inputs!$K$5:$AJ$230,0,MATCH(S$2,Inputs!$K$4:$AJ$4,0)))))</f>
        <v>12.165</v>
      </c>
      <c r="T60" s="6">
        <f>IF(ISNA(MATCH(T$2,Inputs!$K$4:$AJ$4,0)),NA(),IF(SUMPRODUCT((Inputs!$A$5:$A$230=$B60)*ISNUMBER(INDEX(Inputs!$K$5:$AJ$230,0,MATCH(T$2,Inputs!$K$4:$AJ$4,0))))+SUMPRODUCT((Inputs!$C$5:$C$230=$B60)*ISNUMBER(INDEX(Inputs!$K$5:$AJ$230,0,MATCH(T$2,Inputs!$K$4:$AJ$4,0))))+SUMPRODUCT((Inputs!$E$5:$E$230=$B60)*ISNUMBER(INDEX(Inputs!$K$5:$AJ$230,0,MATCH(T$2,Inputs!$K$4:$AJ$4,0))))=0,NA(),SUMPRODUCT((Inputs!$A$5:$A$230=$B60)*Inputs!$B$5:$B$230*(((Inputs!$G$5:$G$230="moeda")+(Inputs!$G$5:$G$230="acoes"))*Inputs!$B$1+((Inputs!$G$5:$G$230&lt;&gt;"moeda")*(Inputs!$G$5:$G$230&lt;&gt;"acoes")))*INDEX(Inputs!$K$5:$AJ$230,0,MATCH(T$2,Inputs!$K$4:$AJ$4,0)))+SUMPRODUCT((Inputs!$C$5:$C$230=$B60)*Inputs!$D$5:$D$230*(((Inputs!$G$5:$G$230="moeda")+(Inputs!$G$5:$G$230="acoes"))*Inputs!$B$1+((Inputs!$G$5:$G$230&lt;&gt;"moeda")*(Inputs!$G$5:$G$230&lt;&gt;"acoes")))*INDEX(Inputs!$K$5:$AJ$230,0,MATCH(T$2,Inputs!$K$4:$AJ$4,0)))+SUMPRODUCT((Inputs!$E$5:$E$230=$B60)*Inputs!$F$5:$F$230*(((Inputs!$G$5:$G$230="moeda")+(Inputs!$G$5:$G$230="acoes"))*Inputs!$B$1+((Inputs!$G$5:$G$230&lt;&gt;"moeda")*(Inputs!$G$5:$G$230&lt;&gt;"acoes")))*INDEX(Inputs!$K$5:$AJ$230,0,MATCH(T$2,Inputs!$K$4:$AJ$4,0)))))</f>
        <v>13.732</v>
      </c>
      <c r="U60" s="6">
        <f>IF(ISNA(MATCH(U$2,Inputs!$K$4:$AJ$4,0)),NA(),IF(SUMPRODUCT((Inputs!$A$5:$A$230=$B60)*ISNUMBER(INDEX(Inputs!$K$5:$AJ$230,0,MATCH(U$2,Inputs!$K$4:$AJ$4,0))))+SUMPRODUCT((Inputs!$C$5:$C$230=$B60)*ISNUMBER(INDEX(Inputs!$K$5:$AJ$230,0,MATCH(U$2,Inputs!$K$4:$AJ$4,0))))+SUMPRODUCT((Inputs!$E$5:$E$230=$B60)*ISNUMBER(INDEX(Inputs!$K$5:$AJ$230,0,MATCH(U$2,Inputs!$K$4:$AJ$4,0))))=0,NA(),SUMPRODUCT((Inputs!$A$5:$A$230=$B60)*Inputs!$B$5:$B$230*(((Inputs!$G$5:$G$230="moeda")+(Inputs!$G$5:$G$230="acoes"))*Inputs!$B$1+((Inputs!$G$5:$G$230&lt;&gt;"moeda")*(Inputs!$G$5:$G$230&lt;&gt;"acoes")))*INDEX(Inputs!$K$5:$AJ$230,0,MATCH(U$2,Inputs!$K$4:$AJ$4,0)))+SUMPRODUCT((Inputs!$C$5:$C$230=$B60)*Inputs!$D$5:$D$230*(((Inputs!$G$5:$G$230="moeda")+(Inputs!$G$5:$G$230="acoes"))*Inputs!$B$1+((Inputs!$G$5:$G$230&lt;&gt;"moeda")*(Inputs!$G$5:$G$230&lt;&gt;"acoes")))*INDEX(Inputs!$K$5:$AJ$230,0,MATCH(U$2,Inputs!$K$4:$AJ$4,0)))+SUMPRODUCT((Inputs!$E$5:$E$230=$B60)*Inputs!$F$5:$F$230*(((Inputs!$G$5:$G$230="moeda")+(Inputs!$G$5:$G$230="acoes"))*Inputs!$B$1+((Inputs!$G$5:$G$230&lt;&gt;"moeda")*(Inputs!$G$5:$G$230&lt;&gt;"acoes")))*INDEX(Inputs!$K$5:$AJ$230,0,MATCH(U$2,Inputs!$K$4:$AJ$4,0)))))</f>
        <v>15.451</v>
      </c>
      <c r="V60" s="6">
        <f>IF(ISNA(MATCH(V$2,Inputs!$K$4:$AJ$4,0)),NA(),IF(SUMPRODUCT((Inputs!$A$5:$A$230=$B60)*ISNUMBER(INDEX(Inputs!$K$5:$AJ$230,0,MATCH(V$2,Inputs!$K$4:$AJ$4,0))))+SUMPRODUCT((Inputs!$C$5:$C$230=$B60)*ISNUMBER(INDEX(Inputs!$K$5:$AJ$230,0,MATCH(V$2,Inputs!$K$4:$AJ$4,0))))+SUMPRODUCT((Inputs!$E$5:$E$230=$B60)*ISNUMBER(INDEX(Inputs!$K$5:$AJ$230,0,MATCH(V$2,Inputs!$K$4:$AJ$4,0))))=0,NA(),SUMPRODUCT((Inputs!$A$5:$A$230=$B60)*Inputs!$B$5:$B$230*(((Inputs!$G$5:$G$230="moeda")+(Inputs!$G$5:$G$230="acoes"))*Inputs!$B$1+((Inputs!$G$5:$G$230&lt;&gt;"moeda")*(Inputs!$G$5:$G$230&lt;&gt;"acoes")))*INDEX(Inputs!$K$5:$AJ$230,0,MATCH(V$2,Inputs!$K$4:$AJ$4,0)))+SUMPRODUCT((Inputs!$C$5:$C$230=$B60)*Inputs!$D$5:$D$230*(((Inputs!$G$5:$G$230="moeda")+(Inputs!$G$5:$G$230="acoes"))*Inputs!$B$1+((Inputs!$G$5:$G$230&lt;&gt;"moeda")*(Inputs!$G$5:$G$230&lt;&gt;"acoes")))*INDEX(Inputs!$K$5:$AJ$230,0,MATCH(V$2,Inputs!$K$4:$AJ$4,0)))+SUMPRODUCT((Inputs!$E$5:$E$230=$B60)*Inputs!$F$5:$F$230*(((Inputs!$G$5:$G$230="moeda")+(Inputs!$G$5:$G$230="acoes"))*Inputs!$B$1+((Inputs!$G$5:$G$230&lt;&gt;"moeda")*(Inputs!$G$5:$G$230&lt;&gt;"acoes")))*INDEX(Inputs!$K$5:$AJ$230,0,MATCH(V$2,Inputs!$K$4:$AJ$4,0)))))</f>
        <v>20.559</v>
      </c>
      <c r="W60" s="3">
        <f>SUM(S60:V60)</f>
        <v>61.907</v>
      </c>
      <c r="X60" s="6">
        <f>IF(ISNA(MATCH(X$2,Inputs!$K$4:$AJ$4,0)),NA(),IF(SUMPRODUCT((Inputs!$A$5:$A$230=$B60)*ISNUMBER(INDEX(Inputs!$K$5:$AJ$230,0,MATCH(X$2,Inputs!$K$4:$AJ$4,0))))+SUMPRODUCT((Inputs!$C$5:$C$230=$B60)*ISNUMBER(INDEX(Inputs!$K$5:$AJ$230,0,MATCH(X$2,Inputs!$K$4:$AJ$4,0))))+SUMPRODUCT((Inputs!$E$5:$E$230=$B60)*ISNUMBER(INDEX(Inputs!$K$5:$AJ$230,0,MATCH(X$2,Inputs!$K$4:$AJ$4,0))))=0,NA(),SUMPRODUCT((Inputs!$A$5:$A$230=$B60)*Inputs!$B$5:$B$230*(((Inputs!$G$5:$G$230="moeda")+(Inputs!$G$5:$G$230="acoes"))*Inputs!$B$1+((Inputs!$G$5:$G$230&lt;&gt;"moeda")*(Inputs!$G$5:$G$230&lt;&gt;"acoes")))*INDEX(Inputs!$K$5:$AJ$230,0,MATCH(X$2,Inputs!$K$4:$AJ$4,0)))+SUMPRODUCT((Inputs!$C$5:$C$230=$B60)*Inputs!$D$5:$D$230*(((Inputs!$G$5:$G$230="moeda")+(Inputs!$G$5:$G$230="acoes"))*Inputs!$B$1+((Inputs!$G$5:$G$230&lt;&gt;"moeda")*(Inputs!$G$5:$G$230&lt;&gt;"acoes")))*INDEX(Inputs!$K$5:$AJ$230,0,MATCH(X$2,Inputs!$K$4:$AJ$4,0)))+SUMPRODUCT((Inputs!$E$5:$E$230=$B60)*Inputs!$F$5:$F$230*(((Inputs!$G$5:$G$230="moeda")+(Inputs!$G$5:$G$230="acoes"))*Inputs!$B$1+((Inputs!$G$5:$G$230&lt;&gt;"moeda")*(Inputs!$G$5:$G$230&lt;&gt;"acoes")))*INDEX(Inputs!$K$5:$AJ$230,0,MATCH(X$2,Inputs!$K$4:$AJ$4,0)))))</f>
        <v>17.456</v>
      </c>
      <c r="Y60" s="6">
        <f>IF(ISNA(MATCH(Y$2,Inputs!$K$4:$AJ$4,0)),NA(),IF(SUMPRODUCT((Inputs!$A$5:$A$230=$B60)*ISNUMBER(INDEX(Inputs!$K$5:$AJ$230,0,MATCH(Y$2,Inputs!$K$4:$AJ$4,0))))+SUMPRODUCT((Inputs!$C$5:$C$230=$B60)*ISNUMBER(INDEX(Inputs!$K$5:$AJ$230,0,MATCH(Y$2,Inputs!$K$4:$AJ$4,0))))+SUMPRODUCT((Inputs!$E$5:$E$230=$B60)*ISNUMBER(INDEX(Inputs!$K$5:$AJ$230,0,MATCH(Y$2,Inputs!$K$4:$AJ$4,0))))=0,NA(),SUMPRODUCT((Inputs!$A$5:$A$230=$B60)*Inputs!$B$5:$B$230*(((Inputs!$G$5:$G$230="moeda")+(Inputs!$G$5:$G$230="acoes"))*Inputs!$B$1+((Inputs!$G$5:$G$230&lt;&gt;"moeda")*(Inputs!$G$5:$G$230&lt;&gt;"acoes")))*INDEX(Inputs!$K$5:$AJ$230,0,MATCH(Y$2,Inputs!$K$4:$AJ$4,0)))+SUMPRODUCT((Inputs!$C$5:$C$230=$B60)*Inputs!$D$5:$D$230*(((Inputs!$G$5:$G$230="moeda")+(Inputs!$G$5:$G$230="acoes"))*Inputs!$B$1+((Inputs!$G$5:$G$230&lt;&gt;"moeda")*(Inputs!$G$5:$G$230&lt;&gt;"acoes")))*INDEX(Inputs!$K$5:$AJ$230,0,MATCH(Y$2,Inputs!$K$4:$AJ$4,0)))+SUMPRODUCT((Inputs!$E$5:$E$230=$B60)*Inputs!$F$5:$F$230*(((Inputs!$G$5:$G$230="moeda")+(Inputs!$G$5:$G$230="acoes"))*Inputs!$B$1+((Inputs!$G$5:$G$230&lt;&gt;"moeda")*(Inputs!$G$5:$G$230&lt;&gt;"acoes")))*INDEX(Inputs!$K$5:$AJ$230,0,MATCH(Y$2,Inputs!$K$4:$AJ$4,0)))))</f>
        <v>10.101</v>
      </c>
      <c r="Z60" s="6">
        <f>IF(ISNA(MATCH(Z$2,Inputs!$K$4:$AJ$4,0)),NA(),IF(SUMPRODUCT((Inputs!$A$5:$A$230=$B60)*ISNUMBER(INDEX(Inputs!$K$5:$AJ$230,0,MATCH(Z$2,Inputs!$K$4:$AJ$4,0))))+SUMPRODUCT((Inputs!$C$5:$C$230=$B60)*ISNUMBER(INDEX(Inputs!$K$5:$AJ$230,0,MATCH(Z$2,Inputs!$K$4:$AJ$4,0))))+SUMPRODUCT((Inputs!$E$5:$E$230=$B60)*ISNUMBER(INDEX(Inputs!$K$5:$AJ$230,0,MATCH(Z$2,Inputs!$K$4:$AJ$4,0))))=0,NA(),SUMPRODUCT((Inputs!$A$5:$A$230=$B60)*Inputs!$B$5:$B$230*(((Inputs!$G$5:$G$230="moeda")+(Inputs!$G$5:$G$230="acoes"))*Inputs!$B$1+((Inputs!$G$5:$G$230&lt;&gt;"moeda")*(Inputs!$G$5:$G$230&lt;&gt;"acoes")))*INDEX(Inputs!$K$5:$AJ$230,0,MATCH(Z$2,Inputs!$K$4:$AJ$4,0)))+SUMPRODUCT((Inputs!$C$5:$C$230=$B60)*Inputs!$D$5:$D$230*(((Inputs!$G$5:$G$230="moeda")+(Inputs!$G$5:$G$230="acoes"))*Inputs!$B$1+((Inputs!$G$5:$G$230&lt;&gt;"moeda")*(Inputs!$G$5:$G$230&lt;&gt;"acoes")))*INDEX(Inputs!$K$5:$AJ$230,0,MATCH(Z$2,Inputs!$K$4:$AJ$4,0)))+SUMPRODUCT((Inputs!$E$5:$E$230=$B60)*Inputs!$F$5:$F$230*(((Inputs!$G$5:$G$230="moeda")+(Inputs!$G$5:$G$230="acoes"))*Inputs!$B$1+((Inputs!$G$5:$G$230&lt;&gt;"moeda")*(Inputs!$G$5:$G$230&lt;&gt;"acoes")))*INDEX(Inputs!$K$5:$AJ$230,0,MATCH(Z$2,Inputs!$K$4:$AJ$4,0)))))</f>
        <v>7.39</v>
      </c>
      <c r="AA60" s="6">
        <f>IF(ISNA(MATCH(AA$2,Inputs!$K$4:$AJ$4,0)),NA(),IF(SUMPRODUCT((Inputs!$A$5:$A$230=$B60)*ISNUMBER(INDEX(Inputs!$K$5:$AJ$230,0,MATCH(AA$2,Inputs!$K$4:$AJ$4,0))))+SUMPRODUCT((Inputs!$C$5:$C$230=$B60)*ISNUMBER(INDEX(Inputs!$K$5:$AJ$230,0,MATCH(AA$2,Inputs!$K$4:$AJ$4,0))))+SUMPRODUCT((Inputs!$E$5:$E$230=$B60)*ISNUMBER(INDEX(Inputs!$K$5:$AJ$230,0,MATCH(AA$2,Inputs!$K$4:$AJ$4,0))))=0,NA(),SUMPRODUCT((Inputs!$A$5:$A$230=$B60)*Inputs!$B$5:$B$230*(((Inputs!$G$5:$G$230="moeda")+(Inputs!$G$5:$G$230="acoes"))*Inputs!$B$1+((Inputs!$G$5:$G$230&lt;&gt;"moeda")*(Inputs!$G$5:$G$230&lt;&gt;"acoes")))*INDEX(Inputs!$K$5:$AJ$230,0,MATCH(AA$2,Inputs!$K$4:$AJ$4,0)))+SUMPRODUCT((Inputs!$C$5:$C$230=$B60)*Inputs!$D$5:$D$230*(((Inputs!$G$5:$G$230="moeda")+(Inputs!$G$5:$G$230="acoes"))*Inputs!$B$1+((Inputs!$G$5:$G$230&lt;&gt;"moeda")*(Inputs!$G$5:$G$230&lt;&gt;"acoes")))*INDEX(Inputs!$K$5:$AJ$230,0,MATCH(AA$2,Inputs!$K$4:$AJ$4,0)))+SUMPRODUCT((Inputs!$E$5:$E$230=$B60)*Inputs!$F$5:$F$230*(((Inputs!$G$5:$G$230="moeda")+(Inputs!$G$5:$G$230="acoes"))*Inputs!$B$1+((Inputs!$G$5:$G$230&lt;&gt;"moeda")*(Inputs!$G$5:$G$230&lt;&gt;"acoes")))*INDEX(Inputs!$K$5:$AJ$230,0,MATCH(AA$2,Inputs!$K$4:$AJ$4,0)))))</f>
        <v>11.758</v>
      </c>
      <c r="AB60" s="3">
        <f>SUM(X60:AA60)</f>
        <v>46.705</v>
      </c>
      <c r="AC60" s="6">
        <f>IF(ISNA(MATCH(AC$2,Inputs!$K$4:$AJ$4,0)),NA(),IF(SUMPRODUCT((Inputs!$A$5:$A$230=$B60)*ISNUMBER(INDEX(Inputs!$K$5:$AJ$230,0,MATCH(AC$2,Inputs!$K$4:$AJ$4,0))))+SUMPRODUCT((Inputs!$C$5:$C$230=$B60)*ISNUMBER(INDEX(Inputs!$K$5:$AJ$230,0,MATCH(AC$2,Inputs!$K$4:$AJ$4,0))))+SUMPRODUCT((Inputs!$E$5:$E$230=$B60)*ISNUMBER(INDEX(Inputs!$K$5:$AJ$230,0,MATCH(AC$2,Inputs!$K$4:$AJ$4,0))))=0,NA(),SUMPRODUCT((Inputs!$A$5:$A$230=$B60)*Inputs!$B$5:$B$230*(((Inputs!$G$5:$G$230="moeda")+(Inputs!$G$5:$G$230="acoes"))*Inputs!$B$1+((Inputs!$G$5:$G$230&lt;&gt;"moeda")*(Inputs!$G$5:$G$230&lt;&gt;"acoes")))*INDEX(Inputs!$K$5:$AJ$230,0,MATCH(AC$2,Inputs!$K$4:$AJ$4,0)))+SUMPRODUCT((Inputs!$C$5:$C$230=$B60)*Inputs!$D$5:$D$230*(((Inputs!$G$5:$G$230="moeda")+(Inputs!$G$5:$G$230="acoes"))*Inputs!$B$1+((Inputs!$G$5:$G$230&lt;&gt;"moeda")*(Inputs!$G$5:$G$230&lt;&gt;"acoes")))*INDEX(Inputs!$K$5:$AJ$230,0,MATCH(AC$2,Inputs!$K$4:$AJ$4,0)))+SUMPRODUCT((Inputs!$E$5:$E$230=$B60)*Inputs!$F$5:$F$230*(((Inputs!$G$5:$G$230="moeda")+(Inputs!$G$5:$G$230="acoes"))*Inputs!$B$1+((Inputs!$G$5:$G$230&lt;&gt;"moeda")*(Inputs!$G$5:$G$230&lt;&gt;"acoes")))*INDEX(Inputs!$K$5:$AJ$230,0,MATCH(AC$2,Inputs!$K$4:$AJ$4,0)))))</f>
        <v>10.154</v>
      </c>
      <c r="AD60" s="6">
        <f>IF(ISNA(MATCH(AD$2,Inputs!$K$4:$AJ$4,0)),NA(),IF(SUMPRODUCT((Inputs!$A$5:$A$230=$B60)*ISNUMBER(INDEX(Inputs!$K$5:$AJ$230,0,MATCH(AD$2,Inputs!$K$4:$AJ$4,0))))+SUMPRODUCT((Inputs!$C$5:$C$230=$B60)*ISNUMBER(INDEX(Inputs!$K$5:$AJ$230,0,MATCH(AD$2,Inputs!$K$4:$AJ$4,0))))+SUMPRODUCT((Inputs!$E$5:$E$230=$B60)*ISNUMBER(INDEX(Inputs!$K$5:$AJ$230,0,MATCH(AD$2,Inputs!$K$4:$AJ$4,0))))=0,NA(),SUMPRODUCT((Inputs!$A$5:$A$230=$B60)*Inputs!$B$5:$B$230*(((Inputs!$G$5:$G$230="moeda")+(Inputs!$G$5:$G$230="acoes"))*Inputs!$B$1+((Inputs!$G$5:$G$230&lt;&gt;"moeda")*(Inputs!$G$5:$G$230&lt;&gt;"acoes")))*INDEX(Inputs!$K$5:$AJ$230,0,MATCH(AD$2,Inputs!$K$4:$AJ$4,0)))+SUMPRODUCT((Inputs!$C$5:$C$230=$B60)*Inputs!$D$5:$D$230*(((Inputs!$G$5:$G$230="moeda")+(Inputs!$G$5:$G$230="acoes"))*Inputs!$B$1+((Inputs!$G$5:$G$230&lt;&gt;"moeda")*(Inputs!$G$5:$G$230&lt;&gt;"acoes")))*INDEX(Inputs!$K$5:$AJ$230,0,MATCH(AD$2,Inputs!$K$4:$AJ$4,0)))+SUMPRODUCT((Inputs!$E$5:$E$230=$B60)*Inputs!$F$5:$F$230*(((Inputs!$G$5:$G$230="moeda")+(Inputs!$G$5:$G$230="acoes"))*Inputs!$B$1+((Inputs!$G$5:$G$230&lt;&gt;"moeda")*(Inputs!$G$5:$G$230&lt;&gt;"acoes")))*INDEX(Inputs!$K$5:$AJ$230,0,MATCH(AD$2,Inputs!$K$4:$AJ$4,0)))))</f>
        <v>19.672</v>
      </c>
      <c r="AE60" s="6" t="e">
        <f>IF(ISNA(MATCH(AE$2,Inputs!$K$4:$AJ$4,0)),NA(),IF(SUMPRODUCT((Inputs!$A$5:$A$230=$B60)*ISNUMBER(INDEX(Inputs!$K$5:$AJ$230,0,MATCH(AE$2,Inputs!$K$4:$AJ$4,0))))+SUMPRODUCT((Inputs!$C$5:$C$230=$B60)*ISNUMBER(INDEX(Inputs!$K$5:$AJ$230,0,MATCH(AE$2,Inputs!$K$4:$AJ$4,0))))+SUMPRODUCT((Inputs!$E$5:$E$230=$B60)*ISNUMBER(INDEX(Inputs!$K$5:$AJ$230,0,MATCH(AE$2,Inputs!$K$4:$AJ$4,0))))=0,NA(),SUMPRODUCT((Inputs!$A$5:$A$230=$B60)*Inputs!$B$5:$B$230*(((Inputs!$G$5:$G$230="moeda")+(Inputs!$G$5:$G$230="acoes"))*Inputs!$B$1+((Inputs!$G$5:$G$230&lt;&gt;"moeda")*(Inputs!$G$5:$G$230&lt;&gt;"acoes")))*INDEX(Inputs!$K$5:$AJ$230,0,MATCH(AE$2,Inputs!$K$4:$AJ$4,0)))+SUMPRODUCT((Inputs!$C$5:$C$230=$B60)*Inputs!$D$5:$D$230*(((Inputs!$G$5:$G$230="moeda")+(Inputs!$G$5:$G$230="acoes"))*Inputs!$B$1+((Inputs!$G$5:$G$230&lt;&gt;"moeda")*(Inputs!$G$5:$G$230&lt;&gt;"acoes")))*INDEX(Inputs!$K$5:$AJ$230,0,MATCH(AE$2,Inputs!$K$4:$AJ$4,0)))+SUMPRODUCT((Inputs!$E$5:$E$230=$B60)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0" s="6" t="e">
        <f>IF(ISNA(MATCH(AF$2,Inputs!$K$4:$AJ$4,0)),NA(),IF(SUMPRODUCT((Inputs!$A$5:$A$230=$B60)*ISNUMBER(INDEX(Inputs!$K$5:$AJ$230,0,MATCH(AF$2,Inputs!$K$4:$AJ$4,0))))+SUMPRODUCT((Inputs!$C$5:$C$230=$B60)*ISNUMBER(INDEX(Inputs!$K$5:$AJ$230,0,MATCH(AF$2,Inputs!$K$4:$AJ$4,0))))+SUMPRODUCT((Inputs!$E$5:$E$230=$B60)*ISNUMBER(INDEX(Inputs!$K$5:$AJ$230,0,MATCH(AF$2,Inputs!$K$4:$AJ$4,0))))=0,NA(),SUMPRODUCT((Inputs!$A$5:$A$230=$B60)*Inputs!$B$5:$B$230*(((Inputs!$G$5:$G$230="moeda")+(Inputs!$G$5:$G$230="acoes"))*Inputs!$B$1+((Inputs!$G$5:$G$230&lt;&gt;"moeda")*(Inputs!$G$5:$G$230&lt;&gt;"acoes")))*INDEX(Inputs!$K$5:$AJ$230,0,MATCH(AF$2,Inputs!$K$4:$AJ$4,0)))+SUMPRODUCT((Inputs!$C$5:$C$230=$B60)*Inputs!$D$5:$D$230*(((Inputs!$G$5:$G$230="moeda")+(Inputs!$G$5:$G$230="acoes"))*Inputs!$B$1+((Inputs!$G$5:$G$230&lt;&gt;"moeda")*(Inputs!$G$5:$G$230&lt;&gt;"acoes")))*INDEX(Inputs!$K$5:$AJ$230,0,MATCH(AF$2,Inputs!$K$4:$AJ$4,0)))+SUMPRODUCT((Inputs!$E$5:$E$230=$B60)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0" s="3" t="e">
        <f>SUM(AC60:AF60)</f>
        <v>#N/A</v>
      </c>
      <c r="AH60" s="6">
        <f>IF(ISNA(MATCH(AH$2,Inputs!$K$4:$AJ$4,0)),NA(),IF(SUMPRODUCT((Inputs!$A$5:$A$230=$B60)*ISNUMBER(INDEX(Inputs!$K$5:$AJ$230,0,MATCH(AH$2,Inputs!$K$4:$AJ$4,0))))+SUMPRODUCT((Inputs!$C$5:$C$230=$B60)*ISNUMBER(INDEX(Inputs!$K$5:$AJ$230,0,MATCH(AH$2,Inputs!$K$4:$AJ$4,0))))+SUMPRODUCT((Inputs!$E$5:$E$230=$B60)*ISNUMBER(INDEX(Inputs!$K$5:$AJ$230,0,MATCH(AH$2,Inputs!$K$4:$AJ$4,0))))=0,NA(),SUMPRODUCT((Inputs!$A$5:$A$230=$B60)*Inputs!$B$5:$B$230*(((Inputs!$G$5:$G$230="moeda")+(Inputs!$G$5:$G$230="acoes"))*Inputs!$B$1+((Inputs!$G$5:$G$230&lt;&gt;"moeda")*(Inputs!$G$5:$G$230&lt;&gt;"acoes")))*INDEX(Inputs!$K$5:$AJ$230,0,MATCH(AH$2,Inputs!$K$4:$AJ$4,0)))+SUMPRODUCT((Inputs!$C$5:$C$230=$B60)*Inputs!$D$5:$D$230*(((Inputs!$G$5:$G$230="moeda")+(Inputs!$G$5:$G$230="acoes"))*Inputs!$B$1+((Inputs!$G$5:$G$230&lt;&gt;"moeda")*(Inputs!$G$5:$G$230&lt;&gt;"acoes")))*INDEX(Inputs!$K$5:$AJ$230,0,MATCH(AH$2,Inputs!$K$4:$AJ$4,0)))+SUMPRODUCT((Inputs!$E$5:$E$230=$B60)*Inputs!$F$5:$F$230*(((Inputs!$G$5:$G$230="moeda")+(Inputs!$G$5:$G$230="acoes"))*Inputs!$B$1+((Inputs!$G$5:$G$230&lt;&gt;"moeda")*(Inputs!$G$5:$G$230&lt;&gt;"acoes")))*INDEX(Inputs!$K$5:$AJ$230,0,MATCH(AH$2,Inputs!$K$4:$AJ$4,0)))))</f>
        <v>15.604</v>
      </c>
      <c r="AI60" s="6">
        <f>IF(ISNA(MATCH(AI$2,Inputs!$K$4:$AJ$4,0)),NA(),IF(SUMPRODUCT((Inputs!$A$5:$A$230=$B60)*ISNUMBER(INDEX(Inputs!$K$5:$AJ$230,0,MATCH(AI$2,Inputs!$K$4:$AJ$4,0))))+SUMPRODUCT((Inputs!$C$5:$C$230=$B60)*ISNUMBER(INDEX(Inputs!$K$5:$AJ$230,0,MATCH(AI$2,Inputs!$K$4:$AJ$4,0))))+SUMPRODUCT((Inputs!$E$5:$E$230=$B60)*ISNUMBER(INDEX(Inputs!$K$5:$AJ$230,0,MATCH(AI$2,Inputs!$K$4:$AJ$4,0))))=0,NA(),SUMPRODUCT((Inputs!$A$5:$A$230=$B60)*Inputs!$B$5:$B$230*(((Inputs!$G$5:$G$230="moeda")+(Inputs!$G$5:$G$230="acoes"))*Inputs!$B$1+((Inputs!$G$5:$G$230&lt;&gt;"moeda")*(Inputs!$G$5:$G$230&lt;&gt;"acoes")))*INDEX(Inputs!$K$5:$AJ$230,0,MATCH(AI$2,Inputs!$K$4:$AJ$4,0)))+SUMPRODUCT((Inputs!$C$5:$C$230=$B60)*Inputs!$D$5:$D$230*(((Inputs!$G$5:$G$230="moeda")+(Inputs!$G$5:$G$230="acoes"))*Inputs!$B$1+((Inputs!$G$5:$G$230&lt;&gt;"moeda")*(Inputs!$G$5:$G$230&lt;&gt;"acoes")))*INDEX(Inputs!$K$5:$AJ$230,0,MATCH(AI$2,Inputs!$K$4:$AJ$4,0)))+SUMPRODUCT((Inputs!$E$5:$E$230=$B60)*Inputs!$F$5:$F$230*(((Inputs!$G$5:$G$230="moeda")+(Inputs!$G$5:$G$230="acoes"))*Inputs!$B$1+((Inputs!$G$5:$G$230&lt;&gt;"moeda")*(Inputs!$G$5:$G$230&lt;&gt;"acoes")))*INDEX(Inputs!$K$5:$AJ$230,0,MATCH(AI$2,Inputs!$K$4:$AJ$4,0)))))</f>
        <v>15.517</v>
      </c>
      <c r="AJ60" s="6">
        <f>IF(ISNA(MATCH(AJ$2,Inputs!$K$4:$AJ$4,0)),NA(),IF(SUMPRODUCT((Inputs!$A$5:$A$230=$B60)*ISNUMBER(INDEX(Inputs!$K$5:$AJ$230,0,MATCH(AJ$2,Inputs!$K$4:$AJ$4,0))))+SUMPRODUCT((Inputs!$C$5:$C$230=$B60)*ISNUMBER(INDEX(Inputs!$K$5:$AJ$230,0,MATCH(AJ$2,Inputs!$K$4:$AJ$4,0))))+SUMPRODUCT((Inputs!$E$5:$E$230=$B60)*ISNUMBER(INDEX(Inputs!$K$5:$AJ$230,0,MATCH(AJ$2,Inputs!$K$4:$AJ$4,0))))=0,NA(),SUMPRODUCT((Inputs!$A$5:$A$230=$B60)*Inputs!$B$5:$B$230*(((Inputs!$G$5:$G$230="moeda")+(Inputs!$G$5:$G$230="acoes"))*Inputs!$B$1+((Inputs!$G$5:$G$230&lt;&gt;"moeda")*(Inputs!$G$5:$G$230&lt;&gt;"acoes")))*INDEX(Inputs!$K$5:$AJ$230,0,MATCH(AJ$2,Inputs!$K$4:$AJ$4,0)))+SUMPRODUCT((Inputs!$C$5:$C$230=$B60)*Inputs!$D$5:$D$230*(((Inputs!$G$5:$G$230="moeda")+(Inputs!$G$5:$G$230="acoes"))*Inputs!$B$1+((Inputs!$G$5:$G$230&lt;&gt;"moeda")*(Inputs!$G$5:$G$230&lt;&gt;"acoes")))*INDEX(Inputs!$K$5:$AJ$230,0,MATCH(AJ$2,Inputs!$K$4:$AJ$4,0)))+SUMPRODUCT((Inputs!$E$5:$E$230=$B60)*Inputs!$F$5:$F$230*(((Inputs!$G$5:$G$230="moeda")+(Inputs!$G$5:$G$230="acoes"))*Inputs!$B$1+((Inputs!$G$5:$G$230&lt;&gt;"moeda")*(Inputs!$G$5:$G$230&lt;&gt;"acoes")))*INDEX(Inputs!$K$5:$AJ$230,0,MATCH(AJ$2,Inputs!$K$4:$AJ$4,0)))))</f>
        <v>24.777</v>
      </c>
      <c r="AK60" s="6">
        <f>IF(ISNA(MATCH(AK$2,Inputs!$K$4:$AJ$4,0)),NA(),IF(SUMPRODUCT((Inputs!$A$5:$A$230=$B60)*ISNUMBER(INDEX(Inputs!$K$5:$AJ$230,0,MATCH(AK$2,Inputs!$K$4:$AJ$4,0))))+SUMPRODUCT((Inputs!$C$5:$C$230=$B60)*ISNUMBER(INDEX(Inputs!$K$5:$AJ$230,0,MATCH(AK$2,Inputs!$K$4:$AJ$4,0))))+SUMPRODUCT((Inputs!$E$5:$E$230=$B60)*ISNUMBER(INDEX(Inputs!$K$5:$AJ$230,0,MATCH(AK$2,Inputs!$K$4:$AJ$4,0))))=0,NA(),SUMPRODUCT((Inputs!$A$5:$A$230=$B60)*Inputs!$B$5:$B$230*(((Inputs!$G$5:$G$230="moeda")+(Inputs!$G$5:$G$230="acoes"))*Inputs!$B$1+((Inputs!$G$5:$G$230&lt;&gt;"moeda")*(Inputs!$G$5:$G$230&lt;&gt;"acoes")))*INDEX(Inputs!$K$5:$AJ$230,0,MATCH(AK$2,Inputs!$K$4:$AJ$4,0)))+SUMPRODUCT((Inputs!$C$5:$C$230=$B60)*Inputs!$D$5:$D$230*(((Inputs!$G$5:$G$230="moeda")+(Inputs!$G$5:$G$230="acoes"))*Inputs!$B$1+((Inputs!$G$5:$G$230&lt;&gt;"moeda")*(Inputs!$G$5:$G$230&lt;&gt;"acoes")))*INDEX(Inputs!$K$5:$AJ$230,0,MATCH(AK$2,Inputs!$K$4:$AJ$4,0)))+SUMPRODUCT((Inputs!$E$5:$E$230=$B60)*Inputs!$F$5:$F$230*(((Inputs!$G$5:$G$230="moeda")+(Inputs!$G$5:$G$230="acoes"))*Inputs!$B$1+((Inputs!$G$5:$G$230&lt;&gt;"moeda")*(Inputs!$G$5:$G$230&lt;&gt;"acoes")))*INDEX(Inputs!$K$5:$AJ$230,0,MATCH(AK$2,Inputs!$K$4:$AJ$4,0)))))</f>
        <v>43.098</v>
      </c>
      <c r="AL60" s="3">
        <f>SUM(AH60:AK60)</f>
        <v>98.996</v>
      </c>
    </row>
    <row r="61">
      <c r="B61" s="46" t="n">
        <v>53</v>
      </c>
      <c r="C61" s="29" t="inlineStr">
        <is>
          <t>Transmissao | ENTE</t>
        </is>
      </c>
      <c r="D61" s="6">
        <f>IF(ISNA(MATCH(D$2,Inputs!$K$4:$AJ$4,0)),NA(),IF(SUMPRODUCT((Inputs!$A$5:$A$230=$B61)*ISNUMBER(INDEX(Inputs!$K$5:$AJ$230,0,MATCH(D$2,Inputs!$K$4:$AJ$4,0))))+SUMPRODUCT((Inputs!$C$5:$C$230=$B61)*ISNUMBER(INDEX(Inputs!$K$5:$AJ$230,0,MATCH(D$2,Inputs!$K$4:$AJ$4,0))))+SUMPRODUCT((Inputs!$E$5:$E$230=$B61)*ISNUMBER(INDEX(Inputs!$K$5:$AJ$230,0,MATCH(D$2,Inputs!$K$4:$AJ$4,0))))=0,NA(),SUMPRODUCT((Inputs!$A$5:$A$230=$B61)*Inputs!$B$5:$B$230*(((Inputs!$G$5:$G$230="moeda")+(Inputs!$G$5:$G$230="acoes"))*Inputs!$B$1+((Inputs!$G$5:$G$230&lt;&gt;"moeda")*(Inputs!$G$5:$G$230&lt;&gt;"acoes")))*INDEX(Inputs!$K$5:$AJ$230,0,MATCH(D$2,Inputs!$K$4:$AJ$4,0)))+SUMPRODUCT((Inputs!$C$5:$C$230=$B61)*Inputs!$D$5:$D$230*(((Inputs!$G$5:$G$230="moeda")+(Inputs!$G$5:$G$230="acoes"))*Inputs!$B$1+((Inputs!$G$5:$G$230&lt;&gt;"moeda")*(Inputs!$G$5:$G$230&lt;&gt;"acoes")))*INDEX(Inputs!$K$5:$AJ$230,0,MATCH(D$2,Inputs!$K$4:$AJ$4,0)))+SUMPRODUCT((Inputs!$E$5:$E$230=$B61)*Inputs!$F$5:$F$230*(((Inputs!$G$5:$G$230="moeda")+(Inputs!$G$5:$G$230="acoes"))*Inputs!$B$1+((Inputs!$G$5:$G$230&lt;&gt;"moeda")*(Inputs!$G$5:$G$230&lt;&gt;"acoes")))*INDEX(Inputs!$K$5:$AJ$230,0,MATCH(D$2,Inputs!$K$4:$AJ$4,0)))))</f>
        <v>65.089</v>
      </c>
      <c r="E61" s="6">
        <f>IF(ISNA(MATCH(E$2,Inputs!$K$4:$AJ$4,0)),NA(),IF(SUMPRODUCT((Inputs!$A$5:$A$230=$B61)*ISNUMBER(INDEX(Inputs!$K$5:$AJ$230,0,MATCH(E$2,Inputs!$K$4:$AJ$4,0))))+SUMPRODUCT((Inputs!$C$5:$C$230=$B61)*ISNUMBER(INDEX(Inputs!$K$5:$AJ$230,0,MATCH(E$2,Inputs!$K$4:$AJ$4,0))))+SUMPRODUCT((Inputs!$E$5:$E$230=$B61)*ISNUMBER(INDEX(Inputs!$K$5:$AJ$230,0,MATCH(E$2,Inputs!$K$4:$AJ$4,0))))=0,NA(),SUMPRODUCT((Inputs!$A$5:$A$230=$B61)*Inputs!$B$5:$B$230*(((Inputs!$G$5:$G$230="moeda")+(Inputs!$G$5:$G$230="acoes"))*Inputs!$B$1+((Inputs!$G$5:$G$230&lt;&gt;"moeda")*(Inputs!$G$5:$G$230&lt;&gt;"acoes")))*INDEX(Inputs!$K$5:$AJ$230,0,MATCH(E$2,Inputs!$K$4:$AJ$4,0)))+SUMPRODUCT((Inputs!$C$5:$C$230=$B61)*Inputs!$D$5:$D$230*(((Inputs!$G$5:$G$230="moeda")+(Inputs!$G$5:$G$230="acoes"))*Inputs!$B$1+((Inputs!$G$5:$G$230&lt;&gt;"moeda")*(Inputs!$G$5:$G$230&lt;&gt;"acoes")))*INDEX(Inputs!$K$5:$AJ$230,0,MATCH(E$2,Inputs!$K$4:$AJ$4,0)))+SUMPRODUCT((Inputs!$E$5:$E$230=$B61)*Inputs!$F$5:$F$230*(((Inputs!$G$5:$G$230="moeda")+(Inputs!$G$5:$G$230="acoes"))*Inputs!$B$1+((Inputs!$G$5:$G$230&lt;&gt;"moeda")*(Inputs!$G$5:$G$230&lt;&gt;"acoes")))*INDEX(Inputs!$K$5:$AJ$230,0,MATCH(E$2,Inputs!$K$4:$AJ$4,0)))))</f>
        <v>85.88</v>
      </c>
      <c r="F61" s="6">
        <f>IF(ISNA(MATCH(F$2,Inputs!$K$4:$AJ$4,0)),NA(),IF(SUMPRODUCT((Inputs!$A$5:$A$230=$B61)*ISNUMBER(INDEX(Inputs!$K$5:$AJ$230,0,MATCH(F$2,Inputs!$K$4:$AJ$4,0))))+SUMPRODUCT((Inputs!$C$5:$C$230=$B61)*ISNUMBER(INDEX(Inputs!$K$5:$AJ$230,0,MATCH(F$2,Inputs!$K$4:$AJ$4,0))))+SUMPRODUCT((Inputs!$E$5:$E$230=$B61)*ISNUMBER(INDEX(Inputs!$K$5:$AJ$230,0,MATCH(F$2,Inputs!$K$4:$AJ$4,0))))=0,NA(),SUMPRODUCT((Inputs!$A$5:$A$230=$B61)*Inputs!$B$5:$B$230*(((Inputs!$G$5:$G$230="moeda")+(Inputs!$G$5:$G$230="acoes"))*Inputs!$B$1+((Inputs!$G$5:$G$230&lt;&gt;"moeda")*(Inputs!$G$5:$G$230&lt;&gt;"acoes")))*INDEX(Inputs!$K$5:$AJ$230,0,MATCH(F$2,Inputs!$K$4:$AJ$4,0)))+SUMPRODUCT((Inputs!$C$5:$C$230=$B61)*Inputs!$D$5:$D$230*(((Inputs!$G$5:$G$230="moeda")+(Inputs!$G$5:$G$230="acoes"))*Inputs!$B$1+((Inputs!$G$5:$G$230&lt;&gt;"moeda")*(Inputs!$G$5:$G$230&lt;&gt;"acoes")))*INDEX(Inputs!$K$5:$AJ$230,0,MATCH(F$2,Inputs!$K$4:$AJ$4,0)))+SUMPRODUCT((Inputs!$E$5:$E$230=$B61)*Inputs!$F$5:$F$230*(((Inputs!$G$5:$G$230="moeda")+(Inputs!$G$5:$G$230="acoes"))*Inputs!$B$1+((Inputs!$G$5:$G$230&lt;&gt;"moeda")*(Inputs!$G$5:$G$230&lt;&gt;"acoes")))*INDEX(Inputs!$K$5:$AJ$230,0,MATCH(F$2,Inputs!$K$4:$AJ$4,0)))))</f>
        <v>47.993</v>
      </c>
      <c r="G61" s="6">
        <f>IF(ISNA(MATCH(G$2,Inputs!$K$4:$AJ$4,0)),NA(),IF(SUMPRODUCT((Inputs!$A$5:$A$230=$B61)*ISNUMBER(INDEX(Inputs!$K$5:$AJ$230,0,MATCH(G$2,Inputs!$K$4:$AJ$4,0))))+SUMPRODUCT((Inputs!$C$5:$C$230=$B61)*ISNUMBER(INDEX(Inputs!$K$5:$AJ$230,0,MATCH(G$2,Inputs!$K$4:$AJ$4,0))))+SUMPRODUCT((Inputs!$E$5:$E$230=$B61)*ISNUMBER(INDEX(Inputs!$K$5:$AJ$230,0,MATCH(G$2,Inputs!$K$4:$AJ$4,0))))=0,NA(),SUMPRODUCT((Inputs!$A$5:$A$230=$B61)*Inputs!$B$5:$B$230*(((Inputs!$G$5:$G$230="moeda")+(Inputs!$G$5:$G$230="acoes"))*Inputs!$B$1+((Inputs!$G$5:$G$230&lt;&gt;"moeda")*(Inputs!$G$5:$G$230&lt;&gt;"acoes")))*INDEX(Inputs!$K$5:$AJ$230,0,MATCH(G$2,Inputs!$K$4:$AJ$4,0)))+SUMPRODUCT((Inputs!$C$5:$C$230=$B61)*Inputs!$D$5:$D$230*(((Inputs!$G$5:$G$230="moeda")+(Inputs!$G$5:$G$230="acoes"))*Inputs!$B$1+((Inputs!$G$5:$G$230&lt;&gt;"moeda")*(Inputs!$G$5:$G$230&lt;&gt;"acoes")))*INDEX(Inputs!$K$5:$AJ$230,0,MATCH(G$2,Inputs!$K$4:$AJ$4,0)))+SUMPRODUCT((Inputs!$E$5:$E$230=$B61)*Inputs!$F$5:$F$230*(((Inputs!$G$5:$G$230="moeda")+(Inputs!$G$5:$G$230="acoes"))*Inputs!$B$1+((Inputs!$G$5:$G$230&lt;&gt;"moeda")*(Inputs!$G$5:$G$230&lt;&gt;"acoes")))*INDEX(Inputs!$K$5:$AJ$230,0,MATCH(G$2,Inputs!$K$4:$AJ$4,0)))))</f>
        <v>35.666</v>
      </c>
      <c r="H61" s="3">
        <f>SUM(D61:G61)</f>
        <v>234.628</v>
      </c>
      <c r="I61" s="6">
        <f>IF(ISNA(MATCH(I$2,Inputs!$K$4:$AJ$4,0)),NA(),IF(SUMPRODUCT((Inputs!$A$5:$A$230=$B61)*ISNUMBER(INDEX(Inputs!$K$5:$AJ$230,0,MATCH(I$2,Inputs!$K$4:$AJ$4,0))))+SUMPRODUCT((Inputs!$C$5:$C$230=$B61)*ISNUMBER(INDEX(Inputs!$K$5:$AJ$230,0,MATCH(I$2,Inputs!$K$4:$AJ$4,0))))+SUMPRODUCT((Inputs!$E$5:$E$230=$B61)*ISNUMBER(INDEX(Inputs!$K$5:$AJ$230,0,MATCH(I$2,Inputs!$K$4:$AJ$4,0))))=0,NA(),SUMPRODUCT((Inputs!$A$5:$A$230=$B61)*Inputs!$B$5:$B$230*(((Inputs!$G$5:$G$230="moeda")+(Inputs!$G$5:$G$230="acoes"))*Inputs!$B$1+((Inputs!$G$5:$G$230&lt;&gt;"moeda")*(Inputs!$G$5:$G$230&lt;&gt;"acoes")))*INDEX(Inputs!$K$5:$AJ$230,0,MATCH(I$2,Inputs!$K$4:$AJ$4,0)))+SUMPRODUCT((Inputs!$C$5:$C$230=$B61)*Inputs!$D$5:$D$230*(((Inputs!$G$5:$G$230="moeda")+(Inputs!$G$5:$G$230="acoes"))*Inputs!$B$1+((Inputs!$G$5:$G$230&lt;&gt;"moeda")*(Inputs!$G$5:$G$230&lt;&gt;"acoes")))*INDEX(Inputs!$K$5:$AJ$230,0,MATCH(I$2,Inputs!$K$4:$AJ$4,0)))+SUMPRODUCT((Inputs!$E$5:$E$230=$B61)*Inputs!$F$5:$F$230*(((Inputs!$G$5:$G$230="moeda")+(Inputs!$G$5:$G$230="acoes"))*Inputs!$B$1+((Inputs!$G$5:$G$230&lt;&gt;"moeda")*(Inputs!$G$5:$G$230&lt;&gt;"acoes")))*INDEX(Inputs!$K$5:$AJ$230,0,MATCH(I$2,Inputs!$K$4:$AJ$4,0)))))</f>
        <v>65.698</v>
      </c>
      <c r="J61" s="6">
        <f>IF(ISNA(MATCH(J$2,Inputs!$K$4:$AJ$4,0)),NA(),IF(SUMPRODUCT((Inputs!$A$5:$A$230=$B61)*ISNUMBER(INDEX(Inputs!$K$5:$AJ$230,0,MATCH(J$2,Inputs!$K$4:$AJ$4,0))))+SUMPRODUCT((Inputs!$C$5:$C$230=$B61)*ISNUMBER(INDEX(Inputs!$K$5:$AJ$230,0,MATCH(J$2,Inputs!$K$4:$AJ$4,0))))+SUMPRODUCT((Inputs!$E$5:$E$230=$B61)*ISNUMBER(INDEX(Inputs!$K$5:$AJ$230,0,MATCH(J$2,Inputs!$K$4:$AJ$4,0))))=0,NA(),SUMPRODUCT((Inputs!$A$5:$A$230=$B61)*Inputs!$B$5:$B$230*(((Inputs!$G$5:$G$230="moeda")+(Inputs!$G$5:$G$230="acoes"))*Inputs!$B$1+((Inputs!$G$5:$G$230&lt;&gt;"moeda")*(Inputs!$G$5:$G$230&lt;&gt;"acoes")))*INDEX(Inputs!$K$5:$AJ$230,0,MATCH(J$2,Inputs!$K$4:$AJ$4,0)))+SUMPRODUCT((Inputs!$C$5:$C$230=$B61)*Inputs!$D$5:$D$230*(((Inputs!$G$5:$G$230="moeda")+(Inputs!$G$5:$G$230="acoes"))*Inputs!$B$1+((Inputs!$G$5:$G$230&lt;&gt;"moeda")*(Inputs!$G$5:$G$230&lt;&gt;"acoes")))*INDEX(Inputs!$K$5:$AJ$230,0,MATCH(J$2,Inputs!$K$4:$AJ$4,0)))+SUMPRODUCT((Inputs!$E$5:$E$230=$B61)*Inputs!$F$5:$F$230*(((Inputs!$G$5:$G$230="moeda")+(Inputs!$G$5:$G$230="acoes"))*Inputs!$B$1+((Inputs!$G$5:$G$230&lt;&gt;"moeda")*(Inputs!$G$5:$G$230&lt;&gt;"acoes")))*INDEX(Inputs!$K$5:$AJ$230,0,MATCH(J$2,Inputs!$K$4:$AJ$4,0)))))</f>
        <v>62.298</v>
      </c>
      <c r="K61" s="6">
        <f>IF(ISNA(MATCH(K$2,Inputs!$K$4:$AJ$4,0)),NA(),IF(SUMPRODUCT((Inputs!$A$5:$A$230=$B61)*ISNUMBER(INDEX(Inputs!$K$5:$AJ$230,0,MATCH(K$2,Inputs!$K$4:$AJ$4,0))))+SUMPRODUCT((Inputs!$C$5:$C$230=$B61)*ISNUMBER(INDEX(Inputs!$K$5:$AJ$230,0,MATCH(K$2,Inputs!$K$4:$AJ$4,0))))+SUMPRODUCT((Inputs!$E$5:$E$230=$B61)*ISNUMBER(INDEX(Inputs!$K$5:$AJ$230,0,MATCH(K$2,Inputs!$K$4:$AJ$4,0))))=0,NA(),SUMPRODUCT((Inputs!$A$5:$A$230=$B61)*Inputs!$B$5:$B$230*(((Inputs!$G$5:$G$230="moeda")+(Inputs!$G$5:$G$230="acoes"))*Inputs!$B$1+((Inputs!$G$5:$G$230&lt;&gt;"moeda")*(Inputs!$G$5:$G$230&lt;&gt;"acoes")))*INDEX(Inputs!$K$5:$AJ$230,0,MATCH(K$2,Inputs!$K$4:$AJ$4,0)))+SUMPRODUCT((Inputs!$C$5:$C$230=$B61)*Inputs!$D$5:$D$230*(((Inputs!$G$5:$G$230="moeda")+(Inputs!$G$5:$G$230="acoes"))*Inputs!$B$1+((Inputs!$G$5:$G$230&lt;&gt;"moeda")*(Inputs!$G$5:$G$230&lt;&gt;"acoes")))*INDEX(Inputs!$K$5:$AJ$230,0,MATCH(K$2,Inputs!$K$4:$AJ$4,0)))+SUMPRODUCT((Inputs!$E$5:$E$230=$B61)*Inputs!$F$5:$F$230*(((Inputs!$G$5:$G$230="moeda")+(Inputs!$G$5:$G$230="acoes"))*Inputs!$B$1+((Inputs!$G$5:$G$230&lt;&gt;"moeda")*(Inputs!$G$5:$G$230&lt;&gt;"acoes")))*INDEX(Inputs!$K$5:$AJ$230,0,MATCH(K$2,Inputs!$K$4:$AJ$4,0)))))</f>
        <v>38.456</v>
      </c>
      <c r="L61" s="6">
        <f>IF(ISNA(MATCH(L$2,Inputs!$K$4:$AJ$4,0)),NA(),IF(SUMPRODUCT((Inputs!$A$5:$A$230=$B61)*ISNUMBER(INDEX(Inputs!$K$5:$AJ$230,0,MATCH(L$2,Inputs!$K$4:$AJ$4,0))))+SUMPRODUCT((Inputs!$C$5:$C$230=$B61)*ISNUMBER(INDEX(Inputs!$K$5:$AJ$230,0,MATCH(L$2,Inputs!$K$4:$AJ$4,0))))+SUMPRODUCT((Inputs!$E$5:$E$230=$B61)*ISNUMBER(INDEX(Inputs!$K$5:$AJ$230,0,MATCH(L$2,Inputs!$K$4:$AJ$4,0))))=0,NA(),SUMPRODUCT((Inputs!$A$5:$A$230=$B61)*Inputs!$B$5:$B$230*(((Inputs!$G$5:$G$230="moeda")+(Inputs!$G$5:$G$230="acoes"))*Inputs!$B$1+((Inputs!$G$5:$G$230&lt;&gt;"moeda")*(Inputs!$G$5:$G$230&lt;&gt;"acoes")))*INDEX(Inputs!$K$5:$AJ$230,0,MATCH(L$2,Inputs!$K$4:$AJ$4,0)))+SUMPRODUCT((Inputs!$C$5:$C$230=$B61)*Inputs!$D$5:$D$230*(((Inputs!$G$5:$G$230="moeda")+(Inputs!$G$5:$G$230="acoes"))*Inputs!$B$1+((Inputs!$G$5:$G$230&lt;&gt;"moeda")*(Inputs!$G$5:$G$230&lt;&gt;"acoes")))*INDEX(Inputs!$K$5:$AJ$230,0,MATCH(L$2,Inputs!$K$4:$AJ$4,0)))+SUMPRODUCT((Inputs!$E$5:$E$230=$B61)*Inputs!$F$5:$F$230*(((Inputs!$G$5:$G$230="moeda")+(Inputs!$G$5:$G$230="acoes"))*Inputs!$B$1+((Inputs!$G$5:$G$230&lt;&gt;"moeda")*(Inputs!$G$5:$G$230&lt;&gt;"acoes")))*INDEX(Inputs!$K$5:$AJ$230,0,MATCH(L$2,Inputs!$K$4:$AJ$4,0)))))</f>
        <v>21.491</v>
      </c>
      <c r="M61" s="3">
        <f>SUM(I61:L61)</f>
        <v>187.943</v>
      </c>
      <c r="N61" s="6">
        <f>IF(ISNA(MATCH(N$2,Inputs!$K$4:$AJ$4,0)),NA(),IF(SUMPRODUCT((Inputs!$A$5:$A$230=$B61)*ISNUMBER(INDEX(Inputs!$K$5:$AJ$230,0,MATCH(N$2,Inputs!$K$4:$AJ$4,0))))+SUMPRODUCT((Inputs!$C$5:$C$230=$B61)*ISNUMBER(INDEX(Inputs!$K$5:$AJ$230,0,MATCH(N$2,Inputs!$K$4:$AJ$4,0))))+SUMPRODUCT((Inputs!$E$5:$E$230=$B61)*ISNUMBER(INDEX(Inputs!$K$5:$AJ$230,0,MATCH(N$2,Inputs!$K$4:$AJ$4,0))))=0,NA(),SUMPRODUCT((Inputs!$A$5:$A$230=$B61)*Inputs!$B$5:$B$230*(((Inputs!$G$5:$G$230="moeda")+(Inputs!$G$5:$G$230="acoes"))*Inputs!$B$1+((Inputs!$G$5:$G$230&lt;&gt;"moeda")*(Inputs!$G$5:$G$230&lt;&gt;"acoes")))*INDEX(Inputs!$K$5:$AJ$230,0,MATCH(N$2,Inputs!$K$4:$AJ$4,0)))+SUMPRODUCT((Inputs!$C$5:$C$230=$B61)*Inputs!$D$5:$D$230*(((Inputs!$G$5:$G$230="moeda")+(Inputs!$G$5:$G$230="acoes"))*Inputs!$B$1+((Inputs!$G$5:$G$230&lt;&gt;"moeda")*(Inputs!$G$5:$G$230&lt;&gt;"acoes")))*INDEX(Inputs!$K$5:$AJ$230,0,MATCH(N$2,Inputs!$K$4:$AJ$4,0)))+SUMPRODUCT((Inputs!$E$5:$E$230=$B61)*Inputs!$F$5:$F$230*(((Inputs!$G$5:$G$230="moeda")+(Inputs!$G$5:$G$230="acoes"))*Inputs!$B$1+((Inputs!$G$5:$G$230&lt;&gt;"moeda")*(Inputs!$G$5:$G$230&lt;&gt;"acoes")))*INDEX(Inputs!$K$5:$AJ$230,0,MATCH(N$2,Inputs!$K$4:$AJ$4,0)))))</f>
        <v>41.141</v>
      </c>
      <c r="O61" s="6">
        <f>IF(ISNA(MATCH(O$2,Inputs!$K$4:$AJ$4,0)),NA(),IF(SUMPRODUCT((Inputs!$A$5:$A$230=$B61)*ISNUMBER(INDEX(Inputs!$K$5:$AJ$230,0,MATCH(O$2,Inputs!$K$4:$AJ$4,0))))+SUMPRODUCT((Inputs!$C$5:$C$230=$B61)*ISNUMBER(INDEX(Inputs!$K$5:$AJ$230,0,MATCH(O$2,Inputs!$K$4:$AJ$4,0))))+SUMPRODUCT((Inputs!$E$5:$E$230=$B61)*ISNUMBER(INDEX(Inputs!$K$5:$AJ$230,0,MATCH(O$2,Inputs!$K$4:$AJ$4,0))))=0,NA(),SUMPRODUCT((Inputs!$A$5:$A$230=$B61)*Inputs!$B$5:$B$230*(((Inputs!$G$5:$G$230="moeda")+(Inputs!$G$5:$G$230="acoes"))*Inputs!$B$1+((Inputs!$G$5:$G$230&lt;&gt;"moeda")*(Inputs!$G$5:$G$230&lt;&gt;"acoes")))*INDEX(Inputs!$K$5:$AJ$230,0,MATCH(O$2,Inputs!$K$4:$AJ$4,0)))+SUMPRODUCT((Inputs!$C$5:$C$230=$B61)*Inputs!$D$5:$D$230*(((Inputs!$G$5:$G$230="moeda")+(Inputs!$G$5:$G$230="acoes"))*Inputs!$B$1+((Inputs!$G$5:$G$230&lt;&gt;"moeda")*(Inputs!$G$5:$G$230&lt;&gt;"acoes")))*INDEX(Inputs!$K$5:$AJ$230,0,MATCH(O$2,Inputs!$K$4:$AJ$4,0)))+SUMPRODUCT((Inputs!$E$5:$E$230=$B61)*Inputs!$F$5:$F$230*(((Inputs!$G$5:$G$230="moeda")+(Inputs!$G$5:$G$230="acoes"))*Inputs!$B$1+((Inputs!$G$5:$G$230&lt;&gt;"moeda")*(Inputs!$G$5:$G$230&lt;&gt;"acoes")))*INDEX(Inputs!$K$5:$AJ$230,0,MATCH(O$2,Inputs!$K$4:$AJ$4,0)))))</f>
        <v>19.332</v>
      </c>
      <c r="P61" s="6">
        <f>IF(ISNA(MATCH(P$2,Inputs!$K$4:$AJ$4,0)),NA(),IF(SUMPRODUCT((Inputs!$A$5:$A$230=$B61)*ISNUMBER(INDEX(Inputs!$K$5:$AJ$230,0,MATCH(P$2,Inputs!$K$4:$AJ$4,0))))+SUMPRODUCT((Inputs!$C$5:$C$230=$B61)*ISNUMBER(INDEX(Inputs!$K$5:$AJ$230,0,MATCH(P$2,Inputs!$K$4:$AJ$4,0))))+SUMPRODUCT((Inputs!$E$5:$E$230=$B61)*ISNUMBER(INDEX(Inputs!$K$5:$AJ$230,0,MATCH(P$2,Inputs!$K$4:$AJ$4,0))))=0,NA(),SUMPRODUCT((Inputs!$A$5:$A$230=$B61)*Inputs!$B$5:$B$230*(((Inputs!$G$5:$G$230="moeda")+(Inputs!$G$5:$G$230="acoes"))*Inputs!$B$1+((Inputs!$G$5:$G$230&lt;&gt;"moeda")*(Inputs!$G$5:$G$230&lt;&gt;"acoes")))*INDEX(Inputs!$K$5:$AJ$230,0,MATCH(P$2,Inputs!$K$4:$AJ$4,0)))+SUMPRODUCT((Inputs!$C$5:$C$230=$B61)*Inputs!$D$5:$D$230*(((Inputs!$G$5:$G$230="moeda")+(Inputs!$G$5:$G$230="acoes"))*Inputs!$B$1+((Inputs!$G$5:$G$230&lt;&gt;"moeda")*(Inputs!$G$5:$G$230&lt;&gt;"acoes")))*INDEX(Inputs!$K$5:$AJ$230,0,MATCH(P$2,Inputs!$K$4:$AJ$4,0)))+SUMPRODUCT((Inputs!$E$5:$E$230=$B61)*Inputs!$F$5:$F$230*(((Inputs!$G$5:$G$230="moeda")+(Inputs!$G$5:$G$230="acoes"))*Inputs!$B$1+((Inputs!$G$5:$G$230&lt;&gt;"moeda")*(Inputs!$G$5:$G$230&lt;&gt;"acoes")))*INDEX(Inputs!$K$5:$AJ$230,0,MATCH(P$2,Inputs!$K$4:$AJ$4,0)))))</f>
        <v>19.405</v>
      </c>
      <c r="Q61" s="6">
        <f>IF(ISNA(MATCH(Q$2,Inputs!$K$4:$AJ$4,0)),NA(),IF(SUMPRODUCT((Inputs!$A$5:$A$230=$B61)*ISNUMBER(INDEX(Inputs!$K$5:$AJ$230,0,MATCH(Q$2,Inputs!$K$4:$AJ$4,0))))+SUMPRODUCT((Inputs!$C$5:$C$230=$B61)*ISNUMBER(INDEX(Inputs!$K$5:$AJ$230,0,MATCH(Q$2,Inputs!$K$4:$AJ$4,0))))+SUMPRODUCT((Inputs!$E$5:$E$230=$B61)*ISNUMBER(INDEX(Inputs!$K$5:$AJ$230,0,MATCH(Q$2,Inputs!$K$4:$AJ$4,0))))=0,NA(),SUMPRODUCT((Inputs!$A$5:$A$230=$B61)*Inputs!$B$5:$B$230*(((Inputs!$G$5:$G$230="moeda")+(Inputs!$G$5:$G$230="acoes"))*Inputs!$B$1+((Inputs!$G$5:$G$230&lt;&gt;"moeda")*(Inputs!$G$5:$G$230&lt;&gt;"acoes")))*INDEX(Inputs!$K$5:$AJ$230,0,MATCH(Q$2,Inputs!$K$4:$AJ$4,0)))+SUMPRODUCT((Inputs!$C$5:$C$230=$B61)*Inputs!$D$5:$D$230*(((Inputs!$G$5:$G$230="moeda")+(Inputs!$G$5:$G$230="acoes"))*Inputs!$B$1+((Inputs!$G$5:$G$230&lt;&gt;"moeda")*(Inputs!$G$5:$G$230&lt;&gt;"acoes")))*INDEX(Inputs!$K$5:$AJ$230,0,MATCH(Q$2,Inputs!$K$4:$AJ$4,0)))+SUMPRODUCT((Inputs!$E$5:$E$230=$B61)*Inputs!$F$5:$F$230*(((Inputs!$G$5:$G$230="moeda")+(Inputs!$G$5:$G$230="acoes"))*Inputs!$B$1+((Inputs!$G$5:$G$230&lt;&gt;"moeda")*(Inputs!$G$5:$G$230&lt;&gt;"acoes")))*INDEX(Inputs!$K$5:$AJ$230,0,MATCH(Q$2,Inputs!$K$4:$AJ$4,0)))))</f>
        <v>42.473</v>
      </c>
      <c r="R61" s="3">
        <f>SUM(N61:Q61)</f>
        <v>122.351</v>
      </c>
      <c r="S61" s="6">
        <f>IF(ISNA(MATCH(S$2,Inputs!$K$4:$AJ$4,0)),NA(),IF(SUMPRODUCT((Inputs!$A$5:$A$230=$B61)*ISNUMBER(INDEX(Inputs!$K$5:$AJ$230,0,MATCH(S$2,Inputs!$K$4:$AJ$4,0))))+SUMPRODUCT((Inputs!$C$5:$C$230=$B61)*ISNUMBER(INDEX(Inputs!$K$5:$AJ$230,0,MATCH(S$2,Inputs!$K$4:$AJ$4,0))))+SUMPRODUCT((Inputs!$E$5:$E$230=$B61)*ISNUMBER(INDEX(Inputs!$K$5:$AJ$230,0,MATCH(S$2,Inputs!$K$4:$AJ$4,0))))=0,NA(),SUMPRODUCT((Inputs!$A$5:$A$230=$B61)*Inputs!$B$5:$B$230*(((Inputs!$G$5:$G$230="moeda")+(Inputs!$G$5:$G$230="acoes"))*Inputs!$B$1+((Inputs!$G$5:$G$230&lt;&gt;"moeda")*(Inputs!$G$5:$G$230&lt;&gt;"acoes")))*INDEX(Inputs!$K$5:$AJ$230,0,MATCH(S$2,Inputs!$K$4:$AJ$4,0)))+SUMPRODUCT((Inputs!$C$5:$C$230=$B61)*Inputs!$D$5:$D$230*(((Inputs!$G$5:$G$230="moeda")+(Inputs!$G$5:$G$230="acoes"))*Inputs!$B$1+((Inputs!$G$5:$G$230&lt;&gt;"moeda")*(Inputs!$G$5:$G$230&lt;&gt;"acoes")))*INDEX(Inputs!$K$5:$AJ$230,0,MATCH(S$2,Inputs!$K$4:$AJ$4,0)))+SUMPRODUCT((Inputs!$E$5:$E$230=$B61)*Inputs!$F$5:$F$230*(((Inputs!$G$5:$G$230="moeda")+(Inputs!$G$5:$G$230="acoes"))*Inputs!$B$1+((Inputs!$G$5:$G$230&lt;&gt;"moeda")*(Inputs!$G$5:$G$230&lt;&gt;"acoes")))*INDEX(Inputs!$K$5:$AJ$230,0,MATCH(S$2,Inputs!$K$4:$AJ$4,0)))))</f>
        <v>36.47</v>
      </c>
      <c r="T61" s="6">
        <f>IF(ISNA(MATCH(T$2,Inputs!$K$4:$AJ$4,0)),NA(),IF(SUMPRODUCT((Inputs!$A$5:$A$230=$B61)*ISNUMBER(INDEX(Inputs!$K$5:$AJ$230,0,MATCH(T$2,Inputs!$K$4:$AJ$4,0))))+SUMPRODUCT((Inputs!$C$5:$C$230=$B61)*ISNUMBER(INDEX(Inputs!$K$5:$AJ$230,0,MATCH(T$2,Inputs!$K$4:$AJ$4,0))))+SUMPRODUCT((Inputs!$E$5:$E$230=$B61)*ISNUMBER(INDEX(Inputs!$K$5:$AJ$230,0,MATCH(T$2,Inputs!$K$4:$AJ$4,0))))=0,NA(),SUMPRODUCT((Inputs!$A$5:$A$230=$B61)*Inputs!$B$5:$B$230*(((Inputs!$G$5:$G$230="moeda")+(Inputs!$G$5:$G$230="acoes"))*Inputs!$B$1+((Inputs!$G$5:$G$230&lt;&gt;"moeda")*(Inputs!$G$5:$G$230&lt;&gt;"acoes")))*INDEX(Inputs!$K$5:$AJ$230,0,MATCH(T$2,Inputs!$K$4:$AJ$4,0)))+SUMPRODUCT((Inputs!$C$5:$C$230=$B61)*Inputs!$D$5:$D$230*(((Inputs!$G$5:$G$230="moeda")+(Inputs!$G$5:$G$230="acoes"))*Inputs!$B$1+((Inputs!$G$5:$G$230&lt;&gt;"moeda")*(Inputs!$G$5:$G$230&lt;&gt;"acoes")))*INDEX(Inputs!$K$5:$AJ$230,0,MATCH(T$2,Inputs!$K$4:$AJ$4,0)))+SUMPRODUCT((Inputs!$E$5:$E$230=$B61)*Inputs!$F$5:$F$230*(((Inputs!$G$5:$G$230="moeda")+(Inputs!$G$5:$G$230="acoes"))*Inputs!$B$1+((Inputs!$G$5:$G$230&lt;&gt;"moeda")*(Inputs!$G$5:$G$230&lt;&gt;"acoes")))*INDEX(Inputs!$K$5:$AJ$230,0,MATCH(T$2,Inputs!$K$4:$AJ$4,0)))))</f>
        <v>31.858</v>
      </c>
      <c r="U61" s="6">
        <f>IF(ISNA(MATCH(U$2,Inputs!$K$4:$AJ$4,0)),NA(),IF(SUMPRODUCT((Inputs!$A$5:$A$230=$B61)*ISNUMBER(INDEX(Inputs!$K$5:$AJ$230,0,MATCH(U$2,Inputs!$K$4:$AJ$4,0))))+SUMPRODUCT((Inputs!$C$5:$C$230=$B61)*ISNUMBER(INDEX(Inputs!$K$5:$AJ$230,0,MATCH(U$2,Inputs!$K$4:$AJ$4,0))))+SUMPRODUCT((Inputs!$E$5:$E$230=$B61)*ISNUMBER(INDEX(Inputs!$K$5:$AJ$230,0,MATCH(U$2,Inputs!$K$4:$AJ$4,0))))=0,NA(),SUMPRODUCT((Inputs!$A$5:$A$230=$B61)*Inputs!$B$5:$B$230*(((Inputs!$G$5:$G$230="moeda")+(Inputs!$G$5:$G$230="acoes"))*Inputs!$B$1+((Inputs!$G$5:$G$230&lt;&gt;"moeda")*(Inputs!$G$5:$G$230&lt;&gt;"acoes")))*INDEX(Inputs!$K$5:$AJ$230,0,MATCH(U$2,Inputs!$K$4:$AJ$4,0)))+SUMPRODUCT((Inputs!$C$5:$C$230=$B61)*Inputs!$D$5:$D$230*(((Inputs!$G$5:$G$230="moeda")+(Inputs!$G$5:$G$230="acoes"))*Inputs!$B$1+((Inputs!$G$5:$G$230&lt;&gt;"moeda")*(Inputs!$G$5:$G$230&lt;&gt;"acoes")))*INDEX(Inputs!$K$5:$AJ$230,0,MATCH(U$2,Inputs!$K$4:$AJ$4,0)))+SUMPRODUCT((Inputs!$E$5:$E$230=$B61)*Inputs!$F$5:$F$230*(((Inputs!$G$5:$G$230="moeda")+(Inputs!$G$5:$G$230="acoes"))*Inputs!$B$1+((Inputs!$G$5:$G$230&lt;&gt;"moeda")*(Inputs!$G$5:$G$230&lt;&gt;"acoes")))*INDEX(Inputs!$K$5:$AJ$230,0,MATCH(U$2,Inputs!$K$4:$AJ$4,0)))))</f>
        <v>43.194</v>
      </c>
      <c r="V61" s="6">
        <f>IF(ISNA(MATCH(V$2,Inputs!$K$4:$AJ$4,0)),NA(),IF(SUMPRODUCT((Inputs!$A$5:$A$230=$B61)*ISNUMBER(INDEX(Inputs!$K$5:$AJ$230,0,MATCH(V$2,Inputs!$K$4:$AJ$4,0))))+SUMPRODUCT((Inputs!$C$5:$C$230=$B61)*ISNUMBER(INDEX(Inputs!$K$5:$AJ$230,0,MATCH(V$2,Inputs!$K$4:$AJ$4,0))))+SUMPRODUCT((Inputs!$E$5:$E$230=$B61)*ISNUMBER(INDEX(Inputs!$K$5:$AJ$230,0,MATCH(V$2,Inputs!$K$4:$AJ$4,0))))=0,NA(),SUMPRODUCT((Inputs!$A$5:$A$230=$B61)*Inputs!$B$5:$B$230*(((Inputs!$G$5:$G$230="moeda")+(Inputs!$G$5:$G$230="acoes"))*Inputs!$B$1+((Inputs!$G$5:$G$230&lt;&gt;"moeda")*(Inputs!$G$5:$G$230&lt;&gt;"acoes")))*INDEX(Inputs!$K$5:$AJ$230,0,MATCH(V$2,Inputs!$K$4:$AJ$4,0)))+SUMPRODUCT((Inputs!$C$5:$C$230=$B61)*Inputs!$D$5:$D$230*(((Inputs!$G$5:$G$230="moeda")+(Inputs!$G$5:$G$230="acoes"))*Inputs!$B$1+((Inputs!$G$5:$G$230&lt;&gt;"moeda")*(Inputs!$G$5:$G$230&lt;&gt;"acoes")))*INDEX(Inputs!$K$5:$AJ$230,0,MATCH(V$2,Inputs!$K$4:$AJ$4,0)))+SUMPRODUCT((Inputs!$E$5:$E$230=$B61)*Inputs!$F$5:$F$230*(((Inputs!$G$5:$G$230="moeda")+(Inputs!$G$5:$G$230="acoes"))*Inputs!$B$1+((Inputs!$G$5:$G$230&lt;&gt;"moeda")*(Inputs!$G$5:$G$230&lt;&gt;"acoes")))*INDEX(Inputs!$K$5:$AJ$230,0,MATCH(V$2,Inputs!$K$4:$AJ$4,0)))))</f>
        <v>54.036</v>
      </c>
      <c r="W61" s="3">
        <f>SUM(S61:V61)</f>
        <v>165.558</v>
      </c>
      <c r="X61" s="6">
        <f>IF(ISNA(MATCH(X$2,Inputs!$K$4:$AJ$4,0)),NA(),IF(SUMPRODUCT((Inputs!$A$5:$A$230=$B61)*ISNUMBER(INDEX(Inputs!$K$5:$AJ$230,0,MATCH(X$2,Inputs!$K$4:$AJ$4,0))))+SUMPRODUCT((Inputs!$C$5:$C$230=$B61)*ISNUMBER(INDEX(Inputs!$K$5:$AJ$230,0,MATCH(X$2,Inputs!$K$4:$AJ$4,0))))+SUMPRODUCT((Inputs!$E$5:$E$230=$B61)*ISNUMBER(INDEX(Inputs!$K$5:$AJ$230,0,MATCH(X$2,Inputs!$K$4:$AJ$4,0))))=0,NA(),SUMPRODUCT((Inputs!$A$5:$A$230=$B61)*Inputs!$B$5:$B$230*(((Inputs!$G$5:$G$230="moeda")+(Inputs!$G$5:$G$230="acoes"))*Inputs!$B$1+((Inputs!$G$5:$G$230&lt;&gt;"moeda")*(Inputs!$G$5:$G$230&lt;&gt;"acoes")))*INDEX(Inputs!$K$5:$AJ$230,0,MATCH(X$2,Inputs!$K$4:$AJ$4,0)))+SUMPRODUCT((Inputs!$C$5:$C$230=$B61)*Inputs!$D$5:$D$230*(((Inputs!$G$5:$G$230="moeda")+(Inputs!$G$5:$G$230="acoes"))*Inputs!$B$1+((Inputs!$G$5:$G$230&lt;&gt;"moeda")*(Inputs!$G$5:$G$230&lt;&gt;"acoes")))*INDEX(Inputs!$K$5:$AJ$230,0,MATCH(X$2,Inputs!$K$4:$AJ$4,0)))+SUMPRODUCT((Inputs!$E$5:$E$230=$B61)*Inputs!$F$5:$F$230*(((Inputs!$G$5:$G$230="moeda")+(Inputs!$G$5:$G$230="acoes"))*Inputs!$B$1+((Inputs!$G$5:$G$230&lt;&gt;"moeda")*(Inputs!$G$5:$G$230&lt;&gt;"acoes")))*INDEX(Inputs!$K$5:$AJ$230,0,MATCH(X$2,Inputs!$K$4:$AJ$4,0)))))</f>
        <v>48.236</v>
      </c>
      <c r="Y61" s="6">
        <f>IF(ISNA(MATCH(Y$2,Inputs!$K$4:$AJ$4,0)),NA(),IF(SUMPRODUCT((Inputs!$A$5:$A$230=$B61)*ISNUMBER(INDEX(Inputs!$K$5:$AJ$230,0,MATCH(Y$2,Inputs!$K$4:$AJ$4,0))))+SUMPRODUCT((Inputs!$C$5:$C$230=$B61)*ISNUMBER(INDEX(Inputs!$K$5:$AJ$230,0,MATCH(Y$2,Inputs!$K$4:$AJ$4,0))))+SUMPRODUCT((Inputs!$E$5:$E$230=$B61)*ISNUMBER(INDEX(Inputs!$K$5:$AJ$230,0,MATCH(Y$2,Inputs!$K$4:$AJ$4,0))))=0,NA(),SUMPRODUCT((Inputs!$A$5:$A$230=$B61)*Inputs!$B$5:$B$230*(((Inputs!$G$5:$G$230="moeda")+(Inputs!$G$5:$G$230="acoes"))*Inputs!$B$1+((Inputs!$G$5:$G$230&lt;&gt;"moeda")*(Inputs!$G$5:$G$230&lt;&gt;"acoes")))*INDEX(Inputs!$K$5:$AJ$230,0,MATCH(Y$2,Inputs!$K$4:$AJ$4,0)))+SUMPRODUCT((Inputs!$C$5:$C$230=$B61)*Inputs!$D$5:$D$230*(((Inputs!$G$5:$G$230="moeda")+(Inputs!$G$5:$G$230="acoes"))*Inputs!$B$1+((Inputs!$G$5:$G$230&lt;&gt;"moeda")*(Inputs!$G$5:$G$230&lt;&gt;"acoes")))*INDEX(Inputs!$K$5:$AJ$230,0,MATCH(Y$2,Inputs!$K$4:$AJ$4,0)))+SUMPRODUCT((Inputs!$E$5:$E$230=$B61)*Inputs!$F$5:$F$230*(((Inputs!$G$5:$G$230="moeda")+(Inputs!$G$5:$G$230="acoes"))*Inputs!$B$1+((Inputs!$G$5:$G$230&lt;&gt;"moeda")*(Inputs!$G$5:$G$230&lt;&gt;"acoes")))*INDEX(Inputs!$K$5:$AJ$230,0,MATCH(Y$2,Inputs!$K$4:$AJ$4,0)))))</f>
        <v>31.218</v>
      </c>
      <c r="Z61" s="6">
        <f>IF(ISNA(MATCH(Z$2,Inputs!$K$4:$AJ$4,0)),NA(),IF(SUMPRODUCT((Inputs!$A$5:$A$230=$B61)*ISNUMBER(INDEX(Inputs!$K$5:$AJ$230,0,MATCH(Z$2,Inputs!$K$4:$AJ$4,0))))+SUMPRODUCT((Inputs!$C$5:$C$230=$B61)*ISNUMBER(INDEX(Inputs!$K$5:$AJ$230,0,MATCH(Z$2,Inputs!$K$4:$AJ$4,0))))+SUMPRODUCT((Inputs!$E$5:$E$230=$B61)*ISNUMBER(INDEX(Inputs!$K$5:$AJ$230,0,MATCH(Z$2,Inputs!$K$4:$AJ$4,0))))=0,NA(),SUMPRODUCT((Inputs!$A$5:$A$230=$B61)*Inputs!$B$5:$B$230*(((Inputs!$G$5:$G$230="moeda")+(Inputs!$G$5:$G$230="acoes"))*Inputs!$B$1+((Inputs!$G$5:$G$230&lt;&gt;"moeda")*(Inputs!$G$5:$G$230&lt;&gt;"acoes")))*INDEX(Inputs!$K$5:$AJ$230,0,MATCH(Z$2,Inputs!$K$4:$AJ$4,0)))+SUMPRODUCT((Inputs!$C$5:$C$230=$B61)*Inputs!$D$5:$D$230*(((Inputs!$G$5:$G$230="moeda")+(Inputs!$G$5:$G$230="acoes"))*Inputs!$B$1+((Inputs!$G$5:$G$230&lt;&gt;"moeda")*(Inputs!$G$5:$G$230&lt;&gt;"acoes")))*INDEX(Inputs!$K$5:$AJ$230,0,MATCH(Z$2,Inputs!$K$4:$AJ$4,0)))+SUMPRODUCT((Inputs!$E$5:$E$230=$B61)*Inputs!$F$5:$F$230*(((Inputs!$G$5:$G$230="moeda")+(Inputs!$G$5:$G$230="acoes"))*Inputs!$B$1+((Inputs!$G$5:$G$230&lt;&gt;"moeda")*(Inputs!$G$5:$G$230&lt;&gt;"acoes")))*INDEX(Inputs!$K$5:$AJ$230,0,MATCH(Z$2,Inputs!$K$4:$AJ$4,0)))))</f>
        <v>31.858</v>
      </c>
      <c r="AA61" s="6">
        <f>IF(ISNA(MATCH(AA$2,Inputs!$K$4:$AJ$4,0)),NA(),IF(SUMPRODUCT((Inputs!$A$5:$A$230=$B61)*ISNUMBER(INDEX(Inputs!$K$5:$AJ$230,0,MATCH(AA$2,Inputs!$K$4:$AJ$4,0))))+SUMPRODUCT((Inputs!$C$5:$C$230=$B61)*ISNUMBER(INDEX(Inputs!$K$5:$AJ$230,0,MATCH(AA$2,Inputs!$K$4:$AJ$4,0))))+SUMPRODUCT((Inputs!$E$5:$E$230=$B61)*ISNUMBER(INDEX(Inputs!$K$5:$AJ$230,0,MATCH(AA$2,Inputs!$K$4:$AJ$4,0))))=0,NA(),SUMPRODUCT((Inputs!$A$5:$A$230=$B61)*Inputs!$B$5:$B$230*(((Inputs!$G$5:$G$230="moeda")+(Inputs!$G$5:$G$230="acoes"))*Inputs!$B$1+((Inputs!$G$5:$G$230&lt;&gt;"moeda")*(Inputs!$G$5:$G$230&lt;&gt;"acoes")))*INDEX(Inputs!$K$5:$AJ$230,0,MATCH(AA$2,Inputs!$K$4:$AJ$4,0)))+SUMPRODUCT((Inputs!$C$5:$C$230=$B61)*Inputs!$D$5:$D$230*(((Inputs!$G$5:$G$230="moeda")+(Inputs!$G$5:$G$230="acoes"))*Inputs!$B$1+((Inputs!$G$5:$G$230&lt;&gt;"moeda")*(Inputs!$G$5:$G$230&lt;&gt;"acoes")))*INDEX(Inputs!$K$5:$AJ$230,0,MATCH(AA$2,Inputs!$K$4:$AJ$4,0)))+SUMPRODUCT((Inputs!$E$5:$E$230=$B61)*Inputs!$F$5:$F$230*(((Inputs!$G$5:$G$230="moeda")+(Inputs!$G$5:$G$230="acoes"))*Inputs!$B$1+((Inputs!$G$5:$G$230&lt;&gt;"moeda")*(Inputs!$G$5:$G$230&lt;&gt;"acoes")))*INDEX(Inputs!$K$5:$AJ$230,0,MATCH(AA$2,Inputs!$K$4:$AJ$4,0)))))</f>
        <v>37.352</v>
      </c>
      <c r="AB61" s="3">
        <f>SUM(X61:AA61)</f>
        <v>148.664</v>
      </c>
      <c r="AC61" s="6">
        <f>IF(ISNA(MATCH(AC$2,Inputs!$K$4:$AJ$4,0)),NA(),IF(SUMPRODUCT((Inputs!$A$5:$A$230=$B61)*ISNUMBER(INDEX(Inputs!$K$5:$AJ$230,0,MATCH(AC$2,Inputs!$K$4:$AJ$4,0))))+SUMPRODUCT((Inputs!$C$5:$C$230=$B61)*ISNUMBER(INDEX(Inputs!$K$5:$AJ$230,0,MATCH(AC$2,Inputs!$K$4:$AJ$4,0))))+SUMPRODUCT((Inputs!$E$5:$E$230=$B61)*ISNUMBER(INDEX(Inputs!$K$5:$AJ$230,0,MATCH(AC$2,Inputs!$K$4:$AJ$4,0))))=0,NA(),SUMPRODUCT((Inputs!$A$5:$A$230=$B61)*Inputs!$B$5:$B$230*(((Inputs!$G$5:$G$230="moeda")+(Inputs!$G$5:$G$230="acoes"))*Inputs!$B$1+((Inputs!$G$5:$G$230&lt;&gt;"moeda")*(Inputs!$G$5:$G$230&lt;&gt;"acoes")))*INDEX(Inputs!$K$5:$AJ$230,0,MATCH(AC$2,Inputs!$K$4:$AJ$4,0)))+SUMPRODUCT((Inputs!$C$5:$C$230=$B61)*Inputs!$D$5:$D$230*(((Inputs!$G$5:$G$230="moeda")+(Inputs!$G$5:$G$230="acoes"))*Inputs!$B$1+((Inputs!$G$5:$G$230&lt;&gt;"moeda")*(Inputs!$G$5:$G$230&lt;&gt;"acoes")))*INDEX(Inputs!$K$5:$AJ$230,0,MATCH(AC$2,Inputs!$K$4:$AJ$4,0)))+SUMPRODUCT((Inputs!$E$5:$E$230=$B61)*Inputs!$F$5:$F$230*(((Inputs!$G$5:$G$230="moeda")+(Inputs!$G$5:$G$230="acoes"))*Inputs!$B$1+((Inputs!$G$5:$G$230&lt;&gt;"moeda")*(Inputs!$G$5:$G$230&lt;&gt;"acoes")))*INDEX(Inputs!$K$5:$AJ$230,0,MATCH(AC$2,Inputs!$K$4:$AJ$4,0)))))</f>
        <v>54.445</v>
      </c>
      <c r="AD61" s="6">
        <f>IF(ISNA(MATCH(AD$2,Inputs!$K$4:$AJ$4,0)),NA(),IF(SUMPRODUCT((Inputs!$A$5:$A$230=$B61)*ISNUMBER(INDEX(Inputs!$K$5:$AJ$230,0,MATCH(AD$2,Inputs!$K$4:$AJ$4,0))))+SUMPRODUCT((Inputs!$C$5:$C$230=$B61)*ISNUMBER(INDEX(Inputs!$K$5:$AJ$230,0,MATCH(AD$2,Inputs!$K$4:$AJ$4,0))))+SUMPRODUCT((Inputs!$E$5:$E$230=$B61)*ISNUMBER(INDEX(Inputs!$K$5:$AJ$230,0,MATCH(AD$2,Inputs!$K$4:$AJ$4,0))))=0,NA(),SUMPRODUCT((Inputs!$A$5:$A$230=$B61)*Inputs!$B$5:$B$230*(((Inputs!$G$5:$G$230="moeda")+(Inputs!$G$5:$G$230="acoes"))*Inputs!$B$1+((Inputs!$G$5:$G$230&lt;&gt;"moeda")*(Inputs!$G$5:$G$230&lt;&gt;"acoes")))*INDEX(Inputs!$K$5:$AJ$230,0,MATCH(AD$2,Inputs!$K$4:$AJ$4,0)))+SUMPRODUCT((Inputs!$C$5:$C$230=$B61)*Inputs!$D$5:$D$230*(((Inputs!$G$5:$G$230="moeda")+(Inputs!$G$5:$G$230="acoes"))*Inputs!$B$1+((Inputs!$G$5:$G$230&lt;&gt;"moeda")*(Inputs!$G$5:$G$230&lt;&gt;"acoes")))*INDEX(Inputs!$K$5:$AJ$230,0,MATCH(AD$2,Inputs!$K$4:$AJ$4,0)))+SUMPRODUCT((Inputs!$E$5:$E$230=$B61)*Inputs!$F$5:$F$230*(((Inputs!$G$5:$G$230="moeda")+(Inputs!$G$5:$G$230="acoes"))*Inputs!$B$1+((Inputs!$G$5:$G$230&lt;&gt;"moeda")*(Inputs!$G$5:$G$230&lt;&gt;"acoes")))*INDEX(Inputs!$K$5:$AJ$230,0,MATCH(AD$2,Inputs!$K$4:$AJ$4,0)))))</f>
        <v>87.224</v>
      </c>
      <c r="AE61" s="6" t="e">
        <f>IF(ISNA(MATCH(AE$2,Inputs!$K$4:$AJ$4,0)),NA(),IF(SUMPRODUCT((Inputs!$A$5:$A$230=$B61)*ISNUMBER(INDEX(Inputs!$K$5:$AJ$230,0,MATCH(AE$2,Inputs!$K$4:$AJ$4,0))))+SUMPRODUCT((Inputs!$C$5:$C$230=$B61)*ISNUMBER(INDEX(Inputs!$K$5:$AJ$230,0,MATCH(AE$2,Inputs!$K$4:$AJ$4,0))))+SUMPRODUCT((Inputs!$E$5:$E$230=$B61)*ISNUMBER(INDEX(Inputs!$K$5:$AJ$230,0,MATCH(AE$2,Inputs!$K$4:$AJ$4,0))))=0,NA(),SUMPRODUCT((Inputs!$A$5:$A$230=$B61)*Inputs!$B$5:$B$230*(((Inputs!$G$5:$G$230="moeda")+(Inputs!$G$5:$G$230="acoes"))*Inputs!$B$1+((Inputs!$G$5:$G$230&lt;&gt;"moeda")*(Inputs!$G$5:$G$230&lt;&gt;"acoes")))*INDEX(Inputs!$K$5:$AJ$230,0,MATCH(AE$2,Inputs!$K$4:$AJ$4,0)))+SUMPRODUCT((Inputs!$C$5:$C$230=$B61)*Inputs!$D$5:$D$230*(((Inputs!$G$5:$G$230="moeda")+(Inputs!$G$5:$G$230="acoes"))*Inputs!$B$1+((Inputs!$G$5:$G$230&lt;&gt;"moeda")*(Inputs!$G$5:$G$230&lt;&gt;"acoes")))*INDEX(Inputs!$K$5:$AJ$230,0,MATCH(AE$2,Inputs!$K$4:$AJ$4,0)))+SUMPRODUCT((Inputs!$E$5:$E$230=$B61)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1" s="6" t="e">
        <f>IF(ISNA(MATCH(AF$2,Inputs!$K$4:$AJ$4,0)),NA(),IF(SUMPRODUCT((Inputs!$A$5:$A$230=$B61)*ISNUMBER(INDEX(Inputs!$K$5:$AJ$230,0,MATCH(AF$2,Inputs!$K$4:$AJ$4,0))))+SUMPRODUCT((Inputs!$C$5:$C$230=$B61)*ISNUMBER(INDEX(Inputs!$K$5:$AJ$230,0,MATCH(AF$2,Inputs!$K$4:$AJ$4,0))))+SUMPRODUCT((Inputs!$E$5:$E$230=$B61)*ISNUMBER(INDEX(Inputs!$K$5:$AJ$230,0,MATCH(AF$2,Inputs!$K$4:$AJ$4,0))))=0,NA(),SUMPRODUCT((Inputs!$A$5:$A$230=$B61)*Inputs!$B$5:$B$230*(((Inputs!$G$5:$G$230="moeda")+(Inputs!$G$5:$G$230="acoes"))*Inputs!$B$1+((Inputs!$G$5:$G$230&lt;&gt;"moeda")*(Inputs!$G$5:$G$230&lt;&gt;"acoes")))*INDEX(Inputs!$K$5:$AJ$230,0,MATCH(AF$2,Inputs!$K$4:$AJ$4,0)))+SUMPRODUCT((Inputs!$C$5:$C$230=$B61)*Inputs!$D$5:$D$230*(((Inputs!$G$5:$G$230="moeda")+(Inputs!$G$5:$G$230="acoes"))*Inputs!$B$1+((Inputs!$G$5:$G$230&lt;&gt;"moeda")*(Inputs!$G$5:$G$230&lt;&gt;"acoes")))*INDEX(Inputs!$K$5:$AJ$230,0,MATCH(AF$2,Inputs!$K$4:$AJ$4,0)))+SUMPRODUCT((Inputs!$E$5:$E$230=$B61)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1" s="3" t="e">
        <f>SUM(AC61:AF61)</f>
        <v>#N/A</v>
      </c>
      <c r="AH61" s="6">
        <f>IF(ISNA(MATCH(AH$2,Inputs!$K$4:$AJ$4,0)),NA(),IF(SUMPRODUCT((Inputs!$A$5:$A$230=$B61)*ISNUMBER(INDEX(Inputs!$K$5:$AJ$230,0,MATCH(AH$2,Inputs!$K$4:$AJ$4,0))))+SUMPRODUCT((Inputs!$C$5:$C$230=$B61)*ISNUMBER(INDEX(Inputs!$K$5:$AJ$230,0,MATCH(AH$2,Inputs!$K$4:$AJ$4,0))))+SUMPRODUCT((Inputs!$E$5:$E$230=$B61)*ISNUMBER(INDEX(Inputs!$K$5:$AJ$230,0,MATCH(AH$2,Inputs!$K$4:$AJ$4,0))))=0,NA(),SUMPRODUCT((Inputs!$A$5:$A$230=$B61)*Inputs!$B$5:$B$230*(((Inputs!$G$5:$G$230="moeda")+(Inputs!$G$5:$G$230="acoes"))*Inputs!$B$1+((Inputs!$G$5:$G$230&lt;&gt;"moeda")*(Inputs!$G$5:$G$230&lt;&gt;"acoes")))*INDEX(Inputs!$K$5:$AJ$230,0,MATCH(AH$2,Inputs!$K$4:$AJ$4,0)))+SUMPRODUCT((Inputs!$C$5:$C$230=$B61)*Inputs!$D$5:$D$230*(((Inputs!$G$5:$G$230="moeda")+(Inputs!$G$5:$G$230="acoes"))*Inputs!$B$1+((Inputs!$G$5:$G$230&lt;&gt;"moeda")*(Inputs!$G$5:$G$230&lt;&gt;"acoes")))*INDEX(Inputs!$K$5:$AJ$230,0,MATCH(AH$2,Inputs!$K$4:$AJ$4,0)))+SUMPRODUCT((Inputs!$E$5:$E$230=$B61)*Inputs!$F$5:$F$230*(((Inputs!$G$5:$G$230="moeda")+(Inputs!$G$5:$G$230="acoes"))*Inputs!$B$1+((Inputs!$G$5:$G$230&lt;&gt;"moeda")*(Inputs!$G$5:$G$230&lt;&gt;"acoes")))*INDEX(Inputs!$K$5:$AJ$230,0,MATCH(AH$2,Inputs!$K$4:$AJ$4,0)))))</f>
        <v>38.199</v>
      </c>
      <c r="AI61" s="6">
        <f>IF(ISNA(MATCH(AI$2,Inputs!$K$4:$AJ$4,0)),NA(),IF(SUMPRODUCT((Inputs!$A$5:$A$230=$B61)*ISNUMBER(INDEX(Inputs!$K$5:$AJ$230,0,MATCH(AI$2,Inputs!$K$4:$AJ$4,0))))+SUMPRODUCT((Inputs!$C$5:$C$230=$B61)*ISNUMBER(INDEX(Inputs!$K$5:$AJ$230,0,MATCH(AI$2,Inputs!$K$4:$AJ$4,0))))+SUMPRODUCT((Inputs!$E$5:$E$230=$B61)*ISNUMBER(INDEX(Inputs!$K$5:$AJ$230,0,MATCH(AI$2,Inputs!$K$4:$AJ$4,0))))=0,NA(),SUMPRODUCT((Inputs!$A$5:$A$230=$B61)*Inputs!$B$5:$B$230*(((Inputs!$G$5:$G$230="moeda")+(Inputs!$G$5:$G$230="acoes"))*Inputs!$B$1+((Inputs!$G$5:$G$230&lt;&gt;"moeda")*(Inputs!$G$5:$G$230&lt;&gt;"acoes")))*INDEX(Inputs!$K$5:$AJ$230,0,MATCH(AI$2,Inputs!$K$4:$AJ$4,0)))+SUMPRODUCT((Inputs!$C$5:$C$230=$B61)*Inputs!$D$5:$D$230*(((Inputs!$G$5:$G$230="moeda")+(Inputs!$G$5:$G$230="acoes"))*Inputs!$B$1+((Inputs!$G$5:$G$230&lt;&gt;"moeda")*(Inputs!$G$5:$G$230&lt;&gt;"acoes")))*INDEX(Inputs!$K$5:$AJ$230,0,MATCH(AI$2,Inputs!$K$4:$AJ$4,0)))+SUMPRODUCT((Inputs!$E$5:$E$230=$B61)*Inputs!$F$5:$F$230*(((Inputs!$G$5:$G$230="moeda")+(Inputs!$G$5:$G$230="acoes"))*Inputs!$B$1+((Inputs!$G$5:$G$230&lt;&gt;"moeda")*(Inputs!$G$5:$G$230&lt;&gt;"acoes")))*INDEX(Inputs!$K$5:$AJ$230,0,MATCH(AI$2,Inputs!$K$4:$AJ$4,0)))))</f>
        <v>37.805</v>
      </c>
      <c r="AJ61" s="6">
        <f>IF(ISNA(MATCH(AJ$2,Inputs!$K$4:$AJ$4,0)),NA(),IF(SUMPRODUCT((Inputs!$A$5:$A$230=$B61)*ISNUMBER(INDEX(Inputs!$K$5:$AJ$230,0,MATCH(AJ$2,Inputs!$K$4:$AJ$4,0))))+SUMPRODUCT((Inputs!$C$5:$C$230=$B61)*ISNUMBER(INDEX(Inputs!$K$5:$AJ$230,0,MATCH(AJ$2,Inputs!$K$4:$AJ$4,0))))+SUMPRODUCT((Inputs!$E$5:$E$230=$B61)*ISNUMBER(INDEX(Inputs!$K$5:$AJ$230,0,MATCH(AJ$2,Inputs!$K$4:$AJ$4,0))))=0,NA(),SUMPRODUCT((Inputs!$A$5:$A$230=$B61)*Inputs!$B$5:$B$230*(((Inputs!$G$5:$G$230="moeda")+(Inputs!$G$5:$G$230="acoes"))*Inputs!$B$1+((Inputs!$G$5:$G$230&lt;&gt;"moeda")*(Inputs!$G$5:$G$230&lt;&gt;"acoes")))*INDEX(Inputs!$K$5:$AJ$230,0,MATCH(AJ$2,Inputs!$K$4:$AJ$4,0)))+SUMPRODUCT((Inputs!$C$5:$C$230=$B61)*Inputs!$D$5:$D$230*(((Inputs!$G$5:$G$230="moeda")+(Inputs!$G$5:$G$230="acoes"))*Inputs!$B$1+((Inputs!$G$5:$G$230&lt;&gt;"moeda")*(Inputs!$G$5:$G$230&lt;&gt;"acoes")))*INDEX(Inputs!$K$5:$AJ$230,0,MATCH(AJ$2,Inputs!$K$4:$AJ$4,0)))+SUMPRODUCT((Inputs!$E$5:$E$230=$B61)*Inputs!$F$5:$F$230*(((Inputs!$G$5:$G$230="moeda")+(Inputs!$G$5:$G$230="acoes"))*Inputs!$B$1+((Inputs!$G$5:$G$230&lt;&gt;"moeda")*(Inputs!$G$5:$G$230&lt;&gt;"acoes")))*INDEX(Inputs!$K$5:$AJ$230,0,MATCH(AJ$2,Inputs!$K$4:$AJ$4,0)))))</f>
        <v>58.001</v>
      </c>
      <c r="AK61" s="6">
        <f>IF(ISNA(MATCH(AK$2,Inputs!$K$4:$AJ$4,0)),NA(),IF(SUMPRODUCT((Inputs!$A$5:$A$230=$B61)*ISNUMBER(INDEX(Inputs!$K$5:$AJ$230,0,MATCH(AK$2,Inputs!$K$4:$AJ$4,0))))+SUMPRODUCT((Inputs!$C$5:$C$230=$B61)*ISNUMBER(INDEX(Inputs!$K$5:$AJ$230,0,MATCH(AK$2,Inputs!$K$4:$AJ$4,0))))+SUMPRODUCT((Inputs!$E$5:$E$230=$B61)*ISNUMBER(INDEX(Inputs!$K$5:$AJ$230,0,MATCH(AK$2,Inputs!$K$4:$AJ$4,0))))=0,NA(),SUMPRODUCT((Inputs!$A$5:$A$230=$B61)*Inputs!$B$5:$B$230*(((Inputs!$G$5:$G$230="moeda")+(Inputs!$G$5:$G$230="acoes"))*Inputs!$B$1+((Inputs!$G$5:$G$230&lt;&gt;"moeda")*(Inputs!$G$5:$G$230&lt;&gt;"acoes")))*INDEX(Inputs!$K$5:$AJ$230,0,MATCH(AK$2,Inputs!$K$4:$AJ$4,0)))+SUMPRODUCT((Inputs!$C$5:$C$230=$B61)*Inputs!$D$5:$D$230*(((Inputs!$G$5:$G$230="moeda")+(Inputs!$G$5:$G$230="acoes"))*Inputs!$B$1+((Inputs!$G$5:$G$230&lt;&gt;"moeda")*(Inputs!$G$5:$G$230&lt;&gt;"acoes")))*INDEX(Inputs!$K$5:$AJ$230,0,MATCH(AK$2,Inputs!$K$4:$AJ$4,0)))+SUMPRODUCT((Inputs!$E$5:$E$230=$B61)*Inputs!$F$5:$F$230*(((Inputs!$G$5:$G$230="moeda")+(Inputs!$G$5:$G$230="acoes"))*Inputs!$B$1+((Inputs!$G$5:$G$230&lt;&gt;"moeda")*(Inputs!$G$5:$G$230&lt;&gt;"acoes")))*INDEX(Inputs!$K$5:$AJ$230,0,MATCH(AK$2,Inputs!$K$4:$AJ$4,0)))))</f>
        <v>81.006</v>
      </c>
      <c r="AL61" s="3">
        <f>SUM(AH61:AK61)</f>
        <v>215.011</v>
      </c>
    </row>
    <row r="62">
      <c r="B62" s="46" t="n">
        <v>54</v>
      </c>
      <c r="C62" s="29" t="inlineStr">
        <is>
          <t>Transmissao | ERTE</t>
        </is>
      </c>
      <c r="D62" s="6">
        <f>IF(ISNA(MATCH(D$2,Inputs!$K$4:$AJ$4,0)),NA(),IF(SUMPRODUCT((Inputs!$A$5:$A$230=$B62)*ISNUMBER(INDEX(Inputs!$K$5:$AJ$230,0,MATCH(D$2,Inputs!$K$4:$AJ$4,0))))+SUMPRODUCT((Inputs!$C$5:$C$230=$B62)*ISNUMBER(INDEX(Inputs!$K$5:$AJ$230,0,MATCH(D$2,Inputs!$K$4:$AJ$4,0))))+SUMPRODUCT((Inputs!$E$5:$E$230=$B62)*ISNUMBER(INDEX(Inputs!$K$5:$AJ$230,0,MATCH(D$2,Inputs!$K$4:$AJ$4,0))))=0,NA(),SUMPRODUCT((Inputs!$A$5:$A$230=$B62)*Inputs!$B$5:$B$230*(((Inputs!$G$5:$G$230="moeda")+(Inputs!$G$5:$G$230="acoes"))*Inputs!$B$1+((Inputs!$G$5:$G$230&lt;&gt;"moeda")*(Inputs!$G$5:$G$230&lt;&gt;"acoes")))*INDEX(Inputs!$K$5:$AJ$230,0,MATCH(D$2,Inputs!$K$4:$AJ$4,0)))+SUMPRODUCT((Inputs!$C$5:$C$230=$B62)*Inputs!$D$5:$D$230*(((Inputs!$G$5:$G$230="moeda")+(Inputs!$G$5:$G$230="acoes"))*Inputs!$B$1+((Inputs!$G$5:$G$230&lt;&gt;"moeda")*(Inputs!$G$5:$G$230&lt;&gt;"acoes")))*INDEX(Inputs!$K$5:$AJ$230,0,MATCH(D$2,Inputs!$K$4:$AJ$4,0)))+SUMPRODUCT((Inputs!$E$5:$E$230=$B62)*Inputs!$F$5:$F$230*(((Inputs!$G$5:$G$230="moeda")+(Inputs!$G$5:$G$230="acoes"))*Inputs!$B$1+((Inputs!$G$5:$G$230&lt;&gt;"moeda")*(Inputs!$G$5:$G$230&lt;&gt;"acoes")))*INDEX(Inputs!$K$5:$AJ$230,0,MATCH(D$2,Inputs!$K$4:$AJ$4,0)))))</f>
        <v>14.836</v>
      </c>
      <c r="E62" s="6">
        <f>IF(ISNA(MATCH(E$2,Inputs!$K$4:$AJ$4,0)),NA(),IF(SUMPRODUCT((Inputs!$A$5:$A$230=$B62)*ISNUMBER(INDEX(Inputs!$K$5:$AJ$230,0,MATCH(E$2,Inputs!$K$4:$AJ$4,0))))+SUMPRODUCT((Inputs!$C$5:$C$230=$B62)*ISNUMBER(INDEX(Inputs!$K$5:$AJ$230,0,MATCH(E$2,Inputs!$K$4:$AJ$4,0))))+SUMPRODUCT((Inputs!$E$5:$E$230=$B62)*ISNUMBER(INDEX(Inputs!$K$5:$AJ$230,0,MATCH(E$2,Inputs!$K$4:$AJ$4,0))))=0,NA(),SUMPRODUCT((Inputs!$A$5:$A$230=$B62)*Inputs!$B$5:$B$230*(((Inputs!$G$5:$G$230="moeda")+(Inputs!$G$5:$G$230="acoes"))*Inputs!$B$1+((Inputs!$G$5:$G$230&lt;&gt;"moeda")*(Inputs!$G$5:$G$230&lt;&gt;"acoes")))*INDEX(Inputs!$K$5:$AJ$230,0,MATCH(E$2,Inputs!$K$4:$AJ$4,0)))+SUMPRODUCT((Inputs!$C$5:$C$230=$B62)*Inputs!$D$5:$D$230*(((Inputs!$G$5:$G$230="moeda")+(Inputs!$G$5:$G$230="acoes"))*Inputs!$B$1+((Inputs!$G$5:$G$230&lt;&gt;"moeda")*(Inputs!$G$5:$G$230&lt;&gt;"acoes")))*INDEX(Inputs!$K$5:$AJ$230,0,MATCH(E$2,Inputs!$K$4:$AJ$4,0)))+SUMPRODUCT((Inputs!$E$5:$E$230=$B62)*Inputs!$F$5:$F$230*(((Inputs!$G$5:$G$230="moeda")+(Inputs!$G$5:$G$230="acoes"))*Inputs!$B$1+((Inputs!$G$5:$G$230&lt;&gt;"moeda")*(Inputs!$G$5:$G$230&lt;&gt;"acoes")))*INDEX(Inputs!$K$5:$AJ$230,0,MATCH(E$2,Inputs!$K$4:$AJ$4,0)))))</f>
        <v>17.116</v>
      </c>
      <c r="F62" s="6">
        <f>IF(ISNA(MATCH(F$2,Inputs!$K$4:$AJ$4,0)),NA(),IF(SUMPRODUCT((Inputs!$A$5:$A$230=$B62)*ISNUMBER(INDEX(Inputs!$K$5:$AJ$230,0,MATCH(F$2,Inputs!$K$4:$AJ$4,0))))+SUMPRODUCT((Inputs!$C$5:$C$230=$B62)*ISNUMBER(INDEX(Inputs!$K$5:$AJ$230,0,MATCH(F$2,Inputs!$K$4:$AJ$4,0))))+SUMPRODUCT((Inputs!$E$5:$E$230=$B62)*ISNUMBER(INDEX(Inputs!$K$5:$AJ$230,0,MATCH(F$2,Inputs!$K$4:$AJ$4,0))))=0,NA(),SUMPRODUCT((Inputs!$A$5:$A$230=$B62)*Inputs!$B$5:$B$230*(((Inputs!$G$5:$G$230="moeda")+(Inputs!$G$5:$G$230="acoes"))*Inputs!$B$1+((Inputs!$G$5:$G$230&lt;&gt;"moeda")*(Inputs!$G$5:$G$230&lt;&gt;"acoes")))*INDEX(Inputs!$K$5:$AJ$230,0,MATCH(F$2,Inputs!$K$4:$AJ$4,0)))+SUMPRODUCT((Inputs!$C$5:$C$230=$B62)*Inputs!$D$5:$D$230*(((Inputs!$G$5:$G$230="moeda")+(Inputs!$G$5:$G$230="acoes"))*Inputs!$B$1+((Inputs!$G$5:$G$230&lt;&gt;"moeda")*(Inputs!$G$5:$G$230&lt;&gt;"acoes")))*INDEX(Inputs!$K$5:$AJ$230,0,MATCH(F$2,Inputs!$K$4:$AJ$4,0)))+SUMPRODUCT((Inputs!$E$5:$E$230=$B62)*Inputs!$F$5:$F$230*(((Inputs!$G$5:$G$230="moeda")+(Inputs!$G$5:$G$230="acoes"))*Inputs!$B$1+((Inputs!$G$5:$G$230&lt;&gt;"moeda")*(Inputs!$G$5:$G$230&lt;&gt;"acoes")))*INDEX(Inputs!$K$5:$AJ$230,0,MATCH(F$2,Inputs!$K$4:$AJ$4,0)))))</f>
        <v>9.208</v>
      </c>
      <c r="G62" s="6">
        <f>IF(ISNA(MATCH(G$2,Inputs!$K$4:$AJ$4,0)),NA(),IF(SUMPRODUCT((Inputs!$A$5:$A$230=$B62)*ISNUMBER(INDEX(Inputs!$K$5:$AJ$230,0,MATCH(G$2,Inputs!$K$4:$AJ$4,0))))+SUMPRODUCT((Inputs!$C$5:$C$230=$B62)*ISNUMBER(INDEX(Inputs!$K$5:$AJ$230,0,MATCH(G$2,Inputs!$K$4:$AJ$4,0))))+SUMPRODUCT((Inputs!$E$5:$E$230=$B62)*ISNUMBER(INDEX(Inputs!$K$5:$AJ$230,0,MATCH(G$2,Inputs!$K$4:$AJ$4,0))))=0,NA(),SUMPRODUCT((Inputs!$A$5:$A$230=$B62)*Inputs!$B$5:$B$230*(((Inputs!$G$5:$G$230="moeda")+(Inputs!$G$5:$G$230="acoes"))*Inputs!$B$1+((Inputs!$G$5:$G$230&lt;&gt;"moeda")*(Inputs!$G$5:$G$230&lt;&gt;"acoes")))*INDEX(Inputs!$K$5:$AJ$230,0,MATCH(G$2,Inputs!$K$4:$AJ$4,0)))+SUMPRODUCT((Inputs!$C$5:$C$230=$B62)*Inputs!$D$5:$D$230*(((Inputs!$G$5:$G$230="moeda")+(Inputs!$G$5:$G$230="acoes"))*Inputs!$B$1+((Inputs!$G$5:$G$230&lt;&gt;"moeda")*(Inputs!$G$5:$G$230&lt;&gt;"acoes")))*INDEX(Inputs!$K$5:$AJ$230,0,MATCH(G$2,Inputs!$K$4:$AJ$4,0)))+SUMPRODUCT((Inputs!$E$5:$E$230=$B62)*Inputs!$F$5:$F$230*(((Inputs!$G$5:$G$230="moeda")+(Inputs!$G$5:$G$230="acoes"))*Inputs!$B$1+((Inputs!$G$5:$G$230&lt;&gt;"moeda")*(Inputs!$G$5:$G$230&lt;&gt;"acoes")))*INDEX(Inputs!$K$5:$AJ$230,0,MATCH(G$2,Inputs!$K$4:$AJ$4,0)))))</f>
        <v>7.682</v>
      </c>
      <c r="H62" s="3">
        <f>SUM(D62:G62)</f>
        <v>48.842</v>
      </c>
      <c r="I62" s="6">
        <f>IF(ISNA(MATCH(I$2,Inputs!$K$4:$AJ$4,0)),NA(),IF(SUMPRODUCT((Inputs!$A$5:$A$230=$B62)*ISNUMBER(INDEX(Inputs!$K$5:$AJ$230,0,MATCH(I$2,Inputs!$K$4:$AJ$4,0))))+SUMPRODUCT((Inputs!$C$5:$C$230=$B62)*ISNUMBER(INDEX(Inputs!$K$5:$AJ$230,0,MATCH(I$2,Inputs!$K$4:$AJ$4,0))))+SUMPRODUCT((Inputs!$E$5:$E$230=$B62)*ISNUMBER(INDEX(Inputs!$K$5:$AJ$230,0,MATCH(I$2,Inputs!$K$4:$AJ$4,0))))=0,NA(),SUMPRODUCT((Inputs!$A$5:$A$230=$B62)*Inputs!$B$5:$B$230*(((Inputs!$G$5:$G$230="moeda")+(Inputs!$G$5:$G$230="acoes"))*Inputs!$B$1+((Inputs!$G$5:$G$230&lt;&gt;"moeda")*(Inputs!$G$5:$G$230&lt;&gt;"acoes")))*INDEX(Inputs!$K$5:$AJ$230,0,MATCH(I$2,Inputs!$K$4:$AJ$4,0)))+SUMPRODUCT((Inputs!$C$5:$C$230=$B62)*Inputs!$D$5:$D$230*(((Inputs!$G$5:$G$230="moeda")+(Inputs!$G$5:$G$230="acoes"))*Inputs!$B$1+((Inputs!$G$5:$G$230&lt;&gt;"moeda")*(Inputs!$G$5:$G$230&lt;&gt;"acoes")))*INDEX(Inputs!$K$5:$AJ$230,0,MATCH(I$2,Inputs!$K$4:$AJ$4,0)))+SUMPRODUCT((Inputs!$E$5:$E$230=$B62)*Inputs!$F$5:$F$230*(((Inputs!$G$5:$G$230="moeda")+(Inputs!$G$5:$G$230="acoes"))*Inputs!$B$1+((Inputs!$G$5:$G$230&lt;&gt;"moeda")*(Inputs!$G$5:$G$230&lt;&gt;"acoes")))*INDEX(Inputs!$K$5:$AJ$230,0,MATCH(I$2,Inputs!$K$4:$AJ$4,0)))))</f>
        <v>13.059</v>
      </c>
      <c r="J62" s="6">
        <f>IF(ISNA(MATCH(J$2,Inputs!$K$4:$AJ$4,0)),NA(),IF(SUMPRODUCT((Inputs!$A$5:$A$230=$B62)*ISNUMBER(INDEX(Inputs!$K$5:$AJ$230,0,MATCH(J$2,Inputs!$K$4:$AJ$4,0))))+SUMPRODUCT((Inputs!$C$5:$C$230=$B62)*ISNUMBER(INDEX(Inputs!$K$5:$AJ$230,0,MATCH(J$2,Inputs!$K$4:$AJ$4,0))))+SUMPRODUCT((Inputs!$E$5:$E$230=$B62)*ISNUMBER(INDEX(Inputs!$K$5:$AJ$230,0,MATCH(J$2,Inputs!$K$4:$AJ$4,0))))=0,NA(),SUMPRODUCT((Inputs!$A$5:$A$230=$B62)*Inputs!$B$5:$B$230*(((Inputs!$G$5:$G$230="moeda")+(Inputs!$G$5:$G$230="acoes"))*Inputs!$B$1+((Inputs!$G$5:$G$230&lt;&gt;"moeda")*(Inputs!$G$5:$G$230&lt;&gt;"acoes")))*INDEX(Inputs!$K$5:$AJ$230,0,MATCH(J$2,Inputs!$K$4:$AJ$4,0)))+SUMPRODUCT((Inputs!$C$5:$C$230=$B62)*Inputs!$D$5:$D$230*(((Inputs!$G$5:$G$230="moeda")+(Inputs!$G$5:$G$230="acoes"))*Inputs!$B$1+((Inputs!$G$5:$G$230&lt;&gt;"moeda")*(Inputs!$G$5:$G$230&lt;&gt;"acoes")))*INDEX(Inputs!$K$5:$AJ$230,0,MATCH(J$2,Inputs!$K$4:$AJ$4,0)))+SUMPRODUCT((Inputs!$E$5:$E$230=$B62)*Inputs!$F$5:$F$230*(((Inputs!$G$5:$G$230="moeda")+(Inputs!$G$5:$G$230="acoes"))*Inputs!$B$1+((Inputs!$G$5:$G$230&lt;&gt;"moeda")*(Inputs!$G$5:$G$230&lt;&gt;"acoes")))*INDEX(Inputs!$K$5:$AJ$230,0,MATCH(J$2,Inputs!$K$4:$AJ$4,0)))))</f>
        <v>1.859</v>
      </c>
      <c r="K62" s="6">
        <f>IF(ISNA(MATCH(K$2,Inputs!$K$4:$AJ$4,0)),NA(),IF(SUMPRODUCT((Inputs!$A$5:$A$230=$B62)*ISNUMBER(INDEX(Inputs!$K$5:$AJ$230,0,MATCH(K$2,Inputs!$K$4:$AJ$4,0))))+SUMPRODUCT((Inputs!$C$5:$C$230=$B62)*ISNUMBER(INDEX(Inputs!$K$5:$AJ$230,0,MATCH(K$2,Inputs!$K$4:$AJ$4,0))))+SUMPRODUCT((Inputs!$E$5:$E$230=$B62)*ISNUMBER(INDEX(Inputs!$K$5:$AJ$230,0,MATCH(K$2,Inputs!$K$4:$AJ$4,0))))=0,NA(),SUMPRODUCT((Inputs!$A$5:$A$230=$B62)*Inputs!$B$5:$B$230*(((Inputs!$G$5:$G$230="moeda")+(Inputs!$G$5:$G$230="acoes"))*Inputs!$B$1+((Inputs!$G$5:$G$230&lt;&gt;"moeda")*(Inputs!$G$5:$G$230&lt;&gt;"acoes")))*INDEX(Inputs!$K$5:$AJ$230,0,MATCH(K$2,Inputs!$K$4:$AJ$4,0)))+SUMPRODUCT((Inputs!$C$5:$C$230=$B62)*Inputs!$D$5:$D$230*(((Inputs!$G$5:$G$230="moeda")+(Inputs!$G$5:$G$230="acoes"))*Inputs!$B$1+((Inputs!$G$5:$G$230&lt;&gt;"moeda")*(Inputs!$G$5:$G$230&lt;&gt;"acoes")))*INDEX(Inputs!$K$5:$AJ$230,0,MATCH(K$2,Inputs!$K$4:$AJ$4,0)))+SUMPRODUCT((Inputs!$E$5:$E$230=$B62)*Inputs!$F$5:$F$230*(((Inputs!$G$5:$G$230="moeda")+(Inputs!$G$5:$G$230="acoes"))*Inputs!$B$1+((Inputs!$G$5:$G$230&lt;&gt;"moeda")*(Inputs!$G$5:$G$230&lt;&gt;"acoes")))*INDEX(Inputs!$K$5:$AJ$230,0,MATCH(K$2,Inputs!$K$4:$AJ$4,0)))))</f>
        <v>12.35</v>
      </c>
      <c r="L62" s="6">
        <f>IF(ISNA(MATCH(L$2,Inputs!$K$4:$AJ$4,0)),NA(),IF(SUMPRODUCT((Inputs!$A$5:$A$230=$B62)*ISNUMBER(INDEX(Inputs!$K$5:$AJ$230,0,MATCH(L$2,Inputs!$K$4:$AJ$4,0))))+SUMPRODUCT((Inputs!$C$5:$C$230=$B62)*ISNUMBER(INDEX(Inputs!$K$5:$AJ$230,0,MATCH(L$2,Inputs!$K$4:$AJ$4,0))))+SUMPRODUCT((Inputs!$E$5:$E$230=$B62)*ISNUMBER(INDEX(Inputs!$K$5:$AJ$230,0,MATCH(L$2,Inputs!$K$4:$AJ$4,0))))=0,NA(),SUMPRODUCT((Inputs!$A$5:$A$230=$B62)*Inputs!$B$5:$B$230*(((Inputs!$G$5:$G$230="moeda")+(Inputs!$G$5:$G$230="acoes"))*Inputs!$B$1+((Inputs!$G$5:$G$230&lt;&gt;"moeda")*(Inputs!$G$5:$G$230&lt;&gt;"acoes")))*INDEX(Inputs!$K$5:$AJ$230,0,MATCH(L$2,Inputs!$K$4:$AJ$4,0)))+SUMPRODUCT((Inputs!$C$5:$C$230=$B62)*Inputs!$D$5:$D$230*(((Inputs!$G$5:$G$230="moeda")+(Inputs!$G$5:$G$230="acoes"))*Inputs!$B$1+((Inputs!$G$5:$G$230&lt;&gt;"moeda")*(Inputs!$G$5:$G$230&lt;&gt;"acoes")))*INDEX(Inputs!$K$5:$AJ$230,0,MATCH(L$2,Inputs!$K$4:$AJ$4,0)))+SUMPRODUCT((Inputs!$E$5:$E$230=$B62)*Inputs!$F$5:$F$230*(((Inputs!$G$5:$G$230="moeda")+(Inputs!$G$5:$G$230="acoes"))*Inputs!$B$1+((Inputs!$G$5:$G$230&lt;&gt;"moeda")*(Inputs!$G$5:$G$230&lt;&gt;"acoes")))*INDEX(Inputs!$K$5:$AJ$230,0,MATCH(L$2,Inputs!$K$4:$AJ$4,0)))))</f>
        <v>2.303</v>
      </c>
      <c r="M62" s="3">
        <f>SUM(I62:L62)</f>
        <v>29.571</v>
      </c>
      <c r="N62" s="6">
        <f>IF(ISNA(MATCH(N$2,Inputs!$K$4:$AJ$4,0)),NA(),IF(SUMPRODUCT((Inputs!$A$5:$A$230=$B62)*ISNUMBER(INDEX(Inputs!$K$5:$AJ$230,0,MATCH(N$2,Inputs!$K$4:$AJ$4,0))))+SUMPRODUCT((Inputs!$C$5:$C$230=$B62)*ISNUMBER(INDEX(Inputs!$K$5:$AJ$230,0,MATCH(N$2,Inputs!$K$4:$AJ$4,0))))+SUMPRODUCT((Inputs!$E$5:$E$230=$B62)*ISNUMBER(INDEX(Inputs!$K$5:$AJ$230,0,MATCH(N$2,Inputs!$K$4:$AJ$4,0))))=0,NA(),SUMPRODUCT((Inputs!$A$5:$A$230=$B62)*Inputs!$B$5:$B$230*(((Inputs!$G$5:$G$230="moeda")+(Inputs!$G$5:$G$230="acoes"))*Inputs!$B$1+((Inputs!$G$5:$G$230&lt;&gt;"moeda")*(Inputs!$G$5:$G$230&lt;&gt;"acoes")))*INDEX(Inputs!$K$5:$AJ$230,0,MATCH(N$2,Inputs!$K$4:$AJ$4,0)))+SUMPRODUCT((Inputs!$C$5:$C$230=$B62)*Inputs!$D$5:$D$230*(((Inputs!$G$5:$G$230="moeda")+(Inputs!$G$5:$G$230="acoes"))*Inputs!$B$1+((Inputs!$G$5:$G$230&lt;&gt;"moeda")*(Inputs!$G$5:$G$230&lt;&gt;"acoes")))*INDEX(Inputs!$K$5:$AJ$230,0,MATCH(N$2,Inputs!$K$4:$AJ$4,0)))+SUMPRODUCT((Inputs!$E$5:$E$230=$B62)*Inputs!$F$5:$F$230*(((Inputs!$G$5:$G$230="moeda")+(Inputs!$G$5:$G$230="acoes"))*Inputs!$B$1+((Inputs!$G$5:$G$230&lt;&gt;"moeda")*(Inputs!$G$5:$G$230&lt;&gt;"acoes")))*INDEX(Inputs!$K$5:$AJ$230,0,MATCH(N$2,Inputs!$K$4:$AJ$4,0)))))</f>
        <v>7.839</v>
      </c>
      <c r="O62" s="6">
        <f>IF(ISNA(MATCH(O$2,Inputs!$K$4:$AJ$4,0)),NA(),IF(SUMPRODUCT((Inputs!$A$5:$A$230=$B62)*ISNUMBER(INDEX(Inputs!$K$5:$AJ$230,0,MATCH(O$2,Inputs!$K$4:$AJ$4,0))))+SUMPRODUCT((Inputs!$C$5:$C$230=$B62)*ISNUMBER(INDEX(Inputs!$K$5:$AJ$230,0,MATCH(O$2,Inputs!$K$4:$AJ$4,0))))+SUMPRODUCT((Inputs!$E$5:$E$230=$B62)*ISNUMBER(INDEX(Inputs!$K$5:$AJ$230,0,MATCH(O$2,Inputs!$K$4:$AJ$4,0))))=0,NA(),SUMPRODUCT((Inputs!$A$5:$A$230=$B62)*Inputs!$B$5:$B$230*(((Inputs!$G$5:$G$230="moeda")+(Inputs!$G$5:$G$230="acoes"))*Inputs!$B$1+((Inputs!$G$5:$G$230&lt;&gt;"moeda")*(Inputs!$G$5:$G$230&lt;&gt;"acoes")))*INDEX(Inputs!$K$5:$AJ$230,0,MATCH(O$2,Inputs!$K$4:$AJ$4,0)))+SUMPRODUCT((Inputs!$C$5:$C$230=$B62)*Inputs!$D$5:$D$230*(((Inputs!$G$5:$G$230="moeda")+(Inputs!$G$5:$G$230="acoes"))*Inputs!$B$1+((Inputs!$G$5:$G$230&lt;&gt;"moeda")*(Inputs!$G$5:$G$230&lt;&gt;"acoes")))*INDEX(Inputs!$K$5:$AJ$230,0,MATCH(O$2,Inputs!$K$4:$AJ$4,0)))+SUMPRODUCT((Inputs!$E$5:$E$230=$B62)*Inputs!$F$5:$F$230*(((Inputs!$G$5:$G$230="moeda")+(Inputs!$G$5:$G$230="acoes"))*Inputs!$B$1+((Inputs!$G$5:$G$230&lt;&gt;"moeda")*(Inputs!$G$5:$G$230&lt;&gt;"acoes")))*INDEX(Inputs!$K$5:$AJ$230,0,MATCH(O$2,Inputs!$K$4:$AJ$4,0)))))</f>
        <v>4.685</v>
      </c>
      <c r="P62" s="6">
        <f>IF(ISNA(MATCH(P$2,Inputs!$K$4:$AJ$4,0)),NA(),IF(SUMPRODUCT((Inputs!$A$5:$A$230=$B62)*ISNUMBER(INDEX(Inputs!$K$5:$AJ$230,0,MATCH(P$2,Inputs!$K$4:$AJ$4,0))))+SUMPRODUCT((Inputs!$C$5:$C$230=$B62)*ISNUMBER(INDEX(Inputs!$K$5:$AJ$230,0,MATCH(P$2,Inputs!$K$4:$AJ$4,0))))+SUMPRODUCT((Inputs!$E$5:$E$230=$B62)*ISNUMBER(INDEX(Inputs!$K$5:$AJ$230,0,MATCH(P$2,Inputs!$K$4:$AJ$4,0))))=0,NA(),SUMPRODUCT((Inputs!$A$5:$A$230=$B62)*Inputs!$B$5:$B$230*(((Inputs!$G$5:$G$230="moeda")+(Inputs!$G$5:$G$230="acoes"))*Inputs!$B$1+((Inputs!$G$5:$G$230&lt;&gt;"moeda")*(Inputs!$G$5:$G$230&lt;&gt;"acoes")))*INDEX(Inputs!$K$5:$AJ$230,0,MATCH(P$2,Inputs!$K$4:$AJ$4,0)))+SUMPRODUCT((Inputs!$C$5:$C$230=$B62)*Inputs!$D$5:$D$230*(((Inputs!$G$5:$G$230="moeda")+(Inputs!$G$5:$G$230="acoes"))*Inputs!$B$1+((Inputs!$G$5:$G$230&lt;&gt;"moeda")*(Inputs!$G$5:$G$230&lt;&gt;"acoes")))*INDEX(Inputs!$K$5:$AJ$230,0,MATCH(P$2,Inputs!$K$4:$AJ$4,0)))+SUMPRODUCT((Inputs!$E$5:$E$230=$B62)*Inputs!$F$5:$F$230*(((Inputs!$G$5:$G$230="moeda")+(Inputs!$G$5:$G$230="acoes"))*Inputs!$B$1+((Inputs!$G$5:$G$230&lt;&gt;"moeda")*(Inputs!$G$5:$G$230&lt;&gt;"acoes")))*INDEX(Inputs!$K$5:$AJ$230,0,MATCH(P$2,Inputs!$K$4:$AJ$4,0)))))</f>
        <v>3.546</v>
      </c>
      <c r="Q62" s="6">
        <f>IF(ISNA(MATCH(Q$2,Inputs!$K$4:$AJ$4,0)),NA(),IF(SUMPRODUCT((Inputs!$A$5:$A$230=$B62)*ISNUMBER(INDEX(Inputs!$K$5:$AJ$230,0,MATCH(Q$2,Inputs!$K$4:$AJ$4,0))))+SUMPRODUCT((Inputs!$C$5:$C$230=$B62)*ISNUMBER(INDEX(Inputs!$K$5:$AJ$230,0,MATCH(Q$2,Inputs!$K$4:$AJ$4,0))))+SUMPRODUCT((Inputs!$E$5:$E$230=$B62)*ISNUMBER(INDEX(Inputs!$K$5:$AJ$230,0,MATCH(Q$2,Inputs!$K$4:$AJ$4,0))))=0,NA(),SUMPRODUCT((Inputs!$A$5:$A$230=$B62)*Inputs!$B$5:$B$230*(((Inputs!$G$5:$G$230="moeda")+(Inputs!$G$5:$G$230="acoes"))*Inputs!$B$1+((Inputs!$G$5:$G$230&lt;&gt;"moeda")*(Inputs!$G$5:$G$230&lt;&gt;"acoes")))*INDEX(Inputs!$K$5:$AJ$230,0,MATCH(Q$2,Inputs!$K$4:$AJ$4,0)))+SUMPRODUCT((Inputs!$C$5:$C$230=$B62)*Inputs!$D$5:$D$230*(((Inputs!$G$5:$G$230="moeda")+(Inputs!$G$5:$G$230="acoes"))*Inputs!$B$1+((Inputs!$G$5:$G$230&lt;&gt;"moeda")*(Inputs!$G$5:$G$230&lt;&gt;"acoes")))*INDEX(Inputs!$K$5:$AJ$230,0,MATCH(Q$2,Inputs!$K$4:$AJ$4,0)))+SUMPRODUCT((Inputs!$E$5:$E$230=$B62)*Inputs!$F$5:$F$230*(((Inputs!$G$5:$G$230="moeda")+(Inputs!$G$5:$G$230="acoes"))*Inputs!$B$1+((Inputs!$G$5:$G$230&lt;&gt;"moeda")*(Inputs!$G$5:$G$230&lt;&gt;"acoes")))*INDEX(Inputs!$K$5:$AJ$230,0,MATCH(Q$2,Inputs!$K$4:$AJ$4,0)))))</f>
        <v>10.455</v>
      </c>
      <c r="R62" s="3">
        <f>SUM(N62:Q62)</f>
        <v>26.525</v>
      </c>
      <c r="S62" s="6">
        <f>IF(ISNA(MATCH(S$2,Inputs!$K$4:$AJ$4,0)),NA(),IF(SUMPRODUCT((Inputs!$A$5:$A$230=$B62)*ISNUMBER(INDEX(Inputs!$K$5:$AJ$230,0,MATCH(S$2,Inputs!$K$4:$AJ$4,0))))+SUMPRODUCT((Inputs!$C$5:$C$230=$B62)*ISNUMBER(INDEX(Inputs!$K$5:$AJ$230,0,MATCH(S$2,Inputs!$K$4:$AJ$4,0))))+SUMPRODUCT((Inputs!$E$5:$E$230=$B62)*ISNUMBER(INDEX(Inputs!$K$5:$AJ$230,0,MATCH(S$2,Inputs!$K$4:$AJ$4,0))))=0,NA(),SUMPRODUCT((Inputs!$A$5:$A$230=$B62)*Inputs!$B$5:$B$230*(((Inputs!$G$5:$G$230="moeda")+(Inputs!$G$5:$G$230="acoes"))*Inputs!$B$1+((Inputs!$G$5:$G$230&lt;&gt;"moeda")*(Inputs!$G$5:$G$230&lt;&gt;"acoes")))*INDEX(Inputs!$K$5:$AJ$230,0,MATCH(S$2,Inputs!$K$4:$AJ$4,0)))+SUMPRODUCT((Inputs!$C$5:$C$230=$B62)*Inputs!$D$5:$D$230*(((Inputs!$G$5:$G$230="moeda")+(Inputs!$G$5:$G$230="acoes"))*Inputs!$B$1+((Inputs!$G$5:$G$230&lt;&gt;"moeda")*(Inputs!$G$5:$G$230&lt;&gt;"acoes")))*INDEX(Inputs!$K$5:$AJ$230,0,MATCH(S$2,Inputs!$K$4:$AJ$4,0)))+SUMPRODUCT((Inputs!$E$5:$E$230=$B62)*Inputs!$F$5:$F$230*(((Inputs!$G$5:$G$230="moeda")+(Inputs!$G$5:$G$230="acoes"))*Inputs!$B$1+((Inputs!$G$5:$G$230&lt;&gt;"moeda")*(Inputs!$G$5:$G$230&lt;&gt;"acoes")))*INDEX(Inputs!$K$5:$AJ$230,0,MATCH(S$2,Inputs!$K$4:$AJ$4,0)))))</f>
        <v>7.97</v>
      </c>
      <c r="T62" s="6">
        <f>IF(ISNA(MATCH(T$2,Inputs!$K$4:$AJ$4,0)),NA(),IF(SUMPRODUCT((Inputs!$A$5:$A$230=$B62)*ISNUMBER(INDEX(Inputs!$K$5:$AJ$230,0,MATCH(T$2,Inputs!$K$4:$AJ$4,0))))+SUMPRODUCT((Inputs!$C$5:$C$230=$B62)*ISNUMBER(INDEX(Inputs!$K$5:$AJ$230,0,MATCH(T$2,Inputs!$K$4:$AJ$4,0))))+SUMPRODUCT((Inputs!$E$5:$E$230=$B62)*ISNUMBER(INDEX(Inputs!$K$5:$AJ$230,0,MATCH(T$2,Inputs!$K$4:$AJ$4,0))))=0,NA(),SUMPRODUCT((Inputs!$A$5:$A$230=$B62)*Inputs!$B$5:$B$230*(((Inputs!$G$5:$G$230="moeda")+(Inputs!$G$5:$G$230="acoes"))*Inputs!$B$1+((Inputs!$G$5:$G$230&lt;&gt;"moeda")*(Inputs!$G$5:$G$230&lt;&gt;"acoes")))*INDEX(Inputs!$K$5:$AJ$230,0,MATCH(T$2,Inputs!$K$4:$AJ$4,0)))+SUMPRODUCT((Inputs!$C$5:$C$230=$B62)*Inputs!$D$5:$D$230*(((Inputs!$G$5:$G$230="moeda")+(Inputs!$G$5:$G$230="acoes"))*Inputs!$B$1+((Inputs!$G$5:$G$230&lt;&gt;"moeda")*(Inputs!$G$5:$G$230&lt;&gt;"acoes")))*INDEX(Inputs!$K$5:$AJ$230,0,MATCH(T$2,Inputs!$K$4:$AJ$4,0)))+SUMPRODUCT((Inputs!$E$5:$E$230=$B62)*Inputs!$F$5:$F$230*(((Inputs!$G$5:$G$230="moeda")+(Inputs!$G$5:$G$230="acoes"))*Inputs!$B$1+((Inputs!$G$5:$G$230&lt;&gt;"moeda")*(Inputs!$G$5:$G$230&lt;&gt;"acoes")))*INDEX(Inputs!$K$5:$AJ$230,0,MATCH(T$2,Inputs!$K$4:$AJ$4,0)))))</f>
        <v>8.7</v>
      </c>
      <c r="U62" s="6">
        <f>IF(ISNA(MATCH(U$2,Inputs!$K$4:$AJ$4,0)),NA(),IF(SUMPRODUCT((Inputs!$A$5:$A$230=$B62)*ISNUMBER(INDEX(Inputs!$K$5:$AJ$230,0,MATCH(U$2,Inputs!$K$4:$AJ$4,0))))+SUMPRODUCT((Inputs!$C$5:$C$230=$B62)*ISNUMBER(INDEX(Inputs!$K$5:$AJ$230,0,MATCH(U$2,Inputs!$K$4:$AJ$4,0))))+SUMPRODUCT((Inputs!$E$5:$E$230=$B62)*ISNUMBER(INDEX(Inputs!$K$5:$AJ$230,0,MATCH(U$2,Inputs!$K$4:$AJ$4,0))))=0,NA(),SUMPRODUCT((Inputs!$A$5:$A$230=$B62)*Inputs!$B$5:$B$230*(((Inputs!$G$5:$G$230="moeda")+(Inputs!$G$5:$G$230="acoes"))*Inputs!$B$1+((Inputs!$G$5:$G$230&lt;&gt;"moeda")*(Inputs!$G$5:$G$230&lt;&gt;"acoes")))*INDEX(Inputs!$K$5:$AJ$230,0,MATCH(U$2,Inputs!$K$4:$AJ$4,0)))+SUMPRODUCT((Inputs!$C$5:$C$230=$B62)*Inputs!$D$5:$D$230*(((Inputs!$G$5:$G$230="moeda")+(Inputs!$G$5:$G$230="acoes"))*Inputs!$B$1+((Inputs!$G$5:$G$230&lt;&gt;"moeda")*(Inputs!$G$5:$G$230&lt;&gt;"acoes")))*INDEX(Inputs!$K$5:$AJ$230,0,MATCH(U$2,Inputs!$K$4:$AJ$4,0)))+SUMPRODUCT((Inputs!$E$5:$E$230=$B62)*Inputs!$F$5:$F$230*(((Inputs!$G$5:$G$230="moeda")+(Inputs!$G$5:$G$230="acoes"))*Inputs!$B$1+((Inputs!$G$5:$G$230&lt;&gt;"moeda")*(Inputs!$G$5:$G$230&lt;&gt;"acoes")))*INDEX(Inputs!$K$5:$AJ$230,0,MATCH(U$2,Inputs!$K$4:$AJ$4,0)))))</f>
        <v>9.877</v>
      </c>
      <c r="V62" s="6">
        <f>IF(ISNA(MATCH(V$2,Inputs!$K$4:$AJ$4,0)),NA(),IF(SUMPRODUCT((Inputs!$A$5:$A$230=$B62)*ISNUMBER(INDEX(Inputs!$K$5:$AJ$230,0,MATCH(V$2,Inputs!$K$4:$AJ$4,0))))+SUMPRODUCT((Inputs!$C$5:$C$230=$B62)*ISNUMBER(INDEX(Inputs!$K$5:$AJ$230,0,MATCH(V$2,Inputs!$K$4:$AJ$4,0))))+SUMPRODUCT((Inputs!$E$5:$E$230=$B62)*ISNUMBER(INDEX(Inputs!$K$5:$AJ$230,0,MATCH(V$2,Inputs!$K$4:$AJ$4,0))))=0,NA(),SUMPRODUCT((Inputs!$A$5:$A$230=$B62)*Inputs!$B$5:$B$230*(((Inputs!$G$5:$G$230="moeda")+(Inputs!$G$5:$G$230="acoes"))*Inputs!$B$1+((Inputs!$G$5:$G$230&lt;&gt;"moeda")*(Inputs!$G$5:$G$230&lt;&gt;"acoes")))*INDEX(Inputs!$K$5:$AJ$230,0,MATCH(V$2,Inputs!$K$4:$AJ$4,0)))+SUMPRODUCT((Inputs!$C$5:$C$230=$B62)*Inputs!$D$5:$D$230*(((Inputs!$G$5:$G$230="moeda")+(Inputs!$G$5:$G$230="acoes"))*Inputs!$B$1+((Inputs!$G$5:$G$230&lt;&gt;"moeda")*(Inputs!$G$5:$G$230&lt;&gt;"acoes")))*INDEX(Inputs!$K$5:$AJ$230,0,MATCH(V$2,Inputs!$K$4:$AJ$4,0)))+SUMPRODUCT((Inputs!$E$5:$E$230=$B62)*Inputs!$F$5:$F$230*(((Inputs!$G$5:$G$230="moeda")+(Inputs!$G$5:$G$230="acoes"))*Inputs!$B$1+((Inputs!$G$5:$G$230&lt;&gt;"moeda")*(Inputs!$G$5:$G$230&lt;&gt;"acoes")))*INDEX(Inputs!$K$5:$AJ$230,0,MATCH(V$2,Inputs!$K$4:$AJ$4,0)))))</f>
        <v>12.384</v>
      </c>
      <c r="W62" s="3">
        <f>SUM(S62:V62)</f>
        <v>38.931</v>
      </c>
      <c r="X62" s="6">
        <f>IF(ISNA(MATCH(X$2,Inputs!$K$4:$AJ$4,0)),NA(),IF(SUMPRODUCT((Inputs!$A$5:$A$230=$B62)*ISNUMBER(INDEX(Inputs!$K$5:$AJ$230,0,MATCH(X$2,Inputs!$K$4:$AJ$4,0))))+SUMPRODUCT((Inputs!$C$5:$C$230=$B62)*ISNUMBER(INDEX(Inputs!$K$5:$AJ$230,0,MATCH(X$2,Inputs!$K$4:$AJ$4,0))))+SUMPRODUCT((Inputs!$E$5:$E$230=$B62)*ISNUMBER(INDEX(Inputs!$K$5:$AJ$230,0,MATCH(X$2,Inputs!$K$4:$AJ$4,0))))=0,NA(),SUMPRODUCT((Inputs!$A$5:$A$230=$B62)*Inputs!$B$5:$B$230*(((Inputs!$G$5:$G$230="moeda")+(Inputs!$G$5:$G$230="acoes"))*Inputs!$B$1+((Inputs!$G$5:$G$230&lt;&gt;"moeda")*(Inputs!$G$5:$G$230&lt;&gt;"acoes")))*INDEX(Inputs!$K$5:$AJ$230,0,MATCH(X$2,Inputs!$K$4:$AJ$4,0)))+SUMPRODUCT((Inputs!$C$5:$C$230=$B62)*Inputs!$D$5:$D$230*(((Inputs!$G$5:$G$230="moeda")+(Inputs!$G$5:$G$230="acoes"))*Inputs!$B$1+((Inputs!$G$5:$G$230&lt;&gt;"moeda")*(Inputs!$G$5:$G$230&lt;&gt;"acoes")))*INDEX(Inputs!$K$5:$AJ$230,0,MATCH(X$2,Inputs!$K$4:$AJ$4,0)))+SUMPRODUCT((Inputs!$E$5:$E$230=$B62)*Inputs!$F$5:$F$230*(((Inputs!$G$5:$G$230="moeda")+(Inputs!$G$5:$G$230="acoes"))*Inputs!$B$1+((Inputs!$G$5:$G$230&lt;&gt;"moeda")*(Inputs!$G$5:$G$230&lt;&gt;"acoes")))*INDEX(Inputs!$K$5:$AJ$230,0,MATCH(X$2,Inputs!$K$4:$AJ$4,0)))))</f>
        <v>10.964</v>
      </c>
      <c r="Y62" s="6">
        <f>IF(ISNA(MATCH(Y$2,Inputs!$K$4:$AJ$4,0)),NA(),IF(SUMPRODUCT((Inputs!$A$5:$A$230=$B62)*ISNUMBER(INDEX(Inputs!$K$5:$AJ$230,0,MATCH(Y$2,Inputs!$K$4:$AJ$4,0))))+SUMPRODUCT((Inputs!$C$5:$C$230=$B62)*ISNUMBER(INDEX(Inputs!$K$5:$AJ$230,0,MATCH(Y$2,Inputs!$K$4:$AJ$4,0))))+SUMPRODUCT((Inputs!$E$5:$E$230=$B62)*ISNUMBER(INDEX(Inputs!$K$5:$AJ$230,0,MATCH(Y$2,Inputs!$K$4:$AJ$4,0))))=0,NA(),SUMPRODUCT((Inputs!$A$5:$A$230=$B62)*Inputs!$B$5:$B$230*(((Inputs!$G$5:$G$230="moeda")+(Inputs!$G$5:$G$230="acoes"))*Inputs!$B$1+((Inputs!$G$5:$G$230&lt;&gt;"moeda")*(Inputs!$G$5:$G$230&lt;&gt;"acoes")))*INDEX(Inputs!$K$5:$AJ$230,0,MATCH(Y$2,Inputs!$K$4:$AJ$4,0)))+SUMPRODUCT((Inputs!$C$5:$C$230=$B62)*Inputs!$D$5:$D$230*(((Inputs!$G$5:$G$230="moeda")+(Inputs!$G$5:$G$230="acoes"))*Inputs!$B$1+((Inputs!$G$5:$G$230&lt;&gt;"moeda")*(Inputs!$G$5:$G$230&lt;&gt;"acoes")))*INDEX(Inputs!$K$5:$AJ$230,0,MATCH(Y$2,Inputs!$K$4:$AJ$4,0)))+SUMPRODUCT((Inputs!$E$5:$E$230=$B62)*Inputs!$F$5:$F$230*(((Inputs!$G$5:$G$230="moeda")+(Inputs!$G$5:$G$230="acoes"))*Inputs!$B$1+((Inputs!$G$5:$G$230&lt;&gt;"moeda")*(Inputs!$G$5:$G$230&lt;&gt;"acoes")))*INDEX(Inputs!$K$5:$AJ$230,0,MATCH(Y$2,Inputs!$K$4:$AJ$4,0)))))</f>
        <v>6.711</v>
      </c>
      <c r="Z62" s="6">
        <f>IF(ISNA(MATCH(Z$2,Inputs!$K$4:$AJ$4,0)),NA(),IF(SUMPRODUCT((Inputs!$A$5:$A$230=$B62)*ISNUMBER(INDEX(Inputs!$K$5:$AJ$230,0,MATCH(Z$2,Inputs!$K$4:$AJ$4,0))))+SUMPRODUCT((Inputs!$C$5:$C$230=$B62)*ISNUMBER(INDEX(Inputs!$K$5:$AJ$230,0,MATCH(Z$2,Inputs!$K$4:$AJ$4,0))))+SUMPRODUCT((Inputs!$E$5:$E$230=$B62)*ISNUMBER(INDEX(Inputs!$K$5:$AJ$230,0,MATCH(Z$2,Inputs!$K$4:$AJ$4,0))))=0,NA(),SUMPRODUCT((Inputs!$A$5:$A$230=$B62)*Inputs!$B$5:$B$230*(((Inputs!$G$5:$G$230="moeda")+(Inputs!$G$5:$G$230="acoes"))*Inputs!$B$1+((Inputs!$G$5:$G$230&lt;&gt;"moeda")*(Inputs!$G$5:$G$230&lt;&gt;"acoes")))*INDEX(Inputs!$K$5:$AJ$230,0,MATCH(Z$2,Inputs!$K$4:$AJ$4,0)))+SUMPRODUCT((Inputs!$C$5:$C$230=$B62)*Inputs!$D$5:$D$230*(((Inputs!$G$5:$G$230="moeda")+(Inputs!$G$5:$G$230="acoes"))*Inputs!$B$1+((Inputs!$G$5:$G$230&lt;&gt;"moeda")*(Inputs!$G$5:$G$230&lt;&gt;"acoes")))*INDEX(Inputs!$K$5:$AJ$230,0,MATCH(Z$2,Inputs!$K$4:$AJ$4,0)))+SUMPRODUCT((Inputs!$E$5:$E$230=$B62)*Inputs!$F$5:$F$230*(((Inputs!$G$5:$G$230="moeda")+(Inputs!$G$5:$G$230="acoes"))*Inputs!$B$1+((Inputs!$G$5:$G$230&lt;&gt;"moeda")*(Inputs!$G$5:$G$230&lt;&gt;"acoes")))*INDEX(Inputs!$K$5:$AJ$230,0,MATCH(Z$2,Inputs!$K$4:$AJ$4,0)))))</f>
        <v>4.977</v>
      </c>
      <c r="AA62" s="6">
        <f>IF(ISNA(MATCH(AA$2,Inputs!$K$4:$AJ$4,0)),NA(),IF(SUMPRODUCT((Inputs!$A$5:$A$230=$B62)*ISNUMBER(INDEX(Inputs!$K$5:$AJ$230,0,MATCH(AA$2,Inputs!$K$4:$AJ$4,0))))+SUMPRODUCT((Inputs!$C$5:$C$230=$B62)*ISNUMBER(INDEX(Inputs!$K$5:$AJ$230,0,MATCH(AA$2,Inputs!$K$4:$AJ$4,0))))+SUMPRODUCT((Inputs!$E$5:$E$230=$B62)*ISNUMBER(INDEX(Inputs!$K$5:$AJ$230,0,MATCH(AA$2,Inputs!$K$4:$AJ$4,0))))=0,NA(),SUMPRODUCT((Inputs!$A$5:$A$230=$B62)*Inputs!$B$5:$B$230*(((Inputs!$G$5:$G$230="moeda")+(Inputs!$G$5:$G$230="acoes"))*Inputs!$B$1+((Inputs!$G$5:$G$230&lt;&gt;"moeda")*(Inputs!$G$5:$G$230&lt;&gt;"acoes")))*INDEX(Inputs!$K$5:$AJ$230,0,MATCH(AA$2,Inputs!$K$4:$AJ$4,0)))+SUMPRODUCT((Inputs!$C$5:$C$230=$B62)*Inputs!$D$5:$D$230*(((Inputs!$G$5:$G$230="moeda")+(Inputs!$G$5:$G$230="acoes"))*Inputs!$B$1+((Inputs!$G$5:$G$230&lt;&gt;"moeda")*(Inputs!$G$5:$G$230&lt;&gt;"acoes")))*INDEX(Inputs!$K$5:$AJ$230,0,MATCH(AA$2,Inputs!$K$4:$AJ$4,0)))+SUMPRODUCT((Inputs!$E$5:$E$230=$B62)*Inputs!$F$5:$F$230*(((Inputs!$G$5:$G$230="moeda")+(Inputs!$G$5:$G$230="acoes"))*Inputs!$B$1+((Inputs!$G$5:$G$230&lt;&gt;"moeda")*(Inputs!$G$5:$G$230&lt;&gt;"acoes")))*INDEX(Inputs!$K$5:$AJ$230,0,MATCH(AA$2,Inputs!$K$4:$AJ$4,0)))))</f>
        <v>17.054</v>
      </c>
      <c r="AB62" s="3">
        <f>SUM(X62:AA62)</f>
        <v>39.706</v>
      </c>
      <c r="AC62" s="6">
        <f>IF(ISNA(MATCH(AC$2,Inputs!$K$4:$AJ$4,0)),NA(),IF(SUMPRODUCT((Inputs!$A$5:$A$230=$B62)*ISNUMBER(INDEX(Inputs!$K$5:$AJ$230,0,MATCH(AC$2,Inputs!$K$4:$AJ$4,0))))+SUMPRODUCT((Inputs!$C$5:$C$230=$B62)*ISNUMBER(INDEX(Inputs!$K$5:$AJ$230,0,MATCH(AC$2,Inputs!$K$4:$AJ$4,0))))+SUMPRODUCT((Inputs!$E$5:$E$230=$B62)*ISNUMBER(INDEX(Inputs!$K$5:$AJ$230,0,MATCH(AC$2,Inputs!$K$4:$AJ$4,0))))=0,NA(),SUMPRODUCT((Inputs!$A$5:$A$230=$B62)*Inputs!$B$5:$B$230*(((Inputs!$G$5:$G$230="moeda")+(Inputs!$G$5:$G$230="acoes"))*Inputs!$B$1+((Inputs!$G$5:$G$230&lt;&gt;"moeda")*(Inputs!$G$5:$G$230&lt;&gt;"acoes")))*INDEX(Inputs!$K$5:$AJ$230,0,MATCH(AC$2,Inputs!$K$4:$AJ$4,0)))+SUMPRODUCT((Inputs!$C$5:$C$230=$B62)*Inputs!$D$5:$D$230*(((Inputs!$G$5:$G$230="moeda")+(Inputs!$G$5:$G$230="acoes"))*Inputs!$B$1+((Inputs!$G$5:$G$230&lt;&gt;"moeda")*(Inputs!$G$5:$G$230&lt;&gt;"acoes")))*INDEX(Inputs!$K$5:$AJ$230,0,MATCH(AC$2,Inputs!$K$4:$AJ$4,0)))+SUMPRODUCT((Inputs!$E$5:$E$230=$B62)*Inputs!$F$5:$F$230*(((Inputs!$G$5:$G$230="moeda")+(Inputs!$G$5:$G$230="acoes"))*Inputs!$B$1+((Inputs!$G$5:$G$230&lt;&gt;"moeda")*(Inputs!$G$5:$G$230&lt;&gt;"acoes")))*INDEX(Inputs!$K$5:$AJ$230,0,MATCH(AC$2,Inputs!$K$4:$AJ$4,0)))))</f>
        <v>7.243</v>
      </c>
      <c r="AD62" s="6">
        <f>IF(ISNA(MATCH(AD$2,Inputs!$K$4:$AJ$4,0)),NA(),IF(SUMPRODUCT((Inputs!$A$5:$A$230=$B62)*ISNUMBER(INDEX(Inputs!$K$5:$AJ$230,0,MATCH(AD$2,Inputs!$K$4:$AJ$4,0))))+SUMPRODUCT((Inputs!$C$5:$C$230=$B62)*ISNUMBER(INDEX(Inputs!$K$5:$AJ$230,0,MATCH(AD$2,Inputs!$K$4:$AJ$4,0))))+SUMPRODUCT((Inputs!$E$5:$E$230=$B62)*ISNUMBER(INDEX(Inputs!$K$5:$AJ$230,0,MATCH(AD$2,Inputs!$K$4:$AJ$4,0))))=0,NA(),SUMPRODUCT((Inputs!$A$5:$A$230=$B62)*Inputs!$B$5:$B$230*(((Inputs!$G$5:$G$230="moeda")+(Inputs!$G$5:$G$230="acoes"))*Inputs!$B$1+((Inputs!$G$5:$G$230&lt;&gt;"moeda")*(Inputs!$G$5:$G$230&lt;&gt;"acoes")))*INDEX(Inputs!$K$5:$AJ$230,0,MATCH(AD$2,Inputs!$K$4:$AJ$4,0)))+SUMPRODUCT((Inputs!$C$5:$C$230=$B62)*Inputs!$D$5:$D$230*(((Inputs!$G$5:$G$230="moeda")+(Inputs!$G$5:$G$230="acoes"))*Inputs!$B$1+((Inputs!$G$5:$G$230&lt;&gt;"moeda")*(Inputs!$G$5:$G$230&lt;&gt;"acoes")))*INDEX(Inputs!$K$5:$AJ$230,0,MATCH(AD$2,Inputs!$K$4:$AJ$4,0)))+SUMPRODUCT((Inputs!$E$5:$E$230=$B62)*Inputs!$F$5:$F$230*(((Inputs!$G$5:$G$230="moeda")+(Inputs!$G$5:$G$230="acoes"))*Inputs!$B$1+((Inputs!$G$5:$G$230&lt;&gt;"moeda")*(Inputs!$G$5:$G$230&lt;&gt;"acoes")))*INDEX(Inputs!$K$5:$AJ$230,0,MATCH(AD$2,Inputs!$K$4:$AJ$4,0)))))</f>
        <v>13.286</v>
      </c>
      <c r="AE62" s="6" t="e">
        <f>IF(ISNA(MATCH(AE$2,Inputs!$K$4:$AJ$4,0)),NA(),IF(SUMPRODUCT((Inputs!$A$5:$A$230=$B62)*ISNUMBER(INDEX(Inputs!$K$5:$AJ$230,0,MATCH(AE$2,Inputs!$K$4:$AJ$4,0))))+SUMPRODUCT((Inputs!$C$5:$C$230=$B62)*ISNUMBER(INDEX(Inputs!$K$5:$AJ$230,0,MATCH(AE$2,Inputs!$K$4:$AJ$4,0))))+SUMPRODUCT((Inputs!$E$5:$E$230=$B62)*ISNUMBER(INDEX(Inputs!$K$5:$AJ$230,0,MATCH(AE$2,Inputs!$K$4:$AJ$4,0))))=0,NA(),SUMPRODUCT((Inputs!$A$5:$A$230=$B62)*Inputs!$B$5:$B$230*(((Inputs!$G$5:$G$230="moeda")+(Inputs!$G$5:$G$230="acoes"))*Inputs!$B$1+((Inputs!$G$5:$G$230&lt;&gt;"moeda")*(Inputs!$G$5:$G$230&lt;&gt;"acoes")))*INDEX(Inputs!$K$5:$AJ$230,0,MATCH(AE$2,Inputs!$K$4:$AJ$4,0)))+SUMPRODUCT((Inputs!$C$5:$C$230=$B62)*Inputs!$D$5:$D$230*(((Inputs!$G$5:$G$230="moeda")+(Inputs!$G$5:$G$230="acoes"))*Inputs!$B$1+((Inputs!$G$5:$G$230&lt;&gt;"moeda")*(Inputs!$G$5:$G$230&lt;&gt;"acoes")))*INDEX(Inputs!$K$5:$AJ$230,0,MATCH(AE$2,Inputs!$K$4:$AJ$4,0)))+SUMPRODUCT((Inputs!$E$5:$E$230=$B62)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2" s="6" t="e">
        <f>IF(ISNA(MATCH(AF$2,Inputs!$K$4:$AJ$4,0)),NA(),IF(SUMPRODUCT((Inputs!$A$5:$A$230=$B62)*ISNUMBER(INDEX(Inputs!$K$5:$AJ$230,0,MATCH(AF$2,Inputs!$K$4:$AJ$4,0))))+SUMPRODUCT((Inputs!$C$5:$C$230=$B62)*ISNUMBER(INDEX(Inputs!$K$5:$AJ$230,0,MATCH(AF$2,Inputs!$K$4:$AJ$4,0))))+SUMPRODUCT((Inputs!$E$5:$E$230=$B62)*ISNUMBER(INDEX(Inputs!$K$5:$AJ$230,0,MATCH(AF$2,Inputs!$K$4:$AJ$4,0))))=0,NA(),SUMPRODUCT((Inputs!$A$5:$A$230=$B62)*Inputs!$B$5:$B$230*(((Inputs!$G$5:$G$230="moeda")+(Inputs!$G$5:$G$230="acoes"))*Inputs!$B$1+((Inputs!$G$5:$G$230&lt;&gt;"moeda")*(Inputs!$G$5:$G$230&lt;&gt;"acoes")))*INDEX(Inputs!$K$5:$AJ$230,0,MATCH(AF$2,Inputs!$K$4:$AJ$4,0)))+SUMPRODUCT((Inputs!$C$5:$C$230=$B62)*Inputs!$D$5:$D$230*(((Inputs!$G$5:$G$230="moeda")+(Inputs!$G$5:$G$230="acoes"))*Inputs!$B$1+((Inputs!$G$5:$G$230&lt;&gt;"moeda")*(Inputs!$G$5:$G$230&lt;&gt;"acoes")))*INDEX(Inputs!$K$5:$AJ$230,0,MATCH(AF$2,Inputs!$K$4:$AJ$4,0)))+SUMPRODUCT((Inputs!$E$5:$E$230=$B62)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2" s="3" t="e">
        <f>SUM(AC62:AF62)</f>
        <v>#N/A</v>
      </c>
      <c r="AH62" s="6">
        <f>IF(ISNA(MATCH(AH$2,Inputs!$K$4:$AJ$4,0)),NA(),IF(SUMPRODUCT((Inputs!$A$5:$A$230=$B62)*ISNUMBER(INDEX(Inputs!$K$5:$AJ$230,0,MATCH(AH$2,Inputs!$K$4:$AJ$4,0))))+SUMPRODUCT((Inputs!$C$5:$C$230=$B62)*ISNUMBER(INDEX(Inputs!$K$5:$AJ$230,0,MATCH(AH$2,Inputs!$K$4:$AJ$4,0))))+SUMPRODUCT((Inputs!$E$5:$E$230=$B62)*ISNUMBER(INDEX(Inputs!$K$5:$AJ$230,0,MATCH(AH$2,Inputs!$K$4:$AJ$4,0))))=0,NA(),SUMPRODUCT((Inputs!$A$5:$A$230=$B62)*Inputs!$B$5:$B$230*(((Inputs!$G$5:$G$230="moeda")+(Inputs!$G$5:$G$230="acoes"))*Inputs!$B$1+((Inputs!$G$5:$G$230&lt;&gt;"moeda")*(Inputs!$G$5:$G$230&lt;&gt;"acoes")))*INDEX(Inputs!$K$5:$AJ$230,0,MATCH(AH$2,Inputs!$K$4:$AJ$4,0)))+SUMPRODUCT((Inputs!$C$5:$C$230=$B62)*Inputs!$D$5:$D$230*(((Inputs!$G$5:$G$230="moeda")+(Inputs!$G$5:$G$230="acoes"))*Inputs!$B$1+((Inputs!$G$5:$G$230&lt;&gt;"moeda")*(Inputs!$G$5:$G$230&lt;&gt;"acoes")))*INDEX(Inputs!$K$5:$AJ$230,0,MATCH(AH$2,Inputs!$K$4:$AJ$4,0)))+SUMPRODUCT((Inputs!$E$5:$E$230=$B62)*Inputs!$F$5:$F$230*(((Inputs!$G$5:$G$230="moeda")+(Inputs!$G$5:$G$230="acoes"))*Inputs!$B$1+((Inputs!$G$5:$G$230&lt;&gt;"moeda")*(Inputs!$G$5:$G$230&lt;&gt;"acoes")))*INDEX(Inputs!$K$5:$AJ$230,0,MATCH(AH$2,Inputs!$K$4:$AJ$4,0)))))</f>
        <v>10.74</v>
      </c>
      <c r="AI62" s="6">
        <f>IF(ISNA(MATCH(AI$2,Inputs!$K$4:$AJ$4,0)),NA(),IF(SUMPRODUCT((Inputs!$A$5:$A$230=$B62)*ISNUMBER(INDEX(Inputs!$K$5:$AJ$230,0,MATCH(AI$2,Inputs!$K$4:$AJ$4,0))))+SUMPRODUCT((Inputs!$C$5:$C$230=$B62)*ISNUMBER(INDEX(Inputs!$K$5:$AJ$230,0,MATCH(AI$2,Inputs!$K$4:$AJ$4,0))))+SUMPRODUCT((Inputs!$E$5:$E$230=$B62)*ISNUMBER(INDEX(Inputs!$K$5:$AJ$230,0,MATCH(AI$2,Inputs!$K$4:$AJ$4,0))))=0,NA(),SUMPRODUCT((Inputs!$A$5:$A$230=$B62)*Inputs!$B$5:$B$230*(((Inputs!$G$5:$G$230="moeda")+(Inputs!$G$5:$G$230="acoes"))*Inputs!$B$1+((Inputs!$G$5:$G$230&lt;&gt;"moeda")*(Inputs!$G$5:$G$230&lt;&gt;"acoes")))*INDEX(Inputs!$K$5:$AJ$230,0,MATCH(AI$2,Inputs!$K$4:$AJ$4,0)))+SUMPRODUCT((Inputs!$C$5:$C$230=$B62)*Inputs!$D$5:$D$230*(((Inputs!$G$5:$G$230="moeda")+(Inputs!$G$5:$G$230="acoes"))*Inputs!$B$1+((Inputs!$G$5:$G$230&lt;&gt;"moeda")*(Inputs!$G$5:$G$230&lt;&gt;"acoes")))*INDEX(Inputs!$K$5:$AJ$230,0,MATCH(AI$2,Inputs!$K$4:$AJ$4,0)))+SUMPRODUCT((Inputs!$E$5:$E$230=$B62)*Inputs!$F$5:$F$230*(((Inputs!$G$5:$G$230="moeda")+(Inputs!$G$5:$G$230="acoes"))*Inputs!$B$1+((Inputs!$G$5:$G$230&lt;&gt;"moeda")*(Inputs!$G$5:$G$230&lt;&gt;"acoes")))*INDEX(Inputs!$K$5:$AJ$230,0,MATCH(AI$2,Inputs!$K$4:$AJ$4,0)))))</f>
        <v>-28.055</v>
      </c>
      <c r="AJ62" s="6">
        <f>IF(ISNA(MATCH(AJ$2,Inputs!$K$4:$AJ$4,0)),NA(),IF(SUMPRODUCT((Inputs!$A$5:$A$230=$B62)*ISNUMBER(INDEX(Inputs!$K$5:$AJ$230,0,MATCH(AJ$2,Inputs!$K$4:$AJ$4,0))))+SUMPRODUCT((Inputs!$C$5:$C$230=$B62)*ISNUMBER(INDEX(Inputs!$K$5:$AJ$230,0,MATCH(AJ$2,Inputs!$K$4:$AJ$4,0))))+SUMPRODUCT((Inputs!$E$5:$E$230=$B62)*ISNUMBER(INDEX(Inputs!$K$5:$AJ$230,0,MATCH(AJ$2,Inputs!$K$4:$AJ$4,0))))=0,NA(),SUMPRODUCT((Inputs!$A$5:$A$230=$B62)*Inputs!$B$5:$B$230*(((Inputs!$G$5:$G$230="moeda")+(Inputs!$G$5:$G$230="acoes"))*Inputs!$B$1+((Inputs!$G$5:$G$230&lt;&gt;"moeda")*(Inputs!$G$5:$G$230&lt;&gt;"acoes")))*INDEX(Inputs!$K$5:$AJ$230,0,MATCH(AJ$2,Inputs!$K$4:$AJ$4,0)))+SUMPRODUCT((Inputs!$C$5:$C$230=$B62)*Inputs!$D$5:$D$230*(((Inputs!$G$5:$G$230="moeda")+(Inputs!$G$5:$G$230="acoes"))*Inputs!$B$1+((Inputs!$G$5:$G$230&lt;&gt;"moeda")*(Inputs!$G$5:$G$230&lt;&gt;"acoes")))*INDEX(Inputs!$K$5:$AJ$230,0,MATCH(AJ$2,Inputs!$K$4:$AJ$4,0)))+SUMPRODUCT((Inputs!$E$5:$E$230=$B62)*Inputs!$F$5:$F$230*(((Inputs!$G$5:$G$230="moeda")+(Inputs!$G$5:$G$230="acoes"))*Inputs!$B$1+((Inputs!$G$5:$G$230&lt;&gt;"moeda")*(Inputs!$G$5:$G$230&lt;&gt;"acoes")))*INDEX(Inputs!$K$5:$AJ$230,0,MATCH(AJ$2,Inputs!$K$4:$AJ$4,0)))))</f>
        <v>-0.882</v>
      </c>
      <c r="AK62" s="6">
        <f>IF(ISNA(MATCH(AK$2,Inputs!$K$4:$AJ$4,0)),NA(),IF(SUMPRODUCT((Inputs!$A$5:$A$230=$B62)*ISNUMBER(INDEX(Inputs!$K$5:$AJ$230,0,MATCH(AK$2,Inputs!$K$4:$AJ$4,0))))+SUMPRODUCT((Inputs!$C$5:$C$230=$B62)*ISNUMBER(INDEX(Inputs!$K$5:$AJ$230,0,MATCH(AK$2,Inputs!$K$4:$AJ$4,0))))+SUMPRODUCT((Inputs!$E$5:$E$230=$B62)*ISNUMBER(INDEX(Inputs!$K$5:$AJ$230,0,MATCH(AK$2,Inputs!$K$4:$AJ$4,0))))=0,NA(),SUMPRODUCT((Inputs!$A$5:$A$230=$B62)*Inputs!$B$5:$B$230*(((Inputs!$G$5:$G$230="moeda")+(Inputs!$G$5:$G$230="acoes"))*Inputs!$B$1+((Inputs!$G$5:$G$230&lt;&gt;"moeda")*(Inputs!$G$5:$G$230&lt;&gt;"acoes")))*INDEX(Inputs!$K$5:$AJ$230,0,MATCH(AK$2,Inputs!$K$4:$AJ$4,0)))+SUMPRODUCT((Inputs!$C$5:$C$230=$B62)*Inputs!$D$5:$D$230*(((Inputs!$G$5:$G$230="moeda")+(Inputs!$G$5:$G$230="acoes"))*Inputs!$B$1+((Inputs!$G$5:$G$230&lt;&gt;"moeda")*(Inputs!$G$5:$G$230&lt;&gt;"acoes")))*INDEX(Inputs!$K$5:$AJ$230,0,MATCH(AK$2,Inputs!$K$4:$AJ$4,0)))+SUMPRODUCT((Inputs!$E$5:$E$230=$B62)*Inputs!$F$5:$F$230*(((Inputs!$G$5:$G$230="moeda")+(Inputs!$G$5:$G$230="acoes"))*Inputs!$B$1+((Inputs!$G$5:$G$230&lt;&gt;"moeda")*(Inputs!$G$5:$G$230&lt;&gt;"acoes")))*INDEX(Inputs!$K$5:$AJ$230,0,MATCH(AK$2,Inputs!$K$4:$AJ$4,0)))))</f>
        <v>22.831</v>
      </c>
      <c r="AL62" s="3">
        <f>SUM(AH62:AK62)</f>
        <v>4.634</v>
      </c>
    </row>
    <row r="63">
      <c r="B63" s="46" t="n">
        <v>55</v>
      </c>
      <c r="C63" s="29" t="inlineStr">
        <is>
          <t>Transmissao | EBTE</t>
        </is>
      </c>
      <c r="D63" s="6">
        <f>IF(ISNA(MATCH(D$2,Inputs!$K$4:$AJ$4,0)),NA(),IF(SUMPRODUCT((Inputs!$A$5:$A$230=$B63)*ISNUMBER(INDEX(Inputs!$K$5:$AJ$230,0,MATCH(D$2,Inputs!$K$4:$AJ$4,0))))+SUMPRODUCT((Inputs!$C$5:$C$230=$B63)*ISNUMBER(INDEX(Inputs!$K$5:$AJ$230,0,MATCH(D$2,Inputs!$K$4:$AJ$4,0))))+SUMPRODUCT((Inputs!$E$5:$E$230=$B63)*ISNUMBER(INDEX(Inputs!$K$5:$AJ$230,0,MATCH(D$2,Inputs!$K$4:$AJ$4,0))))=0,NA(),SUMPRODUCT((Inputs!$A$5:$A$230=$B63)*Inputs!$B$5:$B$230*(((Inputs!$G$5:$G$230="moeda")+(Inputs!$G$5:$G$230="acoes"))*Inputs!$B$1+((Inputs!$G$5:$G$230&lt;&gt;"moeda")*(Inputs!$G$5:$G$230&lt;&gt;"acoes")))*INDEX(Inputs!$K$5:$AJ$230,0,MATCH(D$2,Inputs!$K$4:$AJ$4,0)))+SUMPRODUCT((Inputs!$C$5:$C$230=$B63)*Inputs!$D$5:$D$230*(((Inputs!$G$5:$G$230="moeda")+(Inputs!$G$5:$G$230="acoes"))*Inputs!$B$1+((Inputs!$G$5:$G$230&lt;&gt;"moeda")*(Inputs!$G$5:$G$230&lt;&gt;"acoes")))*INDEX(Inputs!$K$5:$AJ$230,0,MATCH(D$2,Inputs!$K$4:$AJ$4,0)))+SUMPRODUCT((Inputs!$E$5:$E$230=$B63)*Inputs!$F$5:$F$230*(((Inputs!$G$5:$G$230="moeda")+(Inputs!$G$5:$G$230="acoes"))*Inputs!$B$1+((Inputs!$G$5:$G$230&lt;&gt;"moeda")*(Inputs!$G$5:$G$230&lt;&gt;"acoes")))*INDEX(Inputs!$K$5:$AJ$230,0,MATCH(D$2,Inputs!$K$4:$AJ$4,0)))))</f>
        <v>19.255</v>
      </c>
      <c r="E63" s="6">
        <f>IF(ISNA(MATCH(E$2,Inputs!$K$4:$AJ$4,0)),NA(),IF(SUMPRODUCT((Inputs!$A$5:$A$230=$B63)*ISNUMBER(INDEX(Inputs!$K$5:$AJ$230,0,MATCH(E$2,Inputs!$K$4:$AJ$4,0))))+SUMPRODUCT((Inputs!$C$5:$C$230=$B63)*ISNUMBER(INDEX(Inputs!$K$5:$AJ$230,0,MATCH(E$2,Inputs!$K$4:$AJ$4,0))))+SUMPRODUCT((Inputs!$E$5:$E$230=$B63)*ISNUMBER(INDEX(Inputs!$K$5:$AJ$230,0,MATCH(E$2,Inputs!$K$4:$AJ$4,0))))=0,NA(),SUMPRODUCT((Inputs!$A$5:$A$230=$B63)*Inputs!$B$5:$B$230*(((Inputs!$G$5:$G$230="moeda")+(Inputs!$G$5:$G$230="acoes"))*Inputs!$B$1+((Inputs!$G$5:$G$230&lt;&gt;"moeda")*(Inputs!$G$5:$G$230&lt;&gt;"acoes")))*INDEX(Inputs!$K$5:$AJ$230,0,MATCH(E$2,Inputs!$K$4:$AJ$4,0)))+SUMPRODUCT((Inputs!$C$5:$C$230=$B63)*Inputs!$D$5:$D$230*(((Inputs!$G$5:$G$230="moeda")+(Inputs!$G$5:$G$230="acoes"))*Inputs!$B$1+((Inputs!$G$5:$G$230&lt;&gt;"moeda")*(Inputs!$G$5:$G$230&lt;&gt;"acoes")))*INDEX(Inputs!$K$5:$AJ$230,0,MATCH(E$2,Inputs!$K$4:$AJ$4,0)))+SUMPRODUCT((Inputs!$E$5:$E$230=$B63)*Inputs!$F$5:$F$230*(((Inputs!$G$5:$G$230="moeda")+(Inputs!$G$5:$G$230="acoes"))*Inputs!$B$1+((Inputs!$G$5:$G$230&lt;&gt;"moeda")*(Inputs!$G$5:$G$230&lt;&gt;"acoes")))*INDEX(Inputs!$K$5:$AJ$230,0,MATCH(E$2,Inputs!$K$4:$AJ$4,0)))))</f>
        <v>18.39</v>
      </c>
      <c r="F63" s="6">
        <f>IF(ISNA(MATCH(F$2,Inputs!$K$4:$AJ$4,0)),NA(),IF(SUMPRODUCT((Inputs!$A$5:$A$230=$B63)*ISNUMBER(INDEX(Inputs!$K$5:$AJ$230,0,MATCH(F$2,Inputs!$K$4:$AJ$4,0))))+SUMPRODUCT((Inputs!$C$5:$C$230=$B63)*ISNUMBER(INDEX(Inputs!$K$5:$AJ$230,0,MATCH(F$2,Inputs!$K$4:$AJ$4,0))))+SUMPRODUCT((Inputs!$E$5:$E$230=$B63)*ISNUMBER(INDEX(Inputs!$K$5:$AJ$230,0,MATCH(F$2,Inputs!$K$4:$AJ$4,0))))=0,NA(),SUMPRODUCT((Inputs!$A$5:$A$230=$B63)*Inputs!$B$5:$B$230*(((Inputs!$G$5:$G$230="moeda")+(Inputs!$G$5:$G$230="acoes"))*Inputs!$B$1+((Inputs!$G$5:$G$230&lt;&gt;"moeda")*(Inputs!$G$5:$G$230&lt;&gt;"acoes")))*INDEX(Inputs!$K$5:$AJ$230,0,MATCH(F$2,Inputs!$K$4:$AJ$4,0)))+SUMPRODUCT((Inputs!$C$5:$C$230=$B63)*Inputs!$D$5:$D$230*(((Inputs!$G$5:$G$230="moeda")+(Inputs!$G$5:$G$230="acoes"))*Inputs!$B$1+((Inputs!$G$5:$G$230&lt;&gt;"moeda")*(Inputs!$G$5:$G$230&lt;&gt;"acoes")))*INDEX(Inputs!$K$5:$AJ$230,0,MATCH(F$2,Inputs!$K$4:$AJ$4,0)))+SUMPRODUCT((Inputs!$E$5:$E$230=$B63)*Inputs!$F$5:$F$230*(((Inputs!$G$5:$G$230="moeda")+(Inputs!$G$5:$G$230="acoes"))*Inputs!$B$1+((Inputs!$G$5:$G$230&lt;&gt;"moeda")*(Inputs!$G$5:$G$230&lt;&gt;"acoes")))*INDEX(Inputs!$K$5:$AJ$230,0,MATCH(F$2,Inputs!$K$4:$AJ$4,0)))))</f>
        <v>19.595</v>
      </c>
      <c r="G63" s="6">
        <f>IF(ISNA(MATCH(G$2,Inputs!$K$4:$AJ$4,0)),NA(),IF(SUMPRODUCT((Inputs!$A$5:$A$230=$B63)*ISNUMBER(INDEX(Inputs!$K$5:$AJ$230,0,MATCH(G$2,Inputs!$K$4:$AJ$4,0))))+SUMPRODUCT((Inputs!$C$5:$C$230=$B63)*ISNUMBER(INDEX(Inputs!$K$5:$AJ$230,0,MATCH(G$2,Inputs!$K$4:$AJ$4,0))))+SUMPRODUCT((Inputs!$E$5:$E$230=$B63)*ISNUMBER(INDEX(Inputs!$K$5:$AJ$230,0,MATCH(G$2,Inputs!$K$4:$AJ$4,0))))=0,NA(),SUMPRODUCT((Inputs!$A$5:$A$230=$B63)*Inputs!$B$5:$B$230*(((Inputs!$G$5:$G$230="moeda")+(Inputs!$G$5:$G$230="acoes"))*Inputs!$B$1+((Inputs!$G$5:$G$230&lt;&gt;"moeda")*(Inputs!$G$5:$G$230&lt;&gt;"acoes")))*INDEX(Inputs!$K$5:$AJ$230,0,MATCH(G$2,Inputs!$K$4:$AJ$4,0)))+SUMPRODUCT((Inputs!$C$5:$C$230=$B63)*Inputs!$D$5:$D$230*(((Inputs!$G$5:$G$230="moeda")+(Inputs!$G$5:$G$230="acoes"))*Inputs!$B$1+((Inputs!$G$5:$G$230&lt;&gt;"moeda")*(Inputs!$G$5:$G$230&lt;&gt;"acoes")))*INDEX(Inputs!$K$5:$AJ$230,0,MATCH(G$2,Inputs!$K$4:$AJ$4,0)))+SUMPRODUCT((Inputs!$E$5:$E$230=$B63)*Inputs!$F$5:$F$230*(((Inputs!$G$5:$G$230="moeda")+(Inputs!$G$5:$G$230="acoes"))*Inputs!$B$1+((Inputs!$G$5:$G$230&lt;&gt;"moeda")*(Inputs!$G$5:$G$230&lt;&gt;"acoes")))*INDEX(Inputs!$K$5:$AJ$230,0,MATCH(G$2,Inputs!$K$4:$AJ$4,0)))))</f>
        <v>22.928</v>
      </c>
      <c r="H63" s="3">
        <f>SUM(D63:G63)</f>
        <v>80.168</v>
      </c>
      <c r="I63" s="6">
        <f>IF(ISNA(MATCH(I$2,Inputs!$K$4:$AJ$4,0)),NA(),IF(SUMPRODUCT((Inputs!$A$5:$A$230=$B63)*ISNUMBER(INDEX(Inputs!$K$5:$AJ$230,0,MATCH(I$2,Inputs!$K$4:$AJ$4,0))))+SUMPRODUCT((Inputs!$C$5:$C$230=$B63)*ISNUMBER(INDEX(Inputs!$K$5:$AJ$230,0,MATCH(I$2,Inputs!$K$4:$AJ$4,0))))+SUMPRODUCT((Inputs!$E$5:$E$230=$B63)*ISNUMBER(INDEX(Inputs!$K$5:$AJ$230,0,MATCH(I$2,Inputs!$K$4:$AJ$4,0))))=0,NA(),SUMPRODUCT((Inputs!$A$5:$A$230=$B63)*Inputs!$B$5:$B$230*(((Inputs!$G$5:$G$230="moeda")+(Inputs!$G$5:$G$230="acoes"))*Inputs!$B$1+((Inputs!$G$5:$G$230&lt;&gt;"moeda")*(Inputs!$G$5:$G$230&lt;&gt;"acoes")))*INDEX(Inputs!$K$5:$AJ$230,0,MATCH(I$2,Inputs!$K$4:$AJ$4,0)))+SUMPRODUCT((Inputs!$C$5:$C$230=$B63)*Inputs!$D$5:$D$230*(((Inputs!$G$5:$G$230="moeda")+(Inputs!$G$5:$G$230="acoes"))*Inputs!$B$1+((Inputs!$G$5:$G$230&lt;&gt;"moeda")*(Inputs!$G$5:$G$230&lt;&gt;"acoes")))*INDEX(Inputs!$K$5:$AJ$230,0,MATCH(I$2,Inputs!$K$4:$AJ$4,0)))+SUMPRODUCT((Inputs!$E$5:$E$230=$B63)*Inputs!$F$5:$F$230*(((Inputs!$G$5:$G$230="moeda")+(Inputs!$G$5:$G$230="acoes"))*Inputs!$B$1+((Inputs!$G$5:$G$230&lt;&gt;"moeda")*(Inputs!$G$5:$G$230&lt;&gt;"acoes")))*INDEX(Inputs!$K$5:$AJ$230,0,MATCH(I$2,Inputs!$K$4:$AJ$4,0)))))</f>
        <v>20.26</v>
      </c>
      <c r="J63" s="6">
        <f>IF(ISNA(MATCH(J$2,Inputs!$K$4:$AJ$4,0)),NA(),IF(SUMPRODUCT((Inputs!$A$5:$A$230=$B63)*ISNUMBER(INDEX(Inputs!$K$5:$AJ$230,0,MATCH(J$2,Inputs!$K$4:$AJ$4,0))))+SUMPRODUCT((Inputs!$C$5:$C$230=$B63)*ISNUMBER(INDEX(Inputs!$K$5:$AJ$230,0,MATCH(J$2,Inputs!$K$4:$AJ$4,0))))+SUMPRODUCT((Inputs!$E$5:$E$230=$B63)*ISNUMBER(INDEX(Inputs!$K$5:$AJ$230,0,MATCH(J$2,Inputs!$K$4:$AJ$4,0))))=0,NA(),SUMPRODUCT((Inputs!$A$5:$A$230=$B63)*Inputs!$B$5:$B$230*(((Inputs!$G$5:$G$230="moeda")+(Inputs!$G$5:$G$230="acoes"))*Inputs!$B$1+((Inputs!$G$5:$G$230&lt;&gt;"moeda")*(Inputs!$G$5:$G$230&lt;&gt;"acoes")))*INDEX(Inputs!$K$5:$AJ$230,0,MATCH(J$2,Inputs!$K$4:$AJ$4,0)))+SUMPRODUCT((Inputs!$C$5:$C$230=$B63)*Inputs!$D$5:$D$230*(((Inputs!$G$5:$G$230="moeda")+(Inputs!$G$5:$G$230="acoes"))*Inputs!$B$1+((Inputs!$G$5:$G$230&lt;&gt;"moeda")*(Inputs!$G$5:$G$230&lt;&gt;"acoes")))*INDEX(Inputs!$K$5:$AJ$230,0,MATCH(J$2,Inputs!$K$4:$AJ$4,0)))+SUMPRODUCT((Inputs!$E$5:$E$230=$B63)*Inputs!$F$5:$F$230*(((Inputs!$G$5:$G$230="moeda")+(Inputs!$G$5:$G$230="acoes"))*Inputs!$B$1+((Inputs!$G$5:$G$230&lt;&gt;"moeda")*(Inputs!$G$5:$G$230&lt;&gt;"acoes")))*INDEX(Inputs!$K$5:$AJ$230,0,MATCH(J$2,Inputs!$K$4:$AJ$4,0)))))</f>
        <v>25.002</v>
      </c>
      <c r="K63" s="6">
        <f>IF(ISNA(MATCH(K$2,Inputs!$K$4:$AJ$4,0)),NA(),IF(SUMPRODUCT((Inputs!$A$5:$A$230=$B63)*ISNUMBER(INDEX(Inputs!$K$5:$AJ$230,0,MATCH(K$2,Inputs!$K$4:$AJ$4,0))))+SUMPRODUCT((Inputs!$C$5:$C$230=$B63)*ISNUMBER(INDEX(Inputs!$K$5:$AJ$230,0,MATCH(K$2,Inputs!$K$4:$AJ$4,0))))+SUMPRODUCT((Inputs!$E$5:$E$230=$B63)*ISNUMBER(INDEX(Inputs!$K$5:$AJ$230,0,MATCH(K$2,Inputs!$K$4:$AJ$4,0))))=0,NA(),SUMPRODUCT((Inputs!$A$5:$A$230=$B63)*Inputs!$B$5:$B$230*(((Inputs!$G$5:$G$230="moeda")+(Inputs!$G$5:$G$230="acoes"))*Inputs!$B$1+((Inputs!$G$5:$G$230&lt;&gt;"moeda")*(Inputs!$G$5:$G$230&lt;&gt;"acoes")))*INDEX(Inputs!$K$5:$AJ$230,0,MATCH(K$2,Inputs!$K$4:$AJ$4,0)))+SUMPRODUCT((Inputs!$C$5:$C$230=$B63)*Inputs!$D$5:$D$230*(((Inputs!$G$5:$G$230="moeda")+(Inputs!$G$5:$G$230="acoes"))*Inputs!$B$1+((Inputs!$G$5:$G$230&lt;&gt;"moeda")*(Inputs!$G$5:$G$230&lt;&gt;"acoes")))*INDEX(Inputs!$K$5:$AJ$230,0,MATCH(K$2,Inputs!$K$4:$AJ$4,0)))+SUMPRODUCT((Inputs!$E$5:$E$230=$B63)*Inputs!$F$5:$F$230*(((Inputs!$G$5:$G$230="moeda")+(Inputs!$G$5:$G$230="acoes"))*Inputs!$B$1+((Inputs!$G$5:$G$230&lt;&gt;"moeda")*(Inputs!$G$5:$G$230&lt;&gt;"acoes")))*INDEX(Inputs!$K$5:$AJ$230,0,MATCH(K$2,Inputs!$K$4:$AJ$4,0)))))</f>
        <v>8.49</v>
      </c>
      <c r="L63" s="6">
        <f>IF(ISNA(MATCH(L$2,Inputs!$K$4:$AJ$4,0)),NA(),IF(SUMPRODUCT((Inputs!$A$5:$A$230=$B63)*ISNUMBER(INDEX(Inputs!$K$5:$AJ$230,0,MATCH(L$2,Inputs!$K$4:$AJ$4,0))))+SUMPRODUCT((Inputs!$C$5:$C$230=$B63)*ISNUMBER(INDEX(Inputs!$K$5:$AJ$230,0,MATCH(L$2,Inputs!$K$4:$AJ$4,0))))+SUMPRODUCT((Inputs!$E$5:$E$230=$B63)*ISNUMBER(INDEX(Inputs!$K$5:$AJ$230,0,MATCH(L$2,Inputs!$K$4:$AJ$4,0))))=0,NA(),SUMPRODUCT((Inputs!$A$5:$A$230=$B63)*Inputs!$B$5:$B$230*(((Inputs!$G$5:$G$230="moeda")+(Inputs!$G$5:$G$230="acoes"))*Inputs!$B$1+((Inputs!$G$5:$G$230&lt;&gt;"moeda")*(Inputs!$G$5:$G$230&lt;&gt;"acoes")))*INDEX(Inputs!$K$5:$AJ$230,0,MATCH(L$2,Inputs!$K$4:$AJ$4,0)))+SUMPRODUCT((Inputs!$C$5:$C$230=$B63)*Inputs!$D$5:$D$230*(((Inputs!$G$5:$G$230="moeda")+(Inputs!$G$5:$G$230="acoes"))*Inputs!$B$1+((Inputs!$G$5:$G$230&lt;&gt;"moeda")*(Inputs!$G$5:$G$230&lt;&gt;"acoes")))*INDEX(Inputs!$K$5:$AJ$230,0,MATCH(L$2,Inputs!$K$4:$AJ$4,0)))+SUMPRODUCT((Inputs!$E$5:$E$230=$B63)*Inputs!$F$5:$F$230*(((Inputs!$G$5:$G$230="moeda")+(Inputs!$G$5:$G$230="acoes"))*Inputs!$B$1+((Inputs!$G$5:$G$230&lt;&gt;"moeda")*(Inputs!$G$5:$G$230&lt;&gt;"acoes")))*INDEX(Inputs!$K$5:$AJ$230,0,MATCH(L$2,Inputs!$K$4:$AJ$4,0)))))</f>
        <v>17.525</v>
      </c>
      <c r="M63" s="3">
        <f>SUM(I63:L63)</f>
        <v>71.277</v>
      </c>
      <c r="N63" s="6">
        <f>IF(ISNA(MATCH(N$2,Inputs!$K$4:$AJ$4,0)),NA(),IF(SUMPRODUCT((Inputs!$A$5:$A$230=$B63)*ISNUMBER(INDEX(Inputs!$K$5:$AJ$230,0,MATCH(N$2,Inputs!$K$4:$AJ$4,0))))+SUMPRODUCT((Inputs!$C$5:$C$230=$B63)*ISNUMBER(INDEX(Inputs!$K$5:$AJ$230,0,MATCH(N$2,Inputs!$K$4:$AJ$4,0))))+SUMPRODUCT((Inputs!$E$5:$E$230=$B63)*ISNUMBER(INDEX(Inputs!$K$5:$AJ$230,0,MATCH(N$2,Inputs!$K$4:$AJ$4,0))))=0,NA(),SUMPRODUCT((Inputs!$A$5:$A$230=$B63)*Inputs!$B$5:$B$230*(((Inputs!$G$5:$G$230="moeda")+(Inputs!$G$5:$G$230="acoes"))*Inputs!$B$1+((Inputs!$G$5:$G$230&lt;&gt;"moeda")*(Inputs!$G$5:$G$230&lt;&gt;"acoes")))*INDEX(Inputs!$K$5:$AJ$230,0,MATCH(N$2,Inputs!$K$4:$AJ$4,0)))+SUMPRODUCT((Inputs!$C$5:$C$230=$B63)*Inputs!$D$5:$D$230*(((Inputs!$G$5:$G$230="moeda")+(Inputs!$G$5:$G$230="acoes"))*Inputs!$B$1+((Inputs!$G$5:$G$230&lt;&gt;"moeda")*(Inputs!$G$5:$G$230&lt;&gt;"acoes")))*INDEX(Inputs!$K$5:$AJ$230,0,MATCH(N$2,Inputs!$K$4:$AJ$4,0)))+SUMPRODUCT((Inputs!$E$5:$E$230=$B63)*Inputs!$F$5:$F$230*(((Inputs!$G$5:$G$230="moeda")+(Inputs!$G$5:$G$230="acoes"))*Inputs!$B$1+((Inputs!$G$5:$G$230&lt;&gt;"moeda")*(Inputs!$G$5:$G$230&lt;&gt;"acoes")))*INDEX(Inputs!$K$5:$AJ$230,0,MATCH(N$2,Inputs!$K$4:$AJ$4,0)))))</f>
        <v>22.924</v>
      </c>
      <c r="O63" s="6">
        <f>IF(ISNA(MATCH(O$2,Inputs!$K$4:$AJ$4,0)),NA(),IF(SUMPRODUCT((Inputs!$A$5:$A$230=$B63)*ISNUMBER(INDEX(Inputs!$K$5:$AJ$230,0,MATCH(O$2,Inputs!$K$4:$AJ$4,0))))+SUMPRODUCT((Inputs!$C$5:$C$230=$B63)*ISNUMBER(INDEX(Inputs!$K$5:$AJ$230,0,MATCH(O$2,Inputs!$K$4:$AJ$4,0))))+SUMPRODUCT((Inputs!$E$5:$E$230=$B63)*ISNUMBER(INDEX(Inputs!$K$5:$AJ$230,0,MATCH(O$2,Inputs!$K$4:$AJ$4,0))))=0,NA(),SUMPRODUCT((Inputs!$A$5:$A$230=$B63)*Inputs!$B$5:$B$230*(((Inputs!$G$5:$G$230="moeda")+(Inputs!$G$5:$G$230="acoes"))*Inputs!$B$1+((Inputs!$G$5:$G$230&lt;&gt;"moeda")*(Inputs!$G$5:$G$230&lt;&gt;"acoes")))*INDEX(Inputs!$K$5:$AJ$230,0,MATCH(O$2,Inputs!$K$4:$AJ$4,0)))+SUMPRODUCT((Inputs!$C$5:$C$230=$B63)*Inputs!$D$5:$D$230*(((Inputs!$G$5:$G$230="moeda")+(Inputs!$G$5:$G$230="acoes"))*Inputs!$B$1+((Inputs!$G$5:$G$230&lt;&gt;"moeda")*(Inputs!$G$5:$G$230&lt;&gt;"acoes")))*INDEX(Inputs!$K$5:$AJ$230,0,MATCH(O$2,Inputs!$K$4:$AJ$4,0)))+SUMPRODUCT((Inputs!$E$5:$E$230=$B63)*Inputs!$F$5:$F$230*(((Inputs!$G$5:$G$230="moeda")+(Inputs!$G$5:$G$230="acoes"))*Inputs!$B$1+((Inputs!$G$5:$G$230&lt;&gt;"moeda")*(Inputs!$G$5:$G$230&lt;&gt;"acoes")))*INDEX(Inputs!$K$5:$AJ$230,0,MATCH(O$2,Inputs!$K$4:$AJ$4,0)))))</f>
        <v>21.243</v>
      </c>
      <c r="P63" s="6">
        <f>IF(ISNA(MATCH(P$2,Inputs!$K$4:$AJ$4,0)),NA(),IF(SUMPRODUCT((Inputs!$A$5:$A$230=$B63)*ISNUMBER(INDEX(Inputs!$K$5:$AJ$230,0,MATCH(P$2,Inputs!$K$4:$AJ$4,0))))+SUMPRODUCT((Inputs!$C$5:$C$230=$B63)*ISNUMBER(INDEX(Inputs!$K$5:$AJ$230,0,MATCH(P$2,Inputs!$K$4:$AJ$4,0))))+SUMPRODUCT((Inputs!$E$5:$E$230=$B63)*ISNUMBER(INDEX(Inputs!$K$5:$AJ$230,0,MATCH(P$2,Inputs!$K$4:$AJ$4,0))))=0,NA(),SUMPRODUCT((Inputs!$A$5:$A$230=$B63)*Inputs!$B$5:$B$230*(((Inputs!$G$5:$G$230="moeda")+(Inputs!$G$5:$G$230="acoes"))*Inputs!$B$1+((Inputs!$G$5:$G$230&lt;&gt;"moeda")*(Inputs!$G$5:$G$230&lt;&gt;"acoes")))*INDEX(Inputs!$K$5:$AJ$230,0,MATCH(P$2,Inputs!$K$4:$AJ$4,0)))+SUMPRODUCT((Inputs!$C$5:$C$230=$B63)*Inputs!$D$5:$D$230*(((Inputs!$G$5:$G$230="moeda")+(Inputs!$G$5:$G$230="acoes"))*Inputs!$B$1+((Inputs!$G$5:$G$230&lt;&gt;"moeda")*(Inputs!$G$5:$G$230&lt;&gt;"acoes")))*INDEX(Inputs!$K$5:$AJ$230,0,MATCH(P$2,Inputs!$K$4:$AJ$4,0)))+SUMPRODUCT((Inputs!$E$5:$E$230=$B63)*Inputs!$F$5:$F$230*(((Inputs!$G$5:$G$230="moeda")+(Inputs!$G$5:$G$230="acoes"))*Inputs!$B$1+((Inputs!$G$5:$G$230&lt;&gt;"moeda")*(Inputs!$G$5:$G$230&lt;&gt;"acoes")))*INDEX(Inputs!$K$5:$AJ$230,0,MATCH(P$2,Inputs!$K$4:$AJ$4,0)))))</f>
        <v>12.336</v>
      </c>
      <c r="Q63" s="6">
        <f>IF(ISNA(MATCH(Q$2,Inputs!$K$4:$AJ$4,0)),NA(),IF(SUMPRODUCT((Inputs!$A$5:$A$230=$B63)*ISNUMBER(INDEX(Inputs!$K$5:$AJ$230,0,MATCH(Q$2,Inputs!$K$4:$AJ$4,0))))+SUMPRODUCT((Inputs!$C$5:$C$230=$B63)*ISNUMBER(INDEX(Inputs!$K$5:$AJ$230,0,MATCH(Q$2,Inputs!$K$4:$AJ$4,0))))+SUMPRODUCT((Inputs!$E$5:$E$230=$B63)*ISNUMBER(INDEX(Inputs!$K$5:$AJ$230,0,MATCH(Q$2,Inputs!$K$4:$AJ$4,0))))=0,NA(),SUMPRODUCT((Inputs!$A$5:$A$230=$B63)*Inputs!$B$5:$B$230*(((Inputs!$G$5:$G$230="moeda")+(Inputs!$G$5:$G$230="acoes"))*Inputs!$B$1+((Inputs!$G$5:$G$230&lt;&gt;"moeda")*(Inputs!$G$5:$G$230&lt;&gt;"acoes")))*INDEX(Inputs!$K$5:$AJ$230,0,MATCH(Q$2,Inputs!$K$4:$AJ$4,0)))+SUMPRODUCT((Inputs!$C$5:$C$230=$B63)*Inputs!$D$5:$D$230*(((Inputs!$G$5:$G$230="moeda")+(Inputs!$G$5:$G$230="acoes"))*Inputs!$B$1+((Inputs!$G$5:$G$230&lt;&gt;"moeda")*(Inputs!$G$5:$G$230&lt;&gt;"acoes")))*INDEX(Inputs!$K$5:$AJ$230,0,MATCH(Q$2,Inputs!$K$4:$AJ$4,0)))+SUMPRODUCT((Inputs!$E$5:$E$230=$B63)*Inputs!$F$5:$F$230*(((Inputs!$G$5:$G$230="moeda")+(Inputs!$G$5:$G$230="acoes"))*Inputs!$B$1+((Inputs!$G$5:$G$230&lt;&gt;"moeda")*(Inputs!$G$5:$G$230&lt;&gt;"acoes")))*INDEX(Inputs!$K$5:$AJ$230,0,MATCH(Q$2,Inputs!$K$4:$AJ$4,0)))))</f>
        <v>14.833</v>
      </c>
      <c r="R63" s="3">
        <f>SUM(N63:Q63)</f>
        <v>71.336</v>
      </c>
      <c r="S63" s="6">
        <f>IF(ISNA(MATCH(S$2,Inputs!$K$4:$AJ$4,0)),NA(),IF(SUMPRODUCT((Inputs!$A$5:$A$230=$B63)*ISNUMBER(INDEX(Inputs!$K$5:$AJ$230,0,MATCH(S$2,Inputs!$K$4:$AJ$4,0))))+SUMPRODUCT((Inputs!$C$5:$C$230=$B63)*ISNUMBER(INDEX(Inputs!$K$5:$AJ$230,0,MATCH(S$2,Inputs!$K$4:$AJ$4,0))))+SUMPRODUCT((Inputs!$E$5:$E$230=$B63)*ISNUMBER(INDEX(Inputs!$K$5:$AJ$230,0,MATCH(S$2,Inputs!$K$4:$AJ$4,0))))=0,NA(),SUMPRODUCT((Inputs!$A$5:$A$230=$B63)*Inputs!$B$5:$B$230*(((Inputs!$G$5:$G$230="moeda")+(Inputs!$G$5:$G$230="acoes"))*Inputs!$B$1+((Inputs!$G$5:$G$230&lt;&gt;"moeda")*(Inputs!$G$5:$G$230&lt;&gt;"acoes")))*INDEX(Inputs!$K$5:$AJ$230,0,MATCH(S$2,Inputs!$K$4:$AJ$4,0)))+SUMPRODUCT((Inputs!$C$5:$C$230=$B63)*Inputs!$D$5:$D$230*(((Inputs!$G$5:$G$230="moeda")+(Inputs!$G$5:$G$230="acoes"))*Inputs!$B$1+((Inputs!$G$5:$G$230&lt;&gt;"moeda")*(Inputs!$G$5:$G$230&lt;&gt;"acoes")))*INDEX(Inputs!$K$5:$AJ$230,0,MATCH(S$2,Inputs!$K$4:$AJ$4,0)))+SUMPRODUCT((Inputs!$E$5:$E$230=$B63)*Inputs!$F$5:$F$230*(((Inputs!$G$5:$G$230="moeda")+(Inputs!$G$5:$G$230="acoes"))*Inputs!$B$1+((Inputs!$G$5:$G$230&lt;&gt;"moeda")*(Inputs!$G$5:$G$230&lt;&gt;"acoes")))*INDEX(Inputs!$K$5:$AJ$230,0,MATCH(S$2,Inputs!$K$4:$AJ$4,0)))))</f>
        <v>19.503</v>
      </c>
      <c r="T63" s="6">
        <f>IF(ISNA(MATCH(T$2,Inputs!$K$4:$AJ$4,0)),NA(),IF(SUMPRODUCT((Inputs!$A$5:$A$230=$B63)*ISNUMBER(INDEX(Inputs!$K$5:$AJ$230,0,MATCH(T$2,Inputs!$K$4:$AJ$4,0))))+SUMPRODUCT((Inputs!$C$5:$C$230=$B63)*ISNUMBER(INDEX(Inputs!$K$5:$AJ$230,0,MATCH(T$2,Inputs!$K$4:$AJ$4,0))))+SUMPRODUCT((Inputs!$E$5:$E$230=$B63)*ISNUMBER(INDEX(Inputs!$K$5:$AJ$230,0,MATCH(T$2,Inputs!$K$4:$AJ$4,0))))=0,NA(),SUMPRODUCT((Inputs!$A$5:$A$230=$B63)*Inputs!$B$5:$B$230*(((Inputs!$G$5:$G$230="moeda")+(Inputs!$G$5:$G$230="acoes"))*Inputs!$B$1+((Inputs!$G$5:$G$230&lt;&gt;"moeda")*(Inputs!$G$5:$G$230&lt;&gt;"acoes")))*INDEX(Inputs!$K$5:$AJ$230,0,MATCH(T$2,Inputs!$K$4:$AJ$4,0)))+SUMPRODUCT((Inputs!$C$5:$C$230=$B63)*Inputs!$D$5:$D$230*(((Inputs!$G$5:$G$230="moeda")+(Inputs!$G$5:$G$230="acoes"))*Inputs!$B$1+((Inputs!$G$5:$G$230&lt;&gt;"moeda")*(Inputs!$G$5:$G$230&lt;&gt;"acoes")))*INDEX(Inputs!$K$5:$AJ$230,0,MATCH(T$2,Inputs!$K$4:$AJ$4,0)))+SUMPRODUCT((Inputs!$E$5:$E$230=$B63)*Inputs!$F$5:$F$230*(((Inputs!$G$5:$G$230="moeda")+(Inputs!$G$5:$G$230="acoes"))*Inputs!$B$1+((Inputs!$G$5:$G$230&lt;&gt;"moeda")*(Inputs!$G$5:$G$230&lt;&gt;"acoes")))*INDEX(Inputs!$K$5:$AJ$230,0,MATCH(T$2,Inputs!$K$4:$AJ$4,0)))))</f>
        <v>16.12</v>
      </c>
      <c r="U63" s="6">
        <f>IF(ISNA(MATCH(U$2,Inputs!$K$4:$AJ$4,0)),NA(),IF(SUMPRODUCT((Inputs!$A$5:$A$230=$B63)*ISNUMBER(INDEX(Inputs!$K$5:$AJ$230,0,MATCH(U$2,Inputs!$K$4:$AJ$4,0))))+SUMPRODUCT((Inputs!$C$5:$C$230=$B63)*ISNUMBER(INDEX(Inputs!$K$5:$AJ$230,0,MATCH(U$2,Inputs!$K$4:$AJ$4,0))))+SUMPRODUCT((Inputs!$E$5:$E$230=$B63)*ISNUMBER(INDEX(Inputs!$K$5:$AJ$230,0,MATCH(U$2,Inputs!$K$4:$AJ$4,0))))=0,NA(),SUMPRODUCT((Inputs!$A$5:$A$230=$B63)*Inputs!$B$5:$B$230*(((Inputs!$G$5:$G$230="moeda")+(Inputs!$G$5:$G$230="acoes"))*Inputs!$B$1+((Inputs!$G$5:$G$230&lt;&gt;"moeda")*(Inputs!$G$5:$G$230&lt;&gt;"acoes")))*INDEX(Inputs!$K$5:$AJ$230,0,MATCH(U$2,Inputs!$K$4:$AJ$4,0)))+SUMPRODUCT((Inputs!$C$5:$C$230=$B63)*Inputs!$D$5:$D$230*(((Inputs!$G$5:$G$230="moeda")+(Inputs!$G$5:$G$230="acoes"))*Inputs!$B$1+((Inputs!$G$5:$G$230&lt;&gt;"moeda")*(Inputs!$G$5:$G$230&lt;&gt;"acoes")))*INDEX(Inputs!$K$5:$AJ$230,0,MATCH(U$2,Inputs!$K$4:$AJ$4,0)))+SUMPRODUCT((Inputs!$E$5:$E$230=$B63)*Inputs!$F$5:$F$230*(((Inputs!$G$5:$G$230="moeda")+(Inputs!$G$5:$G$230="acoes"))*Inputs!$B$1+((Inputs!$G$5:$G$230&lt;&gt;"moeda")*(Inputs!$G$5:$G$230&lt;&gt;"acoes")))*INDEX(Inputs!$K$5:$AJ$230,0,MATCH(U$2,Inputs!$K$4:$AJ$4,0)))))</f>
        <v>15.327</v>
      </c>
      <c r="V63" s="6">
        <f>IF(ISNA(MATCH(V$2,Inputs!$K$4:$AJ$4,0)),NA(),IF(SUMPRODUCT((Inputs!$A$5:$A$230=$B63)*ISNUMBER(INDEX(Inputs!$K$5:$AJ$230,0,MATCH(V$2,Inputs!$K$4:$AJ$4,0))))+SUMPRODUCT((Inputs!$C$5:$C$230=$B63)*ISNUMBER(INDEX(Inputs!$K$5:$AJ$230,0,MATCH(V$2,Inputs!$K$4:$AJ$4,0))))+SUMPRODUCT((Inputs!$E$5:$E$230=$B63)*ISNUMBER(INDEX(Inputs!$K$5:$AJ$230,0,MATCH(V$2,Inputs!$K$4:$AJ$4,0))))=0,NA(),SUMPRODUCT((Inputs!$A$5:$A$230=$B63)*Inputs!$B$5:$B$230*(((Inputs!$G$5:$G$230="moeda")+(Inputs!$G$5:$G$230="acoes"))*Inputs!$B$1+((Inputs!$G$5:$G$230&lt;&gt;"moeda")*(Inputs!$G$5:$G$230&lt;&gt;"acoes")))*INDEX(Inputs!$K$5:$AJ$230,0,MATCH(V$2,Inputs!$K$4:$AJ$4,0)))+SUMPRODUCT((Inputs!$C$5:$C$230=$B63)*Inputs!$D$5:$D$230*(((Inputs!$G$5:$G$230="moeda")+(Inputs!$G$5:$G$230="acoes"))*Inputs!$B$1+((Inputs!$G$5:$G$230&lt;&gt;"moeda")*(Inputs!$G$5:$G$230&lt;&gt;"acoes")))*INDEX(Inputs!$K$5:$AJ$230,0,MATCH(V$2,Inputs!$K$4:$AJ$4,0)))+SUMPRODUCT((Inputs!$E$5:$E$230=$B63)*Inputs!$F$5:$F$230*(((Inputs!$G$5:$G$230="moeda")+(Inputs!$G$5:$G$230="acoes"))*Inputs!$B$1+((Inputs!$G$5:$G$230&lt;&gt;"moeda")*(Inputs!$G$5:$G$230&lt;&gt;"acoes")))*INDEX(Inputs!$K$5:$AJ$230,0,MATCH(V$2,Inputs!$K$4:$AJ$4,0)))))</f>
        <v>17.97</v>
      </c>
      <c r="W63" s="3">
        <f>SUM(S63:V63)</f>
        <v>68.92</v>
      </c>
      <c r="X63" s="6">
        <f>IF(ISNA(MATCH(X$2,Inputs!$K$4:$AJ$4,0)),NA(),IF(SUMPRODUCT((Inputs!$A$5:$A$230=$B63)*ISNUMBER(INDEX(Inputs!$K$5:$AJ$230,0,MATCH(X$2,Inputs!$K$4:$AJ$4,0))))+SUMPRODUCT((Inputs!$C$5:$C$230=$B63)*ISNUMBER(INDEX(Inputs!$K$5:$AJ$230,0,MATCH(X$2,Inputs!$K$4:$AJ$4,0))))+SUMPRODUCT((Inputs!$E$5:$E$230=$B63)*ISNUMBER(INDEX(Inputs!$K$5:$AJ$230,0,MATCH(X$2,Inputs!$K$4:$AJ$4,0))))=0,NA(),SUMPRODUCT((Inputs!$A$5:$A$230=$B63)*Inputs!$B$5:$B$230*(((Inputs!$G$5:$G$230="moeda")+(Inputs!$G$5:$G$230="acoes"))*Inputs!$B$1+((Inputs!$G$5:$G$230&lt;&gt;"moeda")*(Inputs!$G$5:$G$230&lt;&gt;"acoes")))*INDEX(Inputs!$K$5:$AJ$230,0,MATCH(X$2,Inputs!$K$4:$AJ$4,0)))+SUMPRODUCT((Inputs!$C$5:$C$230=$B63)*Inputs!$D$5:$D$230*(((Inputs!$G$5:$G$230="moeda")+(Inputs!$G$5:$G$230="acoes"))*Inputs!$B$1+((Inputs!$G$5:$G$230&lt;&gt;"moeda")*(Inputs!$G$5:$G$230&lt;&gt;"acoes")))*INDEX(Inputs!$K$5:$AJ$230,0,MATCH(X$2,Inputs!$K$4:$AJ$4,0)))+SUMPRODUCT((Inputs!$E$5:$E$230=$B63)*Inputs!$F$5:$F$230*(((Inputs!$G$5:$G$230="moeda")+(Inputs!$G$5:$G$230="acoes"))*Inputs!$B$1+((Inputs!$G$5:$G$230&lt;&gt;"moeda")*(Inputs!$G$5:$G$230&lt;&gt;"acoes")))*INDEX(Inputs!$K$5:$AJ$230,0,MATCH(X$2,Inputs!$K$4:$AJ$4,0)))))</f>
        <v>22.331</v>
      </c>
      <c r="Y63" s="6">
        <f>IF(ISNA(MATCH(Y$2,Inputs!$K$4:$AJ$4,0)),NA(),IF(SUMPRODUCT((Inputs!$A$5:$A$230=$B63)*ISNUMBER(INDEX(Inputs!$K$5:$AJ$230,0,MATCH(Y$2,Inputs!$K$4:$AJ$4,0))))+SUMPRODUCT((Inputs!$C$5:$C$230=$B63)*ISNUMBER(INDEX(Inputs!$K$5:$AJ$230,0,MATCH(Y$2,Inputs!$K$4:$AJ$4,0))))+SUMPRODUCT((Inputs!$E$5:$E$230=$B63)*ISNUMBER(INDEX(Inputs!$K$5:$AJ$230,0,MATCH(Y$2,Inputs!$K$4:$AJ$4,0))))=0,NA(),SUMPRODUCT((Inputs!$A$5:$A$230=$B63)*Inputs!$B$5:$B$230*(((Inputs!$G$5:$G$230="moeda")+(Inputs!$G$5:$G$230="acoes"))*Inputs!$B$1+((Inputs!$G$5:$G$230&lt;&gt;"moeda")*(Inputs!$G$5:$G$230&lt;&gt;"acoes")))*INDEX(Inputs!$K$5:$AJ$230,0,MATCH(Y$2,Inputs!$K$4:$AJ$4,0)))+SUMPRODUCT((Inputs!$C$5:$C$230=$B63)*Inputs!$D$5:$D$230*(((Inputs!$G$5:$G$230="moeda")+(Inputs!$G$5:$G$230="acoes"))*Inputs!$B$1+((Inputs!$G$5:$G$230&lt;&gt;"moeda")*(Inputs!$G$5:$G$230&lt;&gt;"acoes")))*INDEX(Inputs!$K$5:$AJ$230,0,MATCH(Y$2,Inputs!$K$4:$AJ$4,0)))+SUMPRODUCT((Inputs!$E$5:$E$230=$B63)*Inputs!$F$5:$F$230*(((Inputs!$G$5:$G$230="moeda")+(Inputs!$G$5:$G$230="acoes"))*Inputs!$B$1+((Inputs!$G$5:$G$230&lt;&gt;"moeda")*(Inputs!$G$5:$G$230&lt;&gt;"acoes")))*INDEX(Inputs!$K$5:$AJ$230,0,MATCH(Y$2,Inputs!$K$4:$AJ$4,0)))))</f>
        <v>19.45</v>
      </c>
      <c r="Z63" s="6">
        <f>IF(ISNA(MATCH(Z$2,Inputs!$K$4:$AJ$4,0)),NA(),IF(SUMPRODUCT((Inputs!$A$5:$A$230=$B63)*ISNUMBER(INDEX(Inputs!$K$5:$AJ$230,0,MATCH(Z$2,Inputs!$K$4:$AJ$4,0))))+SUMPRODUCT((Inputs!$C$5:$C$230=$B63)*ISNUMBER(INDEX(Inputs!$K$5:$AJ$230,0,MATCH(Z$2,Inputs!$K$4:$AJ$4,0))))+SUMPRODUCT((Inputs!$E$5:$E$230=$B63)*ISNUMBER(INDEX(Inputs!$K$5:$AJ$230,0,MATCH(Z$2,Inputs!$K$4:$AJ$4,0))))=0,NA(),SUMPRODUCT((Inputs!$A$5:$A$230=$B63)*Inputs!$B$5:$B$230*(((Inputs!$G$5:$G$230="moeda")+(Inputs!$G$5:$G$230="acoes"))*Inputs!$B$1+((Inputs!$G$5:$G$230&lt;&gt;"moeda")*(Inputs!$G$5:$G$230&lt;&gt;"acoes")))*INDEX(Inputs!$K$5:$AJ$230,0,MATCH(Z$2,Inputs!$K$4:$AJ$4,0)))+SUMPRODUCT((Inputs!$C$5:$C$230=$B63)*Inputs!$D$5:$D$230*(((Inputs!$G$5:$G$230="moeda")+(Inputs!$G$5:$G$230="acoes"))*Inputs!$B$1+((Inputs!$G$5:$G$230&lt;&gt;"moeda")*(Inputs!$G$5:$G$230&lt;&gt;"acoes")))*INDEX(Inputs!$K$5:$AJ$230,0,MATCH(Z$2,Inputs!$K$4:$AJ$4,0)))+SUMPRODUCT((Inputs!$E$5:$E$230=$B63)*Inputs!$F$5:$F$230*(((Inputs!$G$5:$G$230="moeda")+(Inputs!$G$5:$G$230="acoes"))*Inputs!$B$1+((Inputs!$G$5:$G$230&lt;&gt;"moeda")*(Inputs!$G$5:$G$230&lt;&gt;"acoes")))*INDEX(Inputs!$K$5:$AJ$230,0,MATCH(Z$2,Inputs!$K$4:$AJ$4,0)))))</f>
        <v>15.263</v>
      </c>
      <c r="AA63" s="6">
        <f>IF(ISNA(MATCH(AA$2,Inputs!$K$4:$AJ$4,0)),NA(),IF(SUMPRODUCT((Inputs!$A$5:$A$230=$B63)*ISNUMBER(INDEX(Inputs!$K$5:$AJ$230,0,MATCH(AA$2,Inputs!$K$4:$AJ$4,0))))+SUMPRODUCT((Inputs!$C$5:$C$230=$B63)*ISNUMBER(INDEX(Inputs!$K$5:$AJ$230,0,MATCH(AA$2,Inputs!$K$4:$AJ$4,0))))+SUMPRODUCT((Inputs!$E$5:$E$230=$B63)*ISNUMBER(INDEX(Inputs!$K$5:$AJ$230,0,MATCH(AA$2,Inputs!$K$4:$AJ$4,0))))=0,NA(),SUMPRODUCT((Inputs!$A$5:$A$230=$B63)*Inputs!$B$5:$B$230*(((Inputs!$G$5:$G$230="moeda")+(Inputs!$G$5:$G$230="acoes"))*Inputs!$B$1+((Inputs!$G$5:$G$230&lt;&gt;"moeda")*(Inputs!$G$5:$G$230&lt;&gt;"acoes")))*INDEX(Inputs!$K$5:$AJ$230,0,MATCH(AA$2,Inputs!$K$4:$AJ$4,0)))+SUMPRODUCT((Inputs!$C$5:$C$230=$B63)*Inputs!$D$5:$D$230*(((Inputs!$G$5:$G$230="moeda")+(Inputs!$G$5:$G$230="acoes"))*Inputs!$B$1+((Inputs!$G$5:$G$230&lt;&gt;"moeda")*(Inputs!$G$5:$G$230&lt;&gt;"acoes")))*INDEX(Inputs!$K$5:$AJ$230,0,MATCH(AA$2,Inputs!$K$4:$AJ$4,0)))+SUMPRODUCT((Inputs!$E$5:$E$230=$B63)*Inputs!$F$5:$F$230*(((Inputs!$G$5:$G$230="moeda")+(Inputs!$G$5:$G$230="acoes"))*Inputs!$B$1+((Inputs!$G$5:$G$230&lt;&gt;"moeda")*(Inputs!$G$5:$G$230&lt;&gt;"acoes")))*INDEX(Inputs!$K$5:$AJ$230,0,MATCH(AA$2,Inputs!$K$4:$AJ$4,0)))))</f>
        <v>20.256</v>
      </c>
      <c r="AB63" s="3">
        <f>SUM(X63:AA63)</f>
        <v>77.3</v>
      </c>
      <c r="AC63" s="6">
        <f>IF(ISNA(MATCH(AC$2,Inputs!$K$4:$AJ$4,0)),NA(),IF(SUMPRODUCT((Inputs!$A$5:$A$230=$B63)*ISNUMBER(INDEX(Inputs!$K$5:$AJ$230,0,MATCH(AC$2,Inputs!$K$4:$AJ$4,0))))+SUMPRODUCT((Inputs!$C$5:$C$230=$B63)*ISNUMBER(INDEX(Inputs!$K$5:$AJ$230,0,MATCH(AC$2,Inputs!$K$4:$AJ$4,0))))+SUMPRODUCT((Inputs!$E$5:$E$230=$B63)*ISNUMBER(INDEX(Inputs!$K$5:$AJ$230,0,MATCH(AC$2,Inputs!$K$4:$AJ$4,0))))=0,NA(),SUMPRODUCT((Inputs!$A$5:$A$230=$B63)*Inputs!$B$5:$B$230*(((Inputs!$G$5:$G$230="moeda")+(Inputs!$G$5:$G$230="acoes"))*Inputs!$B$1+((Inputs!$G$5:$G$230&lt;&gt;"moeda")*(Inputs!$G$5:$G$230&lt;&gt;"acoes")))*INDEX(Inputs!$K$5:$AJ$230,0,MATCH(AC$2,Inputs!$K$4:$AJ$4,0)))+SUMPRODUCT((Inputs!$C$5:$C$230=$B63)*Inputs!$D$5:$D$230*(((Inputs!$G$5:$G$230="moeda")+(Inputs!$G$5:$G$230="acoes"))*Inputs!$B$1+((Inputs!$G$5:$G$230&lt;&gt;"moeda")*(Inputs!$G$5:$G$230&lt;&gt;"acoes")))*INDEX(Inputs!$K$5:$AJ$230,0,MATCH(AC$2,Inputs!$K$4:$AJ$4,0)))+SUMPRODUCT((Inputs!$E$5:$E$230=$B63)*Inputs!$F$5:$F$230*(((Inputs!$G$5:$G$230="moeda")+(Inputs!$G$5:$G$230="acoes"))*Inputs!$B$1+((Inputs!$G$5:$G$230&lt;&gt;"moeda")*(Inputs!$G$5:$G$230&lt;&gt;"acoes")))*INDEX(Inputs!$K$5:$AJ$230,0,MATCH(AC$2,Inputs!$K$4:$AJ$4,0)))))</f>
        <v>19.948</v>
      </c>
      <c r="AD63" s="6">
        <f>IF(ISNA(MATCH(AD$2,Inputs!$K$4:$AJ$4,0)),NA(),IF(SUMPRODUCT((Inputs!$A$5:$A$230=$B63)*ISNUMBER(INDEX(Inputs!$K$5:$AJ$230,0,MATCH(AD$2,Inputs!$K$4:$AJ$4,0))))+SUMPRODUCT((Inputs!$C$5:$C$230=$B63)*ISNUMBER(INDEX(Inputs!$K$5:$AJ$230,0,MATCH(AD$2,Inputs!$K$4:$AJ$4,0))))+SUMPRODUCT((Inputs!$E$5:$E$230=$B63)*ISNUMBER(INDEX(Inputs!$K$5:$AJ$230,0,MATCH(AD$2,Inputs!$K$4:$AJ$4,0))))=0,NA(),SUMPRODUCT((Inputs!$A$5:$A$230=$B63)*Inputs!$B$5:$B$230*(((Inputs!$G$5:$G$230="moeda")+(Inputs!$G$5:$G$230="acoes"))*Inputs!$B$1+((Inputs!$G$5:$G$230&lt;&gt;"moeda")*(Inputs!$G$5:$G$230&lt;&gt;"acoes")))*INDEX(Inputs!$K$5:$AJ$230,0,MATCH(AD$2,Inputs!$K$4:$AJ$4,0)))+SUMPRODUCT((Inputs!$C$5:$C$230=$B63)*Inputs!$D$5:$D$230*(((Inputs!$G$5:$G$230="moeda")+(Inputs!$G$5:$G$230="acoes"))*Inputs!$B$1+((Inputs!$G$5:$G$230&lt;&gt;"moeda")*(Inputs!$G$5:$G$230&lt;&gt;"acoes")))*INDEX(Inputs!$K$5:$AJ$230,0,MATCH(AD$2,Inputs!$K$4:$AJ$4,0)))+SUMPRODUCT((Inputs!$E$5:$E$230=$B63)*Inputs!$F$5:$F$230*(((Inputs!$G$5:$G$230="moeda")+(Inputs!$G$5:$G$230="acoes"))*Inputs!$B$1+((Inputs!$G$5:$G$230&lt;&gt;"moeda")*(Inputs!$G$5:$G$230&lt;&gt;"acoes")))*INDEX(Inputs!$K$5:$AJ$230,0,MATCH(AD$2,Inputs!$K$4:$AJ$4,0)))))</f>
        <v>23.762</v>
      </c>
      <c r="AE63" s="6" t="e">
        <f>IF(ISNA(MATCH(AE$2,Inputs!$K$4:$AJ$4,0)),NA(),IF(SUMPRODUCT((Inputs!$A$5:$A$230=$B63)*ISNUMBER(INDEX(Inputs!$K$5:$AJ$230,0,MATCH(AE$2,Inputs!$K$4:$AJ$4,0))))+SUMPRODUCT((Inputs!$C$5:$C$230=$B63)*ISNUMBER(INDEX(Inputs!$K$5:$AJ$230,0,MATCH(AE$2,Inputs!$K$4:$AJ$4,0))))+SUMPRODUCT((Inputs!$E$5:$E$230=$B63)*ISNUMBER(INDEX(Inputs!$K$5:$AJ$230,0,MATCH(AE$2,Inputs!$K$4:$AJ$4,0))))=0,NA(),SUMPRODUCT((Inputs!$A$5:$A$230=$B63)*Inputs!$B$5:$B$230*(((Inputs!$G$5:$G$230="moeda")+(Inputs!$G$5:$G$230="acoes"))*Inputs!$B$1+((Inputs!$G$5:$G$230&lt;&gt;"moeda")*(Inputs!$G$5:$G$230&lt;&gt;"acoes")))*INDEX(Inputs!$K$5:$AJ$230,0,MATCH(AE$2,Inputs!$K$4:$AJ$4,0)))+SUMPRODUCT((Inputs!$C$5:$C$230=$B63)*Inputs!$D$5:$D$230*(((Inputs!$G$5:$G$230="moeda")+(Inputs!$G$5:$G$230="acoes"))*Inputs!$B$1+((Inputs!$G$5:$G$230&lt;&gt;"moeda")*(Inputs!$G$5:$G$230&lt;&gt;"acoes")))*INDEX(Inputs!$K$5:$AJ$230,0,MATCH(AE$2,Inputs!$K$4:$AJ$4,0)))+SUMPRODUCT((Inputs!$E$5:$E$230=$B63)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3" s="6" t="e">
        <f>IF(ISNA(MATCH(AF$2,Inputs!$K$4:$AJ$4,0)),NA(),IF(SUMPRODUCT((Inputs!$A$5:$A$230=$B63)*ISNUMBER(INDEX(Inputs!$K$5:$AJ$230,0,MATCH(AF$2,Inputs!$K$4:$AJ$4,0))))+SUMPRODUCT((Inputs!$C$5:$C$230=$B63)*ISNUMBER(INDEX(Inputs!$K$5:$AJ$230,0,MATCH(AF$2,Inputs!$K$4:$AJ$4,0))))+SUMPRODUCT((Inputs!$E$5:$E$230=$B63)*ISNUMBER(INDEX(Inputs!$K$5:$AJ$230,0,MATCH(AF$2,Inputs!$K$4:$AJ$4,0))))=0,NA(),SUMPRODUCT((Inputs!$A$5:$A$230=$B63)*Inputs!$B$5:$B$230*(((Inputs!$G$5:$G$230="moeda")+(Inputs!$G$5:$G$230="acoes"))*Inputs!$B$1+((Inputs!$G$5:$G$230&lt;&gt;"moeda")*(Inputs!$G$5:$G$230&lt;&gt;"acoes")))*INDEX(Inputs!$K$5:$AJ$230,0,MATCH(AF$2,Inputs!$K$4:$AJ$4,0)))+SUMPRODUCT((Inputs!$C$5:$C$230=$B63)*Inputs!$D$5:$D$230*(((Inputs!$G$5:$G$230="moeda")+(Inputs!$G$5:$G$230="acoes"))*Inputs!$B$1+((Inputs!$G$5:$G$230&lt;&gt;"moeda")*(Inputs!$G$5:$G$230&lt;&gt;"acoes")))*INDEX(Inputs!$K$5:$AJ$230,0,MATCH(AF$2,Inputs!$K$4:$AJ$4,0)))+SUMPRODUCT((Inputs!$E$5:$E$230=$B63)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3" s="3" t="e">
        <f>SUM(AC63:AF63)</f>
        <v>#N/A</v>
      </c>
      <c r="AH63" s="6">
        <f>IF(ISNA(MATCH(AH$2,Inputs!$K$4:$AJ$4,0)),NA(),IF(SUMPRODUCT((Inputs!$A$5:$A$230=$B63)*ISNUMBER(INDEX(Inputs!$K$5:$AJ$230,0,MATCH(AH$2,Inputs!$K$4:$AJ$4,0))))+SUMPRODUCT((Inputs!$C$5:$C$230=$B63)*ISNUMBER(INDEX(Inputs!$K$5:$AJ$230,0,MATCH(AH$2,Inputs!$K$4:$AJ$4,0))))+SUMPRODUCT((Inputs!$E$5:$E$230=$B63)*ISNUMBER(INDEX(Inputs!$K$5:$AJ$230,0,MATCH(AH$2,Inputs!$K$4:$AJ$4,0))))=0,NA(),SUMPRODUCT((Inputs!$A$5:$A$230=$B63)*Inputs!$B$5:$B$230*(((Inputs!$G$5:$G$230="moeda")+(Inputs!$G$5:$G$230="acoes"))*Inputs!$B$1+((Inputs!$G$5:$G$230&lt;&gt;"moeda")*(Inputs!$G$5:$G$230&lt;&gt;"acoes")))*INDEX(Inputs!$K$5:$AJ$230,0,MATCH(AH$2,Inputs!$K$4:$AJ$4,0)))+SUMPRODUCT((Inputs!$C$5:$C$230=$B63)*Inputs!$D$5:$D$230*(((Inputs!$G$5:$G$230="moeda")+(Inputs!$G$5:$G$230="acoes"))*Inputs!$B$1+((Inputs!$G$5:$G$230&lt;&gt;"moeda")*(Inputs!$G$5:$G$230&lt;&gt;"acoes")))*INDEX(Inputs!$K$5:$AJ$230,0,MATCH(AH$2,Inputs!$K$4:$AJ$4,0)))+SUMPRODUCT((Inputs!$E$5:$E$230=$B63)*Inputs!$F$5:$F$230*(((Inputs!$G$5:$G$230="moeda")+(Inputs!$G$5:$G$230="acoes"))*Inputs!$B$1+((Inputs!$G$5:$G$230&lt;&gt;"moeda")*(Inputs!$G$5:$G$230&lt;&gt;"acoes")))*INDEX(Inputs!$K$5:$AJ$230,0,MATCH(AH$2,Inputs!$K$4:$AJ$4,0)))))</f>
        <v>15.194</v>
      </c>
      <c r="AI63" s="6">
        <f>IF(ISNA(MATCH(AI$2,Inputs!$K$4:$AJ$4,0)),NA(),IF(SUMPRODUCT((Inputs!$A$5:$A$230=$B63)*ISNUMBER(INDEX(Inputs!$K$5:$AJ$230,0,MATCH(AI$2,Inputs!$K$4:$AJ$4,0))))+SUMPRODUCT((Inputs!$C$5:$C$230=$B63)*ISNUMBER(INDEX(Inputs!$K$5:$AJ$230,0,MATCH(AI$2,Inputs!$K$4:$AJ$4,0))))+SUMPRODUCT((Inputs!$E$5:$E$230=$B63)*ISNUMBER(INDEX(Inputs!$K$5:$AJ$230,0,MATCH(AI$2,Inputs!$K$4:$AJ$4,0))))=0,NA(),SUMPRODUCT((Inputs!$A$5:$A$230=$B63)*Inputs!$B$5:$B$230*(((Inputs!$G$5:$G$230="moeda")+(Inputs!$G$5:$G$230="acoes"))*Inputs!$B$1+((Inputs!$G$5:$G$230&lt;&gt;"moeda")*(Inputs!$G$5:$G$230&lt;&gt;"acoes")))*INDEX(Inputs!$K$5:$AJ$230,0,MATCH(AI$2,Inputs!$K$4:$AJ$4,0)))+SUMPRODUCT((Inputs!$C$5:$C$230=$B63)*Inputs!$D$5:$D$230*(((Inputs!$G$5:$G$230="moeda")+(Inputs!$G$5:$G$230="acoes"))*Inputs!$B$1+((Inputs!$G$5:$G$230&lt;&gt;"moeda")*(Inputs!$G$5:$G$230&lt;&gt;"acoes")))*INDEX(Inputs!$K$5:$AJ$230,0,MATCH(AI$2,Inputs!$K$4:$AJ$4,0)))+SUMPRODUCT((Inputs!$E$5:$E$230=$B63)*Inputs!$F$5:$F$230*(((Inputs!$G$5:$G$230="moeda")+(Inputs!$G$5:$G$230="acoes"))*Inputs!$B$1+((Inputs!$G$5:$G$230&lt;&gt;"moeda")*(Inputs!$G$5:$G$230&lt;&gt;"acoes")))*INDEX(Inputs!$K$5:$AJ$230,0,MATCH(AI$2,Inputs!$K$4:$AJ$4,0)))))</f>
        <v>12.029</v>
      </c>
      <c r="AJ63" s="6">
        <f>IF(ISNA(MATCH(AJ$2,Inputs!$K$4:$AJ$4,0)),NA(),IF(SUMPRODUCT((Inputs!$A$5:$A$230=$B63)*ISNUMBER(INDEX(Inputs!$K$5:$AJ$230,0,MATCH(AJ$2,Inputs!$K$4:$AJ$4,0))))+SUMPRODUCT((Inputs!$C$5:$C$230=$B63)*ISNUMBER(INDEX(Inputs!$K$5:$AJ$230,0,MATCH(AJ$2,Inputs!$K$4:$AJ$4,0))))+SUMPRODUCT((Inputs!$E$5:$E$230=$B63)*ISNUMBER(INDEX(Inputs!$K$5:$AJ$230,0,MATCH(AJ$2,Inputs!$K$4:$AJ$4,0))))=0,NA(),SUMPRODUCT((Inputs!$A$5:$A$230=$B63)*Inputs!$B$5:$B$230*(((Inputs!$G$5:$G$230="moeda")+(Inputs!$G$5:$G$230="acoes"))*Inputs!$B$1+((Inputs!$G$5:$G$230&lt;&gt;"moeda")*(Inputs!$G$5:$G$230&lt;&gt;"acoes")))*INDEX(Inputs!$K$5:$AJ$230,0,MATCH(AJ$2,Inputs!$K$4:$AJ$4,0)))+SUMPRODUCT((Inputs!$C$5:$C$230=$B63)*Inputs!$D$5:$D$230*(((Inputs!$G$5:$G$230="moeda")+(Inputs!$G$5:$G$230="acoes"))*Inputs!$B$1+((Inputs!$G$5:$G$230&lt;&gt;"moeda")*(Inputs!$G$5:$G$230&lt;&gt;"acoes")))*INDEX(Inputs!$K$5:$AJ$230,0,MATCH(AJ$2,Inputs!$K$4:$AJ$4,0)))+SUMPRODUCT((Inputs!$E$5:$E$230=$B63)*Inputs!$F$5:$F$230*(((Inputs!$G$5:$G$230="moeda")+(Inputs!$G$5:$G$230="acoes"))*Inputs!$B$1+((Inputs!$G$5:$G$230&lt;&gt;"moeda")*(Inputs!$G$5:$G$230&lt;&gt;"acoes")))*INDEX(Inputs!$K$5:$AJ$230,0,MATCH(AJ$2,Inputs!$K$4:$AJ$4,0)))))</f>
        <v>28.227</v>
      </c>
      <c r="AK63" s="6">
        <f>IF(ISNA(MATCH(AK$2,Inputs!$K$4:$AJ$4,0)),NA(),IF(SUMPRODUCT((Inputs!$A$5:$A$230=$B63)*ISNUMBER(INDEX(Inputs!$K$5:$AJ$230,0,MATCH(AK$2,Inputs!$K$4:$AJ$4,0))))+SUMPRODUCT((Inputs!$C$5:$C$230=$B63)*ISNUMBER(INDEX(Inputs!$K$5:$AJ$230,0,MATCH(AK$2,Inputs!$K$4:$AJ$4,0))))+SUMPRODUCT((Inputs!$E$5:$E$230=$B63)*ISNUMBER(INDEX(Inputs!$K$5:$AJ$230,0,MATCH(AK$2,Inputs!$K$4:$AJ$4,0))))=0,NA(),SUMPRODUCT((Inputs!$A$5:$A$230=$B63)*Inputs!$B$5:$B$230*(((Inputs!$G$5:$G$230="moeda")+(Inputs!$G$5:$G$230="acoes"))*Inputs!$B$1+((Inputs!$G$5:$G$230&lt;&gt;"moeda")*(Inputs!$G$5:$G$230&lt;&gt;"acoes")))*INDEX(Inputs!$K$5:$AJ$230,0,MATCH(AK$2,Inputs!$K$4:$AJ$4,0)))+SUMPRODUCT((Inputs!$C$5:$C$230=$B63)*Inputs!$D$5:$D$230*(((Inputs!$G$5:$G$230="moeda")+(Inputs!$G$5:$G$230="acoes"))*Inputs!$B$1+((Inputs!$G$5:$G$230&lt;&gt;"moeda")*(Inputs!$G$5:$G$230&lt;&gt;"acoes")))*INDEX(Inputs!$K$5:$AJ$230,0,MATCH(AK$2,Inputs!$K$4:$AJ$4,0)))+SUMPRODUCT((Inputs!$E$5:$E$230=$B63)*Inputs!$F$5:$F$230*(((Inputs!$G$5:$G$230="moeda")+(Inputs!$G$5:$G$230="acoes"))*Inputs!$B$1+((Inputs!$G$5:$G$230&lt;&gt;"moeda")*(Inputs!$G$5:$G$230&lt;&gt;"acoes")))*INDEX(Inputs!$K$5:$AJ$230,0,MATCH(AK$2,Inputs!$K$4:$AJ$4,0)))))</f>
        <v>17.477</v>
      </c>
      <c r="AL63" s="3">
        <f>SUM(AH63:AK63)</f>
        <v>72.927</v>
      </c>
    </row>
    <row r="64">
      <c r="B64" s="46" t="n">
        <v>56</v>
      </c>
      <c r="C64" s="29" t="inlineStr">
        <is>
          <t>Transmissao | Lumitrans</t>
        </is>
      </c>
      <c r="D64" s="6">
        <f>IF(ISNA(MATCH(D$2,Inputs!$K$4:$AJ$4,0)),NA(),IF(SUMPRODUCT((Inputs!$A$5:$A$230=$B64)*ISNUMBER(INDEX(Inputs!$K$5:$AJ$230,0,MATCH(D$2,Inputs!$K$4:$AJ$4,0))))+SUMPRODUCT((Inputs!$C$5:$C$230=$B64)*ISNUMBER(INDEX(Inputs!$K$5:$AJ$230,0,MATCH(D$2,Inputs!$K$4:$AJ$4,0))))+SUMPRODUCT((Inputs!$E$5:$E$230=$B64)*ISNUMBER(INDEX(Inputs!$K$5:$AJ$230,0,MATCH(D$2,Inputs!$K$4:$AJ$4,0))))=0,NA(),SUMPRODUCT((Inputs!$A$5:$A$230=$B64)*Inputs!$B$5:$B$230*(((Inputs!$G$5:$G$230="moeda")+(Inputs!$G$5:$G$230="acoes"))*Inputs!$B$1+((Inputs!$G$5:$G$230&lt;&gt;"moeda")*(Inputs!$G$5:$G$230&lt;&gt;"acoes")))*INDEX(Inputs!$K$5:$AJ$230,0,MATCH(D$2,Inputs!$K$4:$AJ$4,0)))+SUMPRODUCT((Inputs!$C$5:$C$230=$B64)*Inputs!$D$5:$D$230*(((Inputs!$G$5:$G$230="moeda")+(Inputs!$G$5:$G$230="acoes"))*Inputs!$B$1+((Inputs!$G$5:$G$230&lt;&gt;"moeda")*(Inputs!$G$5:$G$230&lt;&gt;"acoes")))*INDEX(Inputs!$K$5:$AJ$230,0,MATCH(D$2,Inputs!$K$4:$AJ$4,0)))+SUMPRODUCT((Inputs!$E$5:$E$230=$B64)*Inputs!$F$5:$F$230*(((Inputs!$G$5:$G$230="moeda")+(Inputs!$G$5:$G$230="acoes"))*Inputs!$B$1+((Inputs!$G$5:$G$230&lt;&gt;"moeda")*(Inputs!$G$5:$G$230&lt;&gt;"acoes")))*INDEX(Inputs!$K$5:$AJ$230,0,MATCH(D$2,Inputs!$K$4:$AJ$4,0)))))</f>
        <v>9.915</v>
      </c>
      <c r="E64" s="6">
        <f>IF(ISNA(MATCH(E$2,Inputs!$K$4:$AJ$4,0)),NA(),IF(SUMPRODUCT((Inputs!$A$5:$A$230=$B64)*ISNUMBER(INDEX(Inputs!$K$5:$AJ$230,0,MATCH(E$2,Inputs!$K$4:$AJ$4,0))))+SUMPRODUCT((Inputs!$C$5:$C$230=$B64)*ISNUMBER(INDEX(Inputs!$K$5:$AJ$230,0,MATCH(E$2,Inputs!$K$4:$AJ$4,0))))+SUMPRODUCT((Inputs!$E$5:$E$230=$B64)*ISNUMBER(INDEX(Inputs!$K$5:$AJ$230,0,MATCH(E$2,Inputs!$K$4:$AJ$4,0))))=0,NA(),SUMPRODUCT((Inputs!$A$5:$A$230=$B64)*Inputs!$B$5:$B$230*(((Inputs!$G$5:$G$230="moeda")+(Inputs!$G$5:$G$230="acoes"))*Inputs!$B$1+((Inputs!$G$5:$G$230&lt;&gt;"moeda")*(Inputs!$G$5:$G$230&lt;&gt;"acoes")))*INDEX(Inputs!$K$5:$AJ$230,0,MATCH(E$2,Inputs!$K$4:$AJ$4,0)))+SUMPRODUCT((Inputs!$C$5:$C$230=$B64)*Inputs!$D$5:$D$230*(((Inputs!$G$5:$G$230="moeda")+(Inputs!$G$5:$G$230="acoes"))*Inputs!$B$1+((Inputs!$G$5:$G$230&lt;&gt;"moeda")*(Inputs!$G$5:$G$230&lt;&gt;"acoes")))*INDEX(Inputs!$K$5:$AJ$230,0,MATCH(E$2,Inputs!$K$4:$AJ$4,0)))+SUMPRODUCT((Inputs!$E$5:$E$230=$B64)*Inputs!$F$5:$F$230*(((Inputs!$G$5:$G$230="moeda")+(Inputs!$G$5:$G$230="acoes"))*Inputs!$B$1+((Inputs!$G$5:$G$230&lt;&gt;"moeda")*(Inputs!$G$5:$G$230&lt;&gt;"acoes")))*INDEX(Inputs!$K$5:$AJ$230,0,MATCH(E$2,Inputs!$K$4:$AJ$4,0)))))</f>
        <v>13.118</v>
      </c>
      <c r="F64" s="6">
        <f>IF(ISNA(MATCH(F$2,Inputs!$K$4:$AJ$4,0)),NA(),IF(SUMPRODUCT((Inputs!$A$5:$A$230=$B64)*ISNUMBER(INDEX(Inputs!$K$5:$AJ$230,0,MATCH(F$2,Inputs!$K$4:$AJ$4,0))))+SUMPRODUCT((Inputs!$C$5:$C$230=$B64)*ISNUMBER(INDEX(Inputs!$K$5:$AJ$230,0,MATCH(F$2,Inputs!$K$4:$AJ$4,0))))+SUMPRODUCT((Inputs!$E$5:$E$230=$B64)*ISNUMBER(INDEX(Inputs!$K$5:$AJ$230,0,MATCH(F$2,Inputs!$K$4:$AJ$4,0))))=0,NA(),SUMPRODUCT((Inputs!$A$5:$A$230=$B64)*Inputs!$B$5:$B$230*(((Inputs!$G$5:$G$230="moeda")+(Inputs!$G$5:$G$230="acoes"))*Inputs!$B$1+((Inputs!$G$5:$G$230&lt;&gt;"moeda")*(Inputs!$G$5:$G$230&lt;&gt;"acoes")))*INDEX(Inputs!$K$5:$AJ$230,0,MATCH(F$2,Inputs!$K$4:$AJ$4,0)))+SUMPRODUCT((Inputs!$C$5:$C$230=$B64)*Inputs!$D$5:$D$230*(((Inputs!$G$5:$G$230="moeda")+(Inputs!$G$5:$G$230="acoes"))*Inputs!$B$1+((Inputs!$G$5:$G$230&lt;&gt;"moeda")*(Inputs!$G$5:$G$230&lt;&gt;"acoes")))*INDEX(Inputs!$K$5:$AJ$230,0,MATCH(F$2,Inputs!$K$4:$AJ$4,0)))+SUMPRODUCT((Inputs!$E$5:$E$230=$B64)*Inputs!$F$5:$F$230*(((Inputs!$G$5:$G$230="moeda")+(Inputs!$G$5:$G$230="acoes"))*Inputs!$B$1+((Inputs!$G$5:$G$230&lt;&gt;"moeda")*(Inputs!$G$5:$G$230&lt;&gt;"acoes")))*INDEX(Inputs!$K$5:$AJ$230,0,MATCH(F$2,Inputs!$K$4:$AJ$4,0)))))</f>
        <v>6.583</v>
      </c>
      <c r="G64" s="6">
        <f>IF(ISNA(MATCH(G$2,Inputs!$K$4:$AJ$4,0)),NA(),IF(SUMPRODUCT((Inputs!$A$5:$A$230=$B64)*ISNUMBER(INDEX(Inputs!$K$5:$AJ$230,0,MATCH(G$2,Inputs!$K$4:$AJ$4,0))))+SUMPRODUCT((Inputs!$C$5:$C$230=$B64)*ISNUMBER(INDEX(Inputs!$K$5:$AJ$230,0,MATCH(G$2,Inputs!$K$4:$AJ$4,0))))+SUMPRODUCT((Inputs!$E$5:$E$230=$B64)*ISNUMBER(INDEX(Inputs!$K$5:$AJ$230,0,MATCH(G$2,Inputs!$K$4:$AJ$4,0))))=0,NA(),SUMPRODUCT((Inputs!$A$5:$A$230=$B64)*Inputs!$B$5:$B$230*(((Inputs!$G$5:$G$230="moeda")+(Inputs!$G$5:$G$230="acoes"))*Inputs!$B$1+((Inputs!$G$5:$G$230&lt;&gt;"moeda")*(Inputs!$G$5:$G$230&lt;&gt;"acoes")))*INDEX(Inputs!$K$5:$AJ$230,0,MATCH(G$2,Inputs!$K$4:$AJ$4,0)))+SUMPRODUCT((Inputs!$C$5:$C$230=$B64)*Inputs!$D$5:$D$230*(((Inputs!$G$5:$G$230="moeda")+(Inputs!$G$5:$G$230="acoes"))*Inputs!$B$1+((Inputs!$G$5:$G$230&lt;&gt;"moeda")*(Inputs!$G$5:$G$230&lt;&gt;"acoes")))*INDEX(Inputs!$K$5:$AJ$230,0,MATCH(G$2,Inputs!$K$4:$AJ$4,0)))+SUMPRODUCT((Inputs!$E$5:$E$230=$B64)*Inputs!$F$5:$F$230*(((Inputs!$G$5:$G$230="moeda")+(Inputs!$G$5:$G$230="acoes"))*Inputs!$B$1+((Inputs!$G$5:$G$230&lt;&gt;"moeda")*(Inputs!$G$5:$G$230&lt;&gt;"acoes")))*INDEX(Inputs!$K$5:$AJ$230,0,MATCH(G$2,Inputs!$K$4:$AJ$4,0)))))</f>
        <v>4.921</v>
      </c>
      <c r="H64" s="3">
        <f>SUM(D64:G64)</f>
        <v>34.537</v>
      </c>
      <c r="I64" s="6">
        <f>IF(ISNA(MATCH(I$2,Inputs!$K$4:$AJ$4,0)),NA(),IF(SUMPRODUCT((Inputs!$A$5:$A$230=$B64)*ISNUMBER(INDEX(Inputs!$K$5:$AJ$230,0,MATCH(I$2,Inputs!$K$4:$AJ$4,0))))+SUMPRODUCT((Inputs!$C$5:$C$230=$B64)*ISNUMBER(INDEX(Inputs!$K$5:$AJ$230,0,MATCH(I$2,Inputs!$K$4:$AJ$4,0))))+SUMPRODUCT((Inputs!$E$5:$E$230=$B64)*ISNUMBER(INDEX(Inputs!$K$5:$AJ$230,0,MATCH(I$2,Inputs!$K$4:$AJ$4,0))))=0,NA(),SUMPRODUCT((Inputs!$A$5:$A$230=$B64)*Inputs!$B$5:$B$230*(((Inputs!$G$5:$G$230="moeda")+(Inputs!$G$5:$G$230="acoes"))*Inputs!$B$1+((Inputs!$G$5:$G$230&lt;&gt;"moeda")*(Inputs!$G$5:$G$230&lt;&gt;"acoes")))*INDEX(Inputs!$K$5:$AJ$230,0,MATCH(I$2,Inputs!$K$4:$AJ$4,0)))+SUMPRODUCT((Inputs!$C$5:$C$230=$B64)*Inputs!$D$5:$D$230*(((Inputs!$G$5:$G$230="moeda")+(Inputs!$G$5:$G$230="acoes"))*Inputs!$B$1+((Inputs!$G$5:$G$230&lt;&gt;"moeda")*(Inputs!$G$5:$G$230&lt;&gt;"acoes")))*INDEX(Inputs!$K$5:$AJ$230,0,MATCH(I$2,Inputs!$K$4:$AJ$4,0)))+SUMPRODUCT((Inputs!$E$5:$E$230=$B64)*Inputs!$F$5:$F$230*(((Inputs!$G$5:$G$230="moeda")+(Inputs!$G$5:$G$230="acoes"))*Inputs!$B$1+((Inputs!$G$5:$G$230&lt;&gt;"moeda")*(Inputs!$G$5:$G$230&lt;&gt;"acoes")))*INDEX(Inputs!$K$5:$AJ$230,0,MATCH(I$2,Inputs!$K$4:$AJ$4,0)))))</f>
        <v>8.686</v>
      </c>
      <c r="J64" s="6">
        <f>IF(ISNA(MATCH(J$2,Inputs!$K$4:$AJ$4,0)),NA(),IF(SUMPRODUCT((Inputs!$A$5:$A$230=$B64)*ISNUMBER(INDEX(Inputs!$K$5:$AJ$230,0,MATCH(J$2,Inputs!$K$4:$AJ$4,0))))+SUMPRODUCT((Inputs!$C$5:$C$230=$B64)*ISNUMBER(INDEX(Inputs!$K$5:$AJ$230,0,MATCH(J$2,Inputs!$K$4:$AJ$4,0))))+SUMPRODUCT((Inputs!$E$5:$E$230=$B64)*ISNUMBER(INDEX(Inputs!$K$5:$AJ$230,0,MATCH(J$2,Inputs!$K$4:$AJ$4,0))))=0,NA(),SUMPRODUCT((Inputs!$A$5:$A$230=$B64)*Inputs!$B$5:$B$230*(((Inputs!$G$5:$G$230="moeda")+(Inputs!$G$5:$G$230="acoes"))*Inputs!$B$1+((Inputs!$G$5:$G$230&lt;&gt;"moeda")*(Inputs!$G$5:$G$230&lt;&gt;"acoes")))*INDEX(Inputs!$K$5:$AJ$230,0,MATCH(J$2,Inputs!$K$4:$AJ$4,0)))+SUMPRODUCT((Inputs!$C$5:$C$230=$B64)*Inputs!$D$5:$D$230*(((Inputs!$G$5:$G$230="moeda")+(Inputs!$G$5:$G$230="acoes"))*Inputs!$B$1+((Inputs!$G$5:$G$230&lt;&gt;"moeda")*(Inputs!$G$5:$G$230&lt;&gt;"acoes")))*INDEX(Inputs!$K$5:$AJ$230,0,MATCH(J$2,Inputs!$K$4:$AJ$4,0)))+SUMPRODUCT((Inputs!$E$5:$E$230=$B64)*Inputs!$F$5:$F$230*(((Inputs!$G$5:$G$230="moeda")+(Inputs!$G$5:$G$230="acoes"))*Inputs!$B$1+((Inputs!$G$5:$G$230&lt;&gt;"moeda")*(Inputs!$G$5:$G$230&lt;&gt;"acoes")))*INDEX(Inputs!$K$5:$AJ$230,0,MATCH(J$2,Inputs!$K$4:$AJ$4,0)))))</f>
        <v>8.125</v>
      </c>
      <c r="K64" s="6">
        <f>IF(ISNA(MATCH(K$2,Inputs!$K$4:$AJ$4,0)),NA(),IF(SUMPRODUCT((Inputs!$A$5:$A$230=$B64)*ISNUMBER(INDEX(Inputs!$K$5:$AJ$230,0,MATCH(K$2,Inputs!$K$4:$AJ$4,0))))+SUMPRODUCT((Inputs!$C$5:$C$230=$B64)*ISNUMBER(INDEX(Inputs!$K$5:$AJ$230,0,MATCH(K$2,Inputs!$K$4:$AJ$4,0))))+SUMPRODUCT((Inputs!$E$5:$E$230=$B64)*ISNUMBER(INDEX(Inputs!$K$5:$AJ$230,0,MATCH(K$2,Inputs!$K$4:$AJ$4,0))))=0,NA(),SUMPRODUCT((Inputs!$A$5:$A$230=$B64)*Inputs!$B$5:$B$230*(((Inputs!$G$5:$G$230="moeda")+(Inputs!$G$5:$G$230="acoes"))*Inputs!$B$1+((Inputs!$G$5:$G$230&lt;&gt;"moeda")*(Inputs!$G$5:$G$230&lt;&gt;"acoes")))*INDEX(Inputs!$K$5:$AJ$230,0,MATCH(K$2,Inputs!$K$4:$AJ$4,0)))+SUMPRODUCT((Inputs!$C$5:$C$230=$B64)*Inputs!$D$5:$D$230*(((Inputs!$G$5:$G$230="moeda")+(Inputs!$G$5:$G$230="acoes"))*Inputs!$B$1+((Inputs!$G$5:$G$230&lt;&gt;"moeda")*(Inputs!$G$5:$G$230&lt;&gt;"acoes")))*INDEX(Inputs!$K$5:$AJ$230,0,MATCH(K$2,Inputs!$K$4:$AJ$4,0)))+SUMPRODUCT((Inputs!$E$5:$E$230=$B64)*Inputs!$F$5:$F$230*(((Inputs!$G$5:$G$230="moeda")+(Inputs!$G$5:$G$230="acoes"))*Inputs!$B$1+((Inputs!$G$5:$G$230&lt;&gt;"moeda")*(Inputs!$G$5:$G$230&lt;&gt;"acoes")))*INDEX(Inputs!$K$5:$AJ$230,0,MATCH(K$2,Inputs!$K$4:$AJ$4,0)))))</f>
        <v>4.914</v>
      </c>
      <c r="L64" s="6">
        <f>IF(ISNA(MATCH(L$2,Inputs!$K$4:$AJ$4,0)),NA(),IF(SUMPRODUCT((Inputs!$A$5:$A$230=$B64)*ISNUMBER(INDEX(Inputs!$K$5:$AJ$230,0,MATCH(L$2,Inputs!$K$4:$AJ$4,0))))+SUMPRODUCT((Inputs!$C$5:$C$230=$B64)*ISNUMBER(INDEX(Inputs!$K$5:$AJ$230,0,MATCH(L$2,Inputs!$K$4:$AJ$4,0))))+SUMPRODUCT((Inputs!$E$5:$E$230=$B64)*ISNUMBER(INDEX(Inputs!$K$5:$AJ$230,0,MATCH(L$2,Inputs!$K$4:$AJ$4,0))))=0,NA(),SUMPRODUCT((Inputs!$A$5:$A$230=$B64)*Inputs!$B$5:$B$230*(((Inputs!$G$5:$G$230="moeda")+(Inputs!$G$5:$G$230="acoes"))*Inputs!$B$1+((Inputs!$G$5:$G$230&lt;&gt;"moeda")*(Inputs!$G$5:$G$230&lt;&gt;"acoes")))*INDEX(Inputs!$K$5:$AJ$230,0,MATCH(L$2,Inputs!$K$4:$AJ$4,0)))+SUMPRODUCT((Inputs!$C$5:$C$230=$B64)*Inputs!$D$5:$D$230*(((Inputs!$G$5:$G$230="moeda")+(Inputs!$G$5:$G$230="acoes"))*Inputs!$B$1+((Inputs!$G$5:$G$230&lt;&gt;"moeda")*(Inputs!$G$5:$G$230&lt;&gt;"acoes")))*INDEX(Inputs!$K$5:$AJ$230,0,MATCH(L$2,Inputs!$K$4:$AJ$4,0)))+SUMPRODUCT((Inputs!$E$5:$E$230=$B64)*Inputs!$F$5:$F$230*(((Inputs!$G$5:$G$230="moeda")+(Inputs!$G$5:$G$230="acoes"))*Inputs!$B$1+((Inputs!$G$5:$G$230&lt;&gt;"moeda")*(Inputs!$G$5:$G$230&lt;&gt;"acoes")))*INDEX(Inputs!$K$5:$AJ$230,0,MATCH(L$2,Inputs!$K$4:$AJ$4,0)))))</f>
        <v>2.741</v>
      </c>
      <c r="M64" s="3">
        <f>SUM(I64:L64)</f>
        <v>24.466</v>
      </c>
      <c r="N64" s="6">
        <f>IF(ISNA(MATCH(N$2,Inputs!$K$4:$AJ$4,0)),NA(),IF(SUMPRODUCT((Inputs!$A$5:$A$230=$B64)*ISNUMBER(INDEX(Inputs!$K$5:$AJ$230,0,MATCH(N$2,Inputs!$K$4:$AJ$4,0))))+SUMPRODUCT((Inputs!$C$5:$C$230=$B64)*ISNUMBER(INDEX(Inputs!$K$5:$AJ$230,0,MATCH(N$2,Inputs!$K$4:$AJ$4,0))))+SUMPRODUCT((Inputs!$E$5:$E$230=$B64)*ISNUMBER(INDEX(Inputs!$K$5:$AJ$230,0,MATCH(N$2,Inputs!$K$4:$AJ$4,0))))=0,NA(),SUMPRODUCT((Inputs!$A$5:$A$230=$B64)*Inputs!$B$5:$B$230*(((Inputs!$G$5:$G$230="moeda")+(Inputs!$G$5:$G$230="acoes"))*Inputs!$B$1+((Inputs!$G$5:$G$230&lt;&gt;"moeda")*(Inputs!$G$5:$G$230&lt;&gt;"acoes")))*INDEX(Inputs!$K$5:$AJ$230,0,MATCH(N$2,Inputs!$K$4:$AJ$4,0)))+SUMPRODUCT((Inputs!$C$5:$C$230=$B64)*Inputs!$D$5:$D$230*(((Inputs!$G$5:$G$230="moeda")+(Inputs!$G$5:$G$230="acoes"))*Inputs!$B$1+((Inputs!$G$5:$G$230&lt;&gt;"moeda")*(Inputs!$G$5:$G$230&lt;&gt;"acoes")))*INDEX(Inputs!$K$5:$AJ$230,0,MATCH(N$2,Inputs!$K$4:$AJ$4,0)))+SUMPRODUCT((Inputs!$E$5:$E$230=$B64)*Inputs!$F$5:$F$230*(((Inputs!$G$5:$G$230="moeda")+(Inputs!$G$5:$G$230="acoes"))*Inputs!$B$1+((Inputs!$G$5:$G$230&lt;&gt;"moeda")*(Inputs!$G$5:$G$230&lt;&gt;"acoes")))*INDEX(Inputs!$K$5:$AJ$230,0,MATCH(N$2,Inputs!$K$4:$AJ$4,0)))))</f>
        <v>5.175</v>
      </c>
      <c r="O64" s="6">
        <f>IF(ISNA(MATCH(O$2,Inputs!$K$4:$AJ$4,0)),NA(),IF(SUMPRODUCT((Inputs!$A$5:$A$230=$B64)*ISNUMBER(INDEX(Inputs!$K$5:$AJ$230,0,MATCH(O$2,Inputs!$K$4:$AJ$4,0))))+SUMPRODUCT((Inputs!$C$5:$C$230=$B64)*ISNUMBER(INDEX(Inputs!$K$5:$AJ$230,0,MATCH(O$2,Inputs!$K$4:$AJ$4,0))))+SUMPRODUCT((Inputs!$E$5:$E$230=$B64)*ISNUMBER(INDEX(Inputs!$K$5:$AJ$230,0,MATCH(O$2,Inputs!$K$4:$AJ$4,0))))=0,NA(),SUMPRODUCT((Inputs!$A$5:$A$230=$B64)*Inputs!$B$5:$B$230*(((Inputs!$G$5:$G$230="moeda")+(Inputs!$G$5:$G$230="acoes"))*Inputs!$B$1+((Inputs!$G$5:$G$230&lt;&gt;"moeda")*(Inputs!$G$5:$G$230&lt;&gt;"acoes")))*INDEX(Inputs!$K$5:$AJ$230,0,MATCH(O$2,Inputs!$K$4:$AJ$4,0)))+SUMPRODUCT((Inputs!$C$5:$C$230=$B64)*Inputs!$D$5:$D$230*(((Inputs!$G$5:$G$230="moeda")+(Inputs!$G$5:$G$230="acoes"))*Inputs!$B$1+((Inputs!$G$5:$G$230&lt;&gt;"moeda")*(Inputs!$G$5:$G$230&lt;&gt;"acoes")))*INDEX(Inputs!$K$5:$AJ$230,0,MATCH(O$2,Inputs!$K$4:$AJ$4,0)))+SUMPRODUCT((Inputs!$E$5:$E$230=$B64)*Inputs!$F$5:$F$230*(((Inputs!$G$5:$G$230="moeda")+(Inputs!$G$5:$G$230="acoes"))*Inputs!$B$1+((Inputs!$G$5:$G$230&lt;&gt;"moeda")*(Inputs!$G$5:$G$230&lt;&gt;"acoes")))*INDEX(Inputs!$K$5:$AJ$230,0,MATCH(O$2,Inputs!$K$4:$AJ$4,0)))))</f>
        <v>2.442</v>
      </c>
      <c r="P64" s="6">
        <f>IF(ISNA(MATCH(P$2,Inputs!$K$4:$AJ$4,0)),NA(),IF(SUMPRODUCT((Inputs!$A$5:$A$230=$B64)*ISNUMBER(INDEX(Inputs!$K$5:$AJ$230,0,MATCH(P$2,Inputs!$K$4:$AJ$4,0))))+SUMPRODUCT((Inputs!$C$5:$C$230=$B64)*ISNUMBER(INDEX(Inputs!$K$5:$AJ$230,0,MATCH(P$2,Inputs!$K$4:$AJ$4,0))))+SUMPRODUCT((Inputs!$E$5:$E$230=$B64)*ISNUMBER(INDEX(Inputs!$K$5:$AJ$230,0,MATCH(P$2,Inputs!$K$4:$AJ$4,0))))=0,NA(),SUMPRODUCT((Inputs!$A$5:$A$230=$B64)*Inputs!$B$5:$B$230*(((Inputs!$G$5:$G$230="moeda")+(Inputs!$G$5:$G$230="acoes"))*Inputs!$B$1+((Inputs!$G$5:$G$230&lt;&gt;"moeda")*(Inputs!$G$5:$G$230&lt;&gt;"acoes")))*INDEX(Inputs!$K$5:$AJ$230,0,MATCH(P$2,Inputs!$K$4:$AJ$4,0)))+SUMPRODUCT((Inputs!$C$5:$C$230=$B64)*Inputs!$D$5:$D$230*(((Inputs!$G$5:$G$230="moeda")+(Inputs!$G$5:$G$230="acoes"))*Inputs!$B$1+((Inputs!$G$5:$G$230&lt;&gt;"moeda")*(Inputs!$G$5:$G$230&lt;&gt;"acoes")))*INDEX(Inputs!$K$5:$AJ$230,0,MATCH(P$2,Inputs!$K$4:$AJ$4,0)))+SUMPRODUCT((Inputs!$E$5:$E$230=$B64)*Inputs!$F$5:$F$230*(((Inputs!$G$5:$G$230="moeda")+(Inputs!$G$5:$G$230="acoes"))*Inputs!$B$1+((Inputs!$G$5:$G$230&lt;&gt;"moeda")*(Inputs!$G$5:$G$230&lt;&gt;"acoes")))*INDEX(Inputs!$K$5:$AJ$230,0,MATCH(P$2,Inputs!$K$4:$AJ$4,0)))))</f>
        <v>2.394</v>
      </c>
      <c r="Q64" s="6">
        <f>IF(ISNA(MATCH(Q$2,Inputs!$K$4:$AJ$4,0)),NA(),IF(SUMPRODUCT((Inputs!$A$5:$A$230=$B64)*ISNUMBER(INDEX(Inputs!$K$5:$AJ$230,0,MATCH(Q$2,Inputs!$K$4:$AJ$4,0))))+SUMPRODUCT((Inputs!$C$5:$C$230=$B64)*ISNUMBER(INDEX(Inputs!$K$5:$AJ$230,0,MATCH(Q$2,Inputs!$K$4:$AJ$4,0))))+SUMPRODUCT((Inputs!$E$5:$E$230=$B64)*ISNUMBER(INDEX(Inputs!$K$5:$AJ$230,0,MATCH(Q$2,Inputs!$K$4:$AJ$4,0))))=0,NA(),SUMPRODUCT((Inputs!$A$5:$A$230=$B64)*Inputs!$B$5:$B$230*(((Inputs!$G$5:$G$230="moeda")+(Inputs!$G$5:$G$230="acoes"))*Inputs!$B$1+((Inputs!$G$5:$G$230&lt;&gt;"moeda")*(Inputs!$G$5:$G$230&lt;&gt;"acoes")))*INDEX(Inputs!$K$5:$AJ$230,0,MATCH(Q$2,Inputs!$K$4:$AJ$4,0)))+SUMPRODUCT((Inputs!$C$5:$C$230=$B64)*Inputs!$D$5:$D$230*(((Inputs!$G$5:$G$230="moeda")+(Inputs!$G$5:$G$230="acoes"))*Inputs!$B$1+((Inputs!$G$5:$G$230&lt;&gt;"moeda")*(Inputs!$G$5:$G$230&lt;&gt;"acoes")))*INDEX(Inputs!$K$5:$AJ$230,0,MATCH(Q$2,Inputs!$K$4:$AJ$4,0)))+SUMPRODUCT((Inputs!$E$5:$E$230=$B64)*Inputs!$F$5:$F$230*(((Inputs!$G$5:$G$230="moeda")+(Inputs!$G$5:$G$230="acoes"))*Inputs!$B$1+((Inputs!$G$5:$G$230&lt;&gt;"moeda")*(Inputs!$G$5:$G$230&lt;&gt;"acoes")))*INDEX(Inputs!$K$5:$AJ$230,0,MATCH(Q$2,Inputs!$K$4:$AJ$4,0)))))</f>
        <v>5.415</v>
      </c>
      <c r="R64" s="3">
        <f>SUM(N64:Q64)</f>
        <v>15.426</v>
      </c>
      <c r="S64" s="6">
        <f>IF(ISNA(MATCH(S$2,Inputs!$K$4:$AJ$4,0)),NA(),IF(SUMPRODUCT((Inputs!$A$5:$A$230=$B64)*ISNUMBER(INDEX(Inputs!$K$5:$AJ$230,0,MATCH(S$2,Inputs!$K$4:$AJ$4,0))))+SUMPRODUCT((Inputs!$C$5:$C$230=$B64)*ISNUMBER(INDEX(Inputs!$K$5:$AJ$230,0,MATCH(S$2,Inputs!$K$4:$AJ$4,0))))+SUMPRODUCT((Inputs!$E$5:$E$230=$B64)*ISNUMBER(INDEX(Inputs!$K$5:$AJ$230,0,MATCH(S$2,Inputs!$K$4:$AJ$4,0))))=0,NA(),SUMPRODUCT((Inputs!$A$5:$A$230=$B64)*Inputs!$B$5:$B$230*(((Inputs!$G$5:$G$230="moeda")+(Inputs!$G$5:$G$230="acoes"))*Inputs!$B$1+((Inputs!$G$5:$G$230&lt;&gt;"moeda")*(Inputs!$G$5:$G$230&lt;&gt;"acoes")))*INDEX(Inputs!$K$5:$AJ$230,0,MATCH(S$2,Inputs!$K$4:$AJ$4,0)))+SUMPRODUCT((Inputs!$C$5:$C$230=$B64)*Inputs!$D$5:$D$230*(((Inputs!$G$5:$G$230="moeda")+(Inputs!$G$5:$G$230="acoes"))*Inputs!$B$1+((Inputs!$G$5:$G$230&lt;&gt;"moeda")*(Inputs!$G$5:$G$230&lt;&gt;"acoes")))*INDEX(Inputs!$K$5:$AJ$230,0,MATCH(S$2,Inputs!$K$4:$AJ$4,0)))+SUMPRODUCT((Inputs!$E$5:$E$230=$B64)*Inputs!$F$5:$F$230*(((Inputs!$G$5:$G$230="moeda")+(Inputs!$G$5:$G$230="acoes"))*Inputs!$B$1+((Inputs!$G$5:$G$230&lt;&gt;"moeda")*(Inputs!$G$5:$G$230&lt;&gt;"acoes")))*INDEX(Inputs!$K$5:$AJ$230,0,MATCH(S$2,Inputs!$K$4:$AJ$4,0)))))</f>
        <v>4.568</v>
      </c>
      <c r="T64" s="6">
        <f>IF(ISNA(MATCH(T$2,Inputs!$K$4:$AJ$4,0)),NA(),IF(SUMPRODUCT((Inputs!$A$5:$A$230=$B64)*ISNUMBER(INDEX(Inputs!$K$5:$AJ$230,0,MATCH(T$2,Inputs!$K$4:$AJ$4,0))))+SUMPRODUCT((Inputs!$C$5:$C$230=$B64)*ISNUMBER(INDEX(Inputs!$K$5:$AJ$230,0,MATCH(T$2,Inputs!$K$4:$AJ$4,0))))+SUMPRODUCT((Inputs!$E$5:$E$230=$B64)*ISNUMBER(INDEX(Inputs!$K$5:$AJ$230,0,MATCH(T$2,Inputs!$K$4:$AJ$4,0))))=0,NA(),SUMPRODUCT((Inputs!$A$5:$A$230=$B64)*Inputs!$B$5:$B$230*(((Inputs!$G$5:$G$230="moeda")+(Inputs!$G$5:$G$230="acoes"))*Inputs!$B$1+((Inputs!$G$5:$G$230&lt;&gt;"moeda")*(Inputs!$G$5:$G$230&lt;&gt;"acoes")))*INDEX(Inputs!$K$5:$AJ$230,0,MATCH(T$2,Inputs!$K$4:$AJ$4,0)))+SUMPRODUCT((Inputs!$C$5:$C$230=$B64)*Inputs!$D$5:$D$230*(((Inputs!$G$5:$G$230="moeda")+(Inputs!$G$5:$G$230="acoes"))*Inputs!$B$1+((Inputs!$G$5:$G$230&lt;&gt;"moeda")*(Inputs!$G$5:$G$230&lt;&gt;"acoes")))*INDEX(Inputs!$K$5:$AJ$230,0,MATCH(T$2,Inputs!$K$4:$AJ$4,0)))+SUMPRODUCT((Inputs!$E$5:$E$230=$B64)*Inputs!$F$5:$F$230*(((Inputs!$G$5:$G$230="moeda")+(Inputs!$G$5:$G$230="acoes"))*Inputs!$B$1+((Inputs!$G$5:$G$230&lt;&gt;"moeda")*(Inputs!$G$5:$G$230&lt;&gt;"acoes")))*INDEX(Inputs!$K$5:$AJ$230,0,MATCH(T$2,Inputs!$K$4:$AJ$4,0)))))</f>
        <v>4.898</v>
      </c>
      <c r="U64" s="6">
        <f>IF(ISNA(MATCH(U$2,Inputs!$K$4:$AJ$4,0)),NA(),IF(SUMPRODUCT((Inputs!$A$5:$A$230=$B64)*ISNUMBER(INDEX(Inputs!$K$5:$AJ$230,0,MATCH(U$2,Inputs!$K$4:$AJ$4,0))))+SUMPRODUCT((Inputs!$C$5:$C$230=$B64)*ISNUMBER(INDEX(Inputs!$K$5:$AJ$230,0,MATCH(U$2,Inputs!$K$4:$AJ$4,0))))+SUMPRODUCT((Inputs!$E$5:$E$230=$B64)*ISNUMBER(INDEX(Inputs!$K$5:$AJ$230,0,MATCH(U$2,Inputs!$K$4:$AJ$4,0))))=0,NA(),SUMPRODUCT((Inputs!$A$5:$A$230=$B64)*Inputs!$B$5:$B$230*(((Inputs!$G$5:$G$230="moeda")+(Inputs!$G$5:$G$230="acoes"))*Inputs!$B$1+((Inputs!$G$5:$G$230&lt;&gt;"moeda")*(Inputs!$G$5:$G$230&lt;&gt;"acoes")))*INDEX(Inputs!$K$5:$AJ$230,0,MATCH(U$2,Inputs!$K$4:$AJ$4,0)))+SUMPRODUCT((Inputs!$C$5:$C$230=$B64)*Inputs!$D$5:$D$230*(((Inputs!$G$5:$G$230="moeda")+(Inputs!$G$5:$G$230="acoes"))*Inputs!$B$1+((Inputs!$G$5:$G$230&lt;&gt;"moeda")*(Inputs!$G$5:$G$230&lt;&gt;"acoes")))*INDEX(Inputs!$K$5:$AJ$230,0,MATCH(U$2,Inputs!$K$4:$AJ$4,0)))+SUMPRODUCT((Inputs!$E$5:$E$230=$B64)*Inputs!$F$5:$F$230*(((Inputs!$G$5:$G$230="moeda")+(Inputs!$G$5:$G$230="acoes"))*Inputs!$B$1+((Inputs!$G$5:$G$230&lt;&gt;"moeda")*(Inputs!$G$5:$G$230&lt;&gt;"acoes")))*INDEX(Inputs!$K$5:$AJ$230,0,MATCH(U$2,Inputs!$K$4:$AJ$4,0)))))</f>
        <v>5.485</v>
      </c>
      <c r="V64" s="6">
        <f>IF(ISNA(MATCH(V$2,Inputs!$K$4:$AJ$4,0)),NA(),IF(SUMPRODUCT((Inputs!$A$5:$A$230=$B64)*ISNUMBER(INDEX(Inputs!$K$5:$AJ$230,0,MATCH(V$2,Inputs!$K$4:$AJ$4,0))))+SUMPRODUCT((Inputs!$C$5:$C$230=$B64)*ISNUMBER(INDEX(Inputs!$K$5:$AJ$230,0,MATCH(V$2,Inputs!$K$4:$AJ$4,0))))+SUMPRODUCT((Inputs!$E$5:$E$230=$B64)*ISNUMBER(INDEX(Inputs!$K$5:$AJ$230,0,MATCH(V$2,Inputs!$K$4:$AJ$4,0))))=0,NA(),SUMPRODUCT((Inputs!$A$5:$A$230=$B64)*Inputs!$B$5:$B$230*(((Inputs!$G$5:$G$230="moeda")+(Inputs!$G$5:$G$230="acoes"))*Inputs!$B$1+((Inputs!$G$5:$G$230&lt;&gt;"moeda")*(Inputs!$G$5:$G$230&lt;&gt;"acoes")))*INDEX(Inputs!$K$5:$AJ$230,0,MATCH(V$2,Inputs!$K$4:$AJ$4,0)))+SUMPRODUCT((Inputs!$C$5:$C$230=$B64)*Inputs!$D$5:$D$230*(((Inputs!$G$5:$G$230="moeda")+(Inputs!$G$5:$G$230="acoes"))*Inputs!$B$1+((Inputs!$G$5:$G$230&lt;&gt;"moeda")*(Inputs!$G$5:$G$230&lt;&gt;"acoes")))*INDEX(Inputs!$K$5:$AJ$230,0,MATCH(V$2,Inputs!$K$4:$AJ$4,0)))+SUMPRODUCT((Inputs!$E$5:$E$230=$B64)*Inputs!$F$5:$F$230*(((Inputs!$G$5:$G$230="moeda")+(Inputs!$G$5:$G$230="acoes"))*Inputs!$B$1+((Inputs!$G$5:$G$230&lt;&gt;"moeda")*(Inputs!$G$5:$G$230&lt;&gt;"acoes")))*INDEX(Inputs!$K$5:$AJ$230,0,MATCH(V$2,Inputs!$K$4:$AJ$4,0)))))</f>
        <v>6.781</v>
      </c>
      <c r="W64" s="3">
        <f>SUM(S64:V64)</f>
        <v>21.732</v>
      </c>
      <c r="X64" s="6">
        <f>IF(ISNA(MATCH(X$2,Inputs!$K$4:$AJ$4,0)),NA(),IF(SUMPRODUCT((Inputs!$A$5:$A$230=$B64)*ISNUMBER(INDEX(Inputs!$K$5:$AJ$230,0,MATCH(X$2,Inputs!$K$4:$AJ$4,0))))+SUMPRODUCT((Inputs!$C$5:$C$230=$B64)*ISNUMBER(INDEX(Inputs!$K$5:$AJ$230,0,MATCH(X$2,Inputs!$K$4:$AJ$4,0))))+SUMPRODUCT((Inputs!$E$5:$E$230=$B64)*ISNUMBER(INDEX(Inputs!$K$5:$AJ$230,0,MATCH(X$2,Inputs!$K$4:$AJ$4,0))))=0,NA(),SUMPRODUCT((Inputs!$A$5:$A$230=$B64)*Inputs!$B$5:$B$230*(((Inputs!$G$5:$G$230="moeda")+(Inputs!$G$5:$G$230="acoes"))*Inputs!$B$1+((Inputs!$G$5:$G$230&lt;&gt;"moeda")*(Inputs!$G$5:$G$230&lt;&gt;"acoes")))*INDEX(Inputs!$K$5:$AJ$230,0,MATCH(X$2,Inputs!$K$4:$AJ$4,0)))+SUMPRODUCT((Inputs!$C$5:$C$230=$B64)*Inputs!$D$5:$D$230*(((Inputs!$G$5:$G$230="moeda")+(Inputs!$G$5:$G$230="acoes"))*Inputs!$B$1+((Inputs!$G$5:$G$230&lt;&gt;"moeda")*(Inputs!$G$5:$G$230&lt;&gt;"acoes")))*INDEX(Inputs!$K$5:$AJ$230,0,MATCH(X$2,Inputs!$K$4:$AJ$4,0)))+SUMPRODUCT((Inputs!$E$5:$E$230=$B64)*Inputs!$F$5:$F$230*(((Inputs!$G$5:$G$230="moeda")+(Inputs!$G$5:$G$230="acoes"))*Inputs!$B$1+((Inputs!$G$5:$G$230&lt;&gt;"moeda")*(Inputs!$G$5:$G$230&lt;&gt;"acoes")))*INDEX(Inputs!$K$5:$AJ$230,0,MATCH(X$2,Inputs!$K$4:$AJ$4,0)))))</f>
        <v>6.045</v>
      </c>
      <c r="Y64" s="6">
        <f>IF(ISNA(MATCH(Y$2,Inputs!$K$4:$AJ$4,0)),NA(),IF(SUMPRODUCT((Inputs!$A$5:$A$230=$B64)*ISNUMBER(INDEX(Inputs!$K$5:$AJ$230,0,MATCH(Y$2,Inputs!$K$4:$AJ$4,0))))+SUMPRODUCT((Inputs!$C$5:$C$230=$B64)*ISNUMBER(INDEX(Inputs!$K$5:$AJ$230,0,MATCH(Y$2,Inputs!$K$4:$AJ$4,0))))+SUMPRODUCT((Inputs!$E$5:$E$230=$B64)*ISNUMBER(INDEX(Inputs!$K$5:$AJ$230,0,MATCH(Y$2,Inputs!$K$4:$AJ$4,0))))=0,NA(),SUMPRODUCT((Inputs!$A$5:$A$230=$B64)*Inputs!$B$5:$B$230*(((Inputs!$G$5:$G$230="moeda")+(Inputs!$G$5:$G$230="acoes"))*Inputs!$B$1+((Inputs!$G$5:$G$230&lt;&gt;"moeda")*(Inputs!$G$5:$G$230&lt;&gt;"acoes")))*INDEX(Inputs!$K$5:$AJ$230,0,MATCH(Y$2,Inputs!$K$4:$AJ$4,0)))+SUMPRODUCT((Inputs!$C$5:$C$230=$B64)*Inputs!$D$5:$D$230*(((Inputs!$G$5:$G$230="moeda")+(Inputs!$G$5:$G$230="acoes"))*Inputs!$B$1+((Inputs!$G$5:$G$230&lt;&gt;"moeda")*(Inputs!$G$5:$G$230&lt;&gt;"acoes")))*INDEX(Inputs!$K$5:$AJ$230,0,MATCH(Y$2,Inputs!$K$4:$AJ$4,0)))+SUMPRODUCT((Inputs!$E$5:$E$230=$B64)*Inputs!$F$5:$F$230*(((Inputs!$G$5:$G$230="moeda")+(Inputs!$G$5:$G$230="acoes"))*Inputs!$B$1+((Inputs!$G$5:$G$230&lt;&gt;"moeda")*(Inputs!$G$5:$G$230&lt;&gt;"acoes")))*INDEX(Inputs!$K$5:$AJ$230,0,MATCH(Y$2,Inputs!$K$4:$AJ$4,0)))))</f>
        <v>3.906</v>
      </c>
      <c r="Z64" s="6">
        <f>IF(ISNA(MATCH(Z$2,Inputs!$K$4:$AJ$4,0)),NA(),IF(SUMPRODUCT((Inputs!$A$5:$A$230=$B64)*ISNUMBER(INDEX(Inputs!$K$5:$AJ$230,0,MATCH(Z$2,Inputs!$K$4:$AJ$4,0))))+SUMPRODUCT((Inputs!$C$5:$C$230=$B64)*ISNUMBER(INDEX(Inputs!$K$5:$AJ$230,0,MATCH(Z$2,Inputs!$K$4:$AJ$4,0))))+SUMPRODUCT((Inputs!$E$5:$E$230=$B64)*ISNUMBER(INDEX(Inputs!$K$5:$AJ$230,0,MATCH(Z$2,Inputs!$K$4:$AJ$4,0))))=0,NA(),SUMPRODUCT((Inputs!$A$5:$A$230=$B64)*Inputs!$B$5:$B$230*(((Inputs!$G$5:$G$230="moeda")+(Inputs!$G$5:$G$230="acoes"))*Inputs!$B$1+((Inputs!$G$5:$G$230&lt;&gt;"moeda")*(Inputs!$G$5:$G$230&lt;&gt;"acoes")))*INDEX(Inputs!$K$5:$AJ$230,0,MATCH(Z$2,Inputs!$K$4:$AJ$4,0)))+SUMPRODUCT((Inputs!$C$5:$C$230=$B64)*Inputs!$D$5:$D$230*(((Inputs!$G$5:$G$230="moeda")+(Inputs!$G$5:$G$230="acoes"))*Inputs!$B$1+((Inputs!$G$5:$G$230&lt;&gt;"moeda")*(Inputs!$G$5:$G$230&lt;&gt;"acoes")))*INDEX(Inputs!$K$5:$AJ$230,0,MATCH(Z$2,Inputs!$K$4:$AJ$4,0)))+SUMPRODUCT((Inputs!$E$5:$E$230=$B64)*Inputs!$F$5:$F$230*(((Inputs!$G$5:$G$230="moeda")+(Inputs!$G$5:$G$230="acoes"))*Inputs!$B$1+((Inputs!$G$5:$G$230&lt;&gt;"moeda")*(Inputs!$G$5:$G$230&lt;&gt;"acoes")))*INDEX(Inputs!$K$5:$AJ$230,0,MATCH(Z$2,Inputs!$K$4:$AJ$4,0)))))</f>
        <v>3.082</v>
      </c>
      <c r="AA64" s="6">
        <f>IF(ISNA(MATCH(AA$2,Inputs!$K$4:$AJ$4,0)),NA(),IF(SUMPRODUCT((Inputs!$A$5:$A$230=$B64)*ISNUMBER(INDEX(Inputs!$K$5:$AJ$230,0,MATCH(AA$2,Inputs!$K$4:$AJ$4,0))))+SUMPRODUCT((Inputs!$C$5:$C$230=$B64)*ISNUMBER(INDEX(Inputs!$K$5:$AJ$230,0,MATCH(AA$2,Inputs!$K$4:$AJ$4,0))))+SUMPRODUCT((Inputs!$E$5:$E$230=$B64)*ISNUMBER(INDEX(Inputs!$K$5:$AJ$230,0,MATCH(AA$2,Inputs!$K$4:$AJ$4,0))))=0,NA(),SUMPRODUCT((Inputs!$A$5:$A$230=$B64)*Inputs!$B$5:$B$230*(((Inputs!$G$5:$G$230="moeda")+(Inputs!$G$5:$G$230="acoes"))*Inputs!$B$1+((Inputs!$G$5:$G$230&lt;&gt;"moeda")*(Inputs!$G$5:$G$230&lt;&gt;"acoes")))*INDEX(Inputs!$K$5:$AJ$230,0,MATCH(AA$2,Inputs!$K$4:$AJ$4,0)))+SUMPRODUCT((Inputs!$C$5:$C$230=$B64)*Inputs!$D$5:$D$230*(((Inputs!$G$5:$G$230="moeda")+(Inputs!$G$5:$G$230="acoes"))*Inputs!$B$1+((Inputs!$G$5:$G$230&lt;&gt;"moeda")*(Inputs!$G$5:$G$230&lt;&gt;"acoes")))*INDEX(Inputs!$K$5:$AJ$230,0,MATCH(AA$2,Inputs!$K$4:$AJ$4,0)))+SUMPRODUCT((Inputs!$E$5:$E$230=$B64)*Inputs!$F$5:$F$230*(((Inputs!$G$5:$G$230="moeda")+(Inputs!$G$5:$G$230="acoes"))*Inputs!$B$1+((Inputs!$G$5:$G$230&lt;&gt;"moeda")*(Inputs!$G$5:$G$230&lt;&gt;"acoes")))*INDEX(Inputs!$K$5:$AJ$230,0,MATCH(AA$2,Inputs!$K$4:$AJ$4,0)))))</f>
        <v>4.63</v>
      </c>
      <c r="AB64" s="3">
        <f>SUM(X64:AA64)</f>
        <v>17.663</v>
      </c>
      <c r="AC64" s="6">
        <f>IF(ISNA(MATCH(AC$2,Inputs!$K$4:$AJ$4,0)),NA(),IF(SUMPRODUCT((Inputs!$A$5:$A$230=$B64)*ISNUMBER(INDEX(Inputs!$K$5:$AJ$230,0,MATCH(AC$2,Inputs!$K$4:$AJ$4,0))))+SUMPRODUCT((Inputs!$C$5:$C$230=$B64)*ISNUMBER(INDEX(Inputs!$K$5:$AJ$230,0,MATCH(AC$2,Inputs!$K$4:$AJ$4,0))))+SUMPRODUCT((Inputs!$E$5:$E$230=$B64)*ISNUMBER(INDEX(Inputs!$K$5:$AJ$230,0,MATCH(AC$2,Inputs!$K$4:$AJ$4,0))))=0,NA(),SUMPRODUCT((Inputs!$A$5:$A$230=$B64)*Inputs!$B$5:$B$230*(((Inputs!$G$5:$G$230="moeda")+(Inputs!$G$5:$G$230="acoes"))*Inputs!$B$1+((Inputs!$G$5:$G$230&lt;&gt;"moeda")*(Inputs!$G$5:$G$230&lt;&gt;"acoes")))*INDEX(Inputs!$K$5:$AJ$230,0,MATCH(AC$2,Inputs!$K$4:$AJ$4,0)))+SUMPRODUCT((Inputs!$C$5:$C$230=$B64)*Inputs!$D$5:$D$230*(((Inputs!$G$5:$G$230="moeda")+(Inputs!$G$5:$G$230="acoes"))*Inputs!$B$1+((Inputs!$G$5:$G$230&lt;&gt;"moeda")*(Inputs!$G$5:$G$230&lt;&gt;"acoes")))*INDEX(Inputs!$K$5:$AJ$230,0,MATCH(AC$2,Inputs!$K$4:$AJ$4,0)))+SUMPRODUCT((Inputs!$E$5:$E$230=$B64)*Inputs!$F$5:$F$230*(((Inputs!$G$5:$G$230="moeda")+(Inputs!$G$5:$G$230="acoes"))*Inputs!$B$1+((Inputs!$G$5:$G$230&lt;&gt;"moeda")*(Inputs!$G$5:$G$230&lt;&gt;"acoes")))*INDEX(Inputs!$K$5:$AJ$230,0,MATCH(AC$2,Inputs!$K$4:$AJ$4,0)))))</f>
        <v>4.147</v>
      </c>
      <c r="AD64" s="6">
        <f>IF(ISNA(MATCH(AD$2,Inputs!$K$4:$AJ$4,0)),NA(),IF(SUMPRODUCT((Inputs!$A$5:$A$230=$B64)*ISNUMBER(INDEX(Inputs!$K$5:$AJ$230,0,MATCH(AD$2,Inputs!$K$4:$AJ$4,0))))+SUMPRODUCT((Inputs!$C$5:$C$230=$B64)*ISNUMBER(INDEX(Inputs!$K$5:$AJ$230,0,MATCH(AD$2,Inputs!$K$4:$AJ$4,0))))+SUMPRODUCT((Inputs!$E$5:$E$230=$B64)*ISNUMBER(INDEX(Inputs!$K$5:$AJ$230,0,MATCH(AD$2,Inputs!$K$4:$AJ$4,0))))=0,NA(),SUMPRODUCT((Inputs!$A$5:$A$230=$B64)*Inputs!$B$5:$B$230*(((Inputs!$G$5:$G$230="moeda")+(Inputs!$G$5:$G$230="acoes"))*Inputs!$B$1+((Inputs!$G$5:$G$230&lt;&gt;"moeda")*(Inputs!$G$5:$G$230&lt;&gt;"acoes")))*INDEX(Inputs!$K$5:$AJ$230,0,MATCH(AD$2,Inputs!$K$4:$AJ$4,0)))+SUMPRODUCT((Inputs!$C$5:$C$230=$B64)*Inputs!$D$5:$D$230*(((Inputs!$G$5:$G$230="moeda")+(Inputs!$G$5:$G$230="acoes"))*Inputs!$B$1+((Inputs!$G$5:$G$230&lt;&gt;"moeda")*(Inputs!$G$5:$G$230&lt;&gt;"acoes")))*INDEX(Inputs!$K$5:$AJ$230,0,MATCH(AD$2,Inputs!$K$4:$AJ$4,0)))+SUMPRODUCT((Inputs!$E$5:$E$230=$B64)*Inputs!$F$5:$F$230*(((Inputs!$G$5:$G$230="moeda")+(Inputs!$G$5:$G$230="acoes"))*Inputs!$B$1+((Inputs!$G$5:$G$230&lt;&gt;"moeda")*(Inputs!$G$5:$G$230&lt;&gt;"acoes")))*INDEX(Inputs!$K$5:$AJ$230,0,MATCH(AD$2,Inputs!$K$4:$AJ$4,0)))))</f>
        <v>7.297</v>
      </c>
      <c r="AE64" s="6" t="e">
        <f>IF(ISNA(MATCH(AE$2,Inputs!$K$4:$AJ$4,0)),NA(),IF(SUMPRODUCT((Inputs!$A$5:$A$230=$B64)*ISNUMBER(INDEX(Inputs!$K$5:$AJ$230,0,MATCH(AE$2,Inputs!$K$4:$AJ$4,0))))+SUMPRODUCT((Inputs!$C$5:$C$230=$B64)*ISNUMBER(INDEX(Inputs!$K$5:$AJ$230,0,MATCH(AE$2,Inputs!$K$4:$AJ$4,0))))+SUMPRODUCT((Inputs!$E$5:$E$230=$B64)*ISNUMBER(INDEX(Inputs!$K$5:$AJ$230,0,MATCH(AE$2,Inputs!$K$4:$AJ$4,0))))=0,NA(),SUMPRODUCT((Inputs!$A$5:$A$230=$B64)*Inputs!$B$5:$B$230*(((Inputs!$G$5:$G$230="moeda")+(Inputs!$G$5:$G$230="acoes"))*Inputs!$B$1+((Inputs!$G$5:$G$230&lt;&gt;"moeda")*(Inputs!$G$5:$G$230&lt;&gt;"acoes")))*INDEX(Inputs!$K$5:$AJ$230,0,MATCH(AE$2,Inputs!$K$4:$AJ$4,0)))+SUMPRODUCT((Inputs!$C$5:$C$230=$B64)*Inputs!$D$5:$D$230*(((Inputs!$G$5:$G$230="moeda")+(Inputs!$G$5:$G$230="acoes"))*Inputs!$B$1+((Inputs!$G$5:$G$230&lt;&gt;"moeda")*(Inputs!$G$5:$G$230&lt;&gt;"acoes")))*INDEX(Inputs!$K$5:$AJ$230,0,MATCH(AE$2,Inputs!$K$4:$AJ$4,0)))+SUMPRODUCT((Inputs!$E$5:$E$230=$B64)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4" s="6" t="e">
        <f>IF(ISNA(MATCH(AF$2,Inputs!$K$4:$AJ$4,0)),NA(),IF(SUMPRODUCT((Inputs!$A$5:$A$230=$B64)*ISNUMBER(INDEX(Inputs!$K$5:$AJ$230,0,MATCH(AF$2,Inputs!$K$4:$AJ$4,0))))+SUMPRODUCT((Inputs!$C$5:$C$230=$B64)*ISNUMBER(INDEX(Inputs!$K$5:$AJ$230,0,MATCH(AF$2,Inputs!$K$4:$AJ$4,0))))+SUMPRODUCT((Inputs!$E$5:$E$230=$B64)*ISNUMBER(INDEX(Inputs!$K$5:$AJ$230,0,MATCH(AF$2,Inputs!$K$4:$AJ$4,0))))=0,NA(),SUMPRODUCT((Inputs!$A$5:$A$230=$B64)*Inputs!$B$5:$B$230*(((Inputs!$G$5:$G$230="moeda")+(Inputs!$G$5:$G$230="acoes"))*Inputs!$B$1+((Inputs!$G$5:$G$230&lt;&gt;"moeda")*(Inputs!$G$5:$G$230&lt;&gt;"acoes")))*INDEX(Inputs!$K$5:$AJ$230,0,MATCH(AF$2,Inputs!$K$4:$AJ$4,0)))+SUMPRODUCT((Inputs!$C$5:$C$230=$B64)*Inputs!$D$5:$D$230*(((Inputs!$G$5:$G$230="moeda")+(Inputs!$G$5:$G$230="acoes"))*Inputs!$B$1+((Inputs!$G$5:$G$230&lt;&gt;"moeda")*(Inputs!$G$5:$G$230&lt;&gt;"acoes")))*INDEX(Inputs!$K$5:$AJ$230,0,MATCH(AF$2,Inputs!$K$4:$AJ$4,0)))+SUMPRODUCT((Inputs!$E$5:$E$230=$B64)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4" s="3" t="e">
        <f>SUM(AC64:AF64)</f>
        <v>#N/A</v>
      </c>
      <c r="AH64" s="6">
        <f>IF(ISNA(MATCH(AH$2,Inputs!$K$4:$AJ$4,0)),NA(),IF(SUMPRODUCT((Inputs!$A$5:$A$230=$B64)*ISNUMBER(INDEX(Inputs!$K$5:$AJ$230,0,MATCH(AH$2,Inputs!$K$4:$AJ$4,0))))+SUMPRODUCT((Inputs!$C$5:$C$230=$B64)*ISNUMBER(INDEX(Inputs!$K$5:$AJ$230,0,MATCH(AH$2,Inputs!$K$4:$AJ$4,0))))+SUMPRODUCT((Inputs!$E$5:$E$230=$B64)*ISNUMBER(INDEX(Inputs!$K$5:$AJ$230,0,MATCH(AH$2,Inputs!$K$4:$AJ$4,0))))=0,NA(),SUMPRODUCT((Inputs!$A$5:$A$230=$B64)*Inputs!$B$5:$B$230*(((Inputs!$G$5:$G$230="moeda")+(Inputs!$G$5:$G$230="acoes"))*Inputs!$B$1+((Inputs!$G$5:$G$230&lt;&gt;"moeda")*(Inputs!$G$5:$G$230&lt;&gt;"acoes")))*INDEX(Inputs!$K$5:$AJ$230,0,MATCH(AH$2,Inputs!$K$4:$AJ$4,0)))+SUMPRODUCT((Inputs!$C$5:$C$230=$B64)*Inputs!$D$5:$D$230*(((Inputs!$G$5:$G$230="moeda")+(Inputs!$G$5:$G$230="acoes"))*Inputs!$B$1+((Inputs!$G$5:$G$230&lt;&gt;"moeda")*(Inputs!$G$5:$G$230&lt;&gt;"acoes")))*INDEX(Inputs!$K$5:$AJ$230,0,MATCH(AH$2,Inputs!$K$4:$AJ$4,0)))+SUMPRODUCT((Inputs!$E$5:$E$230=$B64)*Inputs!$F$5:$F$230*(((Inputs!$G$5:$G$230="moeda")+(Inputs!$G$5:$G$230="acoes"))*Inputs!$B$1+((Inputs!$G$5:$G$230&lt;&gt;"moeda")*(Inputs!$G$5:$G$230&lt;&gt;"acoes")))*INDEX(Inputs!$K$5:$AJ$230,0,MATCH(AH$2,Inputs!$K$4:$AJ$4,0)))))</f>
        <v>6.182</v>
      </c>
      <c r="AI64" s="6">
        <f>IF(ISNA(MATCH(AI$2,Inputs!$K$4:$AJ$4,0)),NA(),IF(SUMPRODUCT((Inputs!$A$5:$A$230=$B64)*ISNUMBER(INDEX(Inputs!$K$5:$AJ$230,0,MATCH(AI$2,Inputs!$K$4:$AJ$4,0))))+SUMPRODUCT((Inputs!$C$5:$C$230=$B64)*ISNUMBER(INDEX(Inputs!$K$5:$AJ$230,0,MATCH(AI$2,Inputs!$K$4:$AJ$4,0))))+SUMPRODUCT((Inputs!$E$5:$E$230=$B64)*ISNUMBER(INDEX(Inputs!$K$5:$AJ$230,0,MATCH(AI$2,Inputs!$K$4:$AJ$4,0))))=0,NA(),SUMPRODUCT((Inputs!$A$5:$A$230=$B64)*Inputs!$B$5:$B$230*(((Inputs!$G$5:$G$230="moeda")+(Inputs!$G$5:$G$230="acoes"))*Inputs!$B$1+((Inputs!$G$5:$G$230&lt;&gt;"moeda")*(Inputs!$G$5:$G$230&lt;&gt;"acoes")))*INDEX(Inputs!$K$5:$AJ$230,0,MATCH(AI$2,Inputs!$K$4:$AJ$4,0)))+SUMPRODUCT((Inputs!$C$5:$C$230=$B64)*Inputs!$D$5:$D$230*(((Inputs!$G$5:$G$230="moeda")+(Inputs!$G$5:$G$230="acoes"))*Inputs!$B$1+((Inputs!$G$5:$G$230&lt;&gt;"moeda")*(Inputs!$G$5:$G$230&lt;&gt;"acoes")))*INDEX(Inputs!$K$5:$AJ$230,0,MATCH(AI$2,Inputs!$K$4:$AJ$4,0)))+SUMPRODUCT((Inputs!$E$5:$E$230=$B64)*Inputs!$F$5:$F$230*(((Inputs!$G$5:$G$230="moeda")+(Inputs!$G$5:$G$230="acoes"))*Inputs!$B$1+((Inputs!$G$5:$G$230&lt;&gt;"moeda")*(Inputs!$G$5:$G$230&lt;&gt;"acoes")))*INDEX(Inputs!$K$5:$AJ$230,0,MATCH(AI$2,Inputs!$K$4:$AJ$4,0)))))</f>
        <v>6.102</v>
      </c>
      <c r="AJ64" s="6">
        <f>IF(ISNA(MATCH(AJ$2,Inputs!$K$4:$AJ$4,0)),NA(),IF(SUMPRODUCT((Inputs!$A$5:$A$230=$B64)*ISNUMBER(INDEX(Inputs!$K$5:$AJ$230,0,MATCH(AJ$2,Inputs!$K$4:$AJ$4,0))))+SUMPRODUCT((Inputs!$C$5:$C$230=$B64)*ISNUMBER(INDEX(Inputs!$K$5:$AJ$230,0,MATCH(AJ$2,Inputs!$K$4:$AJ$4,0))))+SUMPRODUCT((Inputs!$E$5:$E$230=$B64)*ISNUMBER(INDEX(Inputs!$K$5:$AJ$230,0,MATCH(AJ$2,Inputs!$K$4:$AJ$4,0))))=0,NA(),SUMPRODUCT((Inputs!$A$5:$A$230=$B64)*Inputs!$B$5:$B$230*(((Inputs!$G$5:$G$230="moeda")+(Inputs!$G$5:$G$230="acoes"))*Inputs!$B$1+((Inputs!$G$5:$G$230&lt;&gt;"moeda")*(Inputs!$G$5:$G$230&lt;&gt;"acoes")))*INDEX(Inputs!$K$5:$AJ$230,0,MATCH(AJ$2,Inputs!$K$4:$AJ$4,0)))+SUMPRODUCT((Inputs!$C$5:$C$230=$B64)*Inputs!$D$5:$D$230*(((Inputs!$G$5:$G$230="moeda")+(Inputs!$G$5:$G$230="acoes"))*Inputs!$B$1+((Inputs!$G$5:$G$230&lt;&gt;"moeda")*(Inputs!$G$5:$G$230&lt;&gt;"acoes")))*INDEX(Inputs!$K$5:$AJ$230,0,MATCH(AJ$2,Inputs!$K$4:$AJ$4,0)))+SUMPRODUCT((Inputs!$E$5:$E$230=$B64)*Inputs!$F$5:$F$230*(((Inputs!$G$5:$G$230="moeda")+(Inputs!$G$5:$G$230="acoes"))*Inputs!$B$1+((Inputs!$G$5:$G$230&lt;&gt;"moeda")*(Inputs!$G$5:$G$230&lt;&gt;"acoes")))*INDEX(Inputs!$K$5:$AJ$230,0,MATCH(AJ$2,Inputs!$K$4:$AJ$4,0)))))</f>
        <v>8.912</v>
      </c>
      <c r="AK64" s="6">
        <f>IF(ISNA(MATCH(AK$2,Inputs!$K$4:$AJ$4,0)),NA(),IF(SUMPRODUCT((Inputs!$A$5:$A$230=$B64)*ISNUMBER(INDEX(Inputs!$K$5:$AJ$230,0,MATCH(AK$2,Inputs!$K$4:$AJ$4,0))))+SUMPRODUCT((Inputs!$C$5:$C$230=$B64)*ISNUMBER(INDEX(Inputs!$K$5:$AJ$230,0,MATCH(AK$2,Inputs!$K$4:$AJ$4,0))))+SUMPRODUCT((Inputs!$E$5:$E$230=$B64)*ISNUMBER(INDEX(Inputs!$K$5:$AJ$230,0,MATCH(AK$2,Inputs!$K$4:$AJ$4,0))))=0,NA(),SUMPRODUCT((Inputs!$A$5:$A$230=$B64)*Inputs!$B$5:$B$230*(((Inputs!$G$5:$G$230="moeda")+(Inputs!$G$5:$G$230="acoes"))*Inputs!$B$1+((Inputs!$G$5:$G$230&lt;&gt;"moeda")*(Inputs!$G$5:$G$230&lt;&gt;"acoes")))*INDEX(Inputs!$K$5:$AJ$230,0,MATCH(AK$2,Inputs!$K$4:$AJ$4,0)))+SUMPRODUCT((Inputs!$C$5:$C$230=$B64)*Inputs!$D$5:$D$230*(((Inputs!$G$5:$G$230="moeda")+(Inputs!$G$5:$G$230="acoes"))*Inputs!$B$1+((Inputs!$G$5:$G$230&lt;&gt;"moeda")*(Inputs!$G$5:$G$230&lt;&gt;"acoes")))*INDEX(Inputs!$K$5:$AJ$230,0,MATCH(AK$2,Inputs!$K$4:$AJ$4,0)))+SUMPRODUCT((Inputs!$E$5:$E$230=$B64)*Inputs!$F$5:$F$230*(((Inputs!$G$5:$G$230="moeda")+(Inputs!$G$5:$G$230="acoes"))*Inputs!$B$1+((Inputs!$G$5:$G$230&lt;&gt;"moeda")*(Inputs!$G$5:$G$230&lt;&gt;"acoes")))*INDEX(Inputs!$K$5:$AJ$230,0,MATCH(AK$2,Inputs!$K$4:$AJ$4,0)))))</f>
        <v>12.35</v>
      </c>
      <c r="AL64" s="3">
        <f>SUM(AH64:AK64)</f>
        <v>33.546</v>
      </c>
    </row>
    <row r="65">
      <c r="B65" s="46" t="n">
        <v>57</v>
      </c>
      <c r="C65" s="29" t="inlineStr">
        <is>
          <t>Transmissao | STC</t>
        </is>
      </c>
      <c r="D65" s="6">
        <f>IF(ISNA(MATCH(D$2,Inputs!$K$4:$AJ$4,0)),NA(),IF(SUMPRODUCT((Inputs!$A$5:$A$230=$B65)*ISNUMBER(INDEX(Inputs!$K$5:$AJ$230,0,MATCH(D$2,Inputs!$K$4:$AJ$4,0))))+SUMPRODUCT((Inputs!$C$5:$C$230=$B65)*ISNUMBER(INDEX(Inputs!$K$5:$AJ$230,0,MATCH(D$2,Inputs!$K$4:$AJ$4,0))))+SUMPRODUCT((Inputs!$E$5:$E$230=$B65)*ISNUMBER(INDEX(Inputs!$K$5:$AJ$230,0,MATCH(D$2,Inputs!$K$4:$AJ$4,0))))=0,NA(),SUMPRODUCT((Inputs!$A$5:$A$230=$B65)*Inputs!$B$5:$B$230*(((Inputs!$G$5:$G$230="moeda")+(Inputs!$G$5:$G$230="acoes"))*Inputs!$B$1+((Inputs!$G$5:$G$230&lt;&gt;"moeda")*(Inputs!$G$5:$G$230&lt;&gt;"acoes")))*INDEX(Inputs!$K$5:$AJ$230,0,MATCH(D$2,Inputs!$K$4:$AJ$4,0)))+SUMPRODUCT((Inputs!$C$5:$C$230=$B65)*Inputs!$D$5:$D$230*(((Inputs!$G$5:$G$230="moeda")+(Inputs!$G$5:$G$230="acoes"))*Inputs!$B$1+((Inputs!$G$5:$G$230&lt;&gt;"moeda")*(Inputs!$G$5:$G$230&lt;&gt;"acoes")))*INDEX(Inputs!$K$5:$AJ$230,0,MATCH(D$2,Inputs!$K$4:$AJ$4,0)))+SUMPRODUCT((Inputs!$E$5:$E$230=$B65)*Inputs!$F$5:$F$230*(((Inputs!$G$5:$G$230="moeda")+(Inputs!$G$5:$G$230="acoes"))*Inputs!$B$1+((Inputs!$G$5:$G$230&lt;&gt;"moeda")*(Inputs!$G$5:$G$230&lt;&gt;"acoes")))*INDEX(Inputs!$K$5:$AJ$230,0,MATCH(D$2,Inputs!$K$4:$AJ$4,0)))))</f>
        <v>11.471</v>
      </c>
      <c r="E65" s="6">
        <f>IF(ISNA(MATCH(E$2,Inputs!$K$4:$AJ$4,0)),NA(),IF(SUMPRODUCT((Inputs!$A$5:$A$230=$B65)*ISNUMBER(INDEX(Inputs!$K$5:$AJ$230,0,MATCH(E$2,Inputs!$K$4:$AJ$4,0))))+SUMPRODUCT((Inputs!$C$5:$C$230=$B65)*ISNUMBER(INDEX(Inputs!$K$5:$AJ$230,0,MATCH(E$2,Inputs!$K$4:$AJ$4,0))))+SUMPRODUCT((Inputs!$E$5:$E$230=$B65)*ISNUMBER(INDEX(Inputs!$K$5:$AJ$230,0,MATCH(E$2,Inputs!$K$4:$AJ$4,0))))=0,NA(),SUMPRODUCT((Inputs!$A$5:$A$230=$B65)*Inputs!$B$5:$B$230*(((Inputs!$G$5:$G$230="moeda")+(Inputs!$G$5:$G$230="acoes"))*Inputs!$B$1+((Inputs!$G$5:$G$230&lt;&gt;"moeda")*(Inputs!$G$5:$G$230&lt;&gt;"acoes")))*INDEX(Inputs!$K$5:$AJ$230,0,MATCH(E$2,Inputs!$K$4:$AJ$4,0)))+SUMPRODUCT((Inputs!$C$5:$C$230=$B65)*Inputs!$D$5:$D$230*(((Inputs!$G$5:$G$230="moeda")+(Inputs!$G$5:$G$230="acoes"))*Inputs!$B$1+((Inputs!$G$5:$G$230&lt;&gt;"moeda")*(Inputs!$G$5:$G$230&lt;&gt;"acoes")))*INDEX(Inputs!$K$5:$AJ$230,0,MATCH(E$2,Inputs!$K$4:$AJ$4,0)))+SUMPRODUCT((Inputs!$E$5:$E$230=$B65)*Inputs!$F$5:$F$230*(((Inputs!$G$5:$G$230="moeda")+(Inputs!$G$5:$G$230="acoes"))*Inputs!$B$1+((Inputs!$G$5:$G$230&lt;&gt;"moeda")*(Inputs!$G$5:$G$230&lt;&gt;"acoes")))*INDEX(Inputs!$K$5:$AJ$230,0,MATCH(E$2,Inputs!$K$4:$AJ$4,0)))))</f>
        <v>10.373</v>
      </c>
      <c r="F65" s="6">
        <f>IF(ISNA(MATCH(F$2,Inputs!$K$4:$AJ$4,0)),NA(),IF(SUMPRODUCT((Inputs!$A$5:$A$230=$B65)*ISNUMBER(INDEX(Inputs!$K$5:$AJ$230,0,MATCH(F$2,Inputs!$K$4:$AJ$4,0))))+SUMPRODUCT((Inputs!$C$5:$C$230=$B65)*ISNUMBER(INDEX(Inputs!$K$5:$AJ$230,0,MATCH(F$2,Inputs!$K$4:$AJ$4,0))))+SUMPRODUCT((Inputs!$E$5:$E$230=$B65)*ISNUMBER(INDEX(Inputs!$K$5:$AJ$230,0,MATCH(F$2,Inputs!$K$4:$AJ$4,0))))=0,NA(),SUMPRODUCT((Inputs!$A$5:$A$230=$B65)*Inputs!$B$5:$B$230*(((Inputs!$G$5:$G$230="moeda")+(Inputs!$G$5:$G$230="acoes"))*Inputs!$B$1+((Inputs!$G$5:$G$230&lt;&gt;"moeda")*(Inputs!$G$5:$G$230&lt;&gt;"acoes")))*INDEX(Inputs!$K$5:$AJ$230,0,MATCH(F$2,Inputs!$K$4:$AJ$4,0)))+SUMPRODUCT((Inputs!$C$5:$C$230=$B65)*Inputs!$D$5:$D$230*(((Inputs!$G$5:$G$230="moeda")+(Inputs!$G$5:$G$230="acoes"))*Inputs!$B$1+((Inputs!$G$5:$G$230&lt;&gt;"moeda")*(Inputs!$G$5:$G$230&lt;&gt;"acoes")))*INDEX(Inputs!$K$5:$AJ$230,0,MATCH(F$2,Inputs!$K$4:$AJ$4,0)))+SUMPRODUCT((Inputs!$E$5:$E$230=$B65)*Inputs!$F$5:$F$230*(((Inputs!$G$5:$G$230="moeda")+(Inputs!$G$5:$G$230="acoes"))*Inputs!$B$1+((Inputs!$G$5:$G$230&lt;&gt;"moeda")*(Inputs!$G$5:$G$230&lt;&gt;"acoes")))*INDEX(Inputs!$K$5:$AJ$230,0,MATCH(F$2,Inputs!$K$4:$AJ$4,0)))))</f>
        <v>14.172</v>
      </c>
      <c r="G65" s="6">
        <f>IF(ISNA(MATCH(G$2,Inputs!$K$4:$AJ$4,0)),NA(),IF(SUMPRODUCT((Inputs!$A$5:$A$230=$B65)*ISNUMBER(INDEX(Inputs!$K$5:$AJ$230,0,MATCH(G$2,Inputs!$K$4:$AJ$4,0))))+SUMPRODUCT((Inputs!$C$5:$C$230=$B65)*ISNUMBER(INDEX(Inputs!$K$5:$AJ$230,0,MATCH(G$2,Inputs!$K$4:$AJ$4,0))))+SUMPRODUCT((Inputs!$E$5:$E$230=$B65)*ISNUMBER(INDEX(Inputs!$K$5:$AJ$230,0,MATCH(G$2,Inputs!$K$4:$AJ$4,0))))=0,NA(),SUMPRODUCT((Inputs!$A$5:$A$230=$B65)*Inputs!$B$5:$B$230*(((Inputs!$G$5:$G$230="moeda")+(Inputs!$G$5:$G$230="acoes"))*Inputs!$B$1+((Inputs!$G$5:$G$230&lt;&gt;"moeda")*(Inputs!$G$5:$G$230&lt;&gt;"acoes")))*INDEX(Inputs!$K$5:$AJ$230,0,MATCH(G$2,Inputs!$K$4:$AJ$4,0)))+SUMPRODUCT((Inputs!$C$5:$C$230=$B65)*Inputs!$D$5:$D$230*(((Inputs!$G$5:$G$230="moeda")+(Inputs!$G$5:$G$230="acoes"))*Inputs!$B$1+((Inputs!$G$5:$G$230&lt;&gt;"moeda")*(Inputs!$G$5:$G$230&lt;&gt;"acoes")))*INDEX(Inputs!$K$5:$AJ$230,0,MATCH(G$2,Inputs!$K$4:$AJ$4,0)))+SUMPRODUCT((Inputs!$E$5:$E$230=$B65)*Inputs!$F$5:$F$230*(((Inputs!$G$5:$G$230="moeda")+(Inputs!$G$5:$G$230="acoes"))*Inputs!$B$1+((Inputs!$G$5:$G$230&lt;&gt;"moeda")*(Inputs!$G$5:$G$230&lt;&gt;"acoes")))*INDEX(Inputs!$K$5:$AJ$230,0,MATCH(G$2,Inputs!$K$4:$AJ$4,0)))))</f>
        <v>12.477</v>
      </c>
      <c r="H65" s="3">
        <f>SUM(D65:G65)</f>
        <v>48.493</v>
      </c>
      <c r="I65" s="6">
        <f>IF(ISNA(MATCH(I$2,Inputs!$K$4:$AJ$4,0)),NA(),IF(SUMPRODUCT((Inputs!$A$5:$A$230=$B65)*ISNUMBER(INDEX(Inputs!$K$5:$AJ$230,0,MATCH(I$2,Inputs!$K$4:$AJ$4,0))))+SUMPRODUCT((Inputs!$C$5:$C$230=$B65)*ISNUMBER(INDEX(Inputs!$K$5:$AJ$230,0,MATCH(I$2,Inputs!$K$4:$AJ$4,0))))+SUMPRODUCT((Inputs!$E$5:$E$230=$B65)*ISNUMBER(INDEX(Inputs!$K$5:$AJ$230,0,MATCH(I$2,Inputs!$K$4:$AJ$4,0))))=0,NA(),SUMPRODUCT((Inputs!$A$5:$A$230=$B65)*Inputs!$B$5:$B$230*(((Inputs!$G$5:$G$230="moeda")+(Inputs!$G$5:$G$230="acoes"))*Inputs!$B$1+((Inputs!$G$5:$G$230&lt;&gt;"moeda")*(Inputs!$G$5:$G$230&lt;&gt;"acoes")))*INDEX(Inputs!$K$5:$AJ$230,0,MATCH(I$2,Inputs!$K$4:$AJ$4,0)))+SUMPRODUCT((Inputs!$C$5:$C$230=$B65)*Inputs!$D$5:$D$230*(((Inputs!$G$5:$G$230="moeda")+(Inputs!$G$5:$G$230="acoes"))*Inputs!$B$1+((Inputs!$G$5:$G$230&lt;&gt;"moeda")*(Inputs!$G$5:$G$230&lt;&gt;"acoes")))*INDEX(Inputs!$K$5:$AJ$230,0,MATCH(I$2,Inputs!$K$4:$AJ$4,0)))+SUMPRODUCT((Inputs!$E$5:$E$230=$B65)*Inputs!$F$5:$F$230*(((Inputs!$G$5:$G$230="moeda")+(Inputs!$G$5:$G$230="acoes"))*Inputs!$B$1+((Inputs!$G$5:$G$230&lt;&gt;"moeda")*(Inputs!$G$5:$G$230&lt;&gt;"acoes")))*INDEX(Inputs!$K$5:$AJ$230,0,MATCH(I$2,Inputs!$K$4:$AJ$4,0)))))</f>
        <v>10.893</v>
      </c>
      <c r="J65" s="6">
        <f>IF(ISNA(MATCH(J$2,Inputs!$K$4:$AJ$4,0)),NA(),IF(SUMPRODUCT((Inputs!$A$5:$A$230=$B65)*ISNUMBER(INDEX(Inputs!$K$5:$AJ$230,0,MATCH(J$2,Inputs!$K$4:$AJ$4,0))))+SUMPRODUCT((Inputs!$C$5:$C$230=$B65)*ISNUMBER(INDEX(Inputs!$K$5:$AJ$230,0,MATCH(J$2,Inputs!$K$4:$AJ$4,0))))+SUMPRODUCT((Inputs!$E$5:$E$230=$B65)*ISNUMBER(INDEX(Inputs!$K$5:$AJ$230,0,MATCH(J$2,Inputs!$K$4:$AJ$4,0))))=0,NA(),SUMPRODUCT((Inputs!$A$5:$A$230=$B65)*Inputs!$B$5:$B$230*(((Inputs!$G$5:$G$230="moeda")+(Inputs!$G$5:$G$230="acoes"))*Inputs!$B$1+((Inputs!$G$5:$G$230&lt;&gt;"moeda")*(Inputs!$G$5:$G$230&lt;&gt;"acoes")))*INDEX(Inputs!$K$5:$AJ$230,0,MATCH(J$2,Inputs!$K$4:$AJ$4,0)))+SUMPRODUCT((Inputs!$C$5:$C$230=$B65)*Inputs!$D$5:$D$230*(((Inputs!$G$5:$G$230="moeda")+(Inputs!$G$5:$G$230="acoes"))*Inputs!$B$1+((Inputs!$G$5:$G$230&lt;&gt;"moeda")*(Inputs!$G$5:$G$230&lt;&gt;"acoes")))*INDEX(Inputs!$K$5:$AJ$230,0,MATCH(J$2,Inputs!$K$4:$AJ$4,0)))+SUMPRODUCT((Inputs!$E$5:$E$230=$B65)*Inputs!$F$5:$F$230*(((Inputs!$G$5:$G$230="moeda")+(Inputs!$G$5:$G$230="acoes"))*Inputs!$B$1+((Inputs!$G$5:$G$230&lt;&gt;"moeda")*(Inputs!$G$5:$G$230&lt;&gt;"acoes")))*INDEX(Inputs!$K$5:$AJ$230,0,MATCH(J$2,Inputs!$K$4:$AJ$4,0)))))</f>
        <v>12.575</v>
      </c>
      <c r="K65" s="6">
        <f>IF(ISNA(MATCH(K$2,Inputs!$K$4:$AJ$4,0)),NA(),IF(SUMPRODUCT((Inputs!$A$5:$A$230=$B65)*ISNUMBER(INDEX(Inputs!$K$5:$AJ$230,0,MATCH(K$2,Inputs!$K$4:$AJ$4,0))))+SUMPRODUCT((Inputs!$C$5:$C$230=$B65)*ISNUMBER(INDEX(Inputs!$K$5:$AJ$230,0,MATCH(K$2,Inputs!$K$4:$AJ$4,0))))+SUMPRODUCT((Inputs!$E$5:$E$230=$B65)*ISNUMBER(INDEX(Inputs!$K$5:$AJ$230,0,MATCH(K$2,Inputs!$K$4:$AJ$4,0))))=0,NA(),SUMPRODUCT((Inputs!$A$5:$A$230=$B65)*Inputs!$B$5:$B$230*(((Inputs!$G$5:$G$230="moeda")+(Inputs!$G$5:$G$230="acoes"))*Inputs!$B$1+((Inputs!$G$5:$G$230&lt;&gt;"moeda")*(Inputs!$G$5:$G$230&lt;&gt;"acoes")))*INDEX(Inputs!$K$5:$AJ$230,0,MATCH(K$2,Inputs!$K$4:$AJ$4,0)))+SUMPRODUCT((Inputs!$C$5:$C$230=$B65)*Inputs!$D$5:$D$230*(((Inputs!$G$5:$G$230="moeda")+(Inputs!$G$5:$G$230="acoes"))*Inputs!$B$1+((Inputs!$G$5:$G$230&lt;&gt;"moeda")*(Inputs!$G$5:$G$230&lt;&gt;"acoes")))*INDEX(Inputs!$K$5:$AJ$230,0,MATCH(K$2,Inputs!$K$4:$AJ$4,0)))+SUMPRODUCT((Inputs!$E$5:$E$230=$B65)*Inputs!$F$5:$F$230*(((Inputs!$G$5:$G$230="moeda")+(Inputs!$G$5:$G$230="acoes"))*Inputs!$B$1+((Inputs!$G$5:$G$230&lt;&gt;"moeda")*(Inputs!$G$5:$G$230&lt;&gt;"acoes")))*INDEX(Inputs!$K$5:$AJ$230,0,MATCH(K$2,Inputs!$K$4:$AJ$4,0)))))</f>
        <v>6.558</v>
      </c>
      <c r="L65" s="6">
        <f>IF(ISNA(MATCH(L$2,Inputs!$K$4:$AJ$4,0)),NA(),IF(SUMPRODUCT((Inputs!$A$5:$A$230=$B65)*ISNUMBER(INDEX(Inputs!$K$5:$AJ$230,0,MATCH(L$2,Inputs!$K$4:$AJ$4,0))))+SUMPRODUCT((Inputs!$C$5:$C$230=$B65)*ISNUMBER(INDEX(Inputs!$K$5:$AJ$230,0,MATCH(L$2,Inputs!$K$4:$AJ$4,0))))+SUMPRODUCT((Inputs!$E$5:$E$230=$B65)*ISNUMBER(INDEX(Inputs!$K$5:$AJ$230,0,MATCH(L$2,Inputs!$K$4:$AJ$4,0))))=0,NA(),SUMPRODUCT((Inputs!$A$5:$A$230=$B65)*Inputs!$B$5:$B$230*(((Inputs!$G$5:$G$230="moeda")+(Inputs!$G$5:$G$230="acoes"))*Inputs!$B$1+((Inputs!$G$5:$G$230&lt;&gt;"moeda")*(Inputs!$G$5:$G$230&lt;&gt;"acoes")))*INDEX(Inputs!$K$5:$AJ$230,0,MATCH(L$2,Inputs!$K$4:$AJ$4,0)))+SUMPRODUCT((Inputs!$C$5:$C$230=$B65)*Inputs!$D$5:$D$230*(((Inputs!$G$5:$G$230="moeda")+(Inputs!$G$5:$G$230="acoes"))*Inputs!$B$1+((Inputs!$G$5:$G$230&lt;&gt;"moeda")*(Inputs!$G$5:$G$230&lt;&gt;"acoes")))*INDEX(Inputs!$K$5:$AJ$230,0,MATCH(L$2,Inputs!$K$4:$AJ$4,0)))+SUMPRODUCT((Inputs!$E$5:$E$230=$B65)*Inputs!$F$5:$F$230*(((Inputs!$G$5:$G$230="moeda")+(Inputs!$G$5:$G$230="acoes"))*Inputs!$B$1+((Inputs!$G$5:$G$230&lt;&gt;"moeda")*(Inputs!$G$5:$G$230&lt;&gt;"acoes")))*INDEX(Inputs!$K$5:$AJ$230,0,MATCH(L$2,Inputs!$K$4:$AJ$4,0)))))</f>
        <v>8.208</v>
      </c>
      <c r="M65" s="3">
        <f>SUM(I65:L65)</f>
        <v>38.234</v>
      </c>
      <c r="N65" s="6">
        <f>IF(ISNA(MATCH(N$2,Inputs!$K$4:$AJ$4,0)),NA(),IF(SUMPRODUCT((Inputs!$A$5:$A$230=$B65)*ISNUMBER(INDEX(Inputs!$K$5:$AJ$230,0,MATCH(N$2,Inputs!$K$4:$AJ$4,0))))+SUMPRODUCT((Inputs!$C$5:$C$230=$B65)*ISNUMBER(INDEX(Inputs!$K$5:$AJ$230,0,MATCH(N$2,Inputs!$K$4:$AJ$4,0))))+SUMPRODUCT((Inputs!$E$5:$E$230=$B65)*ISNUMBER(INDEX(Inputs!$K$5:$AJ$230,0,MATCH(N$2,Inputs!$K$4:$AJ$4,0))))=0,NA(),SUMPRODUCT((Inputs!$A$5:$A$230=$B65)*Inputs!$B$5:$B$230*(((Inputs!$G$5:$G$230="moeda")+(Inputs!$G$5:$G$230="acoes"))*Inputs!$B$1+((Inputs!$G$5:$G$230&lt;&gt;"moeda")*(Inputs!$G$5:$G$230&lt;&gt;"acoes")))*INDEX(Inputs!$K$5:$AJ$230,0,MATCH(N$2,Inputs!$K$4:$AJ$4,0)))+SUMPRODUCT((Inputs!$C$5:$C$230=$B65)*Inputs!$D$5:$D$230*(((Inputs!$G$5:$G$230="moeda")+(Inputs!$G$5:$G$230="acoes"))*Inputs!$B$1+((Inputs!$G$5:$G$230&lt;&gt;"moeda")*(Inputs!$G$5:$G$230&lt;&gt;"acoes")))*INDEX(Inputs!$K$5:$AJ$230,0,MATCH(N$2,Inputs!$K$4:$AJ$4,0)))+SUMPRODUCT((Inputs!$E$5:$E$230=$B65)*Inputs!$F$5:$F$230*(((Inputs!$G$5:$G$230="moeda")+(Inputs!$G$5:$G$230="acoes"))*Inputs!$B$1+((Inputs!$G$5:$G$230&lt;&gt;"moeda")*(Inputs!$G$5:$G$230&lt;&gt;"acoes")))*INDEX(Inputs!$K$5:$AJ$230,0,MATCH(N$2,Inputs!$K$4:$AJ$4,0)))))</f>
        <v>10.325</v>
      </c>
      <c r="O65" s="6">
        <f>IF(ISNA(MATCH(O$2,Inputs!$K$4:$AJ$4,0)),NA(),IF(SUMPRODUCT((Inputs!$A$5:$A$230=$B65)*ISNUMBER(INDEX(Inputs!$K$5:$AJ$230,0,MATCH(O$2,Inputs!$K$4:$AJ$4,0))))+SUMPRODUCT((Inputs!$C$5:$C$230=$B65)*ISNUMBER(INDEX(Inputs!$K$5:$AJ$230,0,MATCH(O$2,Inputs!$K$4:$AJ$4,0))))+SUMPRODUCT((Inputs!$E$5:$E$230=$B65)*ISNUMBER(INDEX(Inputs!$K$5:$AJ$230,0,MATCH(O$2,Inputs!$K$4:$AJ$4,0))))=0,NA(),SUMPRODUCT((Inputs!$A$5:$A$230=$B65)*Inputs!$B$5:$B$230*(((Inputs!$G$5:$G$230="moeda")+(Inputs!$G$5:$G$230="acoes"))*Inputs!$B$1+((Inputs!$G$5:$G$230&lt;&gt;"moeda")*(Inputs!$G$5:$G$230&lt;&gt;"acoes")))*INDEX(Inputs!$K$5:$AJ$230,0,MATCH(O$2,Inputs!$K$4:$AJ$4,0)))+SUMPRODUCT((Inputs!$C$5:$C$230=$B65)*Inputs!$D$5:$D$230*(((Inputs!$G$5:$G$230="moeda")+(Inputs!$G$5:$G$230="acoes"))*Inputs!$B$1+((Inputs!$G$5:$G$230&lt;&gt;"moeda")*(Inputs!$G$5:$G$230&lt;&gt;"acoes")))*INDEX(Inputs!$K$5:$AJ$230,0,MATCH(O$2,Inputs!$K$4:$AJ$4,0)))+SUMPRODUCT((Inputs!$E$5:$E$230=$B65)*Inputs!$F$5:$F$230*(((Inputs!$G$5:$G$230="moeda")+(Inputs!$G$5:$G$230="acoes"))*Inputs!$B$1+((Inputs!$G$5:$G$230&lt;&gt;"moeda")*(Inputs!$G$5:$G$230&lt;&gt;"acoes")))*INDEX(Inputs!$K$5:$AJ$230,0,MATCH(O$2,Inputs!$K$4:$AJ$4,0)))))</f>
        <v>9.862</v>
      </c>
      <c r="P65" s="6">
        <f>IF(ISNA(MATCH(P$2,Inputs!$K$4:$AJ$4,0)),NA(),IF(SUMPRODUCT((Inputs!$A$5:$A$230=$B65)*ISNUMBER(INDEX(Inputs!$K$5:$AJ$230,0,MATCH(P$2,Inputs!$K$4:$AJ$4,0))))+SUMPRODUCT((Inputs!$C$5:$C$230=$B65)*ISNUMBER(INDEX(Inputs!$K$5:$AJ$230,0,MATCH(P$2,Inputs!$K$4:$AJ$4,0))))+SUMPRODUCT((Inputs!$E$5:$E$230=$B65)*ISNUMBER(INDEX(Inputs!$K$5:$AJ$230,0,MATCH(P$2,Inputs!$K$4:$AJ$4,0))))=0,NA(),SUMPRODUCT((Inputs!$A$5:$A$230=$B65)*Inputs!$B$5:$B$230*(((Inputs!$G$5:$G$230="moeda")+(Inputs!$G$5:$G$230="acoes"))*Inputs!$B$1+((Inputs!$G$5:$G$230&lt;&gt;"moeda")*(Inputs!$G$5:$G$230&lt;&gt;"acoes")))*INDEX(Inputs!$K$5:$AJ$230,0,MATCH(P$2,Inputs!$K$4:$AJ$4,0)))+SUMPRODUCT((Inputs!$C$5:$C$230=$B65)*Inputs!$D$5:$D$230*(((Inputs!$G$5:$G$230="moeda")+(Inputs!$G$5:$G$230="acoes"))*Inputs!$B$1+((Inputs!$G$5:$G$230&lt;&gt;"moeda")*(Inputs!$G$5:$G$230&lt;&gt;"acoes")))*INDEX(Inputs!$K$5:$AJ$230,0,MATCH(P$2,Inputs!$K$4:$AJ$4,0)))+SUMPRODUCT((Inputs!$E$5:$E$230=$B65)*Inputs!$F$5:$F$230*(((Inputs!$G$5:$G$230="moeda")+(Inputs!$G$5:$G$230="acoes"))*Inputs!$B$1+((Inputs!$G$5:$G$230&lt;&gt;"moeda")*(Inputs!$G$5:$G$230&lt;&gt;"acoes")))*INDEX(Inputs!$K$5:$AJ$230,0,MATCH(P$2,Inputs!$K$4:$AJ$4,0)))))</f>
        <v>7.353</v>
      </c>
      <c r="Q65" s="6">
        <f>IF(ISNA(MATCH(Q$2,Inputs!$K$4:$AJ$4,0)),NA(),IF(SUMPRODUCT((Inputs!$A$5:$A$230=$B65)*ISNUMBER(INDEX(Inputs!$K$5:$AJ$230,0,MATCH(Q$2,Inputs!$K$4:$AJ$4,0))))+SUMPRODUCT((Inputs!$C$5:$C$230=$B65)*ISNUMBER(INDEX(Inputs!$K$5:$AJ$230,0,MATCH(Q$2,Inputs!$K$4:$AJ$4,0))))+SUMPRODUCT((Inputs!$E$5:$E$230=$B65)*ISNUMBER(INDEX(Inputs!$K$5:$AJ$230,0,MATCH(Q$2,Inputs!$K$4:$AJ$4,0))))=0,NA(),SUMPRODUCT((Inputs!$A$5:$A$230=$B65)*Inputs!$B$5:$B$230*(((Inputs!$G$5:$G$230="moeda")+(Inputs!$G$5:$G$230="acoes"))*Inputs!$B$1+((Inputs!$G$5:$G$230&lt;&gt;"moeda")*(Inputs!$G$5:$G$230&lt;&gt;"acoes")))*INDEX(Inputs!$K$5:$AJ$230,0,MATCH(Q$2,Inputs!$K$4:$AJ$4,0)))+SUMPRODUCT((Inputs!$C$5:$C$230=$B65)*Inputs!$D$5:$D$230*(((Inputs!$G$5:$G$230="moeda")+(Inputs!$G$5:$G$230="acoes"))*Inputs!$B$1+((Inputs!$G$5:$G$230&lt;&gt;"moeda")*(Inputs!$G$5:$G$230&lt;&gt;"acoes")))*INDEX(Inputs!$K$5:$AJ$230,0,MATCH(Q$2,Inputs!$K$4:$AJ$4,0)))+SUMPRODUCT((Inputs!$E$5:$E$230=$B65)*Inputs!$F$5:$F$230*(((Inputs!$G$5:$G$230="moeda")+(Inputs!$G$5:$G$230="acoes"))*Inputs!$B$1+((Inputs!$G$5:$G$230&lt;&gt;"moeda")*(Inputs!$G$5:$G$230&lt;&gt;"acoes")))*INDEX(Inputs!$K$5:$AJ$230,0,MATCH(Q$2,Inputs!$K$4:$AJ$4,0)))))</f>
        <v>8.229</v>
      </c>
      <c r="R65" s="3">
        <f>SUM(N65:Q65)</f>
        <v>35.769</v>
      </c>
      <c r="S65" s="6">
        <f>IF(ISNA(MATCH(S$2,Inputs!$K$4:$AJ$4,0)),NA(),IF(SUMPRODUCT((Inputs!$A$5:$A$230=$B65)*ISNUMBER(INDEX(Inputs!$K$5:$AJ$230,0,MATCH(S$2,Inputs!$K$4:$AJ$4,0))))+SUMPRODUCT((Inputs!$C$5:$C$230=$B65)*ISNUMBER(INDEX(Inputs!$K$5:$AJ$230,0,MATCH(S$2,Inputs!$K$4:$AJ$4,0))))+SUMPRODUCT((Inputs!$E$5:$E$230=$B65)*ISNUMBER(INDEX(Inputs!$K$5:$AJ$230,0,MATCH(S$2,Inputs!$K$4:$AJ$4,0))))=0,NA(),SUMPRODUCT((Inputs!$A$5:$A$230=$B65)*Inputs!$B$5:$B$230*(((Inputs!$G$5:$G$230="moeda")+(Inputs!$G$5:$G$230="acoes"))*Inputs!$B$1+((Inputs!$G$5:$G$230&lt;&gt;"moeda")*(Inputs!$G$5:$G$230&lt;&gt;"acoes")))*INDEX(Inputs!$K$5:$AJ$230,0,MATCH(S$2,Inputs!$K$4:$AJ$4,0)))+SUMPRODUCT((Inputs!$C$5:$C$230=$B65)*Inputs!$D$5:$D$230*(((Inputs!$G$5:$G$230="moeda")+(Inputs!$G$5:$G$230="acoes"))*Inputs!$B$1+((Inputs!$G$5:$G$230&lt;&gt;"moeda")*(Inputs!$G$5:$G$230&lt;&gt;"acoes")))*INDEX(Inputs!$K$5:$AJ$230,0,MATCH(S$2,Inputs!$K$4:$AJ$4,0)))+SUMPRODUCT((Inputs!$E$5:$E$230=$B65)*Inputs!$F$5:$F$230*(((Inputs!$G$5:$G$230="moeda")+(Inputs!$G$5:$G$230="acoes"))*Inputs!$B$1+((Inputs!$G$5:$G$230&lt;&gt;"moeda")*(Inputs!$G$5:$G$230&lt;&gt;"acoes")))*INDEX(Inputs!$K$5:$AJ$230,0,MATCH(S$2,Inputs!$K$4:$AJ$4,0)))))</f>
        <v>9.967</v>
      </c>
      <c r="T65" s="6">
        <f>IF(ISNA(MATCH(T$2,Inputs!$K$4:$AJ$4,0)),NA(),IF(SUMPRODUCT((Inputs!$A$5:$A$230=$B65)*ISNUMBER(INDEX(Inputs!$K$5:$AJ$230,0,MATCH(T$2,Inputs!$K$4:$AJ$4,0))))+SUMPRODUCT((Inputs!$C$5:$C$230=$B65)*ISNUMBER(INDEX(Inputs!$K$5:$AJ$230,0,MATCH(T$2,Inputs!$K$4:$AJ$4,0))))+SUMPRODUCT((Inputs!$E$5:$E$230=$B65)*ISNUMBER(INDEX(Inputs!$K$5:$AJ$230,0,MATCH(T$2,Inputs!$K$4:$AJ$4,0))))=0,NA(),SUMPRODUCT((Inputs!$A$5:$A$230=$B65)*Inputs!$B$5:$B$230*(((Inputs!$G$5:$G$230="moeda")+(Inputs!$G$5:$G$230="acoes"))*Inputs!$B$1+((Inputs!$G$5:$G$230&lt;&gt;"moeda")*(Inputs!$G$5:$G$230&lt;&gt;"acoes")))*INDEX(Inputs!$K$5:$AJ$230,0,MATCH(T$2,Inputs!$K$4:$AJ$4,0)))+SUMPRODUCT((Inputs!$C$5:$C$230=$B65)*Inputs!$D$5:$D$230*(((Inputs!$G$5:$G$230="moeda")+(Inputs!$G$5:$G$230="acoes"))*Inputs!$B$1+((Inputs!$G$5:$G$230&lt;&gt;"moeda")*(Inputs!$G$5:$G$230&lt;&gt;"acoes")))*INDEX(Inputs!$K$5:$AJ$230,0,MATCH(T$2,Inputs!$K$4:$AJ$4,0)))+SUMPRODUCT((Inputs!$E$5:$E$230=$B65)*Inputs!$F$5:$F$230*(((Inputs!$G$5:$G$230="moeda")+(Inputs!$G$5:$G$230="acoes"))*Inputs!$B$1+((Inputs!$G$5:$G$230&lt;&gt;"moeda")*(Inputs!$G$5:$G$230&lt;&gt;"acoes")))*INDEX(Inputs!$K$5:$AJ$230,0,MATCH(T$2,Inputs!$K$4:$AJ$4,0)))))</f>
        <v>8.716</v>
      </c>
      <c r="U65" s="6">
        <f>IF(ISNA(MATCH(U$2,Inputs!$K$4:$AJ$4,0)),NA(),IF(SUMPRODUCT((Inputs!$A$5:$A$230=$B65)*ISNUMBER(INDEX(Inputs!$K$5:$AJ$230,0,MATCH(U$2,Inputs!$K$4:$AJ$4,0))))+SUMPRODUCT((Inputs!$C$5:$C$230=$B65)*ISNUMBER(INDEX(Inputs!$K$5:$AJ$230,0,MATCH(U$2,Inputs!$K$4:$AJ$4,0))))+SUMPRODUCT((Inputs!$E$5:$E$230=$B65)*ISNUMBER(INDEX(Inputs!$K$5:$AJ$230,0,MATCH(U$2,Inputs!$K$4:$AJ$4,0))))=0,NA(),SUMPRODUCT((Inputs!$A$5:$A$230=$B65)*Inputs!$B$5:$B$230*(((Inputs!$G$5:$G$230="moeda")+(Inputs!$G$5:$G$230="acoes"))*Inputs!$B$1+((Inputs!$G$5:$G$230&lt;&gt;"moeda")*(Inputs!$G$5:$G$230&lt;&gt;"acoes")))*INDEX(Inputs!$K$5:$AJ$230,0,MATCH(U$2,Inputs!$K$4:$AJ$4,0)))+SUMPRODUCT((Inputs!$C$5:$C$230=$B65)*Inputs!$D$5:$D$230*(((Inputs!$G$5:$G$230="moeda")+(Inputs!$G$5:$G$230="acoes"))*Inputs!$B$1+((Inputs!$G$5:$G$230&lt;&gt;"moeda")*(Inputs!$G$5:$G$230&lt;&gt;"acoes")))*INDEX(Inputs!$K$5:$AJ$230,0,MATCH(U$2,Inputs!$K$4:$AJ$4,0)))+SUMPRODUCT((Inputs!$E$5:$E$230=$B65)*Inputs!$F$5:$F$230*(((Inputs!$G$5:$G$230="moeda")+(Inputs!$G$5:$G$230="acoes"))*Inputs!$B$1+((Inputs!$G$5:$G$230&lt;&gt;"moeda")*(Inputs!$G$5:$G$230&lt;&gt;"acoes")))*INDEX(Inputs!$K$5:$AJ$230,0,MATCH(U$2,Inputs!$K$4:$AJ$4,0)))))</f>
        <v>8.539</v>
      </c>
      <c r="V65" s="6">
        <f>IF(ISNA(MATCH(V$2,Inputs!$K$4:$AJ$4,0)),NA(),IF(SUMPRODUCT((Inputs!$A$5:$A$230=$B65)*ISNUMBER(INDEX(Inputs!$K$5:$AJ$230,0,MATCH(V$2,Inputs!$K$4:$AJ$4,0))))+SUMPRODUCT((Inputs!$C$5:$C$230=$B65)*ISNUMBER(INDEX(Inputs!$K$5:$AJ$230,0,MATCH(V$2,Inputs!$K$4:$AJ$4,0))))+SUMPRODUCT((Inputs!$E$5:$E$230=$B65)*ISNUMBER(INDEX(Inputs!$K$5:$AJ$230,0,MATCH(V$2,Inputs!$K$4:$AJ$4,0))))=0,NA(),SUMPRODUCT((Inputs!$A$5:$A$230=$B65)*Inputs!$B$5:$B$230*(((Inputs!$G$5:$G$230="moeda")+(Inputs!$G$5:$G$230="acoes"))*Inputs!$B$1+((Inputs!$G$5:$G$230&lt;&gt;"moeda")*(Inputs!$G$5:$G$230&lt;&gt;"acoes")))*INDEX(Inputs!$K$5:$AJ$230,0,MATCH(V$2,Inputs!$K$4:$AJ$4,0)))+SUMPRODUCT((Inputs!$C$5:$C$230=$B65)*Inputs!$D$5:$D$230*(((Inputs!$G$5:$G$230="moeda")+(Inputs!$G$5:$G$230="acoes"))*Inputs!$B$1+((Inputs!$G$5:$G$230&lt;&gt;"moeda")*(Inputs!$G$5:$G$230&lt;&gt;"acoes")))*INDEX(Inputs!$K$5:$AJ$230,0,MATCH(V$2,Inputs!$K$4:$AJ$4,0)))+SUMPRODUCT((Inputs!$E$5:$E$230=$B65)*Inputs!$F$5:$F$230*(((Inputs!$G$5:$G$230="moeda")+(Inputs!$G$5:$G$230="acoes"))*Inputs!$B$1+((Inputs!$G$5:$G$230&lt;&gt;"moeda")*(Inputs!$G$5:$G$230&lt;&gt;"acoes")))*INDEX(Inputs!$K$5:$AJ$230,0,MATCH(V$2,Inputs!$K$4:$AJ$4,0)))))</f>
        <v>9.259</v>
      </c>
      <c r="W65" s="3">
        <f>SUM(S65:V65)</f>
        <v>36.481</v>
      </c>
      <c r="X65" s="6">
        <f>IF(ISNA(MATCH(X$2,Inputs!$K$4:$AJ$4,0)),NA(),IF(SUMPRODUCT((Inputs!$A$5:$A$230=$B65)*ISNUMBER(INDEX(Inputs!$K$5:$AJ$230,0,MATCH(X$2,Inputs!$K$4:$AJ$4,0))))+SUMPRODUCT((Inputs!$C$5:$C$230=$B65)*ISNUMBER(INDEX(Inputs!$K$5:$AJ$230,0,MATCH(X$2,Inputs!$K$4:$AJ$4,0))))+SUMPRODUCT((Inputs!$E$5:$E$230=$B65)*ISNUMBER(INDEX(Inputs!$K$5:$AJ$230,0,MATCH(X$2,Inputs!$K$4:$AJ$4,0))))=0,NA(),SUMPRODUCT((Inputs!$A$5:$A$230=$B65)*Inputs!$B$5:$B$230*(((Inputs!$G$5:$G$230="moeda")+(Inputs!$G$5:$G$230="acoes"))*Inputs!$B$1+((Inputs!$G$5:$G$230&lt;&gt;"moeda")*(Inputs!$G$5:$G$230&lt;&gt;"acoes")))*INDEX(Inputs!$K$5:$AJ$230,0,MATCH(X$2,Inputs!$K$4:$AJ$4,0)))+SUMPRODUCT((Inputs!$C$5:$C$230=$B65)*Inputs!$D$5:$D$230*(((Inputs!$G$5:$G$230="moeda")+(Inputs!$G$5:$G$230="acoes"))*Inputs!$B$1+((Inputs!$G$5:$G$230&lt;&gt;"moeda")*(Inputs!$G$5:$G$230&lt;&gt;"acoes")))*INDEX(Inputs!$K$5:$AJ$230,0,MATCH(X$2,Inputs!$K$4:$AJ$4,0)))+SUMPRODUCT((Inputs!$E$5:$E$230=$B65)*Inputs!$F$5:$F$230*(((Inputs!$G$5:$G$230="moeda")+(Inputs!$G$5:$G$230="acoes"))*Inputs!$B$1+((Inputs!$G$5:$G$230&lt;&gt;"moeda")*(Inputs!$G$5:$G$230&lt;&gt;"acoes")))*INDEX(Inputs!$K$5:$AJ$230,0,MATCH(X$2,Inputs!$K$4:$AJ$4,0)))))</f>
        <v>10.511</v>
      </c>
      <c r="Y65" s="6">
        <f>IF(ISNA(MATCH(Y$2,Inputs!$K$4:$AJ$4,0)),NA(),IF(SUMPRODUCT((Inputs!$A$5:$A$230=$B65)*ISNUMBER(INDEX(Inputs!$K$5:$AJ$230,0,MATCH(Y$2,Inputs!$K$4:$AJ$4,0))))+SUMPRODUCT((Inputs!$C$5:$C$230=$B65)*ISNUMBER(INDEX(Inputs!$K$5:$AJ$230,0,MATCH(Y$2,Inputs!$K$4:$AJ$4,0))))+SUMPRODUCT((Inputs!$E$5:$E$230=$B65)*ISNUMBER(INDEX(Inputs!$K$5:$AJ$230,0,MATCH(Y$2,Inputs!$K$4:$AJ$4,0))))=0,NA(),SUMPRODUCT((Inputs!$A$5:$A$230=$B65)*Inputs!$B$5:$B$230*(((Inputs!$G$5:$G$230="moeda")+(Inputs!$G$5:$G$230="acoes"))*Inputs!$B$1+((Inputs!$G$5:$G$230&lt;&gt;"moeda")*(Inputs!$G$5:$G$230&lt;&gt;"acoes")))*INDEX(Inputs!$K$5:$AJ$230,0,MATCH(Y$2,Inputs!$K$4:$AJ$4,0)))+SUMPRODUCT((Inputs!$C$5:$C$230=$B65)*Inputs!$D$5:$D$230*(((Inputs!$G$5:$G$230="moeda")+(Inputs!$G$5:$G$230="acoes"))*Inputs!$B$1+((Inputs!$G$5:$G$230&lt;&gt;"moeda")*(Inputs!$G$5:$G$230&lt;&gt;"acoes")))*INDEX(Inputs!$K$5:$AJ$230,0,MATCH(Y$2,Inputs!$K$4:$AJ$4,0)))+SUMPRODUCT((Inputs!$E$5:$E$230=$B65)*Inputs!$F$5:$F$230*(((Inputs!$G$5:$G$230="moeda")+(Inputs!$G$5:$G$230="acoes"))*Inputs!$B$1+((Inputs!$G$5:$G$230&lt;&gt;"moeda")*(Inputs!$G$5:$G$230&lt;&gt;"acoes")))*INDEX(Inputs!$K$5:$AJ$230,0,MATCH(Y$2,Inputs!$K$4:$AJ$4,0)))))</f>
        <v>9.413</v>
      </c>
      <c r="Z65" s="6">
        <f>IF(ISNA(MATCH(Z$2,Inputs!$K$4:$AJ$4,0)),NA(),IF(SUMPRODUCT((Inputs!$A$5:$A$230=$B65)*ISNUMBER(INDEX(Inputs!$K$5:$AJ$230,0,MATCH(Z$2,Inputs!$K$4:$AJ$4,0))))+SUMPRODUCT((Inputs!$C$5:$C$230=$B65)*ISNUMBER(INDEX(Inputs!$K$5:$AJ$230,0,MATCH(Z$2,Inputs!$K$4:$AJ$4,0))))+SUMPRODUCT((Inputs!$E$5:$E$230=$B65)*ISNUMBER(INDEX(Inputs!$K$5:$AJ$230,0,MATCH(Z$2,Inputs!$K$4:$AJ$4,0))))=0,NA(),SUMPRODUCT((Inputs!$A$5:$A$230=$B65)*Inputs!$B$5:$B$230*(((Inputs!$G$5:$G$230="moeda")+(Inputs!$G$5:$G$230="acoes"))*Inputs!$B$1+((Inputs!$G$5:$G$230&lt;&gt;"moeda")*(Inputs!$G$5:$G$230&lt;&gt;"acoes")))*INDEX(Inputs!$K$5:$AJ$230,0,MATCH(Z$2,Inputs!$K$4:$AJ$4,0)))+SUMPRODUCT((Inputs!$C$5:$C$230=$B65)*Inputs!$D$5:$D$230*(((Inputs!$G$5:$G$230="moeda")+(Inputs!$G$5:$G$230="acoes"))*Inputs!$B$1+((Inputs!$G$5:$G$230&lt;&gt;"moeda")*(Inputs!$G$5:$G$230&lt;&gt;"acoes")))*INDEX(Inputs!$K$5:$AJ$230,0,MATCH(Z$2,Inputs!$K$4:$AJ$4,0)))+SUMPRODUCT((Inputs!$E$5:$E$230=$B65)*Inputs!$F$5:$F$230*(((Inputs!$G$5:$G$230="moeda")+(Inputs!$G$5:$G$230="acoes"))*Inputs!$B$1+((Inputs!$G$5:$G$230&lt;&gt;"moeda")*(Inputs!$G$5:$G$230&lt;&gt;"acoes")))*INDEX(Inputs!$K$5:$AJ$230,0,MATCH(Z$2,Inputs!$K$4:$AJ$4,0)))))</f>
        <v>0.178</v>
      </c>
      <c r="AA65" s="6">
        <f>IF(ISNA(MATCH(AA$2,Inputs!$K$4:$AJ$4,0)),NA(),IF(SUMPRODUCT((Inputs!$A$5:$A$230=$B65)*ISNUMBER(INDEX(Inputs!$K$5:$AJ$230,0,MATCH(AA$2,Inputs!$K$4:$AJ$4,0))))+SUMPRODUCT((Inputs!$C$5:$C$230=$B65)*ISNUMBER(INDEX(Inputs!$K$5:$AJ$230,0,MATCH(AA$2,Inputs!$K$4:$AJ$4,0))))+SUMPRODUCT((Inputs!$E$5:$E$230=$B65)*ISNUMBER(INDEX(Inputs!$K$5:$AJ$230,0,MATCH(AA$2,Inputs!$K$4:$AJ$4,0))))=0,NA(),SUMPRODUCT((Inputs!$A$5:$A$230=$B65)*Inputs!$B$5:$B$230*(((Inputs!$G$5:$G$230="moeda")+(Inputs!$G$5:$G$230="acoes"))*Inputs!$B$1+((Inputs!$G$5:$G$230&lt;&gt;"moeda")*(Inputs!$G$5:$G$230&lt;&gt;"acoes")))*INDEX(Inputs!$K$5:$AJ$230,0,MATCH(AA$2,Inputs!$K$4:$AJ$4,0)))+SUMPRODUCT((Inputs!$C$5:$C$230=$B65)*Inputs!$D$5:$D$230*(((Inputs!$G$5:$G$230="moeda")+(Inputs!$G$5:$G$230="acoes"))*Inputs!$B$1+((Inputs!$G$5:$G$230&lt;&gt;"moeda")*(Inputs!$G$5:$G$230&lt;&gt;"acoes")))*INDEX(Inputs!$K$5:$AJ$230,0,MATCH(AA$2,Inputs!$K$4:$AJ$4,0)))+SUMPRODUCT((Inputs!$E$5:$E$230=$B65)*Inputs!$F$5:$F$230*(((Inputs!$G$5:$G$230="moeda")+(Inputs!$G$5:$G$230="acoes"))*Inputs!$B$1+((Inputs!$G$5:$G$230&lt;&gt;"moeda")*(Inputs!$G$5:$G$230&lt;&gt;"acoes")))*INDEX(Inputs!$K$5:$AJ$230,0,MATCH(AA$2,Inputs!$K$4:$AJ$4,0)))))</f>
        <v>10.703</v>
      </c>
      <c r="AB65" s="3">
        <f>SUM(X65:AA65)</f>
        <v>30.805</v>
      </c>
      <c r="AC65" s="6">
        <f>IF(ISNA(MATCH(AC$2,Inputs!$K$4:$AJ$4,0)),NA(),IF(SUMPRODUCT((Inputs!$A$5:$A$230=$B65)*ISNUMBER(INDEX(Inputs!$K$5:$AJ$230,0,MATCH(AC$2,Inputs!$K$4:$AJ$4,0))))+SUMPRODUCT((Inputs!$C$5:$C$230=$B65)*ISNUMBER(INDEX(Inputs!$K$5:$AJ$230,0,MATCH(AC$2,Inputs!$K$4:$AJ$4,0))))+SUMPRODUCT((Inputs!$E$5:$E$230=$B65)*ISNUMBER(INDEX(Inputs!$K$5:$AJ$230,0,MATCH(AC$2,Inputs!$K$4:$AJ$4,0))))=0,NA(),SUMPRODUCT((Inputs!$A$5:$A$230=$B65)*Inputs!$B$5:$B$230*(((Inputs!$G$5:$G$230="moeda")+(Inputs!$G$5:$G$230="acoes"))*Inputs!$B$1+((Inputs!$G$5:$G$230&lt;&gt;"moeda")*(Inputs!$G$5:$G$230&lt;&gt;"acoes")))*INDEX(Inputs!$K$5:$AJ$230,0,MATCH(AC$2,Inputs!$K$4:$AJ$4,0)))+SUMPRODUCT((Inputs!$C$5:$C$230=$B65)*Inputs!$D$5:$D$230*(((Inputs!$G$5:$G$230="moeda")+(Inputs!$G$5:$G$230="acoes"))*Inputs!$B$1+((Inputs!$G$5:$G$230&lt;&gt;"moeda")*(Inputs!$G$5:$G$230&lt;&gt;"acoes")))*INDEX(Inputs!$K$5:$AJ$230,0,MATCH(AC$2,Inputs!$K$4:$AJ$4,0)))+SUMPRODUCT((Inputs!$E$5:$E$230=$B65)*Inputs!$F$5:$F$230*(((Inputs!$G$5:$G$230="moeda")+(Inputs!$G$5:$G$230="acoes"))*Inputs!$B$1+((Inputs!$G$5:$G$230&lt;&gt;"moeda")*(Inputs!$G$5:$G$230&lt;&gt;"acoes")))*INDEX(Inputs!$K$5:$AJ$230,0,MATCH(AC$2,Inputs!$K$4:$AJ$4,0)))))</f>
        <v>9.069</v>
      </c>
      <c r="AD65" s="6">
        <f>IF(ISNA(MATCH(AD$2,Inputs!$K$4:$AJ$4,0)),NA(),IF(SUMPRODUCT((Inputs!$A$5:$A$230=$B65)*ISNUMBER(INDEX(Inputs!$K$5:$AJ$230,0,MATCH(AD$2,Inputs!$K$4:$AJ$4,0))))+SUMPRODUCT((Inputs!$C$5:$C$230=$B65)*ISNUMBER(INDEX(Inputs!$K$5:$AJ$230,0,MATCH(AD$2,Inputs!$K$4:$AJ$4,0))))+SUMPRODUCT((Inputs!$E$5:$E$230=$B65)*ISNUMBER(INDEX(Inputs!$K$5:$AJ$230,0,MATCH(AD$2,Inputs!$K$4:$AJ$4,0))))=0,NA(),SUMPRODUCT((Inputs!$A$5:$A$230=$B65)*Inputs!$B$5:$B$230*(((Inputs!$G$5:$G$230="moeda")+(Inputs!$G$5:$G$230="acoes"))*Inputs!$B$1+((Inputs!$G$5:$G$230&lt;&gt;"moeda")*(Inputs!$G$5:$G$230&lt;&gt;"acoes")))*INDEX(Inputs!$K$5:$AJ$230,0,MATCH(AD$2,Inputs!$K$4:$AJ$4,0)))+SUMPRODUCT((Inputs!$C$5:$C$230=$B65)*Inputs!$D$5:$D$230*(((Inputs!$G$5:$G$230="moeda")+(Inputs!$G$5:$G$230="acoes"))*Inputs!$B$1+((Inputs!$G$5:$G$230&lt;&gt;"moeda")*(Inputs!$G$5:$G$230&lt;&gt;"acoes")))*INDEX(Inputs!$K$5:$AJ$230,0,MATCH(AD$2,Inputs!$K$4:$AJ$4,0)))+SUMPRODUCT((Inputs!$E$5:$E$230=$B65)*Inputs!$F$5:$F$230*(((Inputs!$G$5:$G$230="moeda")+(Inputs!$G$5:$G$230="acoes"))*Inputs!$B$1+((Inputs!$G$5:$G$230&lt;&gt;"moeda")*(Inputs!$G$5:$G$230&lt;&gt;"acoes")))*INDEX(Inputs!$K$5:$AJ$230,0,MATCH(AD$2,Inputs!$K$4:$AJ$4,0)))))</f>
        <v>10.393</v>
      </c>
      <c r="AE65" s="6" t="e">
        <f>IF(ISNA(MATCH(AE$2,Inputs!$K$4:$AJ$4,0)),NA(),IF(SUMPRODUCT((Inputs!$A$5:$A$230=$B65)*ISNUMBER(INDEX(Inputs!$K$5:$AJ$230,0,MATCH(AE$2,Inputs!$K$4:$AJ$4,0))))+SUMPRODUCT((Inputs!$C$5:$C$230=$B65)*ISNUMBER(INDEX(Inputs!$K$5:$AJ$230,0,MATCH(AE$2,Inputs!$K$4:$AJ$4,0))))+SUMPRODUCT((Inputs!$E$5:$E$230=$B65)*ISNUMBER(INDEX(Inputs!$K$5:$AJ$230,0,MATCH(AE$2,Inputs!$K$4:$AJ$4,0))))=0,NA(),SUMPRODUCT((Inputs!$A$5:$A$230=$B65)*Inputs!$B$5:$B$230*(((Inputs!$G$5:$G$230="moeda")+(Inputs!$G$5:$G$230="acoes"))*Inputs!$B$1+((Inputs!$G$5:$G$230&lt;&gt;"moeda")*(Inputs!$G$5:$G$230&lt;&gt;"acoes")))*INDEX(Inputs!$K$5:$AJ$230,0,MATCH(AE$2,Inputs!$K$4:$AJ$4,0)))+SUMPRODUCT((Inputs!$C$5:$C$230=$B65)*Inputs!$D$5:$D$230*(((Inputs!$G$5:$G$230="moeda")+(Inputs!$G$5:$G$230="acoes"))*Inputs!$B$1+((Inputs!$G$5:$G$230&lt;&gt;"moeda")*(Inputs!$G$5:$G$230&lt;&gt;"acoes")))*INDEX(Inputs!$K$5:$AJ$230,0,MATCH(AE$2,Inputs!$K$4:$AJ$4,0)))+SUMPRODUCT((Inputs!$E$5:$E$230=$B65)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5" s="6" t="e">
        <f>IF(ISNA(MATCH(AF$2,Inputs!$K$4:$AJ$4,0)),NA(),IF(SUMPRODUCT((Inputs!$A$5:$A$230=$B65)*ISNUMBER(INDEX(Inputs!$K$5:$AJ$230,0,MATCH(AF$2,Inputs!$K$4:$AJ$4,0))))+SUMPRODUCT((Inputs!$C$5:$C$230=$B65)*ISNUMBER(INDEX(Inputs!$K$5:$AJ$230,0,MATCH(AF$2,Inputs!$K$4:$AJ$4,0))))+SUMPRODUCT((Inputs!$E$5:$E$230=$B65)*ISNUMBER(INDEX(Inputs!$K$5:$AJ$230,0,MATCH(AF$2,Inputs!$K$4:$AJ$4,0))))=0,NA(),SUMPRODUCT((Inputs!$A$5:$A$230=$B65)*Inputs!$B$5:$B$230*(((Inputs!$G$5:$G$230="moeda")+(Inputs!$G$5:$G$230="acoes"))*Inputs!$B$1+((Inputs!$G$5:$G$230&lt;&gt;"moeda")*(Inputs!$G$5:$G$230&lt;&gt;"acoes")))*INDEX(Inputs!$K$5:$AJ$230,0,MATCH(AF$2,Inputs!$K$4:$AJ$4,0)))+SUMPRODUCT((Inputs!$C$5:$C$230=$B65)*Inputs!$D$5:$D$230*(((Inputs!$G$5:$G$230="moeda")+(Inputs!$G$5:$G$230="acoes"))*Inputs!$B$1+((Inputs!$G$5:$G$230&lt;&gt;"moeda")*(Inputs!$G$5:$G$230&lt;&gt;"acoes")))*INDEX(Inputs!$K$5:$AJ$230,0,MATCH(AF$2,Inputs!$K$4:$AJ$4,0)))+SUMPRODUCT((Inputs!$E$5:$E$230=$B65)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5" s="3" t="e">
        <f>SUM(AC65:AF65)</f>
        <v>#N/A</v>
      </c>
      <c r="AH65" s="6">
        <f>IF(ISNA(MATCH(AH$2,Inputs!$K$4:$AJ$4,0)),NA(),IF(SUMPRODUCT((Inputs!$A$5:$A$230=$B65)*ISNUMBER(INDEX(Inputs!$K$5:$AJ$230,0,MATCH(AH$2,Inputs!$K$4:$AJ$4,0))))+SUMPRODUCT((Inputs!$C$5:$C$230=$B65)*ISNUMBER(INDEX(Inputs!$K$5:$AJ$230,0,MATCH(AH$2,Inputs!$K$4:$AJ$4,0))))+SUMPRODUCT((Inputs!$E$5:$E$230=$B65)*ISNUMBER(INDEX(Inputs!$K$5:$AJ$230,0,MATCH(AH$2,Inputs!$K$4:$AJ$4,0))))=0,NA(),SUMPRODUCT((Inputs!$A$5:$A$230=$B65)*Inputs!$B$5:$B$230*(((Inputs!$G$5:$G$230="moeda")+(Inputs!$G$5:$G$230="acoes"))*Inputs!$B$1+((Inputs!$G$5:$G$230&lt;&gt;"moeda")*(Inputs!$G$5:$G$230&lt;&gt;"acoes")))*INDEX(Inputs!$K$5:$AJ$230,0,MATCH(AH$2,Inputs!$K$4:$AJ$4,0)))+SUMPRODUCT((Inputs!$C$5:$C$230=$B65)*Inputs!$D$5:$D$230*(((Inputs!$G$5:$G$230="moeda")+(Inputs!$G$5:$G$230="acoes"))*Inputs!$B$1+((Inputs!$G$5:$G$230&lt;&gt;"moeda")*(Inputs!$G$5:$G$230&lt;&gt;"acoes")))*INDEX(Inputs!$K$5:$AJ$230,0,MATCH(AH$2,Inputs!$K$4:$AJ$4,0)))+SUMPRODUCT((Inputs!$E$5:$E$230=$B65)*Inputs!$F$5:$F$230*(((Inputs!$G$5:$G$230="moeda")+(Inputs!$G$5:$G$230="acoes"))*Inputs!$B$1+((Inputs!$G$5:$G$230&lt;&gt;"moeda")*(Inputs!$G$5:$G$230&lt;&gt;"acoes")))*INDEX(Inputs!$K$5:$AJ$230,0,MATCH(AH$2,Inputs!$K$4:$AJ$4,0)))))</f>
        <v>5.77</v>
      </c>
      <c r="AI65" s="6">
        <f>IF(ISNA(MATCH(AI$2,Inputs!$K$4:$AJ$4,0)),NA(),IF(SUMPRODUCT((Inputs!$A$5:$A$230=$B65)*ISNUMBER(INDEX(Inputs!$K$5:$AJ$230,0,MATCH(AI$2,Inputs!$K$4:$AJ$4,0))))+SUMPRODUCT((Inputs!$C$5:$C$230=$B65)*ISNUMBER(INDEX(Inputs!$K$5:$AJ$230,0,MATCH(AI$2,Inputs!$K$4:$AJ$4,0))))+SUMPRODUCT((Inputs!$E$5:$E$230=$B65)*ISNUMBER(INDEX(Inputs!$K$5:$AJ$230,0,MATCH(AI$2,Inputs!$K$4:$AJ$4,0))))=0,NA(),SUMPRODUCT((Inputs!$A$5:$A$230=$B65)*Inputs!$B$5:$B$230*(((Inputs!$G$5:$G$230="moeda")+(Inputs!$G$5:$G$230="acoes"))*Inputs!$B$1+((Inputs!$G$5:$G$230&lt;&gt;"moeda")*(Inputs!$G$5:$G$230&lt;&gt;"acoes")))*INDEX(Inputs!$K$5:$AJ$230,0,MATCH(AI$2,Inputs!$K$4:$AJ$4,0)))+SUMPRODUCT((Inputs!$C$5:$C$230=$B65)*Inputs!$D$5:$D$230*(((Inputs!$G$5:$G$230="moeda")+(Inputs!$G$5:$G$230="acoes"))*Inputs!$B$1+((Inputs!$G$5:$G$230&lt;&gt;"moeda")*(Inputs!$G$5:$G$230&lt;&gt;"acoes")))*INDEX(Inputs!$K$5:$AJ$230,0,MATCH(AI$2,Inputs!$K$4:$AJ$4,0)))+SUMPRODUCT((Inputs!$E$5:$E$230=$B65)*Inputs!$F$5:$F$230*(((Inputs!$G$5:$G$230="moeda")+(Inputs!$G$5:$G$230="acoes"))*Inputs!$B$1+((Inputs!$G$5:$G$230&lt;&gt;"moeda")*(Inputs!$G$5:$G$230&lt;&gt;"acoes")))*INDEX(Inputs!$K$5:$AJ$230,0,MATCH(AI$2,Inputs!$K$4:$AJ$4,0)))))</f>
        <v>4.18</v>
      </c>
      <c r="AJ65" s="6">
        <f>IF(ISNA(MATCH(AJ$2,Inputs!$K$4:$AJ$4,0)),NA(),IF(SUMPRODUCT((Inputs!$A$5:$A$230=$B65)*ISNUMBER(INDEX(Inputs!$K$5:$AJ$230,0,MATCH(AJ$2,Inputs!$K$4:$AJ$4,0))))+SUMPRODUCT((Inputs!$C$5:$C$230=$B65)*ISNUMBER(INDEX(Inputs!$K$5:$AJ$230,0,MATCH(AJ$2,Inputs!$K$4:$AJ$4,0))))+SUMPRODUCT((Inputs!$E$5:$E$230=$B65)*ISNUMBER(INDEX(Inputs!$K$5:$AJ$230,0,MATCH(AJ$2,Inputs!$K$4:$AJ$4,0))))=0,NA(),SUMPRODUCT((Inputs!$A$5:$A$230=$B65)*Inputs!$B$5:$B$230*(((Inputs!$G$5:$G$230="moeda")+(Inputs!$G$5:$G$230="acoes"))*Inputs!$B$1+((Inputs!$G$5:$G$230&lt;&gt;"moeda")*(Inputs!$G$5:$G$230&lt;&gt;"acoes")))*INDEX(Inputs!$K$5:$AJ$230,0,MATCH(AJ$2,Inputs!$K$4:$AJ$4,0)))+SUMPRODUCT((Inputs!$C$5:$C$230=$B65)*Inputs!$D$5:$D$230*(((Inputs!$G$5:$G$230="moeda")+(Inputs!$G$5:$G$230="acoes"))*Inputs!$B$1+((Inputs!$G$5:$G$230&lt;&gt;"moeda")*(Inputs!$G$5:$G$230&lt;&gt;"acoes")))*INDEX(Inputs!$K$5:$AJ$230,0,MATCH(AJ$2,Inputs!$K$4:$AJ$4,0)))+SUMPRODUCT((Inputs!$E$5:$E$230=$B65)*Inputs!$F$5:$F$230*(((Inputs!$G$5:$G$230="moeda")+(Inputs!$G$5:$G$230="acoes"))*Inputs!$B$1+((Inputs!$G$5:$G$230&lt;&gt;"moeda")*(Inputs!$G$5:$G$230&lt;&gt;"acoes")))*INDEX(Inputs!$K$5:$AJ$230,0,MATCH(AJ$2,Inputs!$K$4:$AJ$4,0)))))</f>
        <v>8.456</v>
      </c>
      <c r="AK65" s="6">
        <f>IF(ISNA(MATCH(AK$2,Inputs!$K$4:$AJ$4,0)),NA(),IF(SUMPRODUCT((Inputs!$A$5:$A$230=$B65)*ISNUMBER(INDEX(Inputs!$K$5:$AJ$230,0,MATCH(AK$2,Inputs!$K$4:$AJ$4,0))))+SUMPRODUCT((Inputs!$C$5:$C$230=$B65)*ISNUMBER(INDEX(Inputs!$K$5:$AJ$230,0,MATCH(AK$2,Inputs!$K$4:$AJ$4,0))))+SUMPRODUCT((Inputs!$E$5:$E$230=$B65)*ISNUMBER(INDEX(Inputs!$K$5:$AJ$230,0,MATCH(AK$2,Inputs!$K$4:$AJ$4,0))))=0,NA(),SUMPRODUCT((Inputs!$A$5:$A$230=$B65)*Inputs!$B$5:$B$230*(((Inputs!$G$5:$G$230="moeda")+(Inputs!$G$5:$G$230="acoes"))*Inputs!$B$1+((Inputs!$G$5:$G$230&lt;&gt;"moeda")*(Inputs!$G$5:$G$230&lt;&gt;"acoes")))*INDEX(Inputs!$K$5:$AJ$230,0,MATCH(AK$2,Inputs!$K$4:$AJ$4,0)))+SUMPRODUCT((Inputs!$C$5:$C$230=$B65)*Inputs!$D$5:$D$230*(((Inputs!$G$5:$G$230="moeda")+(Inputs!$G$5:$G$230="acoes"))*Inputs!$B$1+((Inputs!$G$5:$G$230&lt;&gt;"moeda")*(Inputs!$G$5:$G$230&lt;&gt;"acoes")))*INDEX(Inputs!$K$5:$AJ$230,0,MATCH(AK$2,Inputs!$K$4:$AJ$4,0)))+SUMPRODUCT((Inputs!$E$5:$E$230=$B65)*Inputs!$F$5:$F$230*(((Inputs!$G$5:$G$230="moeda")+(Inputs!$G$5:$G$230="acoes"))*Inputs!$B$1+((Inputs!$G$5:$G$230&lt;&gt;"moeda")*(Inputs!$G$5:$G$230&lt;&gt;"acoes")))*INDEX(Inputs!$K$5:$AJ$230,0,MATCH(AK$2,Inputs!$K$4:$AJ$4,0)))))</f>
        <v>7.658</v>
      </c>
      <c r="AL65" s="3">
        <f>SUM(AH65:AK65)</f>
        <v>26.064</v>
      </c>
    </row>
    <row r="66">
      <c r="B66" s="46" t="n">
        <v>58</v>
      </c>
      <c r="C66" s="29" t="inlineStr">
        <is>
          <t>Transmissao | ESDE</t>
        </is>
      </c>
      <c r="D66" s="6">
        <f>IF(ISNA(MATCH(D$2,Inputs!$K$4:$AJ$4,0)),NA(),IF(SUMPRODUCT((Inputs!$A$5:$A$230=$B66)*ISNUMBER(INDEX(Inputs!$K$5:$AJ$230,0,MATCH(D$2,Inputs!$K$4:$AJ$4,0))))+SUMPRODUCT((Inputs!$C$5:$C$230=$B66)*ISNUMBER(INDEX(Inputs!$K$5:$AJ$230,0,MATCH(D$2,Inputs!$K$4:$AJ$4,0))))+SUMPRODUCT((Inputs!$E$5:$E$230=$B66)*ISNUMBER(INDEX(Inputs!$K$5:$AJ$230,0,MATCH(D$2,Inputs!$K$4:$AJ$4,0))))=0,NA(),SUMPRODUCT((Inputs!$A$5:$A$230=$B66)*Inputs!$B$5:$B$230*(((Inputs!$G$5:$G$230="moeda")+(Inputs!$G$5:$G$230="acoes"))*Inputs!$B$1+((Inputs!$G$5:$G$230&lt;&gt;"moeda")*(Inputs!$G$5:$G$230&lt;&gt;"acoes")))*INDEX(Inputs!$K$5:$AJ$230,0,MATCH(D$2,Inputs!$K$4:$AJ$4,0)))+SUMPRODUCT((Inputs!$C$5:$C$230=$B66)*Inputs!$D$5:$D$230*(((Inputs!$G$5:$G$230="moeda")+(Inputs!$G$5:$G$230="acoes"))*Inputs!$B$1+((Inputs!$G$5:$G$230&lt;&gt;"moeda")*(Inputs!$G$5:$G$230&lt;&gt;"acoes")))*INDEX(Inputs!$K$5:$AJ$230,0,MATCH(D$2,Inputs!$K$4:$AJ$4,0)))+SUMPRODUCT((Inputs!$E$5:$E$230=$B66)*Inputs!$F$5:$F$230*(((Inputs!$G$5:$G$230="moeda")+(Inputs!$G$5:$G$230="acoes"))*Inputs!$B$1+((Inputs!$G$5:$G$230&lt;&gt;"moeda")*(Inputs!$G$5:$G$230&lt;&gt;"acoes")))*INDEX(Inputs!$K$5:$AJ$230,0,MATCH(D$2,Inputs!$K$4:$AJ$4,0)))))</f>
        <v>5.646</v>
      </c>
      <c r="E66" s="6">
        <f>IF(ISNA(MATCH(E$2,Inputs!$K$4:$AJ$4,0)),NA(),IF(SUMPRODUCT((Inputs!$A$5:$A$230=$B66)*ISNUMBER(INDEX(Inputs!$K$5:$AJ$230,0,MATCH(E$2,Inputs!$K$4:$AJ$4,0))))+SUMPRODUCT((Inputs!$C$5:$C$230=$B66)*ISNUMBER(INDEX(Inputs!$K$5:$AJ$230,0,MATCH(E$2,Inputs!$K$4:$AJ$4,0))))+SUMPRODUCT((Inputs!$E$5:$E$230=$B66)*ISNUMBER(INDEX(Inputs!$K$5:$AJ$230,0,MATCH(E$2,Inputs!$K$4:$AJ$4,0))))=0,NA(),SUMPRODUCT((Inputs!$A$5:$A$230=$B66)*Inputs!$B$5:$B$230*(((Inputs!$G$5:$G$230="moeda")+(Inputs!$G$5:$G$230="acoes"))*Inputs!$B$1+((Inputs!$G$5:$G$230&lt;&gt;"moeda")*(Inputs!$G$5:$G$230&lt;&gt;"acoes")))*INDEX(Inputs!$K$5:$AJ$230,0,MATCH(E$2,Inputs!$K$4:$AJ$4,0)))+SUMPRODUCT((Inputs!$C$5:$C$230=$B66)*Inputs!$D$5:$D$230*(((Inputs!$G$5:$G$230="moeda")+(Inputs!$G$5:$G$230="acoes"))*Inputs!$B$1+((Inputs!$G$5:$G$230&lt;&gt;"moeda")*(Inputs!$G$5:$G$230&lt;&gt;"acoes")))*INDEX(Inputs!$K$5:$AJ$230,0,MATCH(E$2,Inputs!$K$4:$AJ$4,0)))+SUMPRODUCT((Inputs!$E$5:$E$230=$B66)*Inputs!$F$5:$F$230*(((Inputs!$G$5:$G$230="moeda")+(Inputs!$G$5:$G$230="acoes"))*Inputs!$B$1+((Inputs!$G$5:$G$230&lt;&gt;"moeda")*(Inputs!$G$5:$G$230&lt;&gt;"acoes")))*INDEX(Inputs!$K$5:$AJ$230,0,MATCH(E$2,Inputs!$K$4:$AJ$4,0)))))</f>
        <v>5.312</v>
      </c>
      <c r="F66" s="6">
        <f>IF(ISNA(MATCH(F$2,Inputs!$K$4:$AJ$4,0)),NA(),IF(SUMPRODUCT((Inputs!$A$5:$A$230=$B66)*ISNUMBER(INDEX(Inputs!$K$5:$AJ$230,0,MATCH(F$2,Inputs!$K$4:$AJ$4,0))))+SUMPRODUCT((Inputs!$C$5:$C$230=$B66)*ISNUMBER(INDEX(Inputs!$K$5:$AJ$230,0,MATCH(F$2,Inputs!$K$4:$AJ$4,0))))+SUMPRODUCT((Inputs!$E$5:$E$230=$B66)*ISNUMBER(INDEX(Inputs!$K$5:$AJ$230,0,MATCH(F$2,Inputs!$K$4:$AJ$4,0))))=0,NA(),SUMPRODUCT((Inputs!$A$5:$A$230=$B66)*Inputs!$B$5:$B$230*(((Inputs!$G$5:$G$230="moeda")+(Inputs!$G$5:$G$230="acoes"))*Inputs!$B$1+((Inputs!$G$5:$G$230&lt;&gt;"moeda")*(Inputs!$G$5:$G$230&lt;&gt;"acoes")))*INDEX(Inputs!$K$5:$AJ$230,0,MATCH(F$2,Inputs!$K$4:$AJ$4,0)))+SUMPRODUCT((Inputs!$C$5:$C$230=$B66)*Inputs!$D$5:$D$230*(((Inputs!$G$5:$G$230="moeda")+(Inputs!$G$5:$G$230="acoes"))*Inputs!$B$1+((Inputs!$G$5:$G$230&lt;&gt;"moeda")*(Inputs!$G$5:$G$230&lt;&gt;"acoes")))*INDEX(Inputs!$K$5:$AJ$230,0,MATCH(F$2,Inputs!$K$4:$AJ$4,0)))+SUMPRODUCT((Inputs!$E$5:$E$230=$B66)*Inputs!$F$5:$F$230*(((Inputs!$G$5:$G$230="moeda")+(Inputs!$G$5:$G$230="acoes"))*Inputs!$B$1+((Inputs!$G$5:$G$230&lt;&gt;"moeda")*(Inputs!$G$5:$G$230&lt;&gt;"acoes")))*INDEX(Inputs!$K$5:$AJ$230,0,MATCH(F$2,Inputs!$K$4:$AJ$4,0)))))</f>
        <v>7.027</v>
      </c>
      <c r="G66" s="6">
        <f>IF(ISNA(MATCH(G$2,Inputs!$K$4:$AJ$4,0)),NA(),IF(SUMPRODUCT((Inputs!$A$5:$A$230=$B66)*ISNUMBER(INDEX(Inputs!$K$5:$AJ$230,0,MATCH(G$2,Inputs!$K$4:$AJ$4,0))))+SUMPRODUCT((Inputs!$C$5:$C$230=$B66)*ISNUMBER(INDEX(Inputs!$K$5:$AJ$230,0,MATCH(G$2,Inputs!$K$4:$AJ$4,0))))+SUMPRODUCT((Inputs!$E$5:$E$230=$B66)*ISNUMBER(INDEX(Inputs!$K$5:$AJ$230,0,MATCH(G$2,Inputs!$K$4:$AJ$4,0))))=0,NA(),SUMPRODUCT((Inputs!$A$5:$A$230=$B66)*Inputs!$B$5:$B$230*(((Inputs!$G$5:$G$230="moeda")+(Inputs!$G$5:$G$230="acoes"))*Inputs!$B$1+((Inputs!$G$5:$G$230&lt;&gt;"moeda")*(Inputs!$G$5:$G$230&lt;&gt;"acoes")))*INDEX(Inputs!$K$5:$AJ$230,0,MATCH(G$2,Inputs!$K$4:$AJ$4,0)))+SUMPRODUCT((Inputs!$C$5:$C$230=$B66)*Inputs!$D$5:$D$230*(((Inputs!$G$5:$G$230="moeda")+(Inputs!$G$5:$G$230="acoes"))*Inputs!$B$1+((Inputs!$G$5:$G$230&lt;&gt;"moeda")*(Inputs!$G$5:$G$230&lt;&gt;"acoes")))*INDEX(Inputs!$K$5:$AJ$230,0,MATCH(G$2,Inputs!$K$4:$AJ$4,0)))+SUMPRODUCT((Inputs!$E$5:$E$230=$B66)*Inputs!$F$5:$F$230*(((Inputs!$G$5:$G$230="moeda")+(Inputs!$G$5:$G$230="acoes"))*Inputs!$B$1+((Inputs!$G$5:$G$230&lt;&gt;"moeda")*(Inputs!$G$5:$G$230&lt;&gt;"acoes")))*INDEX(Inputs!$K$5:$AJ$230,0,MATCH(G$2,Inputs!$K$4:$AJ$4,0)))))</f>
        <v>7.005</v>
      </c>
      <c r="H66" s="3">
        <f>SUM(D66:G66)</f>
        <v>24.99</v>
      </c>
      <c r="I66" s="6">
        <f>IF(ISNA(MATCH(I$2,Inputs!$K$4:$AJ$4,0)),NA(),IF(SUMPRODUCT((Inputs!$A$5:$A$230=$B66)*ISNUMBER(INDEX(Inputs!$K$5:$AJ$230,0,MATCH(I$2,Inputs!$K$4:$AJ$4,0))))+SUMPRODUCT((Inputs!$C$5:$C$230=$B66)*ISNUMBER(INDEX(Inputs!$K$5:$AJ$230,0,MATCH(I$2,Inputs!$K$4:$AJ$4,0))))+SUMPRODUCT((Inputs!$E$5:$E$230=$B66)*ISNUMBER(INDEX(Inputs!$K$5:$AJ$230,0,MATCH(I$2,Inputs!$K$4:$AJ$4,0))))=0,NA(),SUMPRODUCT((Inputs!$A$5:$A$230=$B66)*Inputs!$B$5:$B$230*(((Inputs!$G$5:$G$230="moeda")+(Inputs!$G$5:$G$230="acoes"))*Inputs!$B$1+((Inputs!$G$5:$G$230&lt;&gt;"moeda")*(Inputs!$G$5:$G$230&lt;&gt;"acoes")))*INDEX(Inputs!$K$5:$AJ$230,0,MATCH(I$2,Inputs!$K$4:$AJ$4,0)))+SUMPRODUCT((Inputs!$C$5:$C$230=$B66)*Inputs!$D$5:$D$230*(((Inputs!$G$5:$G$230="moeda")+(Inputs!$G$5:$G$230="acoes"))*Inputs!$B$1+((Inputs!$G$5:$G$230&lt;&gt;"moeda")*(Inputs!$G$5:$G$230&lt;&gt;"acoes")))*INDEX(Inputs!$K$5:$AJ$230,0,MATCH(I$2,Inputs!$K$4:$AJ$4,0)))+SUMPRODUCT((Inputs!$E$5:$E$230=$B66)*Inputs!$F$5:$F$230*(((Inputs!$G$5:$G$230="moeda")+(Inputs!$G$5:$G$230="acoes"))*Inputs!$B$1+((Inputs!$G$5:$G$230&lt;&gt;"moeda")*(Inputs!$G$5:$G$230&lt;&gt;"acoes")))*INDEX(Inputs!$K$5:$AJ$230,0,MATCH(I$2,Inputs!$K$4:$AJ$4,0)))))</f>
        <v>5.945</v>
      </c>
      <c r="J66" s="6">
        <f>IF(ISNA(MATCH(J$2,Inputs!$K$4:$AJ$4,0)),NA(),IF(SUMPRODUCT((Inputs!$A$5:$A$230=$B66)*ISNUMBER(INDEX(Inputs!$K$5:$AJ$230,0,MATCH(J$2,Inputs!$K$4:$AJ$4,0))))+SUMPRODUCT((Inputs!$C$5:$C$230=$B66)*ISNUMBER(INDEX(Inputs!$K$5:$AJ$230,0,MATCH(J$2,Inputs!$K$4:$AJ$4,0))))+SUMPRODUCT((Inputs!$E$5:$E$230=$B66)*ISNUMBER(INDEX(Inputs!$K$5:$AJ$230,0,MATCH(J$2,Inputs!$K$4:$AJ$4,0))))=0,NA(),SUMPRODUCT((Inputs!$A$5:$A$230=$B66)*Inputs!$B$5:$B$230*(((Inputs!$G$5:$G$230="moeda")+(Inputs!$G$5:$G$230="acoes"))*Inputs!$B$1+((Inputs!$G$5:$G$230&lt;&gt;"moeda")*(Inputs!$G$5:$G$230&lt;&gt;"acoes")))*INDEX(Inputs!$K$5:$AJ$230,0,MATCH(J$2,Inputs!$K$4:$AJ$4,0)))+SUMPRODUCT((Inputs!$C$5:$C$230=$B66)*Inputs!$D$5:$D$230*(((Inputs!$G$5:$G$230="moeda")+(Inputs!$G$5:$G$230="acoes"))*Inputs!$B$1+((Inputs!$G$5:$G$230&lt;&gt;"moeda")*(Inputs!$G$5:$G$230&lt;&gt;"acoes")))*INDEX(Inputs!$K$5:$AJ$230,0,MATCH(J$2,Inputs!$K$4:$AJ$4,0)))+SUMPRODUCT((Inputs!$E$5:$E$230=$B66)*Inputs!$F$5:$F$230*(((Inputs!$G$5:$G$230="moeda")+(Inputs!$G$5:$G$230="acoes"))*Inputs!$B$1+((Inputs!$G$5:$G$230&lt;&gt;"moeda")*(Inputs!$G$5:$G$230&lt;&gt;"acoes")))*INDEX(Inputs!$K$5:$AJ$230,0,MATCH(J$2,Inputs!$K$4:$AJ$4,0)))))</f>
        <v>7.231</v>
      </c>
      <c r="K66" s="6">
        <f>IF(ISNA(MATCH(K$2,Inputs!$K$4:$AJ$4,0)),NA(),IF(SUMPRODUCT((Inputs!$A$5:$A$230=$B66)*ISNUMBER(INDEX(Inputs!$K$5:$AJ$230,0,MATCH(K$2,Inputs!$K$4:$AJ$4,0))))+SUMPRODUCT((Inputs!$C$5:$C$230=$B66)*ISNUMBER(INDEX(Inputs!$K$5:$AJ$230,0,MATCH(K$2,Inputs!$K$4:$AJ$4,0))))+SUMPRODUCT((Inputs!$E$5:$E$230=$B66)*ISNUMBER(INDEX(Inputs!$K$5:$AJ$230,0,MATCH(K$2,Inputs!$K$4:$AJ$4,0))))=0,NA(),SUMPRODUCT((Inputs!$A$5:$A$230=$B66)*Inputs!$B$5:$B$230*(((Inputs!$G$5:$G$230="moeda")+(Inputs!$G$5:$G$230="acoes"))*Inputs!$B$1+((Inputs!$G$5:$G$230&lt;&gt;"moeda")*(Inputs!$G$5:$G$230&lt;&gt;"acoes")))*INDEX(Inputs!$K$5:$AJ$230,0,MATCH(K$2,Inputs!$K$4:$AJ$4,0)))+SUMPRODUCT((Inputs!$C$5:$C$230=$B66)*Inputs!$D$5:$D$230*(((Inputs!$G$5:$G$230="moeda")+(Inputs!$G$5:$G$230="acoes"))*Inputs!$B$1+((Inputs!$G$5:$G$230&lt;&gt;"moeda")*(Inputs!$G$5:$G$230&lt;&gt;"acoes")))*INDEX(Inputs!$K$5:$AJ$230,0,MATCH(K$2,Inputs!$K$4:$AJ$4,0)))+SUMPRODUCT((Inputs!$E$5:$E$230=$B66)*Inputs!$F$5:$F$230*(((Inputs!$G$5:$G$230="moeda")+(Inputs!$G$5:$G$230="acoes"))*Inputs!$B$1+((Inputs!$G$5:$G$230&lt;&gt;"moeda")*(Inputs!$G$5:$G$230&lt;&gt;"acoes")))*INDEX(Inputs!$K$5:$AJ$230,0,MATCH(K$2,Inputs!$K$4:$AJ$4,0)))))</f>
        <v>2.941</v>
      </c>
      <c r="L66" s="6">
        <f>IF(ISNA(MATCH(L$2,Inputs!$K$4:$AJ$4,0)),NA(),IF(SUMPRODUCT((Inputs!$A$5:$A$230=$B66)*ISNUMBER(INDEX(Inputs!$K$5:$AJ$230,0,MATCH(L$2,Inputs!$K$4:$AJ$4,0))))+SUMPRODUCT((Inputs!$C$5:$C$230=$B66)*ISNUMBER(INDEX(Inputs!$K$5:$AJ$230,0,MATCH(L$2,Inputs!$K$4:$AJ$4,0))))+SUMPRODUCT((Inputs!$E$5:$E$230=$B66)*ISNUMBER(INDEX(Inputs!$K$5:$AJ$230,0,MATCH(L$2,Inputs!$K$4:$AJ$4,0))))=0,NA(),SUMPRODUCT((Inputs!$A$5:$A$230=$B66)*Inputs!$B$5:$B$230*(((Inputs!$G$5:$G$230="moeda")+(Inputs!$G$5:$G$230="acoes"))*Inputs!$B$1+((Inputs!$G$5:$G$230&lt;&gt;"moeda")*(Inputs!$G$5:$G$230&lt;&gt;"acoes")))*INDEX(Inputs!$K$5:$AJ$230,0,MATCH(L$2,Inputs!$K$4:$AJ$4,0)))+SUMPRODUCT((Inputs!$C$5:$C$230=$B66)*Inputs!$D$5:$D$230*(((Inputs!$G$5:$G$230="moeda")+(Inputs!$G$5:$G$230="acoes"))*Inputs!$B$1+((Inputs!$G$5:$G$230&lt;&gt;"moeda")*(Inputs!$G$5:$G$230&lt;&gt;"acoes")))*INDEX(Inputs!$K$5:$AJ$230,0,MATCH(L$2,Inputs!$K$4:$AJ$4,0)))+SUMPRODUCT((Inputs!$E$5:$E$230=$B66)*Inputs!$F$5:$F$230*(((Inputs!$G$5:$G$230="moeda")+(Inputs!$G$5:$G$230="acoes"))*Inputs!$B$1+((Inputs!$G$5:$G$230&lt;&gt;"moeda")*(Inputs!$G$5:$G$230&lt;&gt;"acoes")))*INDEX(Inputs!$K$5:$AJ$230,0,MATCH(L$2,Inputs!$K$4:$AJ$4,0)))))</f>
        <v>4.212</v>
      </c>
      <c r="M66" s="3">
        <f>SUM(I66:L66)</f>
        <v>20.329</v>
      </c>
      <c r="N66" s="6">
        <f>IF(ISNA(MATCH(N$2,Inputs!$K$4:$AJ$4,0)),NA(),IF(SUMPRODUCT((Inputs!$A$5:$A$230=$B66)*ISNUMBER(INDEX(Inputs!$K$5:$AJ$230,0,MATCH(N$2,Inputs!$K$4:$AJ$4,0))))+SUMPRODUCT((Inputs!$C$5:$C$230=$B66)*ISNUMBER(INDEX(Inputs!$K$5:$AJ$230,0,MATCH(N$2,Inputs!$K$4:$AJ$4,0))))+SUMPRODUCT((Inputs!$E$5:$E$230=$B66)*ISNUMBER(INDEX(Inputs!$K$5:$AJ$230,0,MATCH(N$2,Inputs!$K$4:$AJ$4,0))))=0,NA(),SUMPRODUCT((Inputs!$A$5:$A$230=$B66)*Inputs!$B$5:$B$230*(((Inputs!$G$5:$G$230="moeda")+(Inputs!$G$5:$G$230="acoes"))*Inputs!$B$1+((Inputs!$G$5:$G$230&lt;&gt;"moeda")*(Inputs!$G$5:$G$230&lt;&gt;"acoes")))*INDEX(Inputs!$K$5:$AJ$230,0,MATCH(N$2,Inputs!$K$4:$AJ$4,0)))+SUMPRODUCT((Inputs!$C$5:$C$230=$B66)*Inputs!$D$5:$D$230*(((Inputs!$G$5:$G$230="moeda")+(Inputs!$G$5:$G$230="acoes"))*Inputs!$B$1+((Inputs!$G$5:$G$230&lt;&gt;"moeda")*(Inputs!$G$5:$G$230&lt;&gt;"acoes")))*INDEX(Inputs!$K$5:$AJ$230,0,MATCH(N$2,Inputs!$K$4:$AJ$4,0)))+SUMPRODUCT((Inputs!$E$5:$E$230=$B66)*Inputs!$F$5:$F$230*(((Inputs!$G$5:$G$230="moeda")+(Inputs!$G$5:$G$230="acoes"))*Inputs!$B$1+((Inputs!$G$5:$G$230&lt;&gt;"moeda")*(Inputs!$G$5:$G$230&lt;&gt;"acoes")))*INDEX(Inputs!$K$5:$AJ$230,0,MATCH(N$2,Inputs!$K$4:$AJ$4,0)))))</f>
        <v>5.775</v>
      </c>
      <c r="O66" s="6">
        <f>IF(ISNA(MATCH(O$2,Inputs!$K$4:$AJ$4,0)),NA(),IF(SUMPRODUCT((Inputs!$A$5:$A$230=$B66)*ISNUMBER(INDEX(Inputs!$K$5:$AJ$230,0,MATCH(O$2,Inputs!$K$4:$AJ$4,0))))+SUMPRODUCT((Inputs!$C$5:$C$230=$B66)*ISNUMBER(INDEX(Inputs!$K$5:$AJ$230,0,MATCH(O$2,Inputs!$K$4:$AJ$4,0))))+SUMPRODUCT((Inputs!$E$5:$E$230=$B66)*ISNUMBER(INDEX(Inputs!$K$5:$AJ$230,0,MATCH(O$2,Inputs!$K$4:$AJ$4,0))))=0,NA(),SUMPRODUCT((Inputs!$A$5:$A$230=$B66)*Inputs!$B$5:$B$230*(((Inputs!$G$5:$G$230="moeda")+(Inputs!$G$5:$G$230="acoes"))*Inputs!$B$1+((Inputs!$G$5:$G$230&lt;&gt;"moeda")*(Inputs!$G$5:$G$230&lt;&gt;"acoes")))*INDEX(Inputs!$K$5:$AJ$230,0,MATCH(O$2,Inputs!$K$4:$AJ$4,0)))+SUMPRODUCT((Inputs!$C$5:$C$230=$B66)*Inputs!$D$5:$D$230*(((Inputs!$G$5:$G$230="moeda")+(Inputs!$G$5:$G$230="acoes"))*Inputs!$B$1+((Inputs!$G$5:$G$230&lt;&gt;"moeda")*(Inputs!$G$5:$G$230&lt;&gt;"acoes")))*INDEX(Inputs!$K$5:$AJ$230,0,MATCH(O$2,Inputs!$K$4:$AJ$4,0)))+SUMPRODUCT((Inputs!$E$5:$E$230=$B66)*Inputs!$F$5:$F$230*(((Inputs!$G$5:$G$230="moeda")+(Inputs!$G$5:$G$230="acoes"))*Inputs!$B$1+((Inputs!$G$5:$G$230&lt;&gt;"moeda")*(Inputs!$G$5:$G$230&lt;&gt;"acoes")))*INDEX(Inputs!$K$5:$AJ$230,0,MATCH(O$2,Inputs!$K$4:$AJ$4,0)))))</f>
        <v>5.427</v>
      </c>
      <c r="P66" s="6">
        <f>IF(ISNA(MATCH(P$2,Inputs!$K$4:$AJ$4,0)),NA(),IF(SUMPRODUCT((Inputs!$A$5:$A$230=$B66)*ISNUMBER(INDEX(Inputs!$K$5:$AJ$230,0,MATCH(P$2,Inputs!$K$4:$AJ$4,0))))+SUMPRODUCT((Inputs!$C$5:$C$230=$B66)*ISNUMBER(INDEX(Inputs!$K$5:$AJ$230,0,MATCH(P$2,Inputs!$K$4:$AJ$4,0))))+SUMPRODUCT((Inputs!$E$5:$E$230=$B66)*ISNUMBER(INDEX(Inputs!$K$5:$AJ$230,0,MATCH(P$2,Inputs!$K$4:$AJ$4,0))))=0,NA(),SUMPRODUCT((Inputs!$A$5:$A$230=$B66)*Inputs!$B$5:$B$230*(((Inputs!$G$5:$G$230="moeda")+(Inputs!$G$5:$G$230="acoes"))*Inputs!$B$1+((Inputs!$G$5:$G$230&lt;&gt;"moeda")*(Inputs!$G$5:$G$230&lt;&gt;"acoes")))*INDEX(Inputs!$K$5:$AJ$230,0,MATCH(P$2,Inputs!$K$4:$AJ$4,0)))+SUMPRODUCT((Inputs!$C$5:$C$230=$B66)*Inputs!$D$5:$D$230*(((Inputs!$G$5:$G$230="moeda")+(Inputs!$G$5:$G$230="acoes"))*Inputs!$B$1+((Inputs!$G$5:$G$230&lt;&gt;"moeda")*(Inputs!$G$5:$G$230&lt;&gt;"acoes")))*INDEX(Inputs!$K$5:$AJ$230,0,MATCH(P$2,Inputs!$K$4:$AJ$4,0)))+SUMPRODUCT((Inputs!$E$5:$E$230=$B66)*Inputs!$F$5:$F$230*(((Inputs!$G$5:$G$230="moeda")+(Inputs!$G$5:$G$230="acoes"))*Inputs!$B$1+((Inputs!$G$5:$G$230&lt;&gt;"moeda")*(Inputs!$G$5:$G$230&lt;&gt;"acoes")))*INDEX(Inputs!$K$5:$AJ$230,0,MATCH(P$2,Inputs!$K$4:$AJ$4,0)))))</f>
        <v>3.741</v>
      </c>
      <c r="Q66" s="6">
        <f>IF(ISNA(MATCH(Q$2,Inputs!$K$4:$AJ$4,0)),NA(),IF(SUMPRODUCT((Inputs!$A$5:$A$230=$B66)*ISNUMBER(INDEX(Inputs!$K$5:$AJ$230,0,MATCH(Q$2,Inputs!$K$4:$AJ$4,0))))+SUMPRODUCT((Inputs!$C$5:$C$230=$B66)*ISNUMBER(INDEX(Inputs!$K$5:$AJ$230,0,MATCH(Q$2,Inputs!$K$4:$AJ$4,0))))+SUMPRODUCT((Inputs!$E$5:$E$230=$B66)*ISNUMBER(INDEX(Inputs!$K$5:$AJ$230,0,MATCH(Q$2,Inputs!$K$4:$AJ$4,0))))=0,NA(),SUMPRODUCT((Inputs!$A$5:$A$230=$B66)*Inputs!$B$5:$B$230*(((Inputs!$G$5:$G$230="moeda")+(Inputs!$G$5:$G$230="acoes"))*Inputs!$B$1+((Inputs!$G$5:$G$230&lt;&gt;"moeda")*(Inputs!$G$5:$G$230&lt;&gt;"acoes")))*INDEX(Inputs!$K$5:$AJ$230,0,MATCH(Q$2,Inputs!$K$4:$AJ$4,0)))+SUMPRODUCT((Inputs!$C$5:$C$230=$B66)*Inputs!$D$5:$D$230*(((Inputs!$G$5:$G$230="moeda")+(Inputs!$G$5:$G$230="acoes"))*Inputs!$B$1+((Inputs!$G$5:$G$230&lt;&gt;"moeda")*(Inputs!$G$5:$G$230&lt;&gt;"acoes")))*INDEX(Inputs!$K$5:$AJ$230,0,MATCH(Q$2,Inputs!$K$4:$AJ$4,0)))+SUMPRODUCT((Inputs!$E$5:$E$230=$B66)*Inputs!$F$5:$F$230*(((Inputs!$G$5:$G$230="moeda")+(Inputs!$G$5:$G$230="acoes"))*Inputs!$B$1+((Inputs!$G$5:$G$230&lt;&gt;"moeda")*(Inputs!$G$5:$G$230&lt;&gt;"acoes")))*INDEX(Inputs!$K$5:$AJ$230,0,MATCH(Q$2,Inputs!$K$4:$AJ$4,0)))))</f>
        <v>4.647</v>
      </c>
      <c r="R66" s="3">
        <f>SUM(N66:Q66)</f>
        <v>19.59</v>
      </c>
      <c r="S66" s="6">
        <f>IF(ISNA(MATCH(S$2,Inputs!$K$4:$AJ$4,0)),NA(),IF(SUMPRODUCT((Inputs!$A$5:$A$230=$B66)*ISNUMBER(INDEX(Inputs!$K$5:$AJ$230,0,MATCH(S$2,Inputs!$K$4:$AJ$4,0))))+SUMPRODUCT((Inputs!$C$5:$C$230=$B66)*ISNUMBER(INDEX(Inputs!$K$5:$AJ$230,0,MATCH(S$2,Inputs!$K$4:$AJ$4,0))))+SUMPRODUCT((Inputs!$E$5:$E$230=$B66)*ISNUMBER(INDEX(Inputs!$K$5:$AJ$230,0,MATCH(S$2,Inputs!$K$4:$AJ$4,0))))=0,NA(),SUMPRODUCT((Inputs!$A$5:$A$230=$B66)*Inputs!$B$5:$B$230*(((Inputs!$G$5:$G$230="moeda")+(Inputs!$G$5:$G$230="acoes"))*Inputs!$B$1+((Inputs!$G$5:$G$230&lt;&gt;"moeda")*(Inputs!$G$5:$G$230&lt;&gt;"acoes")))*INDEX(Inputs!$K$5:$AJ$230,0,MATCH(S$2,Inputs!$K$4:$AJ$4,0)))+SUMPRODUCT((Inputs!$C$5:$C$230=$B66)*Inputs!$D$5:$D$230*(((Inputs!$G$5:$G$230="moeda")+(Inputs!$G$5:$G$230="acoes"))*Inputs!$B$1+((Inputs!$G$5:$G$230&lt;&gt;"moeda")*(Inputs!$G$5:$G$230&lt;&gt;"acoes")))*INDEX(Inputs!$K$5:$AJ$230,0,MATCH(S$2,Inputs!$K$4:$AJ$4,0)))+SUMPRODUCT((Inputs!$E$5:$E$230=$B66)*Inputs!$F$5:$F$230*(((Inputs!$G$5:$G$230="moeda")+(Inputs!$G$5:$G$230="acoes"))*Inputs!$B$1+((Inputs!$G$5:$G$230&lt;&gt;"moeda")*(Inputs!$G$5:$G$230&lt;&gt;"acoes")))*INDEX(Inputs!$K$5:$AJ$230,0,MATCH(S$2,Inputs!$K$4:$AJ$4,0)))))</f>
        <v>5.7</v>
      </c>
      <c r="T66" s="6">
        <f>IF(ISNA(MATCH(T$2,Inputs!$K$4:$AJ$4,0)),NA(),IF(SUMPRODUCT((Inputs!$A$5:$A$230=$B66)*ISNUMBER(INDEX(Inputs!$K$5:$AJ$230,0,MATCH(T$2,Inputs!$K$4:$AJ$4,0))))+SUMPRODUCT((Inputs!$C$5:$C$230=$B66)*ISNUMBER(INDEX(Inputs!$K$5:$AJ$230,0,MATCH(T$2,Inputs!$K$4:$AJ$4,0))))+SUMPRODUCT((Inputs!$E$5:$E$230=$B66)*ISNUMBER(INDEX(Inputs!$K$5:$AJ$230,0,MATCH(T$2,Inputs!$K$4:$AJ$4,0))))=0,NA(),SUMPRODUCT((Inputs!$A$5:$A$230=$B66)*Inputs!$B$5:$B$230*(((Inputs!$G$5:$G$230="moeda")+(Inputs!$G$5:$G$230="acoes"))*Inputs!$B$1+((Inputs!$G$5:$G$230&lt;&gt;"moeda")*(Inputs!$G$5:$G$230&lt;&gt;"acoes")))*INDEX(Inputs!$K$5:$AJ$230,0,MATCH(T$2,Inputs!$K$4:$AJ$4,0)))+SUMPRODUCT((Inputs!$C$5:$C$230=$B66)*Inputs!$D$5:$D$230*(((Inputs!$G$5:$G$230="moeda")+(Inputs!$G$5:$G$230="acoes"))*Inputs!$B$1+((Inputs!$G$5:$G$230&lt;&gt;"moeda")*(Inputs!$G$5:$G$230&lt;&gt;"acoes")))*INDEX(Inputs!$K$5:$AJ$230,0,MATCH(T$2,Inputs!$K$4:$AJ$4,0)))+SUMPRODUCT((Inputs!$E$5:$E$230=$B66)*Inputs!$F$5:$F$230*(((Inputs!$G$5:$G$230="moeda")+(Inputs!$G$5:$G$230="acoes"))*Inputs!$B$1+((Inputs!$G$5:$G$230&lt;&gt;"moeda")*(Inputs!$G$5:$G$230&lt;&gt;"acoes")))*INDEX(Inputs!$K$5:$AJ$230,0,MATCH(T$2,Inputs!$K$4:$AJ$4,0)))))</f>
        <v>4.591</v>
      </c>
      <c r="U66" s="6">
        <f>IF(ISNA(MATCH(U$2,Inputs!$K$4:$AJ$4,0)),NA(),IF(SUMPRODUCT((Inputs!$A$5:$A$230=$B66)*ISNUMBER(INDEX(Inputs!$K$5:$AJ$230,0,MATCH(U$2,Inputs!$K$4:$AJ$4,0))))+SUMPRODUCT((Inputs!$C$5:$C$230=$B66)*ISNUMBER(INDEX(Inputs!$K$5:$AJ$230,0,MATCH(U$2,Inputs!$K$4:$AJ$4,0))))+SUMPRODUCT((Inputs!$E$5:$E$230=$B66)*ISNUMBER(INDEX(Inputs!$K$5:$AJ$230,0,MATCH(U$2,Inputs!$K$4:$AJ$4,0))))=0,NA(),SUMPRODUCT((Inputs!$A$5:$A$230=$B66)*Inputs!$B$5:$B$230*(((Inputs!$G$5:$G$230="moeda")+(Inputs!$G$5:$G$230="acoes"))*Inputs!$B$1+((Inputs!$G$5:$G$230&lt;&gt;"moeda")*(Inputs!$G$5:$G$230&lt;&gt;"acoes")))*INDEX(Inputs!$K$5:$AJ$230,0,MATCH(U$2,Inputs!$K$4:$AJ$4,0)))+SUMPRODUCT((Inputs!$C$5:$C$230=$B66)*Inputs!$D$5:$D$230*(((Inputs!$G$5:$G$230="moeda")+(Inputs!$G$5:$G$230="acoes"))*Inputs!$B$1+((Inputs!$G$5:$G$230&lt;&gt;"moeda")*(Inputs!$G$5:$G$230&lt;&gt;"acoes")))*INDEX(Inputs!$K$5:$AJ$230,0,MATCH(U$2,Inputs!$K$4:$AJ$4,0)))+SUMPRODUCT((Inputs!$E$5:$E$230=$B66)*Inputs!$F$5:$F$230*(((Inputs!$G$5:$G$230="moeda")+(Inputs!$G$5:$G$230="acoes"))*Inputs!$B$1+((Inputs!$G$5:$G$230&lt;&gt;"moeda")*(Inputs!$G$5:$G$230&lt;&gt;"acoes")))*INDEX(Inputs!$K$5:$AJ$230,0,MATCH(U$2,Inputs!$K$4:$AJ$4,0)))))</f>
        <v>4.193</v>
      </c>
      <c r="V66" s="6">
        <f>IF(ISNA(MATCH(V$2,Inputs!$K$4:$AJ$4,0)),NA(),IF(SUMPRODUCT((Inputs!$A$5:$A$230=$B66)*ISNUMBER(INDEX(Inputs!$K$5:$AJ$230,0,MATCH(V$2,Inputs!$K$4:$AJ$4,0))))+SUMPRODUCT((Inputs!$C$5:$C$230=$B66)*ISNUMBER(INDEX(Inputs!$K$5:$AJ$230,0,MATCH(V$2,Inputs!$K$4:$AJ$4,0))))+SUMPRODUCT((Inputs!$E$5:$E$230=$B66)*ISNUMBER(INDEX(Inputs!$K$5:$AJ$230,0,MATCH(V$2,Inputs!$K$4:$AJ$4,0))))=0,NA(),SUMPRODUCT((Inputs!$A$5:$A$230=$B66)*Inputs!$B$5:$B$230*(((Inputs!$G$5:$G$230="moeda")+(Inputs!$G$5:$G$230="acoes"))*Inputs!$B$1+((Inputs!$G$5:$G$230&lt;&gt;"moeda")*(Inputs!$G$5:$G$230&lt;&gt;"acoes")))*INDEX(Inputs!$K$5:$AJ$230,0,MATCH(V$2,Inputs!$K$4:$AJ$4,0)))+SUMPRODUCT((Inputs!$C$5:$C$230=$B66)*Inputs!$D$5:$D$230*(((Inputs!$G$5:$G$230="moeda")+(Inputs!$G$5:$G$230="acoes"))*Inputs!$B$1+((Inputs!$G$5:$G$230&lt;&gt;"moeda")*(Inputs!$G$5:$G$230&lt;&gt;"acoes")))*INDEX(Inputs!$K$5:$AJ$230,0,MATCH(V$2,Inputs!$K$4:$AJ$4,0)))+SUMPRODUCT((Inputs!$E$5:$E$230=$B66)*Inputs!$F$5:$F$230*(((Inputs!$G$5:$G$230="moeda")+(Inputs!$G$5:$G$230="acoes"))*Inputs!$B$1+((Inputs!$G$5:$G$230&lt;&gt;"moeda")*(Inputs!$G$5:$G$230&lt;&gt;"acoes")))*INDEX(Inputs!$K$5:$AJ$230,0,MATCH(V$2,Inputs!$K$4:$AJ$4,0)))))</f>
        <v>5.173</v>
      </c>
      <c r="W66" s="3">
        <f>SUM(S66:V66)</f>
        <v>19.657</v>
      </c>
      <c r="X66" s="6">
        <f>IF(ISNA(MATCH(X$2,Inputs!$K$4:$AJ$4,0)),NA(),IF(SUMPRODUCT((Inputs!$A$5:$A$230=$B66)*ISNUMBER(INDEX(Inputs!$K$5:$AJ$230,0,MATCH(X$2,Inputs!$K$4:$AJ$4,0))))+SUMPRODUCT((Inputs!$C$5:$C$230=$B66)*ISNUMBER(INDEX(Inputs!$K$5:$AJ$230,0,MATCH(X$2,Inputs!$K$4:$AJ$4,0))))+SUMPRODUCT((Inputs!$E$5:$E$230=$B66)*ISNUMBER(INDEX(Inputs!$K$5:$AJ$230,0,MATCH(X$2,Inputs!$K$4:$AJ$4,0))))=0,NA(),SUMPRODUCT((Inputs!$A$5:$A$230=$B66)*Inputs!$B$5:$B$230*(((Inputs!$G$5:$G$230="moeda")+(Inputs!$G$5:$G$230="acoes"))*Inputs!$B$1+((Inputs!$G$5:$G$230&lt;&gt;"moeda")*(Inputs!$G$5:$G$230&lt;&gt;"acoes")))*INDEX(Inputs!$K$5:$AJ$230,0,MATCH(X$2,Inputs!$K$4:$AJ$4,0)))+SUMPRODUCT((Inputs!$C$5:$C$230=$B66)*Inputs!$D$5:$D$230*(((Inputs!$G$5:$G$230="moeda")+(Inputs!$G$5:$G$230="acoes"))*Inputs!$B$1+((Inputs!$G$5:$G$230&lt;&gt;"moeda")*(Inputs!$G$5:$G$230&lt;&gt;"acoes")))*INDEX(Inputs!$K$5:$AJ$230,0,MATCH(X$2,Inputs!$K$4:$AJ$4,0)))+SUMPRODUCT((Inputs!$E$5:$E$230=$B66)*Inputs!$F$5:$F$230*(((Inputs!$G$5:$G$230="moeda")+(Inputs!$G$5:$G$230="acoes"))*Inputs!$B$1+((Inputs!$G$5:$G$230&lt;&gt;"moeda")*(Inputs!$G$5:$G$230&lt;&gt;"acoes")))*INDEX(Inputs!$K$5:$AJ$230,0,MATCH(X$2,Inputs!$K$4:$AJ$4,0)))))</f>
        <v>6.013</v>
      </c>
      <c r="Y66" s="6">
        <f>IF(ISNA(MATCH(Y$2,Inputs!$K$4:$AJ$4,0)),NA(),IF(SUMPRODUCT((Inputs!$A$5:$A$230=$B66)*ISNUMBER(INDEX(Inputs!$K$5:$AJ$230,0,MATCH(Y$2,Inputs!$K$4:$AJ$4,0))))+SUMPRODUCT((Inputs!$C$5:$C$230=$B66)*ISNUMBER(INDEX(Inputs!$K$5:$AJ$230,0,MATCH(Y$2,Inputs!$K$4:$AJ$4,0))))+SUMPRODUCT((Inputs!$E$5:$E$230=$B66)*ISNUMBER(INDEX(Inputs!$K$5:$AJ$230,0,MATCH(Y$2,Inputs!$K$4:$AJ$4,0))))=0,NA(),SUMPRODUCT((Inputs!$A$5:$A$230=$B66)*Inputs!$B$5:$B$230*(((Inputs!$G$5:$G$230="moeda")+(Inputs!$G$5:$G$230="acoes"))*Inputs!$B$1+((Inputs!$G$5:$G$230&lt;&gt;"moeda")*(Inputs!$G$5:$G$230&lt;&gt;"acoes")))*INDEX(Inputs!$K$5:$AJ$230,0,MATCH(Y$2,Inputs!$K$4:$AJ$4,0)))+SUMPRODUCT((Inputs!$C$5:$C$230=$B66)*Inputs!$D$5:$D$230*(((Inputs!$G$5:$G$230="moeda")+(Inputs!$G$5:$G$230="acoes"))*Inputs!$B$1+((Inputs!$G$5:$G$230&lt;&gt;"moeda")*(Inputs!$G$5:$G$230&lt;&gt;"acoes")))*INDEX(Inputs!$K$5:$AJ$230,0,MATCH(Y$2,Inputs!$K$4:$AJ$4,0)))+SUMPRODUCT((Inputs!$E$5:$E$230=$B66)*Inputs!$F$5:$F$230*(((Inputs!$G$5:$G$230="moeda")+(Inputs!$G$5:$G$230="acoes"))*Inputs!$B$1+((Inputs!$G$5:$G$230&lt;&gt;"moeda")*(Inputs!$G$5:$G$230&lt;&gt;"acoes")))*INDEX(Inputs!$K$5:$AJ$230,0,MATCH(Y$2,Inputs!$K$4:$AJ$4,0)))))</f>
        <v>5.12</v>
      </c>
      <c r="Z66" s="6">
        <f>IF(ISNA(MATCH(Z$2,Inputs!$K$4:$AJ$4,0)),NA(),IF(SUMPRODUCT((Inputs!$A$5:$A$230=$B66)*ISNUMBER(INDEX(Inputs!$K$5:$AJ$230,0,MATCH(Z$2,Inputs!$K$4:$AJ$4,0))))+SUMPRODUCT((Inputs!$C$5:$C$230=$B66)*ISNUMBER(INDEX(Inputs!$K$5:$AJ$230,0,MATCH(Z$2,Inputs!$K$4:$AJ$4,0))))+SUMPRODUCT((Inputs!$E$5:$E$230=$B66)*ISNUMBER(INDEX(Inputs!$K$5:$AJ$230,0,MATCH(Z$2,Inputs!$K$4:$AJ$4,0))))=0,NA(),SUMPRODUCT((Inputs!$A$5:$A$230=$B66)*Inputs!$B$5:$B$230*(((Inputs!$G$5:$G$230="moeda")+(Inputs!$G$5:$G$230="acoes"))*Inputs!$B$1+((Inputs!$G$5:$G$230&lt;&gt;"moeda")*(Inputs!$G$5:$G$230&lt;&gt;"acoes")))*INDEX(Inputs!$K$5:$AJ$230,0,MATCH(Z$2,Inputs!$K$4:$AJ$4,0)))+SUMPRODUCT((Inputs!$C$5:$C$230=$B66)*Inputs!$D$5:$D$230*(((Inputs!$G$5:$G$230="moeda")+(Inputs!$G$5:$G$230="acoes"))*Inputs!$B$1+((Inputs!$G$5:$G$230&lt;&gt;"moeda")*(Inputs!$G$5:$G$230&lt;&gt;"acoes")))*INDEX(Inputs!$K$5:$AJ$230,0,MATCH(Z$2,Inputs!$K$4:$AJ$4,0)))+SUMPRODUCT((Inputs!$E$5:$E$230=$B66)*Inputs!$F$5:$F$230*(((Inputs!$G$5:$G$230="moeda")+(Inputs!$G$5:$G$230="acoes"))*Inputs!$B$1+((Inputs!$G$5:$G$230&lt;&gt;"moeda")*(Inputs!$G$5:$G$230&lt;&gt;"acoes")))*INDEX(Inputs!$K$5:$AJ$230,0,MATCH(Z$2,Inputs!$K$4:$AJ$4,0)))))</f>
        <v>-1.746</v>
      </c>
      <c r="AA66" s="6">
        <f>IF(ISNA(MATCH(AA$2,Inputs!$K$4:$AJ$4,0)),NA(),IF(SUMPRODUCT((Inputs!$A$5:$A$230=$B66)*ISNUMBER(INDEX(Inputs!$K$5:$AJ$230,0,MATCH(AA$2,Inputs!$K$4:$AJ$4,0))))+SUMPRODUCT((Inputs!$C$5:$C$230=$B66)*ISNUMBER(INDEX(Inputs!$K$5:$AJ$230,0,MATCH(AA$2,Inputs!$K$4:$AJ$4,0))))+SUMPRODUCT((Inputs!$E$5:$E$230=$B66)*ISNUMBER(INDEX(Inputs!$K$5:$AJ$230,0,MATCH(AA$2,Inputs!$K$4:$AJ$4,0))))=0,NA(),SUMPRODUCT((Inputs!$A$5:$A$230=$B66)*Inputs!$B$5:$B$230*(((Inputs!$G$5:$G$230="moeda")+(Inputs!$G$5:$G$230="acoes"))*Inputs!$B$1+((Inputs!$G$5:$G$230&lt;&gt;"moeda")*(Inputs!$G$5:$G$230&lt;&gt;"acoes")))*INDEX(Inputs!$K$5:$AJ$230,0,MATCH(AA$2,Inputs!$K$4:$AJ$4,0)))+SUMPRODUCT((Inputs!$C$5:$C$230=$B66)*Inputs!$D$5:$D$230*(((Inputs!$G$5:$G$230="moeda")+(Inputs!$G$5:$G$230="acoes"))*Inputs!$B$1+((Inputs!$G$5:$G$230&lt;&gt;"moeda")*(Inputs!$G$5:$G$230&lt;&gt;"acoes")))*INDEX(Inputs!$K$5:$AJ$230,0,MATCH(AA$2,Inputs!$K$4:$AJ$4,0)))+SUMPRODUCT((Inputs!$E$5:$E$230=$B66)*Inputs!$F$5:$F$230*(((Inputs!$G$5:$G$230="moeda")+(Inputs!$G$5:$G$230="acoes"))*Inputs!$B$1+((Inputs!$G$5:$G$230&lt;&gt;"moeda")*(Inputs!$G$5:$G$230&lt;&gt;"acoes")))*INDEX(Inputs!$K$5:$AJ$230,0,MATCH(AA$2,Inputs!$K$4:$AJ$4,0)))))</f>
        <v>4.334</v>
      </c>
      <c r="AB66" s="3">
        <f>SUM(X66:AA66)</f>
        <v>13.721</v>
      </c>
      <c r="AC66" s="6">
        <f>IF(ISNA(MATCH(AC$2,Inputs!$K$4:$AJ$4,0)),NA(),IF(SUMPRODUCT((Inputs!$A$5:$A$230=$B66)*ISNUMBER(INDEX(Inputs!$K$5:$AJ$230,0,MATCH(AC$2,Inputs!$K$4:$AJ$4,0))))+SUMPRODUCT((Inputs!$C$5:$C$230=$B66)*ISNUMBER(INDEX(Inputs!$K$5:$AJ$230,0,MATCH(AC$2,Inputs!$K$4:$AJ$4,0))))+SUMPRODUCT((Inputs!$E$5:$E$230=$B66)*ISNUMBER(INDEX(Inputs!$K$5:$AJ$230,0,MATCH(AC$2,Inputs!$K$4:$AJ$4,0))))=0,NA(),SUMPRODUCT((Inputs!$A$5:$A$230=$B66)*Inputs!$B$5:$B$230*(((Inputs!$G$5:$G$230="moeda")+(Inputs!$G$5:$G$230="acoes"))*Inputs!$B$1+((Inputs!$G$5:$G$230&lt;&gt;"moeda")*(Inputs!$G$5:$G$230&lt;&gt;"acoes")))*INDEX(Inputs!$K$5:$AJ$230,0,MATCH(AC$2,Inputs!$K$4:$AJ$4,0)))+SUMPRODUCT((Inputs!$C$5:$C$230=$B66)*Inputs!$D$5:$D$230*(((Inputs!$G$5:$G$230="moeda")+(Inputs!$G$5:$G$230="acoes"))*Inputs!$B$1+((Inputs!$G$5:$G$230&lt;&gt;"moeda")*(Inputs!$G$5:$G$230&lt;&gt;"acoes")))*INDEX(Inputs!$K$5:$AJ$230,0,MATCH(AC$2,Inputs!$K$4:$AJ$4,0)))+SUMPRODUCT((Inputs!$E$5:$E$230=$B66)*Inputs!$F$5:$F$230*(((Inputs!$G$5:$G$230="moeda")+(Inputs!$G$5:$G$230="acoes"))*Inputs!$B$1+((Inputs!$G$5:$G$230&lt;&gt;"moeda")*(Inputs!$G$5:$G$230&lt;&gt;"acoes")))*INDEX(Inputs!$K$5:$AJ$230,0,MATCH(AC$2,Inputs!$K$4:$AJ$4,0)))))</f>
        <v>5.106</v>
      </c>
      <c r="AD66" s="6">
        <f>IF(ISNA(MATCH(AD$2,Inputs!$K$4:$AJ$4,0)),NA(),IF(SUMPRODUCT((Inputs!$A$5:$A$230=$B66)*ISNUMBER(INDEX(Inputs!$K$5:$AJ$230,0,MATCH(AD$2,Inputs!$K$4:$AJ$4,0))))+SUMPRODUCT((Inputs!$C$5:$C$230=$B66)*ISNUMBER(INDEX(Inputs!$K$5:$AJ$230,0,MATCH(AD$2,Inputs!$K$4:$AJ$4,0))))+SUMPRODUCT((Inputs!$E$5:$E$230=$B66)*ISNUMBER(INDEX(Inputs!$K$5:$AJ$230,0,MATCH(AD$2,Inputs!$K$4:$AJ$4,0))))=0,NA(),SUMPRODUCT((Inputs!$A$5:$A$230=$B66)*Inputs!$B$5:$B$230*(((Inputs!$G$5:$G$230="moeda")+(Inputs!$G$5:$G$230="acoes"))*Inputs!$B$1+((Inputs!$G$5:$G$230&lt;&gt;"moeda")*(Inputs!$G$5:$G$230&lt;&gt;"acoes")))*INDEX(Inputs!$K$5:$AJ$230,0,MATCH(AD$2,Inputs!$K$4:$AJ$4,0)))+SUMPRODUCT((Inputs!$C$5:$C$230=$B66)*Inputs!$D$5:$D$230*(((Inputs!$G$5:$G$230="moeda")+(Inputs!$G$5:$G$230="acoes"))*Inputs!$B$1+((Inputs!$G$5:$G$230&lt;&gt;"moeda")*(Inputs!$G$5:$G$230&lt;&gt;"acoes")))*INDEX(Inputs!$K$5:$AJ$230,0,MATCH(AD$2,Inputs!$K$4:$AJ$4,0)))+SUMPRODUCT((Inputs!$E$5:$E$230=$B66)*Inputs!$F$5:$F$230*(((Inputs!$G$5:$G$230="moeda")+(Inputs!$G$5:$G$230="acoes"))*Inputs!$B$1+((Inputs!$G$5:$G$230&lt;&gt;"moeda")*(Inputs!$G$5:$G$230&lt;&gt;"acoes")))*INDEX(Inputs!$K$5:$AJ$230,0,MATCH(AD$2,Inputs!$K$4:$AJ$4,0)))))</f>
        <v>6.157</v>
      </c>
      <c r="AE66" s="6" t="e">
        <f>IF(ISNA(MATCH(AE$2,Inputs!$K$4:$AJ$4,0)),NA(),IF(SUMPRODUCT((Inputs!$A$5:$A$230=$B66)*ISNUMBER(INDEX(Inputs!$K$5:$AJ$230,0,MATCH(AE$2,Inputs!$K$4:$AJ$4,0))))+SUMPRODUCT((Inputs!$C$5:$C$230=$B66)*ISNUMBER(INDEX(Inputs!$K$5:$AJ$230,0,MATCH(AE$2,Inputs!$K$4:$AJ$4,0))))+SUMPRODUCT((Inputs!$E$5:$E$230=$B66)*ISNUMBER(INDEX(Inputs!$K$5:$AJ$230,0,MATCH(AE$2,Inputs!$K$4:$AJ$4,0))))=0,NA(),SUMPRODUCT((Inputs!$A$5:$A$230=$B66)*Inputs!$B$5:$B$230*(((Inputs!$G$5:$G$230="moeda")+(Inputs!$G$5:$G$230="acoes"))*Inputs!$B$1+((Inputs!$G$5:$G$230&lt;&gt;"moeda")*(Inputs!$G$5:$G$230&lt;&gt;"acoes")))*INDEX(Inputs!$K$5:$AJ$230,0,MATCH(AE$2,Inputs!$K$4:$AJ$4,0)))+SUMPRODUCT((Inputs!$C$5:$C$230=$B66)*Inputs!$D$5:$D$230*(((Inputs!$G$5:$G$230="moeda")+(Inputs!$G$5:$G$230="acoes"))*Inputs!$B$1+((Inputs!$G$5:$G$230&lt;&gt;"moeda")*(Inputs!$G$5:$G$230&lt;&gt;"acoes")))*INDEX(Inputs!$K$5:$AJ$230,0,MATCH(AE$2,Inputs!$K$4:$AJ$4,0)))+SUMPRODUCT((Inputs!$E$5:$E$230=$B66)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6" s="6" t="e">
        <f>IF(ISNA(MATCH(AF$2,Inputs!$K$4:$AJ$4,0)),NA(),IF(SUMPRODUCT((Inputs!$A$5:$A$230=$B66)*ISNUMBER(INDEX(Inputs!$K$5:$AJ$230,0,MATCH(AF$2,Inputs!$K$4:$AJ$4,0))))+SUMPRODUCT((Inputs!$C$5:$C$230=$B66)*ISNUMBER(INDEX(Inputs!$K$5:$AJ$230,0,MATCH(AF$2,Inputs!$K$4:$AJ$4,0))))+SUMPRODUCT((Inputs!$E$5:$E$230=$B66)*ISNUMBER(INDEX(Inputs!$K$5:$AJ$230,0,MATCH(AF$2,Inputs!$K$4:$AJ$4,0))))=0,NA(),SUMPRODUCT((Inputs!$A$5:$A$230=$B66)*Inputs!$B$5:$B$230*(((Inputs!$G$5:$G$230="moeda")+(Inputs!$G$5:$G$230="acoes"))*Inputs!$B$1+((Inputs!$G$5:$G$230&lt;&gt;"moeda")*(Inputs!$G$5:$G$230&lt;&gt;"acoes")))*INDEX(Inputs!$K$5:$AJ$230,0,MATCH(AF$2,Inputs!$K$4:$AJ$4,0)))+SUMPRODUCT((Inputs!$C$5:$C$230=$B66)*Inputs!$D$5:$D$230*(((Inputs!$G$5:$G$230="moeda")+(Inputs!$G$5:$G$230="acoes"))*Inputs!$B$1+((Inputs!$G$5:$G$230&lt;&gt;"moeda")*(Inputs!$G$5:$G$230&lt;&gt;"acoes")))*INDEX(Inputs!$K$5:$AJ$230,0,MATCH(AF$2,Inputs!$K$4:$AJ$4,0)))+SUMPRODUCT((Inputs!$E$5:$E$230=$B66)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6" s="3" t="e">
        <f>SUM(AC66:AF66)</f>
        <v>#N/A</v>
      </c>
      <c r="AH66" s="6">
        <f>IF(ISNA(MATCH(AH$2,Inputs!$K$4:$AJ$4,0)),NA(),IF(SUMPRODUCT((Inputs!$A$5:$A$230=$B66)*ISNUMBER(INDEX(Inputs!$K$5:$AJ$230,0,MATCH(AH$2,Inputs!$K$4:$AJ$4,0))))+SUMPRODUCT((Inputs!$C$5:$C$230=$B66)*ISNUMBER(INDEX(Inputs!$K$5:$AJ$230,0,MATCH(AH$2,Inputs!$K$4:$AJ$4,0))))+SUMPRODUCT((Inputs!$E$5:$E$230=$B66)*ISNUMBER(INDEX(Inputs!$K$5:$AJ$230,0,MATCH(AH$2,Inputs!$K$4:$AJ$4,0))))=0,NA(),SUMPRODUCT((Inputs!$A$5:$A$230=$B66)*Inputs!$B$5:$B$230*(((Inputs!$G$5:$G$230="moeda")+(Inputs!$G$5:$G$230="acoes"))*Inputs!$B$1+((Inputs!$G$5:$G$230&lt;&gt;"moeda")*(Inputs!$G$5:$G$230&lt;&gt;"acoes")))*INDEX(Inputs!$K$5:$AJ$230,0,MATCH(AH$2,Inputs!$K$4:$AJ$4,0)))+SUMPRODUCT((Inputs!$C$5:$C$230=$B66)*Inputs!$D$5:$D$230*(((Inputs!$G$5:$G$230="moeda")+(Inputs!$G$5:$G$230="acoes"))*Inputs!$B$1+((Inputs!$G$5:$G$230&lt;&gt;"moeda")*(Inputs!$G$5:$G$230&lt;&gt;"acoes")))*INDEX(Inputs!$K$5:$AJ$230,0,MATCH(AH$2,Inputs!$K$4:$AJ$4,0)))+SUMPRODUCT((Inputs!$E$5:$E$230=$B66)*Inputs!$F$5:$F$230*(((Inputs!$G$5:$G$230="moeda")+(Inputs!$G$5:$G$230="acoes"))*Inputs!$B$1+((Inputs!$G$5:$G$230&lt;&gt;"moeda")*(Inputs!$G$5:$G$230&lt;&gt;"acoes")))*INDEX(Inputs!$K$5:$AJ$230,0,MATCH(AH$2,Inputs!$K$4:$AJ$4,0)))))</f>
        <v>4.586</v>
      </c>
      <c r="AI66" s="6">
        <f>IF(ISNA(MATCH(AI$2,Inputs!$K$4:$AJ$4,0)),NA(),IF(SUMPRODUCT((Inputs!$A$5:$A$230=$B66)*ISNUMBER(INDEX(Inputs!$K$5:$AJ$230,0,MATCH(AI$2,Inputs!$K$4:$AJ$4,0))))+SUMPRODUCT((Inputs!$C$5:$C$230=$B66)*ISNUMBER(INDEX(Inputs!$K$5:$AJ$230,0,MATCH(AI$2,Inputs!$K$4:$AJ$4,0))))+SUMPRODUCT((Inputs!$E$5:$E$230=$B66)*ISNUMBER(INDEX(Inputs!$K$5:$AJ$230,0,MATCH(AI$2,Inputs!$K$4:$AJ$4,0))))=0,NA(),SUMPRODUCT((Inputs!$A$5:$A$230=$B66)*Inputs!$B$5:$B$230*(((Inputs!$G$5:$G$230="moeda")+(Inputs!$G$5:$G$230="acoes"))*Inputs!$B$1+((Inputs!$G$5:$G$230&lt;&gt;"moeda")*(Inputs!$G$5:$G$230&lt;&gt;"acoes")))*INDEX(Inputs!$K$5:$AJ$230,0,MATCH(AI$2,Inputs!$K$4:$AJ$4,0)))+SUMPRODUCT((Inputs!$C$5:$C$230=$B66)*Inputs!$D$5:$D$230*(((Inputs!$G$5:$G$230="moeda")+(Inputs!$G$5:$G$230="acoes"))*Inputs!$B$1+((Inputs!$G$5:$G$230&lt;&gt;"moeda")*(Inputs!$G$5:$G$230&lt;&gt;"acoes")))*INDEX(Inputs!$K$5:$AJ$230,0,MATCH(AI$2,Inputs!$K$4:$AJ$4,0)))+SUMPRODUCT((Inputs!$E$5:$E$230=$B66)*Inputs!$F$5:$F$230*(((Inputs!$G$5:$G$230="moeda")+(Inputs!$G$5:$G$230="acoes"))*Inputs!$B$1+((Inputs!$G$5:$G$230&lt;&gt;"moeda")*(Inputs!$G$5:$G$230&lt;&gt;"acoes")))*INDEX(Inputs!$K$5:$AJ$230,0,MATCH(AI$2,Inputs!$K$4:$AJ$4,0)))))</f>
        <v>1.966</v>
      </c>
      <c r="AJ66" s="6">
        <f>IF(ISNA(MATCH(AJ$2,Inputs!$K$4:$AJ$4,0)),NA(),IF(SUMPRODUCT((Inputs!$A$5:$A$230=$B66)*ISNUMBER(INDEX(Inputs!$K$5:$AJ$230,0,MATCH(AJ$2,Inputs!$K$4:$AJ$4,0))))+SUMPRODUCT((Inputs!$C$5:$C$230=$B66)*ISNUMBER(INDEX(Inputs!$K$5:$AJ$230,0,MATCH(AJ$2,Inputs!$K$4:$AJ$4,0))))+SUMPRODUCT((Inputs!$E$5:$E$230=$B66)*ISNUMBER(INDEX(Inputs!$K$5:$AJ$230,0,MATCH(AJ$2,Inputs!$K$4:$AJ$4,0))))=0,NA(),SUMPRODUCT((Inputs!$A$5:$A$230=$B66)*Inputs!$B$5:$B$230*(((Inputs!$G$5:$G$230="moeda")+(Inputs!$G$5:$G$230="acoes"))*Inputs!$B$1+((Inputs!$G$5:$G$230&lt;&gt;"moeda")*(Inputs!$G$5:$G$230&lt;&gt;"acoes")))*INDEX(Inputs!$K$5:$AJ$230,0,MATCH(AJ$2,Inputs!$K$4:$AJ$4,0)))+SUMPRODUCT((Inputs!$C$5:$C$230=$B66)*Inputs!$D$5:$D$230*(((Inputs!$G$5:$G$230="moeda")+(Inputs!$G$5:$G$230="acoes"))*Inputs!$B$1+((Inputs!$G$5:$G$230&lt;&gt;"moeda")*(Inputs!$G$5:$G$230&lt;&gt;"acoes")))*INDEX(Inputs!$K$5:$AJ$230,0,MATCH(AJ$2,Inputs!$K$4:$AJ$4,0)))+SUMPRODUCT((Inputs!$E$5:$E$230=$B66)*Inputs!$F$5:$F$230*(((Inputs!$G$5:$G$230="moeda")+(Inputs!$G$5:$G$230="acoes"))*Inputs!$B$1+((Inputs!$G$5:$G$230&lt;&gt;"moeda")*(Inputs!$G$5:$G$230&lt;&gt;"acoes")))*INDEX(Inputs!$K$5:$AJ$230,0,MATCH(AJ$2,Inputs!$K$4:$AJ$4,0)))))</f>
        <v>3.665</v>
      </c>
      <c r="AK66" s="6">
        <f>IF(ISNA(MATCH(AK$2,Inputs!$K$4:$AJ$4,0)),NA(),IF(SUMPRODUCT((Inputs!$A$5:$A$230=$B66)*ISNUMBER(INDEX(Inputs!$K$5:$AJ$230,0,MATCH(AK$2,Inputs!$K$4:$AJ$4,0))))+SUMPRODUCT((Inputs!$C$5:$C$230=$B66)*ISNUMBER(INDEX(Inputs!$K$5:$AJ$230,0,MATCH(AK$2,Inputs!$K$4:$AJ$4,0))))+SUMPRODUCT((Inputs!$E$5:$E$230=$B66)*ISNUMBER(INDEX(Inputs!$K$5:$AJ$230,0,MATCH(AK$2,Inputs!$K$4:$AJ$4,0))))=0,NA(),SUMPRODUCT((Inputs!$A$5:$A$230=$B66)*Inputs!$B$5:$B$230*(((Inputs!$G$5:$G$230="moeda")+(Inputs!$G$5:$G$230="acoes"))*Inputs!$B$1+((Inputs!$G$5:$G$230&lt;&gt;"moeda")*(Inputs!$G$5:$G$230&lt;&gt;"acoes")))*INDEX(Inputs!$K$5:$AJ$230,0,MATCH(AK$2,Inputs!$K$4:$AJ$4,0)))+SUMPRODUCT((Inputs!$C$5:$C$230=$B66)*Inputs!$D$5:$D$230*(((Inputs!$G$5:$G$230="moeda")+(Inputs!$G$5:$G$230="acoes"))*Inputs!$B$1+((Inputs!$G$5:$G$230&lt;&gt;"moeda")*(Inputs!$G$5:$G$230&lt;&gt;"acoes")))*INDEX(Inputs!$K$5:$AJ$230,0,MATCH(AK$2,Inputs!$K$4:$AJ$4,0)))+SUMPRODUCT((Inputs!$E$5:$E$230=$B66)*Inputs!$F$5:$F$230*(((Inputs!$G$5:$G$230="moeda")+(Inputs!$G$5:$G$230="acoes"))*Inputs!$B$1+((Inputs!$G$5:$G$230&lt;&gt;"moeda")*(Inputs!$G$5:$G$230&lt;&gt;"acoes")))*INDEX(Inputs!$K$5:$AJ$230,0,MATCH(AK$2,Inputs!$K$4:$AJ$4,0)))))</f>
        <v>-3.582</v>
      </c>
      <c r="AL66" s="3">
        <f>SUM(AH66:AK66)</f>
        <v>6.635</v>
      </c>
    </row>
    <row r="67">
      <c r="B67" s="46" t="n">
        <v>59</v>
      </c>
      <c r="C67" s="29" t="inlineStr">
        <is>
          <t>Transmissao | ETSE</t>
        </is>
      </c>
      <c r="D67" s="6">
        <f>IF(ISNA(MATCH(D$2,Inputs!$K$4:$AJ$4,0)),NA(),IF(SUMPRODUCT((Inputs!$A$5:$A$230=$B67)*ISNUMBER(INDEX(Inputs!$K$5:$AJ$230,0,MATCH(D$2,Inputs!$K$4:$AJ$4,0))))+SUMPRODUCT((Inputs!$C$5:$C$230=$B67)*ISNUMBER(INDEX(Inputs!$K$5:$AJ$230,0,MATCH(D$2,Inputs!$K$4:$AJ$4,0))))+SUMPRODUCT((Inputs!$E$5:$E$230=$B67)*ISNUMBER(INDEX(Inputs!$K$5:$AJ$230,0,MATCH(D$2,Inputs!$K$4:$AJ$4,0))))=0,NA(),SUMPRODUCT((Inputs!$A$5:$A$230=$B67)*Inputs!$B$5:$B$230*(((Inputs!$G$5:$G$230="moeda")+(Inputs!$G$5:$G$230="acoes"))*Inputs!$B$1+((Inputs!$G$5:$G$230&lt;&gt;"moeda")*(Inputs!$G$5:$G$230&lt;&gt;"acoes")))*INDEX(Inputs!$K$5:$AJ$230,0,MATCH(D$2,Inputs!$K$4:$AJ$4,0)))+SUMPRODUCT((Inputs!$C$5:$C$230=$B67)*Inputs!$D$5:$D$230*(((Inputs!$G$5:$G$230="moeda")+(Inputs!$G$5:$G$230="acoes"))*Inputs!$B$1+((Inputs!$G$5:$G$230&lt;&gt;"moeda")*(Inputs!$G$5:$G$230&lt;&gt;"acoes")))*INDEX(Inputs!$K$5:$AJ$230,0,MATCH(D$2,Inputs!$K$4:$AJ$4,0)))+SUMPRODUCT((Inputs!$E$5:$E$230=$B67)*Inputs!$F$5:$F$230*(((Inputs!$G$5:$G$230="moeda")+(Inputs!$G$5:$G$230="acoes"))*Inputs!$B$1+((Inputs!$G$5:$G$230&lt;&gt;"moeda")*(Inputs!$G$5:$G$230&lt;&gt;"acoes")))*INDEX(Inputs!$K$5:$AJ$230,0,MATCH(D$2,Inputs!$K$4:$AJ$4,0)))))</f>
        <v>10.139</v>
      </c>
      <c r="E67" s="6">
        <f>IF(ISNA(MATCH(E$2,Inputs!$K$4:$AJ$4,0)),NA(),IF(SUMPRODUCT((Inputs!$A$5:$A$230=$B67)*ISNUMBER(INDEX(Inputs!$K$5:$AJ$230,0,MATCH(E$2,Inputs!$K$4:$AJ$4,0))))+SUMPRODUCT((Inputs!$C$5:$C$230=$B67)*ISNUMBER(INDEX(Inputs!$K$5:$AJ$230,0,MATCH(E$2,Inputs!$K$4:$AJ$4,0))))+SUMPRODUCT((Inputs!$E$5:$E$230=$B67)*ISNUMBER(INDEX(Inputs!$K$5:$AJ$230,0,MATCH(E$2,Inputs!$K$4:$AJ$4,0))))=0,NA(),SUMPRODUCT((Inputs!$A$5:$A$230=$B67)*Inputs!$B$5:$B$230*(((Inputs!$G$5:$G$230="moeda")+(Inputs!$G$5:$G$230="acoes"))*Inputs!$B$1+((Inputs!$G$5:$G$230&lt;&gt;"moeda")*(Inputs!$G$5:$G$230&lt;&gt;"acoes")))*INDEX(Inputs!$K$5:$AJ$230,0,MATCH(E$2,Inputs!$K$4:$AJ$4,0)))+SUMPRODUCT((Inputs!$C$5:$C$230=$B67)*Inputs!$D$5:$D$230*(((Inputs!$G$5:$G$230="moeda")+(Inputs!$G$5:$G$230="acoes"))*Inputs!$B$1+((Inputs!$G$5:$G$230&lt;&gt;"moeda")*(Inputs!$G$5:$G$230&lt;&gt;"acoes")))*INDEX(Inputs!$K$5:$AJ$230,0,MATCH(E$2,Inputs!$K$4:$AJ$4,0)))+SUMPRODUCT((Inputs!$E$5:$E$230=$B67)*Inputs!$F$5:$F$230*(((Inputs!$G$5:$G$230="moeda")+(Inputs!$G$5:$G$230="acoes"))*Inputs!$B$1+((Inputs!$G$5:$G$230&lt;&gt;"moeda")*(Inputs!$G$5:$G$230&lt;&gt;"acoes")))*INDEX(Inputs!$K$5:$AJ$230,0,MATCH(E$2,Inputs!$K$4:$AJ$4,0)))))</f>
        <v>9.398</v>
      </c>
      <c r="F67" s="6">
        <f>IF(ISNA(MATCH(F$2,Inputs!$K$4:$AJ$4,0)),NA(),IF(SUMPRODUCT((Inputs!$A$5:$A$230=$B67)*ISNUMBER(INDEX(Inputs!$K$5:$AJ$230,0,MATCH(F$2,Inputs!$K$4:$AJ$4,0))))+SUMPRODUCT((Inputs!$C$5:$C$230=$B67)*ISNUMBER(INDEX(Inputs!$K$5:$AJ$230,0,MATCH(F$2,Inputs!$K$4:$AJ$4,0))))+SUMPRODUCT((Inputs!$E$5:$E$230=$B67)*ISNUMBER(INDEX(Inputs!$K$5:$AJ$230,0,MATCH(F$2,Inputs!$K$4:$AJ$4,0))))=0,NA(),SUMPRODUCT((Inputs!$A$5:$A$230=$B67)*Inputs!$B$5:$B$230*(((Inputs!$G$5:$G$230="moeda")+(Inputs!$G$5:$G$230="acoes"))*Inputs!$B$1+((Inputs!$G$5:$G$230&lt;&gt;"moeda")*(Inputs!$G$5:$G$230&lt;&gt;"acoes")))*INDEX(Inputs!$K$5:$AJ$230,0,MATCH(F$2,Inputs!$K$4:$AJ$4,0)))+SUMPRODUCT((Inputs!$C$5:$C$230=$B67)*Inputs!$D$5:$D$230*(((Inputs!$G$5:$G$230="moeda")+(Inputs!$G$5:$G$230="acoes"))*Inputs!$B$1+((Inputs!$G$5:$G$230&lt;&gt;"moeda")*(Inputs!$G$5:$G$230&lt;&gt;"acoes")))*INDEX(Inputs!$K$5:$AJ$230,0,MATCH(F$2,Inputs!$K$4:$AJ$4,0)))+SUMPRODUCT((Inputs!$E$5:$E$230=$B67)*Inputs!$F$5:$F$230*(((Inputs!$G$5:$G$230="moeda")+(Inputs!$G$5:$G$230="acoes"))*Inputs!$B$1+((Inputs!$G$5:$G$230&lt;&gt;"moeda")*(Inputs!$G$5:$G$230&lt;&gt;"acoes")))*INDEX(Inputs!$K$5:$AJ$230,0,MATCH(F$2,Inputs!$K$4:$AJ$4,0)))))</f>
        <v>9.871</v>
      </c>
      <c r="G67" s="6">
        <f>IF(ISNA(MATCH(G$2,Inputs!$K$4:$AJ$4,0)),NA(),IF(SUMPRODUCT((Inputs!$A$5:$A$230=$B67)*ISNUMBER(INDEX(Inputs!$K$5:$AJ$230,0,MATCH(G$2,Inputs!$K$4:$AJ$4,0))))+SUMPRODUCT((Inputs!$C$5:$C$230=$B67)*ISNUMBER(INDEX(Inputs!$K$5:$AJ$230,0,MATCH(G$2,Inputs!$K$4:$AJ$4,0))))+SUMPRODUCT((Inputs!$E$5:$E$230=$B67)*ISNUMBER(INDEX(Inputs!$K$5:$AJ$230,0,MATCH(G$2,Inputs!$K$4:$AJ$4,0))))=0,NA(),SUMPRODUCT((Inputs!$A$5:$A$230=$B67)*Inputs!$B$5:$B$230*(((Inputs!$G$5:$G$230="moeda")+(Inputs!$G$5:$G$230="acoes"))*Inputs!$B$1+((Inputs!$G$5:$G$230&lt;&gt;"moeda")*(Inputs!$G$5:$G$230&lt;&gt;"acoes")))*INDEX(Inputs!$K$5:$AJ$230,0,MATCH(G$2,Inputs!$K$4:$AJ$4,0)))+SUMPRODUCT((Inputs!$C$5:$C$230=$B67)*Inputs!$D$5:$D$230*(((Inputs!$G$5:$G$230="moeda")+(Inputs!$G$5:$G$230="acoes"))*Inputs!$B$1+((Inputs!$G$5:$G$230&lt;&gt;"moeda")*(Inputs!$G$5:$G$230&lt;&gt;"acoes")))*INDEX(Inputs!$K$5:$AJ$230,0,MATCH(G$2,Inputs!$K$4:$AJ$4,0)))+SUMPRODUCT((Inputs!$E$5:$E$230=$B67)*Inputs!$F$5:$F$230*(((Inputs!$G$5:$G$230="moeda")+(Inputs!$G$5:$G$230="acoes"))*Inputs!$B$1+((Inputs!$G$5:$G$230&lt;&gt;"moeda")*(Inputs!$G$5:$G$230&lt;&gt;"acoes")))*INDEX(Inputs!$K$5:$AJ$230,0,MATCH(G$2,Inputs!$K$4:$AJ$4,0)))))</f>
        <v>12.252</v>
      </c>
      <c r="H67" s="3">
        <f>SUM(D67:G67)</f>
        <v>41.66</v>
      </c>
      <c r="I67" s="6">
        <f>IF(ISNA(MATCH(I$2,Inputs!$K$4:$AJ$4,0)),NA(),IF(SUMPRODUCT((Inputs!$A$5:$A$230=$B67)*ISNUMBER(INDEX(Inputs!$K$5:$AJ$230,0,MATCH(I$2,Inputs!$K$4:$AJ$4,0))))+SUMPRODUCT((Inputs!$C$5:$C$230=$B67)*ISNUMBER(INDEX(Inputs!$K$5:$AJ$230,0,MATCH(I$2,Inputs!$K$4:$AJ$4,0))))+SUMPRODUCT((Inputs!$E$5:$E$230=$B67)*ISNUMBER(INDEX(Inputs!$K$5:$AJ$230,0,MATCH(I$2,Inputs!$K$4:$AJ$4,0))))=0,NA(),SUMPRODUCT((Inputs!$A$5:$A$230=$B67)*Inputs!$B$5:$B$230*(((Inputs!$G$5:$G$230="moeda")+(Inputs!$G$5:$G$230="acoes"))*Inputs!$B$1+((Inputs!$G$5:$G$230&lt;&gt;"moeda")*(Inputs!$G$5:$G$230&lt;&gt;"acoes")))*INDEX(Inputs!$K$5:$AJ$230,0,MATCH(I$2,Inputs!$K$4:$AJ$4,0)))+SUMPRODUCT((Inputs!$C$5:$C$230=$B67)*Inputs!$D$5:$D$230*(((Inputs!$G$5:$G$230="moeda")+(Inputs!$G$5:$G$230="acoes"))*Inputs!$B$1+((Inputs!$G$5:$G$230&lt;&gt;"moeda")*(Inputs!$G$5:$G$230&lt;&gt;"acoes")))*INDEX(Inputs!$K$5:$AJ$230,0,MATCH(I$2,Inputs!$K$4:$AJ$4,0)))+SUMPRODUCT((Inputs!$E$5:$E$230=$B67)*Inputs!$F$5:$F$230*(((Inputs!$G$5:$G$230="moeda")+(Inputs!$G$5:$G$230="acoes"))*Inputs!$B$1+((Inputs!$G$5:$G$230&lt;&gt;"moeda")*(Inputs!$G$5:$G$230&lt;&gt;"acoes")))*INDEX(Inputs!$K$5:$AJ$230,0,MATCH(I$2,Inputs!$K$4:$AJ$4,0)))))</f>
        <v>10.269</v>
      </c>
      <c r="J67" s="6">
        <f>IF(ISNA(MATCH(J$2,Inputs!$K$4:$AJ$4,0)),NA(),IF(SUMPRODUCT((Inputs!$A$5:$A$230=$B67)*ISNUMBER(INDEX(Inputs!$K$5:$AJ$230,0,MATCH(J$2,Inputs!$K$4:$AJ$4,0))))+SUMPRODUCT((Inputs!$C$5:$C$230=$B67)*ISNUMBER(INDEX(Inputs!$K$5:$AJ$230,0,MATCH(J$2,Inputs!$K$4:$AJ$4,0))))+SUMPRODUCT((Inputs!$E$5:$E$230=$B67)*ISNUMBER(INDEX(Inputs!$K$5:$AJ$230,0,MATCH(J$2,Inputs!$K$4:$AJ$4,0))))=0,NA(),SUMPRODUCT((Inputs!$A$5:$A$230=$B67)*Inputs!$B$5:$B$230*(((Inputs!$G$5:$G$230="moeda")+(Inputs!$G$5:$G$230="acoes"))*Inputs!$B$1+((Inputs!$G$5:$G$230&lt;&gt;"moeda")*(Inputs!$G$5:$G$230&lt;&gt;"acoes")))*INDEX(Inputs!$K$5:$AJ$230,0,MATCH(J$2,Inputs!$K$4:$AJ$4,0)))+SUMPRODUCT((Inputs!$C$5:$C$230=$B67)*Inputs!$D$5:$D$230*(((Inputs!$G$5:$G$230="moeda")+(Inputs!$G$5:$G$230="acoes"))*Inputs!$B$1+((Inputs!$G$5:$G$230&lt;&gt;"moeda")*(Inputs!$G$5:$G$230&lt;&gt;"acoes")))*INDEX(Inputs!$K$5:$AJ$230,0,MATCH(J$2,Inputs!$K$4:$AJ$4,0)))+SUMPRODUCT((Inputs!$E$5:$E$230=$B67)*Inputs!$F$5:$F$230*(((Inputs!$G$5:$G$230="moeda")+(Inputs!$G$5:$G$230="acoes"))*Inputs!$B$1+((Inputs!$G$5:$G$230&lt;&gt;"moeda")*(Inputs!$G$5:$G$230&lt;&gt;"acoes")))*INDEX(Inputs!$K$5:$AJ$230,0,MATCH(J$2,Inputs!$K$4:$AJ$4,0)))))</f>
        <v>12.582</v>
      </c>
      <c r="K67" s="6">
        <f>IF(ISNA(MATCH(K$2,Inputs!$K$4:$AJ$4,0)),NA(),IF(SUMPRODUCT((Inputs!$A$5:$A$230=$B67)*ISNUMBER(INDEX(Inputs!$K$5:$AJ$230,0,MATCH(K$2,Inputs!$K$4:$AJ$4,0))))+SUMPRODUCT((Inputs!$C$5:$C$230=$B67)*ISNUMBER(INDEX(Inputs!$K$5:$AJ$230,0,MATCH(K$2,Inputs!$K$4:$AJ$4,0))))+SUMPRODUCT((Inputs!$E$5:$E$230=$B67)*ISNUMBER(INDEX(Inputs!$K$5:$AJ$230,0,MATCH(K$2,Inputs!$K$4:$AJ$4,0))))=0,NA(),SUMPRODUCT((Inputs!$A$5:$A$230=$B67)*Inputs!$B$5:$B$230*(((Inputs!$G$5:$G$230="moeda")+(Inputs!$G$5:$G$230="acoes"))*Inputs!$B$1+((Inputs!$G$5:$G$230&lt;&gt;"moeda")*(Inputs!$G$5:$G$230&lt;&gt;"acoes")))*INDEX(Inputs!$K$5:$AJ$230,0,MATCH(K$2,Inputs!$K$4:$AJ$4,0)))+SUMPRODUCT((Inputs!$C$5:$C$230=$B67)*Inputs!$D$5:$D$230*(((Inputs!$G$5:$G$230="moeda")+(Inputs!$G$5:$G$230="acoes"))*Inputs!$B$1+((Inputs!$G$5:$G$230&lt;&gt;"moeda")*(Inputs!$G$5:$G$230&lt;&gt;"acoes")))*INDEX(Inputs!$K$5:$AJ$230,0,MATCH(K$2,Inputs!$K$4:$AJ$4,0)))+SUMPRODUCT((Inputs!$E$5:$E$230=$B67)*Inputs!$F$5:$F$230*(((Inputs!$G$5:$G$230="moeda")+(Inputs!$G$5:$G$230="acoes"))*Inputs!$B$1+((Inputs!$G$5:$G$230&lt;&gt;"moeda")*(Inputs!$G$5:$G$230&lt;&gt;"acoes")))*INDEX(Inputs!$K$5:$AJ$230,0,MATCH(K$2,Inputs!$K$4:$AJ$4,0)))))</f>
        <v>7.951</v>
      </c>
      <c r="L67" s="6">
        <f>IF(ISNA(MATCH(L$2,Inputs!$K$4:$AJ$4,0)),NA(),IF(SUMPRODUCT((Inputs!$A$5:$A$230=$B67)*ISNUMBER(INDEX(Inputs!$K$5:$AJ$230,0,MATCH(L$2,Inputs!$K$4:$AJ$4,0))))+SUMPRODUCT((Inputs!$C$5:$C$230=$B67)*ISNUMBER(INDEX(Inputs!$K$5:$AJ$230,0,MATCH(L$2,Inputs!$K$4:$AJ$4,0))))+SUMPRODUCT((Inputs!$E$5:$E$230=$B67)*ISNUMBER(INDEX(Inputs!$K$5:$AJ$230,0,MATCH(L$2,Inputs!$K$4:$AJ$4,0))))=0,NA(),SUMPRODUCT((Inputs!$A$5:$A$230=$B67)*Inputs!$B$5:$B$230*(((Inputs!$G$5:$G$230="moeda")+(Inputs!$G$5:$G$230="acoes"))*Inputs!$B$1+((Inputs!$G$5:$G$230&lt;&gt;"moeda")*(Inputs!$G$5:$G$230&lt;&gt;"acoes")))*INDEX(Inputs!$K$5:$AJ$230,0,MATCH(L$2,Inputs!$K$4:$AJ$4,0)))+SUMPRODUCT((Inputs!$C$5:$C$230=$B67)*Inputs!$D$5:$D$230*(((Inputs!$G$5:$G$230="moeda")+(Inputs!$G$5:$G$230="acoes"))*Inputs!$B$1+((Inputs!$G$5:$G$230&lt;&gt;"moeda")*(Inputs!$G$5:$G$230&lt;&gt;"acoes")))*INDEX(Inputs!$K$5:$AJ$230,0,MATCH(L$2,Inputs!$K$4:$AJ$4,0)))+SUMPRODUCT((Inputs!$E$5:$E$230=$B67)*Inputs!$F$5:$F$230*(((Inputs!$G$5:$G$230="moeda")+(Inputs!$G$5:$G$230="acoes"))*Inputs!$B$1+((Inputs!$G$5:$G$230&lt;&gt;"moeda")*(Inputs!$G$5:$G$230&lt;&gt;"acoes")))*INDEX(Inputs!$K$5:$AJ$230,0,MATCH(L$2,Inputs!$K$4:$AJ$4,0)))))</f>
        <v>8.247</v>
      </c>
      <c r="M67" s="3">
        <f>SUM(I67:L67)</f>
        <v>39.049</v>
      </c>
      <c r="N67" s="6">
        <f>IF(ISNA(MATCH(N$2,Inputs!$K$4:$AJ$4,0)),NA(),IF(SUMPRODUCT((Inputs!$A$5:$A$230=$B67)*ISNUMBER(INDEX(Inputs!$K$5:$AJ$230,0,MATCH(N$2,Inputs!$K$4:$AJ$4,0))))+SUMPRODUCT((Inputs!$C$5:$C$230=$B67)*ISNUMBER(INDEX(Inputs!$K$5:$AJ$230,0,MATCH(N$2,Inputs!$K$4:$AJ$4,0))))+SUMPRODUCT((Inputs!$E$5:$E$230=$B67)*ISNUMBER(INDEX(Inputs!$K$5:$AJ$230,0,MATCH(N$2,Inputs!$K$4:$AJ$4,0))))=0,NA(),SUMPRODUCT((Inputs!$A$5:$A$230=$B67)*Inputs!$B$5:$B$230*(((Inputs!$G$5:$G$230="moeda")+(Inputs!$G$5:$G$230="acoes"))*Inputs!$B$1+((Inputs!$G$5:$G$230&lt;&gt;"moeda")*(Inputs!$G$5:$G$230&lt;&gt;"acoes")))*INDEX(Inputs!$K$5:$AJ$230,0,MATCH(N$2,Inputs!$K$4:$AJ$4,0)))+SUMPRODUCT((Inputs!$C$5:$C$230=$B67)*Inputs!$D$5:$D$230*(((Inputs!$G$5:$G$230="moeda")+(Inputs!$G$5:$G$230="acoes"))*Inputs!$B$1+((Inputs!$G$5:$G$230&lt;&gt;"moeda")*(Inputs!$G$5:$G$230&lt;&gt;"acoes")))*INDEX(Inputs!$K$5:$AJ$230,0,MATCH(N$2,Inputs!$K$4:$AJ$4,0)))+SUMPRODUCT((Inputs!$E$5:$E$230=$B67)*Inputs!$F$5:$F$230*(((Inputs!$G$5:$G$230="moeda")+(Inputs!$G$5:$G$230="acoes"))*Inputs!$B$1+((Inputs!$G$5:$G$230&lt;&gt;"moeda")*(Inputs!$G$5:$G$230&lt;&gt;"acoes")))*INDEX(Inputs!$K$5:$AJ$230,0,MATCH(N$2,Inputs!$K$4:$AJ$4,0)))))</f>
        <v>11.985</v>
      </c>
      <c r="O67" s="6">
        <f>IF(ISNA(MATCH(O$2,Inputs!$K$4:$AJ$4,0)),NA(),IF(SUMPRODUCT((Inputs!$A$5:$A$230=$B67)*ISNUMBER(INDEX(Inputs!$K$5:$AJ$230,0,MATCH(O$2,Inputs!$K$4:$AJ$4,0))))+SUMPRODUCT((Inputs!$C$5:$C$230=$B67)*ISNUMBER(INDEX(Inputs!$K$5:$AJ$230,0,MATCH(O$2,Inputs!$K$4:$AJ$4,0))))+SUMPRODUCT((Inputs!$E$5:$E$230=$B67)*ISNUMBER(INDEX(Inputs!$K$5:$AJ$230,0,MATCH(O$2,Inputs!$K$4:$AJ$4,0))))=0,NA(),SUMPRODUCT((Inputs!$A$5:$A$230=$B67)*Inputs!$B$5:$B$230*(((Inputs!$G$5:$G$230="moeda")+(Inputs!$G$5:$G$230="acoes"))*Inputs!$B$1+((Inputs!$G$5:$G$230&lt;&gt;"moeda")*(Inputs!$G$5:$G$230&lt;&gt;"acoes")))*INDEX(Inputs!$K$5:$AJ$230,0,MATCH(O$2,Inputs!$K$4:$AJ$4,0)))+SUMPRODUCT((Inputs!$C$5:$C$230=$B67)*Inputs!$D$5:$D$230*(((Inputs!$G$5:$G$230="moeda")+(Inputs!$G$5:$G$230="acoes"))*Inputs!$B$1+((Inputs!$G$5:$G$230&lt;&gt;"moeda")*(Inputs!$G$5:$G$230&lt;&gt;"acoes")))*INDEX(Inputs!$K$5:$AJ$230,0,MATCH(O$2,Inputs!$K$4:$AJ$4,0)))+SUMPRODUCT((Inputs!$E$5:$E$230=$B67)*Inputs!$F$5:$F$230*(((Inputs!$G$5:$G$230="moeda")+(Inputs!$G$5:$G$230="acoes"))*Inputs!$B$1+((Inputs!$G$5:$G$230&lt;&gt;"moeda")*(Inputs!$G$5:$G$230&lt;&gt;"acoes")))*INDEX(Inputs!$K$5:$AJ$230,0,MATCH(O$2,Inputs!$K$4:$AJ$4,0)))))</f>
        <v>13.339</v>
      </c>
      <c r="P67" s="6">
        <f>IF(ISNA(MATCH(P$2,Inputs!$K$4:$AJ$4,0)),NA(),IF(SUMPRODUCT((Inputs!$A$5:$A$230=$B67)*ISNUMBER(INDEX(Inputs!$K$5:$AJ$230,0,MATCH(P$2,Inputs!$K$4:$AJ$4,0))))+SUMPRODUCT((Inputs!$C$5:$C$230=$B67)*ISNUMBER(INDEX(Inputs!$K$5:$AJ$230,0,MATCH(P$2,Inputs!$K$4:$AJ$4,0))))+SUMPRODUCT((Inputs!$E$5:$E$230=$B67)*ISNUMBER(INDEX(Inputs!$K$5:$AJ$230,0,MATCH(P$2,Inputs!$K$4:$AJ$4,0))))=0,NA(),SUMPRODUCT((Inputs!$A$5:$A$230=$B67)*Inputs!$B$5:$B$230*(((Inputs!$G$5:$G$230="moeda")+(Inputs!$G$5:$G$230="acoes"))*Inputs!$B$1+((Inputs!$G$5:$G$230&lt;&gt;"moeda")*(Inputs!$G$5:$G$230&lt;&gt;"acoes")))*INDEX(Inputs!$K$5:$AJ$230,0,MATCH(P$2,Inputs!$K$4:$AJ$4,0)))+SUMPRODUCT((Inputs!$C$5:$C$230=$B67)*Inputs!$D$5:$D$230*(((Inputs!$G$5:$G$230="moeda")+(Inputs!$G$5:$G$230="acoes"))*Inputs!$B$1+((Inputs!$G$5:$G$230&lt;&gt;"moeda")*(Inputs!$G$5:$G$230&lt;&gt;"acoes")))*INDEX(Inputs!$K$5:$AJ$230,0,MATCH(P$2,Inputs!$K$4:$AJ$4,0)))+SUMPRODUCT((Inputs!$E$5:$E$230=$B67)*Inputs!$F$5:$F$230*(((Inputs!$G$5:$G$230="moeda")+(Inputs!$G$5:$G$230="acoes"))*Inputs!$B$1+((Inputs!$G$5:$G$230&lt;&gt;"moeda")*(Inputs!$G$5:$G$230&lt;&gt;"acoes")))*INDEX(Inputs!$K$5:$AJ$230,0,MATCH(P$2,Inputs!$K$4:$AJ$4,0)))))</f>
        <v>7.257</v>
      </c>
      <c r="Q67" s="6">
        <f>IF(ISNA(MATCH(Q$2,Inputs!$K$4:$AJ$4,0)),NA(),IF(SUMPRODUCT((Inputs!$A$5:$A$230=$B67)*ISNUMBER(INDEX(Inputs!$K$5:$AJ$230,0,MATCH(Q$2,Inputs!$K$4:$AJ$4,0))))+SUMPRODUCT((Inputs!$C$5:$C$230=$B67)*ISNUMBER(INDEX(Inputs!$K$5:$AJ$230,0,MATCH(Q$2,Inputs!$K$4:$AJ$4,0))))+SUMPRODUCT((Inputs!$E$5:$E$230=$B67)*ISNUMBER(INDEX(Inputs!$K$5:$AJ$230,0,MATCH(Q$2,Inputs!$K$4:$AJ$4,0))))=0,NA(),SUMPRODUCT((Inputs!$A$5:$A$230=$B67)*Inputs!$B$5:$B$230*(((Inputs!$G$5:$G$230="moeda")+(Inputs!$G$5:$G$230="acoes"))*Inputs!$B$1+((Inputs!$G$5:$G$230&lt;&gt;"moeda")*(Inputs!$G$5:$G$230&lt;&gt;"acoes")))*INDEX(Inputs!$K$5:$AJ$230,0,MATCH(Q$2,Inputs!$K$4:$AJ$4,0)))+SUMPRODUCT((Inputs!$C$5:$C$230=$B67)*Inputs!$D$5:$D$230*(((Inputs!$G$5:$G$230="moeda")+(Inputs!$G$5:$G$230="acoes"))*Inputs!$B$1+((Inputs!$G$5:$G$230&lt;&gt;"moeda")*(Inputs!$G$5:$G$230&lt;&gt;"acoes")))*INDEX(Inputs!$K$5:$AJ$230,0,MATCH(Q$2,Inputs!$K$4:$AJ$4,0)))+SUMPRODUCT((Inputs!$E$5:$E$230=$B67)*Inputs!$F$5:$F$230*(((Inputs!$G$5:$G$230="moeda")+(Inputs!$G$5:$G$230="acoes"))*Inputs!$B$1+((Inputs!$G$5:$G$230&lt;&gt;"moeda")*(Inputs!$G$5:$G$230&lt;&gt;"acoes")))*INDEX(Inputs!$K$5:$AJ$230,0,MATCH(Q$2,Inputs!$K$4:$AJ$4,0)))))</f>
        <v>8.679</v>
      </c>
      <c r="R67" s="3">
        <f>SUM(N67:Q67)</f>
        <v>41.26</v>
      </c>
      <c r="S67" s="6">
        <f>IF(ISNA(MATCH(S$2,Inputs!$K$4:$AJ$4,0)),NA(),IF(SUMPRODUCT((Inputs!$A$5:$A$230=$B67)*ISNUMBER(INDEX(Inputs!$K$5:$AJ$230,0,MATCH(S$2,Inputs!$K$4:$AJ$4,0))))+SUMPRODUCT((Inputs!$C$5:$C$230=$B67)*ISNUMBER(INDEX(Inputs!$K$5:$AJ$230,0,MATCH(S$2,Inputs!$K$4:$AJ$4,0))))+SUMPRODUCT((Inputs!$E$5:$E$230=$B67)*ISNUMBER(INDEX(Inputs!$K$5:$AJ$230,0,MATCH(S$2,Inputs!$K$4:$AJ$4,0))))=0,NA(),SUMPRODUCT((Inputs!$A$5:$A$230=$B67)*Inputs!$B$5:$B$230*(((Inputs!$G$5:$G$230="moeda")+(Inputs!$G$5:$G$230="acoes"))*Inputs!$B$1+((Inputs!$G$5:$G$230&lt;&gt;"moeda")*(Inputs!$G$5:$G$230&lt;&gt;"acoes")))*INDEX(Inputs!$K$5:$AJ$230,0,MATCH(S$2,Inputs!$K$4:$AJ$4,0)))+SUMPRODUCT((Inputs!$C$5:$C$230=$B67)*Inputs!$D$5:$D$230*(((Inputs!$G$5:$G$230="moeda")+(Inputs!$G$5:$G$230="acoes"))*Inputs!$B$1+((Inputs!$G$5:$G$230&lt;&gt;"moeda")*(Inputs!$G$5:$G$230&lt;&gt;"acoes")))*INDEX(Inputs!$K$5:$AJ$230,0,MATCH(S$2,Inputs!$K$4:$AJ$4,0)))+SUMPRODUCT((Inputs!$E$5:$E$230=$B67)*Inputs!$F$5:$F$230*(((Inputs!$G$5:$G$230="moeda")+(Inputs!$G$5:$G$230="acoes"))*Inputs!$B$1+((Inputs!$G$5:$G$230&lt;&gt;"moeda")*(Inputs!$G$5:$G$230&lt;&gt;"acoes")))*INDEX(Inputs!$K$5:$AJ$230,0,MATCH(S$2,Inputs!$K$4:$AJ$4,0)))))</f>
        <v>11.689</v>
      </c>
      <c r="T67" s="6">
        <f>IF(ISNA(MATCH(T$2,Inputs!$K$4:$AJ$4,0)),NA(),IF(SUMPRODUCT((Inputs!$A$5:$A$230=$B67)*ISNUMBER(INDEX(Inputs!$K$5:$AJ$230,0,MATCH(T$2,Inputs!$K$4:$AJ$4,0))))+SUMPRODUCT((Inputs!$C$5:$C$230=$B67)*ISNUMBER(INDEX(Inputs!$K$5:$AJ$230,0,MATCH(T$2,Inputs!$K$4:$AJ$4,0))))+SUMPRODUCT((Inputs!$E$5:$E$230=$B67)*ISNUMBER(INDEX(Inputs!$K$5:$AJ$230,0,MATCH(T$2,Inputs!$K$4:$AJ$4,0))))=0,NA(),SUMPRODUCT((Inputs!$A$5:$A$230=$B67)*Inputs!$B$5:$B$230*(((Inputs!$G$5:$G$230="moeda")+(Inputs!$G$5:$G$230="acoes"))*Inputs!$B$1+((Inputs!$G$5:$G$230&lt;&gt;"moeda")*(Inputs!$G$5:$G$230&lt;&gt;"acoes")))*INDEX(Inputs!$K$5:$AJ$230,0,MATCH(T$2,Inputs!$K$4:$AJ$4,0)))+SUMPRODUCT((Inputs!$C$5:$C$230=$B67)*Inputs!$D$5:$D$230*(((Inputs!$G$5:$G$230="moeda")+(Inputs!$G$5:$G$230="acoes"))*Inputs!$B$1+((Inputs!$G$5:$G$230&lt;&gt;"moeda")*(Inputs!$G$5:$G$230&lt;&gt;"acoes")))*INDEX(Inputs!$K$5:$AJ$230,0,MATCH(T$2,Inputs!$K$4:$AJ$4,0)))+SUMPRODUCT((Inputs!$E$5:$E$230=$B67)*Inputs!$F$5:$F$230*(((Inputs!$G$5:$G$230="moeda")+(Inputs!$G$5:$G$230="acoes"))*Inputs!$B$1+((Inputs!$G$5:$G$230&lt;&gt;"moeda")*(Inputs!$G$5:$G$230&lt;&gt;"acoes")))*INDEX(Inputs!$K$5:$AJ$230,0,MATCH(T$2,Inputs!$K$4:$AJ$4,0)))))</f>
        <v>9.515</v>
      </c>
      <c r="U67" s="6">
        <f>IF(ISNA(MATCH(U$2,Inputs!$K$4:$AJ$4,0)),NA(),IF(SUMPRODUCT((Inputs!$A$5:$A$230=$B67)*ISNUMBER(INDEX(Inputs!$K$5:$AJ$230,0,MATCH(U$2,Inputs!$K$4:$AJ$4,0))))+SUMPRODUCT((Inputs!$C$5:$C$230=$B67)*ISNUMBER(INDEX(Inputs!$K$5:$AJ$230,0,MATCH(U$2,Inputs!$K$4:$AJ$4,0))))+SUMPRODUCT((Inputs!$E$5:$E$230=$B67)*ISNUMBER(INDEX(Inputs!$K$5:$AJ$230,0,MATCH(U$2,Inputs!$K$4:$AJ$4,0))))=0,NA(),SUMPRODUCT((Inputs!$A$5:$A$230=$B67)*Inputs!$B$5:$B$230*(((Inputs!$G$5:$G$230="moeda")+(Inputs!$G$5:$G$230="acoes"))*Inputs!$B$1+((Inputs!$G$5:$G$230&lt;&gt;"moeda")*(Inputs!$G$5:$G$230&lt;&gt;"acoes")))*INDEX(Inputs!$K$5:$AJ$230,0,MATCH(U$2,Inputs!$K$4:$AJ$4,0)))+SUMPRODUCT((Inputs!$C$5:$C$230=$B67)*Inputs!$D$5:$D$230*(((Inputs!$G$5:$G$230="moeda")+(Inputs!$G$5:$G$230="acoes"))*Inputs!$B$1+((Inputs!$G$5:$G$230&lt;&gt;"moeda")*(Inputs!$G$5:$G$230&lt;&gt;"acoes")))*INDEX(Inputs!$K$5:$AJ$230,0,MATCH(U$2,Inputs!$K$4:$AJ$4,0)))+SUMPRODUCT((Inputs!$E$5:$E$230=$B67)*Inputs!$F$5:$F$230*(((Inputs!$G$5:$G$230="moeda")+(Inputs!$G$5:$G$230="acoes"))*Inputs!$B$1+((Inputs!$G$5:$G$230&lt;&gt;"moeda")*(Inputs!$G$5:$G$230&lt;&gt;"acoes")))*INDEX(Inputs!$K$5:$AJ$230,0,MATCH(U$2,Inputs!$K$4:$AJ$4,0)))))</f>
        <v>10.254</v>
      </c>
      <c r="V67" s="6">
        <f>IF(ISNA(MATCH(V$2,Inputs!$K$4:$AJ$4,0)),NA(),IF(SUMPRODUCT((Inputs!$A$5:$A$230=$B67)*ISNUMBER(INDEX(Inputs!$K$5:$AJ$230,0,MATCH(V$2,Inputs!$K$4:$AJ$4,0))))+SUMPRODUCT((Inputs!$C$5:$C$230=$B67)*ISNUMBER(INDEX(Inputs!$K$5:$AJ$230,0,MATCH(V$2,Inputs!$K$4:$AJ$4,0))))+SUMPRODUCT((Inputs!$E$5:$E$230=$B67)*ISNUMBER(INDEX(Inputs!$K$5:$AJ$230,0,MATCH(V$2,Inputs!$K$4:$AJ$4,0))))=0,NA(),SUMPRODUCT((Inputs!$A$5:$A$230=$B67)*Inputs!$B$5:$B$230*(((Inputs!$G$5:$G$230="moeda")+(Inputs!$G$5:$G$230="acoes"))*Inputs!$B$1+((Inputs!$G$5:$G$230&lt;&gt;"moeda")*(Inputs!$G$5:$G$230&lt;&gt;"acoes")))*INDEX(Inputs!$K$5:$AJ$230,0,MATCH(V$2,Inputs!$K$4:$AJ$4,0)))+SUMPRODUCT((Inputs!$C$5:$C$230=$B67)*Inputs!$D$5:$D$230*(((Inputs!$G$5:$G$230="moeda")+(Inputs!$G$5:$G$230="acoes"))*Inputs!$B$1+((Inputs!$G$5:$G$230&lt;&gt;"moeda")*(Inputs!$G$5:$G$230&lt;&gt;"acoes")))*INDEX(Inputs!$K$5:$AJ$230,0,MATCH(V$2,Inputs!$K$4:$AJ$4,0)))+SUMPRODUCT((Inputs!$E$5:$E$230=$B67)*Inputs!$F$5:$F$230*(((Inputs!$G$5:$G$230="moeda")+(Inputs!$G$5:$G$230="acoes"))*Inputs!$B$1+((Inputs!$G$5:$G$230&lt;&gt;"moeda")*(Inputs!$G$5:$G$230&lt;&gt;"acoes")))*INDEX(Inputs!$K$5:$AJ$230,0,MATCH(V$2,Inputs!$K$4:$AJ$4,0)))))</f>
        <v>10.317</v>
      </c>
      <c r="W67" s="3">
        <f>SUM(S67:V67)</f>
        <v>41.775</v>
      </c>
      <c r="X67" s="6">
        <f>IF(ISNA(MATCH(X$2,Inputs!$K$4:$AJ$4,0)),NA(),IF(SUMPRODUCT((Inputs!$A$5:$A$230=$B67)*ISNUMBER(INDEX(Inputs!$K$5:$AJ$230,0,MATCH(X$2,Inputs!$K$4:$AJ$4,0))))+SUMPRODUCT((Inputs!$C$5:$C$230=$B67)*ISNUMBER(INDEX(Inputs!$K$5:$AJ$230,0,MATCH(X$2,Inputs!$K$4:$AJ$4,0))))+SUMPRODUCT((Inputs!$E$5:$E$230=$B67)*ISNUMBER(INDEX(Inputs!$K$5:$AJ$230,0,MATCH(X$2,Inputs!$K$4:$AJ$4,0))))=0,NA(),SUMPRODUCT((Inputs!$A$5:$A$230=$B67)*Inputs!$B$5:$B$230*(((Inputs!$G$5:$G$230="moeda")+(Inputs!$G$5:$G$230="acoes"))*Inputs!$B$1+((Inputs!$G$5:$G$230&lt;&gt;"moeda")*(Inputs!$G$5:$G$230&lt;&gt;"acoes")))*INDEX(Inputs!$K$5:$AJ$230,0,MATCH(X$2,Inputs!$K$4:$AJ$4,0)))+SUMPRODUCT((Inputs!$C$5:$C$230=$B67)*Inputs!$D$5:$D$230*(((Inputs!$G$5:$G$230="moeda")+(Inputs!$G$5:$G$230="acoes"))*Inputs!$B$1+((Inputs!$G$5:$G$230&lt;&gt;"moeda")*(Inputs!$G$5:$G$230&lt;&gt;"acoes")))*INDEX(Inputs!$K$5:$AJ$230,0,MATCH(X$2,Inputs!$K$4:$AJ$4,0)))+SUMPRODUCT((Inputs!$E$5:$E$230=$B67)*Inputs!$F$5:$F$230*(((Inputs!$G$5:$G$230="moeda")+(Inputs!$G$5:$G$230="acoes"))*Inputs!$B$1+((Inputs!$G$5:$G$230&lt;&gt;"moeda")*(Inputs!$G$5:$G$230&lt;&gt;"acoes")))*INDEX(Inputs!$K$5:$AJ$230,0,MATCH(X$2,Inputs!$K$4:$AJ$4,0)))))</f>
        <v>12.241</v>
      </c>
      <c r="Y67" s="6">
        <f>IF(ISNA(MATCH(Y$2,Inputs!$K$4:$AJ$4,0)),NA(),IF(SUMPRODUCT((Inputs!$A$5:$A$230=$B67)*ISNUMBER(INDEX(Inputs!$K$5:$AJ$230,0,MATCH(Y$2,Inputs!$K$4:$AJ$4,0))))+SUMPRODUCT((Inputs!$C$5:$C$230=$B67)*ISNUMBER(INDEX(Inputs!$K$5:$AJ$230,0,MATCH(Y$2,Inputs!$K$4:$AJ$4,0))))+SUMPRODUCT((Inputs!$E$5:$E$230=$B67)*ISNUMBER(INDEX(Inputs!$K$5:$AJ$230,0,MATCH(Y$2,Inputs!$K$4:$AJ$4,0))))=0,NA(),SUMPRODUCT((Inputs!$A$5:$A$230=$B67)*Inputs!$B$5:$B$230*(((Inputs!$G$5:$G$230="moeda")+(Inputs!$G$5:$G$230="acoes"))*Inputs!$B$1+((Inputs!$G$5:$G$230&lt;&gt;"moeda")*(Inputs!$G$5:$G$230&lt;&gt;"acoes")))*INDEX(Inputs!$K$5:$AJ$230,0,MATCH(Y$2,Inputs!$K$4:$AJ$4,0)))+SUMPRODUCT((Inputs!$C$5:$C$230=$B67)*Inputs!$D$5:$D$230*(((Inputs!$G$5:$G$230="moeda")+(Inputs!$G$5:$G$230="acoes"))*Inputs!$B$1+((Inputs!$G$5:$G$230&lt;&gt;"moeda")*(Inputs!$G$5:$G$230&lt;&gt;"acoes")))*INDEX(Inputs!$K$5:$AJ$230,0,MATCH(Y$2,Inputs!$K$4:$AJ$4,0)))+SUMPRODUCT((Inputs!$E$5:$E$230=$B67)*Inputs!$F$5:$F$230*(((Inputs!$G$5:$G$230="moeda")+(Inputs!$G$5:$G$230="acoes"))*Inputs!$B$1+((Inputs!$G$5:$G$230&lt;&gt;"moeda")*(Inputs!$G$5:$G$230&lt;&gt;"acoes")))*INDEX(Inputs!$K$5:$AJ$230,0,MATCH(Y$2,Inputs!$K$4:$AJ$4,0)))))</f>
        <v>10.285</v>
      </c>
      <c r="Z67" s="6">
        <f>IF(ISNA(MATCH(Z$2,Inputs!$K$4:$AJ$4,0)),NA(),IF(SUMPRODUCT((Inputs!$A$5:$A$230=$B67)*ISNUMBER(INDEX(Inputs!$K$5:$AJ$230,0,MATCH(Z$2,Inputs!$K$4:$AJ$4,0))))+SUMPRODUCT((Inputs!$C$5:$C$230=$B67)*ISNUMBER(INDEX(Inputs!$K$5:$AJ$230,0,MATCH(Z$2,Inputs!$K$4:$AJ$4,0))))+SUMPRODUCT((Inputs!$E$5:$E$230=$B67)*ISNUMBER(INDEX(Inputs!$K$5:$AJ$230,0,MATCH(Z$2,Inputs!$K$4:$AJ$4,0))))=0,NA(),SUMPRODUCT((Inputs!$A$5:$A$230=$B67)*Inputs!$B$5:$B$230*(((Inputs!$G$5:$G$230="moeda")+(Inputs!$G$5:$G$230="acoes"))*Inputs!$B$1+((Inputs!$G$5:$G$230&lt;&gt;"moeda")*(Inputs!$G$5:$G$230&lt;&gt;"acoes")))*INDEX(Inputs!$K$5:$AJ$230,0,MATCH(Z$2,Inputs!$K$4:$AJ$4,0)))+SUMPRODUCT((Inputs!$C$5:$C$230=$B67)*Inputs!$D$5:$D$230*(((Inputs!$G$5:$G$230="moeda")+(Inputs!$G$5:$G$230="acoes"))*Inputs!$B$1+((Inputs!$G$5:$G$230&lt;&gt;"moeda")*(Inputs!$G$5:$G$230&lt;&gt;"acoes")))*INDEX(Inputs!$K$5:$AJ$230,0,MATCH(Z$2,Inputs!$K$4:$AJ$4,0)))+SUMPRODUCT((Inputs!$E$5:$E$230=$B67)*Inputs!$F$5:$F$230*(((Inputs!$G$5:$G$230="moeda")+(Inputs!$G$5:$G$230="acoes"))*Inputs!$B$1+((Inputs!$G$5:$G$230&lt;&gt;"moeda")*(Inputs!$G$5:$G$230&lt;&gt;"acoes")))*INDEX(Inputs!$K$5:$AJ$230,0,MATCH(Z$2,Inputs!$K$4:$AJ$4,0)))))</f>
        <v>7.704</v>
      </c>
      <c r="AA67" s="6">
        <f>IF(ISNA(MATCH(AA$2,Inputs!$K$4:$AJ$4,0)),NA(),IF(SUMPRODUCT((Inputs!$A$5:$A$230=$B67)*ISNUMBER(INDEX(Inputs!$K$5:$AJ$230,0,MATCH(AA$2,Inputs!$K$4:$AJ$4,0))))+SUMPRODUCT((Inputs!$C$5:$C$230=$B67)*ISNUMBER(INDEX(Inputs!$K$5:$AJ$230,0,MATCH(AA$2,Inputs!$K$4:$AJ$4,0))))+SUMPRODUCT((Inputs!$E$5:$E$230=$B67)*ISNUMBER(INDEX(Inputs!$K$5:$AJ$230,0,MATCH(AA$2,Inputs!$K$4:$AJ$4,0))))=0,NA(),SUMPRODUCT((Inputs!$A$5:$A$230=$B67)*Inputs!$B$5:$B$230*(((Inputs!$G$5:$G$230="moeda")+(Inputs!$G$5:$G$230="acoes"))*Inputs!$B$1+((Inputs!$G$5:$G$230&lt;&gt;"moeda")*(Inputs!$G$5:$G$230&lt;&gt;"acoes")))*INDEX(Inputs!$K$5:$AJ$230,0,MATCH(AA$2,Inputs!$K$4:$AJ$4,0)))+SUMPRODUCT((Inputs!$C$5:$C$230=$B67)*Inputs!$D$5:$D$230*(((Inputs!$G$5:$G$230="moeda")+(Inputs!$G$5:$G$230="acoes"))*Inputs!$B$1+((Inputs!$G$5:$G$230&lt;&gt;"moeda")*(Inputs!$G$5:$G$230&lt;&gt;"acoes")))*INDEX(Inputs!$K$5:$AJ$230,0,MATCH(AA$2,Inputs!$K$4:$AJ$4,0)))+SUMPRODUCT((Inputs!$E$5:$E$230=$B67)*Inputs!$F$5:$F$230*(((Inputs!$G$5:$G$230="moeda")+(Inputs!$G$5:$G$230="acoes"))*Inputs!$B$1+((Inputs!$G$5:$G$230&lt;&gt;"moeda")*(Inputs!$G$5:$G$230&lt;&gt;"acoes")))*INDEX(Inputs!$K$5:$AJ$230,0,MATCH(AA$2,Inputs!$K$4:$AJ$4,0)))))</f>
        <v>9.766</v>
      </c>
      <c r="AB67" s="3">
        <f>SUM(X67:AA67)</f>
        <v>39.996</v>
      </c>
      <c r="AC67" s="6">
        <f>IF(ISNA(MATCH(AC$2,Inputs!$K$4:$AJ$4,0)),NA(),IF(SUMPRODUCT((Inputs!$A$5:$A$230=$B67)*ISNUMBER(INDEX(Inputs!$K$5:$AJ$230,0,MATCH(AC$2,Inputs!$K$4:$AJ$4,0))))+SUMPRODUCT((Inputs!$C$5:$C$230=$B67)*ISNUMBER(INDEX(Inputs!$K$5:$AJ$230,0,MATCH(AC$2,Inputs!$K$4:$AJ$4,0))))+SUMPRODUCT((Inputs!$E$5:$E$230=$B67)*ISNUMBER(INDEX(Inputs!$K$5:$AJ$230,0,MATCH(AC$2,Inputs!$K$4:$AJ$4,0))))=0,NA(),SUMPRODUCT((Inputs!$A$5:$A$230=$B67)*Inputs!$B$5:$B$230*(((Inputs!$G$5:$G$230="moeda")+(Inputs!$G$5:$G$230="acoes"))*Inputs!$B$1+((Inputs!$G$5:$G$230&lt;&gt;"moeda")*(Inputs!$G$5:$G$230&lt;&gt;"acoes")))*INDEX(Inputs!$K$5:$AJ$230,0,MATCH(AC$2,Inputs!$K$4:$AJ$4,0)))+SUMPRODUCT((Inputs!$C$5:$C$230=$B67)*Inputs!$D$5:$D$230*(((Inputs!$G$5:$G$230="moeda")+(Inputs!$G$5:$G$230="acoes"))*Inputs!$B$1+((Inputs!$G$5:$G$230&lt;&gt;"moeda")*(Inputs!$G$5:$G$230&lt;&gt;"acoes")))*INDEX(Inputs!$K$5:$AJ$230,0,MATCH(AC$2,Inputs!$K$4:$AJ$4,0)))+SUMPRODUCT((Inputs!$E$5:$E$230=$B67)*Inputs!$F$5:$F$230*(((Inputs!$G$5:$G$230="moeda")+(Inputs!$G$5:$G$230="acoes"))*Inputs!$B$1+((Inputs!$G$5:$G$230&lt;&gt;"moeda")*(Inputs!$G$5:$G$230&lt;&gt;"acoes")))*INDEX(Inputs!$K$5:$AJ$230,0,MATCH(AC$2,Inputs!$K$4:$AJ$4,0)))))</f>
        <v>10.57</v>
      </c>
      <c r="AD67" s="6">
        <f>IF(ISNA(MATCH(AD$2,Inputs!$K$4:$AJ$4,0)),NA(),IF(SUMPRODUCT((Inputs!$A$5:$A$230=$B67)*ISNUMBER(INDEX(Inputs!$K$5:$AJ$230,0,MATCH(AD$2,Inputs!$K$4:$AJ$4,0))))+SUMPRODUCT((Inputs!$C$5:$C$230=$B67)*ISNUMBER(INDEX(Inputs!$K$5:$AJ$230,0,MATCH(AD$2,Inputs!$K$4:$AJ$4,0))))+SUMPRODUCT((Inputs!$E$5:$E$230=$B67)*ISNUMBER(INDEX(Inputs!$K$5:$AJ$230,0,MATCH(AD$2,Inputs!$K$4:$AJ$4,0))))=0,NA(),SUMPRODUCT((Inputs!$A$5:$A$230=$B67)*Inputs!$B$5:$B$230*(((Inputs!$G$5:$G$230="moeda")+(Inputs!$G$5:$G$230="acoes"))*Inputs!$B$1+((Inputs!$G$5:$G$230&lt;&gt;"moeda")*(Inputs!$G$5:$G$230&lt;&gt;"acoes")))*INDEX(Inputs!$K$5:$AJ$230,0,MATCH(AD$2,Inputs!$K$4:$AJ$4,0)))+SUMPRODUCT((Inputs!$C$5:$C$230=$B67)*Inputs!$D$5:$D$230*(((Inputs!$G$5:$G$230="moeda")+(Inputs!$G$5:$G$230="acoes"))*Inputs!$B$1+((Inputs!$G$5:$G$230&lt;&gt;"moeda")*(Inputs!$G$5:$G$230&lt;&gt;"acoes")))*INDEX(Inputs!$K$5:$AJ$230,0,MATCH(AD$2,Inputs!$K$4:$AJ$4,0)))+SUMPRODUCT((Inputs!$E$5:$E$230=$B67)*Inputs!$F$5:$F$230*(((Inputs!$G$5:$G$230="moeda")+(Inputs!$G$5:$G$230="acoes"))*Inputs!$B$1+((Inputs!$G$5:$G$230&lt;&gt;"moeda")*(Inputs!$G$5:$G$230&lt;&gt;"acoes")))*INDEX(Inputs!$K$5:$AJ$230,0,MATCH(AD$2,Inputs!$K$4:$AJ$4,0)))))</f>
        <v>13.047</v>
      </c>
      <c r="AE67" s="6" t="e">
        <f>IF(ISNA(MATCH(AE$2,Inputs!$K$4:$AJ$4,0)),NA(),IF(SUMPRODUCT((Inputs!$A$5:$A$230=$B67)*ISNUMBER(INDEX(Inputs!$K$5:$AJ$230,0,MATCH(AE$2,Inputs!$K$4:$AJ$4,0))))+SUMPRODUCT((Inputs!$C$5:$C$230=$B67)*ISNUMBER(INDEX(Inputs!$K$5:$AJ$230,0,MATCH(AE$2,Inputs!$K$4:$AJ$4,0))))+SUMPRODUCT((Inputs!$E$5:$E$230=$B67)*ISNUMBER(INDEX(Inputs!$K$5:$AJ$230,0,MATCH(AE$2,Inputs!$K$4:$AJ$4,0))))=0,NA(),SUMPRODUCT((Inputs!$A$5:$A$230=$B67)*Inputs!$B$5:$B$230*(((Inputs!$G$5:$G$230="moeda")+(Inputs!$G$5:$G$230="acoes"))*Inputs!$B$1+((Inputs!$G$5:$G$230&lt;&gt;"moeda")*(Inputs!$G$5:$G$230&lt;&gt;"acoes")))*INDEX(Inputs!$K$5:$AJ$230,0,MATCH(AE$2,Inputs!$K$4:$AJ$4,0)))+SUMPRODUCT((Inputs!$C$5:$C$230=$B67)*Inputs!$D$5:$D$230*(((Inputs!$G$5:$G$230="moeda")+(Inputs!$G$5:$G$230="acoes"))*Inputs!$B$1+((Inputs!$G$5:$G$230&lt;&gt;"moeda")*(Inputs!$G$5:$G$230&lt;&gt;"acoes")))*INDEX(Inputs!$K$5:$AJ$230,0,MATCH(AE$2,Inputs!$K$4:$AJ$4,0)))+SUMPRODUCT((Inputs!$E$5:$E$230=$B67)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7" s="6" t="e">
        <f>IF(ISNA(MATCH(AF$2,Inputs!$K$4:$AJ$4,0)),NA(),IF(SUMPRODUCT((Inputs!$A$5:$A$230=$B67)*ISNUMBER(INDEX(Inputs!$K$5:$AJ$230,0,MATCH(AF$2,Inputs!$K$4:$AJ$4,0))))+SUMPRODUCT((Inputs!$C$5:$C$230=$B67)*ISNUMBER(INDEX(Inputs!$K$5:$AJ$230,0,MATCH(AF$2,Inputs!$K$4:$AJ$4,0))))+SUMPRODUCT((Inputs!$E$5:$E$230=$B67)*ISNUMBER(INDEX(Inputs!$K$5:$AJ$230,0,MATCH(AF$2,Inputs!$K$4:$AJ$4,0))))=0,NA(),SUMPRODUCT((Inputs!$A$5:$A$230=$B67)*Inputs!$B$5:$B$230*(((Inputs!$G$5:$G$230="moeda")+(Inputs!$G$5:$G$230="acoes"))*Inputs!$B$1+((Inputs!$G$5:$G$230&lt;&gt;"moeda")*(Inputs!$G$5:$G$230&lt;&gt;"acoes")))*INDEX(Inputs!$K$5:$AJ$230,0,MATCH(AF$2,Inputs!$K$4:$AJ$4,0)))+SUMPRODUCT((Inputs!$C$5:$C$230=$B67)*Inputs!$D$5:$D$230*(((Inputs!$G$5:$G$230="moeda")+(Inputs!$G$5:$G$230="acoes"))*Inputs!$B$1+((Inputs!$G$5:$G$230&lt;&gt;"moeda")*(Inputs!$G$5:$G$230&lt;&gt;"acoes")))*INDEX(Inputs!$K$5:$AJ$230,0,MATCH(AF$2,Inputs!$K$4:$AJ$4,0)))+SUMPRODUCT((Inputs!$E$5:$E$230=$B67)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7" s="3" t="e">
        <f>SUM(AC67:AF67)</f>
        <v>#N/A</v>
      </c>
      <c r="AH67" s="6">
        <f>IF(ISNA(MATCH(AH$2,Inputs!$K$4:$AJ$4,0)),NA(),IF(SUMPRODUCT((Inputs!$A$5:$A$230=$B67)*ISNUMBER(INDEX(Inputs!$K$5:$AJ$230,0,MATCH(AH$2,Inputs!$K$4:$AJ$4,0))))+SUMPRODUCT((Inputs!$C$5:$C$230=$B67)*ISNUMBER(INDEX(Inputs!$K$5:$AJ$230,0,MATCH(AH$2,Inputs!$K$4:$AJ$4,0))))+SUMPRODUCT((Inputs!$E$5:$E$230=$B67)*ISNUMBER(INDEX(Inputs!$K$5:$AJ$230,0,MATCH(AH$2,Inputs!$K$4:$AJ$4,0))))=0,NA(),SUMPRODUCT((Inputs!$A$5:$A$230=$B67)*Inputs!$B$5:$B$230*(((Inputs!$G$5:$G$230="moeda")+(Inputs!$G$5:$G$230="acoes"))*Inputs!$B$1+((Inputs!$G$5:$G$230&lt;&gt;"moeda")*(Inputs!$G$5:$G$230&lt;&gt;"acoes")))*INDEX(Inputs!$K$5:$AJ$230,0,MATCH(AH$2,Inputs!$K$4:$AJ$4,0)))+SUMPRODUCT((Inputs!$C$5:$C$230=$B67)*Inputs!$D$5:$D$230*(((Inputs!$G$5:$G$230="moeda")+(Inputs!$G$5:$G$230="acoes"))*Inputs!$B$1+((Inputs!$G$5:$G$230&lt;&gt;"moeda")*(Inputs!$G$5:$G$230&lt;&gt;"acoes")))*INDEX(Inputs!$K$5:$AJ$230,0,MATCH(AH$2,Inputs!$K$4:$AJ$4,0)))+SUMPRODUCT((Inputs!$E$5:$E$230=$B67)*Inputs!$F$5:$F$230*(((Inputs!$G$5:$G$230="moeda")+(Inputs!$G$5:$G$230="acoes"))*Inputs!$B$1+((Inputs!$G$5:$G$230&lt;&gt;"moeda")*(Inputs!$G$5:$G$230&lt;&gt;"acoes")))*INDEX(Inputs!$K$5:$AJ$230,0,MATCH(AH$2,Inputs!$K$4:$AJ$4,0)))))</f>
        <v>7.239</v>
      </c>
      <c r="AI67" s="6">
        <f>IF(ISNA(MATCH(AI$2,Inputs!$K$4:$AJ$4,0)),NA(),IF(SUMPRODUCT((Inputs!$A$5:$A$230=$B67)*ISNUMBER(INDEX(Inputs!$K$5:$AJ$230,0,MATCH(AI$2,Inputs!$K$4:$AJ$4,0))))+SUMPRODUCT((Inputs!$C$5:$C$230=$B67)*ISNUMBER(INDEX(Inputs!$K$5:$AJ$230,0,MATCH(AI$2,Inputs!$K$4:$AJ$4,0))))+SUMPRODUCT((Inputs!$E$5:$E$230=$B67)*ISNUMBER(INDEX(Inputs!$K$5:$AJ$230,0,MATCH(AI$2,Inputs!$K$4:$AJ$4,0))))=0,NA(),SUMPRODUCT((Inputs!$A$5:$A$230=$B67)*Inputs!$B$5:$B$230*(((Inputs!$G$5:$G$230="moeda")+(Inputs!$G$5:$G$230="acoes"))*Inputs!$B$1+((Inputs!$G$5:$G$230&lt;&gt;"moeda")*(Inputs!$G$5:$G$230&lt;&gt;"acoes")))*INDEX(Inputs!$K$5:$AJ$230,0,MATCH(AI$2,Inputs!$K$4:$AJ$4,0)))+SUMPRODUCT((Inputs!$C$5:$C$230=$B67)*Inputs!$D$5:$D$230*(((Inputs!$G$5:$G$230="moeda")+(Inputs!$G$5:$G$230="acoes"))*Inputs!$B$1+((Inputs!$G$5:$G$230&lt;&gt;"moeda")*(Inputs!$G$5:$G$230&lt;&gt;"acoes")))*INDEX(Inputs!$K$5:$AJ$230,0,MATCH(AI$2,Inputs!$K$4:$AJ$4,0)))+SUMPRODUCT((Inputs!$E$5:$E$230=$B67)*Inputs!$F$5:$F$230*(((Inputs!$G$5:$G$230="moeda")+(Inputs!$G$5:$G$230="acoes"))*Inputs!$B$1+((Inputs!$G$5:$G$230&lt;&gt;"moeda")*(Inputs!$G$5:$G$230&lt;&gt;"acoes")))*INDEX(Inputs!$K$5:$AJ$230,0,MATCH(AI$2,Inputs!$K$4:$AJ$4,0)))))</f>
        <v>4.947</v>
      </c>
      <c r="AJ67" s="6">
        <f>IF(ISNA(MATCH(AJ$2,Inputs!$K$4:$AJ$4,0)),NA(),IF(SUMPRODUCT((Inputs!$A$5:$A$230=$B67)*ISNUMBER(INDEX(Inputs!$K$5:$AJ$230,0,MATCH(AJ$2,Inputs!$K$4:$AJ$4,0))))+SUMPRODUCT((Inputs!$C$5:$C$230=$B67)*ISNUMBER(INDEX(Inputs!$K$5:$AJ$230,0,MATCH(AJ$2,Inputs!$K$4:$AJ$4,0))))+SUMPRODUCT((Inputs!$E$5:$E$230=$B67)*ISNUMBER(INDEX(Inputs!$K$5:$AJ$230,0,MATCH(AJ$2,Inputs!$K$4:$AJ$4,0))))=0,NA(),SUMPRODUCT((Inputs!$A$5:$A$230=$B67)*Inputs!$B$5:$B$230*(((Inputs!$G$5:$G$230="moeda")+(Inputs!$G$5:$G$230="acoes"))*Inputs!$B$1+((Inputs!$G$5:$G$230&lt;&gt;"moeda")*(Inputs!$G$5:$G$230&lt;&gt;"acoes")))*INDEX(Inputs!$K$5:$AJ$230,0,MATCH(AJ$2,Inputs!$K$4:$AJ$4,0)))+SUMPRODUCT((Inputs!$C$5:$C$230=$B67)*Inputs!$D$5:$D$230*(((Inputs!$G$5:$G$230="moeda")+(Inputs!$G$5:$G$230="acoes"))*Inputs!$B$1+((Inputs!$G$5:$G$230&lt;&gt;"moeda")*(Inputs!$G$5:$G$230&lt;&gt;"acoes")))*INDEX(Inputs!$K$5:$AJ$230,0,MATCH(AJ$2,Inputs!$K$4:$AJ$4,0)))+SUMPRODUCT((Inputs!$E$5:$E$230=$B67)*Inputs!$F$5:$F$230*(((Inputs!$G$5:$G$230="moeda")+(Inputs!$G$5:$G$230="acoes"))*Inputs!$B$1+((Inputs!$G$5:$G$230&lt;&gt;"moeda")*(Inputs!$G$5:$G$230&lt;&gt;"acoes")))*INDEX(Inputs!$K$5:$AJ$230,0,MATCH(AJ$2,Inputs!$K$4:$AJ$4,0)))))</f>
        <v>16.098</v>
      </c>
      <c r="AK67" s="6">
        <f>IF(ISNA(MATCH(AK$2,Inputs!$K$4:$AJ$4,0)),NA(),IF(SUMPRODUCT((Inputs!$A$5:$A$230=$B67)*ISNUMBER(INDEX(Inputs!$K$5:$AJ$230,0,MATCH(AK$2,Inputs!$K$4:$AJ$4,0))))+SUMPRODUCT((Inputs!$C$5:$C$230=$B67)*ISNUMBER(INDEX(Inputs!$K$5:$AJ$230,0,MATCH(AK$2,Inputs!$K$4:$AJ$4,0))))+SUMPRODUCT((Inputs!$E$5:$E$230=$B67)*ISNUMBER(INDEX(Inputs!$K$5:$AJ$230,0,MATCH(AK$2,Inputs!$K$4:$AJ$4,0))))=0,NA(),SUMPRODUCT((Inputs!$A$5:$A$230=$B67)*Inputs!$B$5:$B$230*(((Inputs!$G$5:$G$230="moeda")+(Inputs!$G$5:$G$230="acoes"))*Inputs!$B$1+((Inputs!$G$5:$G$230&lt;&gt;"moeda")*(Inputs!$G$5:$G$230&lt;&gt;"acoes")))*INDEX(Inputs!$K$5:$AJ$230,0,MATCH(AK$2,Inputs!$K$4:$AJ$4,0)))+SUMPRODUCT((Inputs!$C$5:$C$230=$B67)*Inputs!$D$5:$D$230*(((Inputs!$G$5:$G$230="moeda")+(Inputs!$G$5:$G$230="acoes"))*Inputs!$B$1+((Inputs!$G$5:$G$230&lt;&gt;"moeda")*(Inputs!$G$5:$G$230&lt;&gt;"acoes")))*INDEX(Inputs!$K$5:$AJ$230,0,MATCH(AK$2,Inputs!$K$4:$AJ$4,0)))+SUMPRODUCT((Inputs!$E$5:$E$230=$B67)*Inputs!$F$5:$F$230*(((Inputs!$G$5:$G$230="moeda")+(Inputs!$G$5:$G$230="acoes"))*Inputs!$B$1+((Inputs!$G$5:$G$230&lt;&gt;"moeda")*(Inputs!$G$5:$G$230&lt;&gt;"acoes")))*INDEX(Inputs!$K$5:$AJ$230,0,MATCH(AK$2,Inputs!$K$4:$AJ$4,0)))))</f>
        <v>14.554</v>
      </c>
      <c r="AL67" s="3">
        <f>SUM(AH67:AK67)</f>
        <v>42.838</v>
      </c>
    </row>
    <row r="68">
      <c r="B68" s="46" t="n">
        <v>60</v>
      </c>
      <c r="C68" s="29" t="inlineStr">
        <is>
          <t>Transmissao | TME</t>
        </is>
      </c>
      <c r="D68" s="6">
        <f>IF(ISNA(MATCH(D$2,Inputs!$K$4:$AJ$4,0)),NA(),IF(SUMPRODUCT((Inputs!$A$5:$A$230=$B68)*ISNUMBER(INDEX(Inputs!$K$5:$AJ$230,0,MATCH(D$2,Inputs!$K$4:$AJ$4,0))))+SUMPRODUCT((Inputs!$C$5:$C$230=$B68)*ISNUMBER(INDEX(Inputs!$K$5:$AJ$230,0,MATCH(D$2,Inputs!$K$4:$AJ$4,0))))+SUMPRODUCT((Inputs!$E$5:$E$230=$B68)*ISNUMBER(INDEX(Inputs!$K$5:$AJ$230,0,MATCH(D$2,Inputs!$K$4:$AJ$4,0))))=0,NA(),SUMPRODUCT((Inputs!$A$5:$A$230=$B68)*Inputs!$B$5:$B$230*(((Inputs!$G$5:$G$230="moeda")+(Inputs!$G$5:$G$230="acoes"))*Inputs!$B$1+((Inputs!$G$5:$G$230&lt;&gt;"moeda")*(Inputs!$G$5:$G$230&lt;&gt;"acoes")))*INDEX(Inputs!$K$5:$AJ$230,0,MATCH(D$2,Inputs!$K$4:$AJ$4,0)))+SUMPRODUCT((Inputs!$C$5:$C$230=$B68)*Inputs!$D$5:$D$230*(((Inputs!$G$5:$G$230="moeda")+(Inputs!$G$5:$G$230="acoes"))*Inputs!$B$1+((Inputs!$G$5:$G$230&lt;&gt;"moeda")*(Inputs!$G$5:$G$230&lt;&gt;"acoes")))*INDEX(Inputs!$K$5:$AJ$230,0,MATCH(D$2,Inputs!$K$4:$AJ$4,0)))+SUMPRODUCT((Inputs!$E$5:$E$230=$B68)*Inputs!$F$5:$F$230*(((Inputs!$G$5:$G$230="moeda")+(Inputs!$G$5:$G$230="acoes"))*Inputs!$B$1+((Inputs!$G$5:$G$230&lt;&gt;"moeda")*(Inputs!$G$5:$G$230&lt;&gt;"acoes")))*INDEX(Inputs!$K$5:$AJ$230,0,MATCH(D$2,Inputs!$K$4:$AJ$4,0)))))</f>
        <v>21.826</v>
      </c>
      <c r="E68" s="6">
        <f>IF(ISNA(MATCH(E$2,Inputs!$K$4:$AJ$4,0)),NA(),IF(SUMPRODUCT((Inputs!$A$5:$A$230=$B68)*ISNUMBER(INDEX(Inputs!$K$5:$AJ$230,0,MATCH(E$2,Inputs!$K$4:$AJ$4,0))))+SUMPRODUCT((Inputs!$C$5:$C$230=$B68)*ISNUMBER(INDEX(Inputs!$K$5:$AJ$230,0,MATCH(E$2,Inputs!$K$4:$AJ$4,0))))+SUMPRODUCT((Inputs!$E$5:$E$230=$B68)*ISNUMBER(INDEX(Inputs!$K$5:$AJ$230,0,MATCH(E$2,Inputs!$K$4:$AJ$4,0))))=0,NA(),SUMPRODUCT((Inputs!$A$5:$A$230=$B68)*Inputs!$B$5:$B$230*(((Inputs!$G$5:$G$230="moeda")+(Inputs!$G$5:$G$230="acoes"))*Inputs!$B$1+((Inputs!$G$5:$G$230&lt;&gt;"moeda")*(Inputs!$G$5:$G$230&lt;&gt;"acoes")))*INDEX(Inputs!$K$5:$AJ$230,0,MATCH(E$2,Inputs!$K$4:$AJ$4,0)))+SUMPRODUCT((Inputs!$C$5:$C$230=$B68)*Inputs!$D$5:$D$230*(((Inputs!$G$5:$G$230="moeda")+(Inputs!$G$5:$G$230="acoes"))*Inputs!$B$1+((Inputs!$G$5:$G$230&lt;&gt;"moeda")*(Inputs!$G$5:$G$230&lt;&gt;"acoes")))*INDEX(Inputs!$K$5:$AJ$230,0,MATCH(E$2,Inputs!$K$4:$AJ$4,0)))+SUMPRODUCT((Inputs!$E$5:$E$230=$B68)*Inputs!$F$5:$F$230*(((Inputs!$G$5:$G$230="moeda")+(Inputs!$G$5:$G$230="acoes"))*Inputs!$B$1+((Inputs!$G$5:$G$230&lt;&gt;"moeda")*(Inputs!$G$5:$G$230&lt;&gt;"acoes")))*INDEX(Inputs!$K$5:$AJ$230,0,MATCH(E$2,Inputs!$K$4:$AJ$4,0)))))</f>
        <v>21.496</v>
      </c>
      <c r="F68" s="6">
        <f>IF(ISNA(MATCH(F$2,Inputs!$K$4:$AJ$4,0)),NA(),IF(SUMPRODUCT((Inputs!$A$5:$A$230=$B68)*ISNUMBER(INDEX(Inputs!$K$5:$AJ$230,0,MATCH(F$2,Inputs!$K$4:$AJ$4,0))))+SUMPRODUCT((Inputs!$C$5:$C$230=$B68)*ISNUMBER(INDEX(Inputs!$K$5:$AJ$230,0,MATCH(F$2,Inputs!$K$4:$AJ$4,0))))+SUMPRODUCT((Inputs!$E$5:$E$230=$B68)*ISNUMBER(INDEX(Inputs!$K$5:$AJ$230,0,MATCH(F$2,Inputs!$K$4:$AJ$4,0))))=0,NA(),SUMPRODUCT((Inputs!$A$5:$A$230=$B68)*Inputs!$B$5:$B$230*(((Inputs!$G$5:$G$230="moeda")+(Inputs!$G$5:$G$230="acoes"))*Inputs!$B$1+((Inputs!$G$5:$G$230&lt;&gt;"moeda")*(Inputs!$G$5:$G$230&lt;&gt;"acoes")))*INDEX(Inputs!$K$5:$AJ$230,0,MATCH(F$2,Inputs!$K$4:$AJ$4,0)))+SUMPRODUCT((Inputs!$C$5:$C$230=$B68)*Inputs!$D$5:$D$230*(((Inputs!$G$5:$G$230="moeda")+(Inputs!$G$5:$G$230="acoes"))*Inputs!$B$1+((Inputs!$G$5:$G$230&lt;&gt;"moeda")*(Inputs!$G$5:$G$230&lt;&gt;"acoes")))*INDEX(Inputs!$K$5:$AJ$230,0,MATCH(F$2,Inputs!$K$4:$AJ$4,0)))+SUMPRODUCT((Inputs!$E$5:$E$230=$B68)*Inputs!$F$5:$F$230*(((Inputs!$G$5:$G$230="moeda")+(Inputs!$G$5:$G$230="acoes"))*Inputs!$B$1+((Inputs!$G$5:$G$230&lt;&gt;"moeda")*(Inputs!$G$5:$G$230&lt;&gt;"acoes")))*INDEX(Inputs!$K$5:$AJ$230,0,MATCH(F$2,Inputs!$K$4:$AJ$4,0)))))</f>
        <v>15.078</v>
      </c>
      <c r="G68" s="6">
        <f>IF(ISNA(MATCH(G$2,Inputs!$K$4:$AJ$4,0)),NA(),IF(SUMPRODUCT((Inputs!$A$5:$A$230=$B68)*ISNUMBER(INDEX(Inputs!$K$5:$AJ$230,0,MATCH(G$2,Inputs!$K$4:$AJ$4,0))))+SUMPRODUCT((Inputs!$C$5:$C$230=$B68)*ISNUMBER(INDEX(Inputs!$K$5:$AJ$230,0,MATCH(G$2,Inputs!$K$4:$AJ$4,0))))+SUMPRODUCT((Inputs!$E$5:$E$230=$B68)*ISNUMBER(INDEX(Inputs!$K$5:$AJ$230,0,MATCH(G$2,Inputs!$K$4:$AJ$4,0))))=0,NA(),SUMPRODUCT((Inputs!$A$5:$A$230=$B68)*Inputs!$B$5:$B$230*(((Inputs!$G$5:$G$230="moeda")+(Inputs!$G$5:$G$230="acoes"))*Inputs!$B$1+((Inputs!$G$5:$G$230&lt;&gt;"moeda")*(Inputs!$G$5:$G$230&lt;&gt;"acoes")))*INDEX(Inputs!$K$5:$AJ$230,0,MATCH(G$2,Inputs!$K$4:$AJ$4,0)))+SUMPRODUCT((Inputs!$C$5:$C$230=$B68)*Inputs!$D$5:$D$230*(((Inputs!$G$5:$G$230="moeda")+(Inputs!$G$5:$G$230="acoes"))*Inputs!$B$1+((Inputs!$G$5:$G$230&lt;&gt;"moeda")*(Inputs!$G$5:$G$230&lt;&gt;"acoes")))*INDEX(Inputs!$K$5:$AJ$230,0,MATCH(G$2,Inputs!$K$4:$AJ$4,0)))+SUMPRODUCT((Inputs!$E$5:$E$230=$B68)*Inputs!$F$5:$F$230*(((Inputs!$G$5:$G$230="moeda")+(Inputs!$G$5:$G$230="acoes"))*Inputs!$B$1+((Inputs!$G$5:$G$230&lt;&gt;"moeda")*(Inputs!$G$5:$G$230&lt;&gt;"acoes")))*INDEX(Inputs!$K$5:$AJ$230,0,MATCH(G$2,Inputs!$K$4:$AJ$4,0)))))</f>
        <v>26.395</v>
      </c>
      <c r="H68" s="3">
        <f>SUM(D68:G68)</f>
        <v>84.795</v>
      </c>
      <c r="I68" s="6">
        <f>IF(ISNA(MATCH(I$2,Inputs!$K$4:$AJ$4,0)),NA(),IF(SUMPRODUCT((Inputs!$A$5:$A$230=$B68)*ISNUMBER(INDEX(Inputs!$K$5:$AJ$230,0,MATCH(I$2,Inputs!$K$4:$AJ$4,0))))+SUMPRODUCT((Inputs!$C$5:$C$230=$B68)*ISNUMBER(INDEX(Inputs!$K$5:$AJ$230,0,MATCH(I$2,Inputs!$K$4:$AJ$4,0))))+SUMPRODUCT((Inputs!$E$5:$E$230=$B68)*ISNUMBER(INDEX(Inputs!$K$5:$AJ$230,0,MATCH(I$2,Inputs!$K$4:$AJ$4,0))))=0,NA(),SUMPRODUCT((Inputs!$A$5:$A$230=$B68)*Inputs!$B$5:$B$230*(((Inputs!$G$5:$G$230="moeda")+(Inputs!$G$5:$G$230="acoes"))*Inputs!$B$1+((Inputs!$G$5:$G$230&lt;&gt;"moeda")*(Inputs!$G$5:$G$230&lt;&gt;"acoes")))*INDEX(Inputs!$K$5:$AJ$230,0,MATCH(I$2,Inputs!$K$4:$AJ$4,0)))+SUMPRODUCT((Inputs!$C$5:$C$230=$B68)*Inputs!$D$5:$D$230*(((Inputs!$G$5:$G$230="moeda")+(Inputs!$G$5:$G$230="acoes"))*Inputs!$B$1+((Inputs!$G$5:$G$230&lt;&gt;"moeda")*(Inputs!$G$5:$G$230&lt;&gt;"acoes")))*INDEX(Inputs!$K$5:$AJ$230,0,MATCH(I$2,Inputs!$K$4:$AJ$4,0)))+SUMPRODUCT((Inputs!$E$5:$E$230=$B68)*Inputs!$F$5:$F$230*(((Inputs!$G$5:$G$230="moeda")+(Inputs!$G$5:$G$230="acoes"))*Inputs!$B$1+((Inputs!$G$5:$G$230&lt;&gt;"moeda")*(Inputs!$G$5:$G$230&lt;&gt;"acoes")))*INDEX(Inputs!$K$5:$AJ$230,0,MATCH(I$2,Inputs!$K$4:$AJ$4,0)))))</f>
        <v>22.25</v>
      </c>
      <c r="J68" s="6">
        <f>IF(ISNA(MATCH(J$2,Inputs!$K$4:$AJ$4,0)),NA(),IF(SUMPRODUCT((Inputs!$A$5:$A$230=$B68)*ISNUMBER(INDEX(Inputs!$K$5:$AJ$230,0,MATCH(J$2,Inputs!$K$4:$AJ$4,0))))+SUMPRODUCT((Inputs!$C$5:$C$230=$B68)*ISNUMBER(INDEX(Inputs!$K$5:$AJ$230,0,MATCH(J$2,Inputs!$K$4:$AJ$4,0))))+SUMPRODUCT((Inputs!$E$5:$E$230=$B68)*ISNUMBER(INDEX(Inputs!$K$5:$AJ$230,0,MATCH(J$2,Inputs!$K$4:$AJ$4,0))))=0,NA(),SUMPRODUCT((Inputs!$A$5:$A$230=$B68)*Inputs!$B$5:$B$230*(((Inputs!$G$5:$G$230="moeda")+(Inputs!$G$5:$G$230="acoes"))*Inputs!$B$1+((Inputs!$G$5:$G$230&lt;&gt;"moeda")*(Inputs!$G$5:$G$230&lt;&gt;"acoes")))*INDEX(Inputs!$K$5:$AJ$230,0,MATCH(J$2,Inputs!$K$4:$AJ$4,0)))+SUMPRODUCT((Inputs!$C$5:$C$230=$B68)*Inputs!$D$5:$D$230*(((Inputs!$G$5:$G$230="moeda")+(Inputs!$G$5:$G$230="acoes"))*Inputs!$B$1+((Inputs!$G$5:$G$230&lt;&gt;"moeda")*(Inputs!$G$5:$G$230&lt;&gt;"acoes")))*INDEX(Inputs!$K$5:$AJ$230,0,MATCH(J$2,Inputs!$K$4:$AJ$4,0)))+SUMPRODUCT((Inputs!$E$5:$E$230=$B68)*Inputs!$F$5:$F$230*(((Inputs!$G$5:$G$230="moeda")+(Inputs!$G$5:$G$230="acoes"))*Inputs!$B$1+((Inputs!$G$5:$G$230&lt;&gt;"moeda")*(Inputs!$G$5:$G$230&lt;&gt;"acoes")))*INDEX(Inputs!$K$5:$AJ$230,0,MATCH(J$2,Inputs!$K$4:$AJ$4,0)))))</f>
        <v>27.242</v>
      </c>
      <c r="K68" s="6">
        <f>IF(ISNA(MATCH(K$2,Inputs!$K$4:$AJ$4,0)),NA(),IF(SUMPRODUCT((Inputs!$A$5:$A$230=$B68)*ISNUMBER(INDEX(Inputs!$K$5:$AJ$230,0,MATCH(K$2,Inputs!$K$4:$AJ$4,0))))+SUMPRODUCT((Inputs!$C$5:$C$230=$B68)*ISNUMBER(INDEX(Inputs!$K$5:$AJ$230,0,MATCH(K$2,Inputs!$K$4:$AJ$4,0))))+SUMPRODUCT((Inputs!$E$5:$E$230=$B68)*ISNUMBER(INDEX(Inputs!$K$5:$AJ$230,0,MATCH(K$2,Inputs!$K$4:$AJ$4,0))))=0,NA(),SUMPRODUCT((Inputs!$A$5:$A$230=$B68)*Inputs!$B$5:$B$230*(((Inputs!$G$5:$G$230="moeda")+(Inputs!$G$5:$G$230="acoes"))*Inputs!$B$1+((Inputs!$G$5:$G$230&lt;&gt;"moeda")*(Inputs!$G$5:$G$230&lt;&gt;"acoes")))*INDEX(Inputs!$K$5:$AJ$230,0,MATCH(K$2,Inputs!$K$4:$AJ$4,0)))+SUMPRODUCT((Inputs!$C$5:$C$230=$B68)*Inputs!$D$5:$D$230*(((Inputs!$G$5:$G$230="moeda")+(Inputs!$G$5:$G$230="acoes"))*Inputs!$B$1+((Inputs!$G$5:$G$230&lt;&gt;"moeda")*(Inputs!$G$5:$G$230&lt;&gt;"acoes")))*INDEX(Inputs!$K$5:$AJ$230,0,MATCH(K$2,Inputs!$K$4:$AJ$4,0)))+SUMPRODUCT((Inputs!$E$5:$E$230=$B68)*Inputs!$F$5:$F$230*(((Inputs!$G$5:$G$230="moeda")+(Inputs!$G$5:$G$230="acoes"))*Inputs!$B$1+((Inputs!$G$5:$G$230&lt;&gt;"moeda")*(Inputs!$G$5:$G$230&lt;&gt;"acoes")))*INDEX(Inputs!$K$5:$AJ$230,0,MATCH(K$2,Inputs!$K$4:$AJ$4,0)))))</f>
        <v>10.115</v>
      </c>
      <c r="L68" s="6">
        <f>IF(ISNA(MATCH(L$2,Inputs!$K$4:$AJ$4,0)),NA(),IF(SUMPRODUCT((Inputs!$A$5:$A$230=$B68)*ISNUMBER(INDEX(Inputs!$K$5:$AJ$230,0,MATCH(L$2,Inputs!$K$4:$AJ$4,0))))+SUMPRODUCT((Inputs!$C$5:$C$230=$B68)*ISNUMBER(INDEX(Inputs!$K$5:$AJ$230,0,MATCH(L$2,Inputs!$K$4:$AJ$4,0))))+SUMPRODUCT((Inputs!$E$5:$E$230=$B68)*ISNUMBER(INDEX(Inputs!$K$5:$AJ$230,0,MATCH(L$2,Inputs!$K$4:$AJ$4,0))))=0,NA(),SUMPRODUCT((Inputs!$A$5:$A$230=$B68)*Inputs!$B$5:$B$230*(((Inputs!$G$5:$G$230="moeda")+(Inputs!$G$5:$G$230="acoes"))*Inputs!$B$1+((Inputs!$G$5:$G$230&lt;&gt;"moeda")*(Inputs!$G$5:$G$230&lt;&gt;"acoes")))*INDEX(Inputs!$K$5:$AJ$230,0,MATCH(L$2,Inputs!$K$4:$AJ$4,0)))+SUMPRODUCT((Inputs!$C$5:$C$230=$B68)*Inputs!$D$5:$D$230*(((Inputs!$G$5:$G$230="moeda")+(Inputs!$G$5:$G$230="acoes"))*Inputs!$B$1+((Inputs!$G$5:$G$230&lt;&gt;"moeda")*(Inputs!$G$5:$G$230&lt;&gt;"acoes")))*INDEX(Inputs!$K$5:$AJ$230,0,MATCH(L$2,Inputs!$K$4:$AJ$4,0)))+SUMPRODUCT((Inputs!$E$5:$E$230=$B68)*Inputs!$F$5:$F$230*(((Inputs!$G$5:$G$230="moeda")+(Inputs!$G$5:$G$230="acoes"))*Inputs!$B$1+((Inputs!$G$5:$G$230&lt;&gt;"moeda")*(Inputs!$G$5:$G$230&lt;&gt;"acoes")))*INDEX(Inputs!$K$5:$AJ$230,0,MATCH(L$2,Inputs!$K$4:$AJ$4,0)))))</f>
        <v>15.251</v>
      </c>
      <c r="M68" s="3">
        <f>SUM(I68:L68)</f>
        <v>74.858</v>
      </c>
      <c r="N68" s="6">
        <f>IF(ISNA(MATCH(N$2,Inputs!$K$4:$AJ$4,0)),NA(),IF(SUMPRODUCT((Inputs!$A$5:$A$230=$B68)*ISNUMBER(INDEX(Inputs!$K$5:$AJ$230,0,MATCH(N$2,Inputs!$K$4:$AJ$4,0))))+SUMPRODUCT((Inputs!$C$5:$C$230=$B68)*ISNUMBER(INDEX(Inputs!$K$5:$AJ$230,0,MATCH(N$2,Inputs!$K$4:$AJ$4,0))))+SUMPRODUCT((Inputs!$E$5:$E$230=$B68)*ISNUMBER(INDEX(Inputs!$K$5:$AJ$230,0,MATCH(N$2,Inputs!$K$4:$AJ$4,0))))=0,NA(),SUMPRODUCT((Inputs!$A$5:$A$230=$B68)*Inputs!$B$5:$B$230*(((Inputs!$G$5:$G$230="moeda")+(Inputs!$G$5:$G$230="acoes"))*Inputs!$B$1+((Inputs!$G$5:$G$230&lt;&gt;"moeda")*(Inputs!$G$5:$G$230&lt;&gt;"acoes")))*INDEX(Inputs!$K$5:$AJ$230,0,MATCH(N$2,Inputs!$K$4:$AJ$4,0)))+SUMPRODUCT((Inputs!$C$5:$C$230=$B68)*Inputs!$D$5:$D$230*(((Inputs!$G$5:$G$230="moeda")+(Inputs!$G$5:$G$230="acoes"))*Inputs!$B$1+((Inputs!$G$5:$G$230&lt;&gt;"moeda")*(Inputs!$G$5:$G$230&lt;&gt;"acoes")))*INDEX(Inputs!$K$5:$AJ$230,0,MATCH(N$2,Inputs!$K$4:$AJ$4,0)))+SUMPRODUCT((Inputs!$E$5:$E$230=$B68)*Inputs!$F$5:$F$230*(((Inputs!$G$5:$G$230="moeda")+(Inputs!$G$5:$G$230="acoes"))*Inputs!$B$1+((Inputs!$G$5:$G$230&lt;&gt;"moeda")*(Inputs!$G$5:$G$230&lt;&gt;"acoes")))*INDEX(Inputs!$K$5:$AJ$230,0,MATCH(N$2,Inputs!$K$4:$AJ$4,0)))))</f>
        <v>21.712</v>
      </c>
      <c r="O68" s="6">
        <f>IF(ISNA(MATCH(O$2,Inputs!$K$4:$AJ$4,0)),NA(),IF(SUMPRODUCT((Inputs!$A$5:$A$230=$B68)*ISNUMBER(INDEX(Inputs!$K$5:$AJ$230,0,MATCH(O$2,Inputs!$K$4:$AJ$4,0))))+SUMPRODUCT((Inputs!$C$5:$C$230=$B68)*ISNUMBER(INDEX(Inputs!$K$5:$AJ$230,0,MATCH(O$2,Inputs!$K$4:$AJ$4,0))))+SUMPRODUCT((Inputs!$E$5:$E$230=$B68)*ISNUMBER(INDEX(Inputs!$K$5:$AJ$230,0,MATCH(O$2,Inputs!$K$4:$AJ$4,0))))=0,NA(),SUMPRODUCT((Inputs!$A$5:$A$230=$B68)*Inputs!$B$5:$B$230*(((Inputs!$G$5:$G$230="moeda")+(Inputs!$G$5:$G$230="acoes"))*Inputs!$B$1+((Inputs!$G$5:$G$230&lt;&gt;"moeda")*(Inputs!$G$5:$G$230&lt;&gt;"acoes")))*INDEX(Inputs!$K$5:$AJ$230,0,MATCH(O$2,Inputs!$K$4:$AJ$4,0)))+SUMPRODUCT((Inputs!$C$5:$C$230=$B68)*Inputs!$D$5:$D$230*(((Inputs!$G$5:$G$230="moeda")+(Inputs!$G$5:$G$230="acoes"))*Inputs!$B$1+((Inputs!$G$5:$G$230&lt;&gt;"moeda")*(Inputs!$G$5:$G$230&lt;&gt;"acoes")))*INDEX(Inputs!$K$5:$AJ$230,0,MATCH(O$2,Inputs!$K$4:$AJ$4,0)))+SUMPRODUCT((Inputs!$E$5:$E$230=$B68)*Inputs!$F$5:$F$230*(((Inputs!$G$5:$G$230="moeda")+(Inputs!$G$5:$G$230="acoes"))*Inputs!$B$1+((Inputs!$G$5:$G$230&lt;&gt;"moeda")*(Inputs!$G$5:$G$230&lt;&gt;"acoes")))*INDEX(Inputs!$K$5:$AJ$230,0,MATCH(O$2,Inputs!$K$4:$AJ$4,0)))))</f>
        <v>19.897</v>
      </c>
      <c r="P68" s="6">
        <f>IF(ISNA(MATCH(P$2,Inputs!$K$4:$AJ$4,0)),NA(),IF(SUMPRODUCT((Inputs!$A$5:$A$230=$B68)*ISNUMBER(INDEX(Inputs!$K$5:$AJ$230,0,MATCH(P$2,Inputs!$K$4:$AJ$4,0))))+SUMPRODUCT((Inputs!$C$5:$C$230=$B68)*ISNUMBER(INDEX(Inputs!$K$5:$AJ$230,0,MATCH(P$2,Inputs!$K$4:$AJ$4,0))))+SUMPRODUCT((Inputs!$E$5:$E$230=$B68)*ISNUMBER(INDEX(Inputs!$K$5:$AJ$230,0,MATCH(P$2,Inputs!$K$4:$AJ$4,0))))=0,NA(),SUMPRODUCT((Inputs!$A$5:$A$230=$B68)*Inputs!$B$5:$B$230*(((Inputs!$G$5:$G$230="moeda")+(Inputs!$G$5:$G$230="acoes"))*Inputs!$B$1+((Inputs!$G$5:$G$230&lt;&gt;"moeda")*(Inputs!$G$5:$G$230&lt;&gt;"acoes")))*INDEX(Inputs!$K$5:$AJ$230,0,MATCH(P$2,Inputs!$K$4:$AJ$4,0)))+SUMPRODUCT((Inputs!$C$5:$C$230=$B68)*Inputs!$D$5:$D$230*(((Inputs!$G$5:$G$230="moeda")+(Inputs!$G$5:$G$230="acoes"))*Inputs!$B$1+((Inputs!$G$5:$G$230&lt;&gt;"moeda")*(Inputs!$G$5:$G$230&lt;&gt;"acoes")))*INDEX(Inputs!$K$5:$AJ$230,0,MATCH(P$2,Inputs!$K$4:$AJ$4,0)))+SUMPRODUCT((Inputs!$E$5:$E$230=$B68)*Inputs!$F$5:$F$230*(((Inputs!$G$5:$G$230="moeda")+(Inputs!$G$5:$G$230="acoes"))*Inputs!$B$1+((Inputs!$G$5:$G$230&lt;&gt;"moeda")*(Inputs!$G$5:$G$230&lt;&gt;"acoes")))*INDEX(Inputs!$K$5:$AJ$230,0,MATCH(P$2,Inputs!$K$4:$AJ$4,0)))))</f>
        <v>13.567</v>
      </c>
      <c r="Q68" s="6">
        <f>IF(ISNA(MATCH(Q$2,Inputs!$K$4:$AJ$4,0)),NA(),IF(SUMPRODUCT((Inputs!$A$5:$A$230=$B68)*ISNUMBER(INDEX(Inputs!$K$5:$AJ$230,0,MATCH(Q$2,Inputs!$K$4:$AJ$4,0))))+SUMPRODUCT((Inputs!$C$5:$C$230=$B68)*ISNUMBER(INDEX(Inputs!$K$5:$AJ$230,0,MATCH(Q$2,Inputs!$K$4:$AJ$4,0))))+SUMPRODUCT((Inputs!$E$5:$E$230=$B68)*ISNUMBER(INDEX(Inputs!$K$5:$AJ$230,0,MATCH(Q$2,Inputs!$K$4:$AJ$4,0))))=0,NA(),SUMPRODUCT((Inputs!$A$5:$A$230=$B68)*Inputs!$B$5:$B$230*(((Inputs!$G$5:$G$230="moeda")+(Inputs!$G$5:$G$230="acoes"))*Inputs!$B$1+((Inputs!$G$5:$G$230&lt;&gt;"moeda")*(Inputs!$G$5:$G$230&lt;&gt;"acoes")))*INDEX(Inputs!$K$5:$AJ$230,0,MATCH(Q$2,Inputs!$K$4:$AJ$4,0)))+SUMPRODUCT((Inputs!$C$5:$C$230=$B68)*Inputs!$D$5:$D$230*(((Inputs!$G$5:$G$230="moeda")+(Inputs!$G$5:$G$230="acoes"))*Inputs!$B$1+((Inputs!$G$5:$G$230&lt;&gt;"moeda")*(Inputs!$G$5:$G$230&lt;&gt;"acoes")))*INDEX(Inputs!$K$5:$AJ$230,0,MATCH(Q$2,Inputs!$K$4:$AJ$4,0)))+SUMPRODUCT((Inputs!$E$5:$E$230=$B68)*Inputs!$F$5:$F$230*(((Inputs!$G$5:$G$230="moeda")+(Inputs!$G$5:$G$230="acoes"))*Inputs!$B$1+((Inputs!$G$5:$G$230&lt;&gt;"moeda")*(Inputs!$G$5:$G$230&lt;&gt;"acoes")))*INDEX(Inputs!$K$5:$AJ$230,0,MATCH(Q$2,Inputs!$K$4:$AJ$4,0)))))</f>
        <v>15.87</v>
      </c>
      <c r="R68" s="3">
        <f>SUM(N68:Q68)</f>
        <v>71.046</v>
      </c>
      <c r="S68" s="6">
        <f>IF(ISNA(MATCH(S$2,Inputs!$K$4:$AJ$4,0)),NA(),IF(SUMPRODUCT((Inputs!$A$5:$A$230=$B68)*ISNUMBER(INDEX(Inputs!$K$5:$AJ$230,0,MATCH(S$2,Inputs!$K$4:$AJ$4,0))))+SUMPRODUCT((Inputs!$C$5:$C$230=$B68)*ISNUMBER(INDEX(Inputs!$K$5:$AJ$230,0,MATCH(S$2,Inputs!$K$4:$AJ$4,0))))+SUMPRODUCT((Inputs!$E$5:$E$230=$B68)*ISNUMBER(INDEX(Inputs!$K$5:$AJ$230,0,MATCH(S$2,Inputs!$K$4:$AJ$4,0))))=0,NA(),SUMPRODUCT((Inputs!$A$5:$A$230=$B68)*Inputs!$B$5:$B$230*(((Inputs!$G$5:$G$230="moeda")+(Inputs!$G$5:$G$230="acoes"))*Inputs!$B$1+((Inputs!$G$5:$G$230&lt;&gt;"moeda")*(Inputs!$G$5:$G$230&lt;&gt;"acoes")))*INDEX(Inputs!$K$5:$AJ$230,0,MATCH(S$2,Inputs!$K$4:$AJ$4,0)))+SUMPRODUCT((Inputs!$C$5:$C$230=$B68)*Inputs!$D$5:$D$230*(((Inputs!$G$5:$G$230="moeda")+(Inputs!$G$5:$G$230="acoes"))*Inputs!$B$1+((Inputs!$G$5:$G$230&lt;&gt;"moeda")*(Inputs!$G$5:$G$230&lt;&gt;"acoes")))*INDEX(Inputs!$K$5:$AJ$230,0,MATCH(S$2,Inputs!$K$4:$AJ$4,0)))+SUMPRODUCT((Inputs!$E$5:$E$230=$B68)*Inputs!$F$5:$F$230*(((Inputs!$G$5:$G$230="moeda")+(Inputs!$G$5:$G$230="acoes"))*Inputs!$B$1+((Inputs!$G$5:$G$230&lt;&gt;"moeda")*(Inputs!$G$5:$G$230&lt;&gt;"acoes")))*INDEX(Inputs!$K$5:$AJ$230,0,MATCH(S$2,Inputs!$K$4:$AJ$4,0)))))</f>
        <v>21.147</v>
      </c>
      <c r="T68" s="6">
        <f>IF(ISNA(MATCH(T$2,Inputs!$K$4:$AJ$4,0)),NA(),IF(SUMPRODUCT((Inputs!$A$5:$A$230=$B68)*ISNUMBER(INDEX(Inputs!$K$5:$AJ$230,0,MATCH(T$2,Inputs!$K$4:$AJ$4,0))))+SUMPRODUCT((Inputs!$C$5:$C$230=$B68)*ISNUMBER(INDEX(Inputs!$K$5:$AJ$230,0,MATCH(T$2,Inputs!$K$4:$AJ$4,0))))+SUMPRODUCT((Inputs!$E$5:$E$230=$B68)*ISNUMBER(INDEX(Inputs!$K$5:$AJ$230,0,MATCH(T$2,Inputs!$K$4:$AJ$4,0))))=0,NA(),SUMPRODUCT((Inputs!$A$5:$A$230=$B68)*Inputs!$B$5:$B$230*(((Inputs!$G$5:$G$230="moeda")+(Inputs!$G$5:$G$230="acoes"))*Inputs!$B$1+((Inputs!$G$5:$G$230&lt;&gt;"moeda")*(Inputs!$G$5:$G$230&lt;&gt;"acoes")))*INDEX(Inputs!$K$5:$AJ$230,0,MATCH(T$2,Inputs!$K$4:$AJ$4,0)))+SUMPRODUCT((Inputs!$C$5:$C$230=$B68)*Inputs!$D$5:$D$230*(((Inputs!$G$5:$G$230="moeda")+(Inputs!$G$5:$G$230="acoes"))*Inputs!$B$1+((Inputs!$G$5:$G$230&lt;&gt;"moeda")*(Inputs!$G$5:$G$230&lt;&gt;"acoes")))*INDEX(Inputs!$K$5:$AJ$230,0,MATCH(T$2,Inputs!$K$4:$AJ$4,0)))+SUMPRODUCT((Inputs!$E$5:$E$230=$B68)*Inputs!$F$5:$F$230*(((Inputs!$G$5:$G$230="moeda")+(Inputs!$G$5:$G$230="acoes"))*Inputs!$B$1+((Inputs!$G$5:$G$230&lt;&gt;"moeda")*(Inputs!$G$5:$G$230&lt;&gt;"acoes")))*INDEX(Inputs!$K$5:$AJ$230,0,MATCH(T$2,Inputs!$K$4:$AJ$4,0)))))</f>
        <v>17.322</v>
      </c>
      <c r="U68" s="6">
        <f>IF(ISNA(MATCH(U$2,Inputs!$K$4:$AJ$4,0)),NA(),IF(SUMPRODUCT((Inputs!$A$5:$A$230=$B68)*ISNUMBER(INDEX(Inputs!$K$5:$AJ$230,0,MATCH(U$2,Inputs!$K$4:$AJ$4,0))))+SUMPRODUCT((Inputs!$C$5:$C$230=$B68)*ISNUMBER(INDEX(Inputs!$K$5:$AJ$230,0,MATCH(U$2,Inputs!$K$4:$AJ$4,0))))+SUMPRODUCT((Inputs!$E$5:$E$230=$B68)*ISNUMBER(INDEX(Inputs!$K$5:$AJ$230,0,MATCH(U$2,Inputs!$K$4:$AJ$4,0))))=0,NA(),SUMPRODUCT((Inputs!$A$5:$A$230=$B68)*Inputs!$B$5:$B$230*(((Inputs!$G$5:$G$230="moeda")+(Inputs!$G$5:$G$230="acoes"))*Inputs!$B$1+((Inputs!$G$5:$G$230&lt;&gt;"moeda")*(Inputs!$G$5:$G$230&lt;&gt;"acoes")))*INDEX(Inputs!$K$5:$AJ$230,0,MATCH(U$2,Inputs!$K$4:$AJ$4,0)))+SUMPRODUCT((Inputs!$C$5:$C$230=$B68)*Inputs!$D$5:$D$230*(((Inputs!$G$5:$G$230="moeda")+(Inputs!$G$5:$G$230="acoes"))*Inputs!$B$1+((Inputs!$G$5:$G$230&lt;&gt;"moeda")*(Inputs!$G$5:$G$230&lt;&gt;"acoes")))*INDEX(Inputs!$K$5:$AJ$230,0,MATCH(U$2,Inputs!$K$4:$AJ$4,0)))+SUMPRODUCT((Inputs!$E$5:$E$230=$B68)*Inputs!$F$5:$F$230*(((Inputs!$G$5:$G$230="moeda")+(Inputs!$G$5:$G$230="acoes"))*Inputs!$B$1+((Inputs!$G$5:$G$230&lt;&gt;"moeda")*(Inputs!$G$5:$G$230&lt;&gt;"acoes")))*INDEX(Inputs!$K$5:$AJ$230,0,MATCH(U$2,Inputs!$K$4:$AJ$4,0)))))</f>
        <v>15.02</v>
      </c>
      <c r="V68" s="6">
        <f>IF(ISNA(MATCH(V$2,Inputs!$K$4:$AJ$4,0)),NA(),IF(SUMPRODUCT((Inputs!$A$5:$A$230=$B68)*ISNUMBER(INDEX(Inputs!$K$5:$AJ$230,0,MATCH(V$2,Inputs!$K$4:$AJ$4,0))))+SUMPRODUCT((Inputs!$C$5:$C$230=$B68)*ISNUMBER(INDEX(Inputs!$K$5:$AJ$230,0,MATCH(V$2,Inputs!$K$4:$AJ$4,0))))+SUMPRODUCT((Inputs!$E$5:$E$230=$B68)*ISNUMBER(INDEX(Inputs!$K$5:$AJ$230,0,MATCH(V$2,Inputs!$K$4:$AJ$4,0))))=0,NA(),SUMPRODUCT((Inputs!$A$5:$A$230=$B68)*Inputs!$B$5:$B$230*(((Inputs!$G$5:$G$230="moeda")+(Inputs!$G$5:$G$230="acoes"))*Inputs!$B$1+((Inputs!$G$5:$G$230&lt;&gt;"moeda")*(Inputs!$G$5:$G$230&lt;&gt;"acoes")))*INDEX(Inputs!$K$5:$AJ$230,0,MATCH(V$2,Inputs!$K$4:$AJ$4,0)))+SUMPRODUCT((Inputs!$C$5:$C$230=$B68)*Inputs!$D$5:$D$230*(((Inputs!$G$5:$G$230="moeda")+(Inputs!$G$5:$G$230="acoes"))*Inputs!$B$1+((Inputs!$G$5:$G$230&lt;&gt;"moeda")*(Inputs!$G$5:$G$230&lt;&gt;"acoes")))*INDEX(Inputs!$K$5:$AJ$230,0,MATCH(V$2,Inputs!$K$4:$AJ$4,0)))+SUMPRODUCT((Inputs!$E$5:$E$230=$B68)*Inputs!$F$5:$F$230*(((Inputs!$G$5:$G$230="moeda")+(Inputs!$G$5:$G$230="acoes"))*Inputs!$B$1+((Inputs!$G$5:$G$230&lt;&gt;"moeda")*(Inputs!$G$5:$G$230&lt;&gt;"acoes")))*INDEX(Inputs!$K$5:$AJ$230,0,MATCH(V$2,Inputs!$K$4:$AJ$4,0)))))</f>
        <v>19.115</v>
      </c>
      <c r="W68" s="3">
        <f>SUM(S68:V68)</f>
        <v>72.604</v>
      </c>
      <c r="X68" s="6">
        <f>IF(ISNA(MATCH(X$2,Inputs!$K$4:$AJ$4,0)),NA(),IF(SUMPRODUCT((Inputs!$A$5:$A$230=$B68)*ISNUMBER(INDEX(Inputs!$K$5:$AJ$230,0,MATCH(X$2,Inputs!$K$4:$AJ$4,0))))+SUMPRODUCT((Inputs!$C$5:$C$230=$B68)*ISNUMBER(INDEX(Inputs!$K$5:$AJ$230,0,MATCH(X$2,Inputs!$K$4:$AJ$4,0))))+SUMPRODUCT((Inputs!$E$5:$E$230=$B68)*ISNUMBER(INDEX(Inputs!$K$5:$AJ$230,0,MATCH(X$2,Inputs!$K$4:$AJ$4,0))))=0,NA(),SUMPRODUCT((Inputs!$A$5:$A$230=$B68)*Inputs!$B$5:$B$230*(((Inputs!$G$5:$G$230="moeda")+(Inputs!$G$5:$G$230="acoes"))*Inputs!$B$1+((Inputs!$G$5:$G$230&lt;&gt;"moeda")*(Inputs!$G$5:$G$230&lt;&gt;"acoes")))*INDEX(Inputs!$K$5:$AJ$230,0,MATCH(X$2,Inputs!$K$4:$AJ$4,0)))+SUMPRODUCT((Inputs!$C$5:$C$230=$B68)*Inputs!$D$5:$D$230*(((Inputs!$G$5:$G$230="moeda")+(Inputs!$G$5:$G$230="acoes"))*Inputs!$B$1+((Inputs!$G$5:$G$230&lt;&gt;"moeda")*(Inputs!$G$5:$G$230&lt;&gt;"acoes")))*INDEX(Inputs!$K$5:$AJ$230,0,MATCH(X$2,Inputs!$K$4:$AJ$4,0)))+SUMPRODUCT((Inputs!$E$5:$E$230=$B68)*Inputs!$F$5:$F$230*(((Inputs!$G$5:$G$230="moeda")+(Inputs!$G$5:$G$230="acoes"))*Inputs!$B$1+((Inputs!$G$5:$G$230&lt;&gt;"moeda")*(Inputs!$G$5:$G$230&lt;&gt;"acoes")))*INDEX(Inputs!$K$5:$AJ$230,0,MATCH(X$2,Inputs!$K$4:$AJ$4,0)))))</f>
        <v>22.414</v>
      </c>
      <c r="Y68" s="6">
        <f>IF(ISNA(MATCH(Y$2,Inputs!$K$4:$AJ$4,0)),NA(),IF(SUMPRODUCT((Inputs!$A$5:$A$230=$B68)*ISNUMBER(INDEX(Inputs!$K$5:$AJ$230,0,MATCH(Y$2,Inputs!$K$4:$AJ$4,0))))+SUMPRODUCT((Inputs!$C$5:$C$230=$B68)*ISNUMBER(INDEX(Inputs!$K$5:$AJ$230,0,MATCH(Y$2,Inputs!$K$4:$AJ$4,0))))+SUMPRODUCT((Inputs!$E$5:$E$230=$B68)*ISNUMBER(INDEX(Inputs!$K$5:$AJ$230,0,MATCH(Y$2,Inputs!$K$4:$AJ$4,0))))=0,NA(),SUMPRODUCT((Inputs!$A$5:$A$230=$B68)*Inputs!$B$5:$B$230*(((Inputs!$G$5:$G$230="moeda")+(Inputs!$G$5:$G$230="acoes"))*Inputs!$B$1+((Inputs!$G$5:$G$230&lt;&gt;"moeda")*(Inputs!$G$5:$G$230&lt;&gt;"acoes")))*INDEX(Inputs!$K$5:$AJ$230,0,MATCH(Y$2,Inputs!$K$4:$AJ$4,0)))+SUMPRODUCT((Inputs!$C$5:$C$230=$B68)*Inputs!$D$5:$D$230*(((Inputs!$G$5:$G$230="moeda")+(Inputs!$G$5:$G$230="acoes"))*Inputs!$B$1+((Inputs!$G$5:$G$230&lt;&gt;"moeda")*(Inputs!$G$5:$G$230&lt;&gt;"acoes")))*INDEX(Inputs!$K$5:$AJ$230,0,MATCH(Y$2,Inputs!$K$4:$AJ$4,0)))+SUMPRODUCT((Inputs!$E$5:$E$230=$B68)*Inputs!$F$5:$F$230*(((Inputs!$G$5:$G$230="moeda")+(Inputs!$G$5:$G$230="acoes"))*Inputs!$B$1+((Inputs!$G$5:$G$230&lt;&gt;"moeda")*(Inputs!$G$5:$G$230&lt;&gt;"acoes")))*INDEX(Inputs!$K$5:$AJ$230,0,MATCH(Y$2,Inputs!$K$4:$AJ$4,0)))))</f>
        <v>18.934</v>
      </c>
      <c r="Z68" s="6">
        <f>IF(ISNA(MATCH(Z$2,Inputs!$K$4:$AJ$4,0)),NA(),IF(SUMPRODUCT((Inputs!$A$5:$A$230=$B68)*ISNUMBER(INDEX(Inputs!$K$5:$AJ$230,0,MATCH(Z$2,Inputs!$K$4:$AJ$4,0))))+SUMPRODUCT((Inputs!$C$5:$C$230=$B68)*ISNUMBER(INDEX(Inputs!$K$5:$AJ$230,0,MATCH(Z$2,Inputs!$K$4:$AJ$4,0))))+SUMPRODUCT((Inputs!$E$5:$E$230=$B68)*ISNUMBER(INDEX(Inputs!$K$5:$AJ$230,0,MATCH(Z$2,Inputs!$K$4:$AJ$4,0))))=0,NA(),SUMPRODUCT((Inputs!$A$5:$A$230=$B68)*Inputs!$B$5:$B$230*(((Inputs!$G$5:$G$230="moeda")+(Inputs!$G$5:$G$230="acoes"))*Inputs!$B$1+((Inputs!$G$5:$G$230&lt;&gt;"moeda")*(Inputs!$G$5:$G$230&lt;&gt;"acoes")))*INDEX(Inputs!$K$5:$AJ$230,0,MATCH(Z$2,Inputs!$K$4:$AJ$4,0)))+SUMPRODUCT((Inputs!$C$5:$C$230=$B68)*Inputs!$D$5:$D$230*(((Inputs!$G$5:$G$230="moeda")+(Inputs!$G$5:$G$230="acoes"))*Inputs!$B$1+((Inputs!$G$5:$G$230&lt;&gt;"moeda")*(Inputs!$G$5:$G$230&lt;&gt;"acoes")))*INDEX(Inputs!$K$5:$AJ$230,0,MATCH(Z$2,Inputs!$K$4:$AJ$4,0)))+SUMPRODUCT((Inputs!$E$5:$E$230=$B68)*Inputs!$F$5:$F$230*(((Inputs!$G$5:$G$230="moeda")+(Inputs!$G$5:$G$230="acoes"))*Inputs!$B$1+((Inputs!$G$5:$G$230&lt;&gt;"moeda")*(Inputs!$G$5:$G$230&lt;&gt;"acoes")))*INDEX(Inputs!$K$5:$AJ$230,0,MATCH(Z$2,Inputs!$K$4:$AJ$4,0)))))</f>
        <v>14.236</v>
      </c>
      <c r="AA68" s="6">
        <f>IF(ISNA(MATCH(AA$2,Inputs!$K$4:$AJ$4,0)),NA(),IF(SUMPRODUCT((Inputs!$A$5:$A$230=$B68)*ISNUMBER(INDEX(Inputs!$K$5:$AJ$230,0,MATCH(AA$2,Inputs!$K$4:$AJ$4,0))))+SUMPRODUCT((Inputs!$C$5:$C$230=$B68)*ISNUMBER(INDEX(Inputs!$K$5:$AJ$230,0,MATCH(AA$2,Inputs!$K$4:$AJ$4,0))))+SUMPRODUCT((Inputs!$E$5:$E$230=$B68)*ISNUMBER(INDEX(Inputs!$K$5:$AJ$230,0,MATCH(AA$2,Inputs!$K$4:$AJ$4,0))))=0,NA(),SUMPRODUCT((Inputs!$A$5:$A$230=$B68)*Inputs!$B$5:$B$230*(((Inputs!$G$5:$G$230="moeda")+(Inputs!$G$5:$G$230="acoes"))*Inputs!$B$1+((Inputs!$G$5:$G$230&lt;&gt;"moeda")*(Inputs!$G$5:$G$230&lt;&gt;"acoes")))*INDEX(Inputs!$K$5:$AJ$230,0,MATCH(AA$2,Inputs!$K$4:$AJ$4,0)))+SUMPRODUCT((Inputs!$C$5:$C$230=$B68)*Inputs!$D$5:$D$230*(((Inputs!$G$5:$G$230="moeda")+(Inputs!$G$5:$G$230="acoes"))*Inputs!$B$1+((Inputs!$G$5:$G$230&lt;&gt;"moeda")*(Inputs!$G$5:$G$230&lt;&gt;"acoes")))*INDEX(Inputs!$K$5:$AJ$230,0,MATCH(AA$2,Inputs!$K$4:$AJ$4,0)))+SUMPRODUCT((Inputs!$E$5:$E$230=$B68)*Inputs!$F$5:$F$230*(((Inputs!$G$5:$G$230="moeda")+(Inputs!$G$5:$G$230="acoes"))*Inputs!$B$1+((Inputs!$G$5:$G$230&lt;&gt;"moeda")*(Inputs!$G$5:$G$230&lt;&gt;"acoes")))*INDEX(Inputs!$K$5:$AJ$230,0,MATCH(AA$2,Inputs!$K$4:$AJ$4,0)))))</f>
        <v>15.908</v>
      </c>
      <c r="AB68" s="3">
        <f>SUM(X68:AA68)</f>
        <v>71.492</v>
      </c>
      <c r="AC68" s="6">
        <f>IF(ISNA(MATCH(AC$2,Inputs!$K$4:$AJ$4,0)),NA(),IF(SUMPRODUCT((Inputs!$A$5:$A$230=$B68)*ISNUMBER(INDEX(Inputs!$K$5:$AJ$230,0,MATCH(AC$2,Inputs!$K$4:$AJ$4,0))))+SUMPRODUCT((Inputs!$C$5:$C$230=$B68)*ISNUMBER(INDEX(Inputs!$K$5:$AJ$230,0,MATCH(AC$2,Inputs!$K$4:$AJ$4,0))))+SUMPRODUCT((Inputs!$E$5:$E$230=$B68)*ISNUMBER(INDEX(Inputs!$K$5:$AJ$230,0,MATCH(AC$2,Inputs!$K$4:$AJ$4,0))))=0,NA(),SUMPRODUCT((Inputs!$A$5:$A$230=$B68)*Inputs!$B$5:$B$230*(((Inputs!$G$5:$G$230="moeda")+(Inputs!$G$5:$G$230="acoes"))*Inputs!$B$1+((Inputs!$G$5:$G$230&lt;&gt;"moeda")*(Inputs!$G$5:$G$230&lt;&gt;"acoes")))*INDEX(Inputs!$K$5:$AJ$230,0,MATCH(AC$2,Inputs!$K$4:$AJ$4,0)))+SUMPRODUCT((Inputs!$C$5:$C$230=$B68)*Inputs!$D$5:$D$230*(((Inputs!$G$5:$G$230="moeda")+(Inputs!$G$5:$G$230="acoes"))*Inputs!$B$1+((Inputs!$G$5:$G$230&lt;&gt;"moeda")*(Inputs!$G$5:$G$230&lt;&gt;"acoes")))*INDEX(Inputs!$K$5:$AJ$230,0,MATCH(AC$2,Inputs!$K$4:$AJ$4,0)))+SUMPRODUCT((Inputs!$E$5:$E$230=$B68)*Inputs!$F$5:$F$230*(((Inputs!$G$5:$G$230="moeda")+(Inputs!$G$5:$G$230="acoes"))*Inputs!$B$1+((Inputs!$G$5:$G$230&lt;&gt;"moeda")*(Inputs!$G$5:$G$230&lt;&gt;"acoes")))*INDEX(Inputs!$K$5:$AJ$230,0,MATCH(AC$2,Inputs!$K$4:$AJ$4,0)))))</f>
        <v>19.029</v>
      </c>
      <c r="AD68" s="6">
        <f>IF(ISNA(MATCH(AD$2,Inputs!$K$4:$AJ$4,0)),NA(),IF(SUMPRODUCT((Inputs!$A$5:$A$230=$B68)*ISNUMBER(INDEX(Inputs!$K$5:$AJ$230,0,MATCH(AD$2,Inputs!$K$4:$AJ$4,0))))+SUMPRODUCT((Inputs!$C$5:$C$230=$B68)*ISNUMBER(INDEX(Inputs!$K$5:$AJ$230,0,MATCH(AD$2,Inputs!$K$4:$AJ$4,0))))+SUMPRODUCT((Inputs!$E$5:$E$230=$B68)*ISNUMBER(INDEX(Inputs!$K$5:$AJ$230,0,MATCH(AD$2,Inputs!$K$4:$AJ$4,0))))=0,NA(),SUMPRODUCT((Inputs!$A$5:$A$230=$B68)*Inputs!$B$5:$B$230*(((Inputs!$G$5:$G$230="moeda")+(Inputs!$G$5:$G$230="acoes"))*Inputs!$B$1+((Inputs!$G$5:$G$230&lt;&gt;"moeda")*(Inputs!$G$5:$G$230&lt;&gt;"acoes")))*INDEX(Inputs!$K$5:$AJ$230,0,MATCH(AD$2,Inputs!$K$4:$AJ$4,0)))+SUMPRODUCT((Inputs!$C$5:$C$230=$B68)*Inputs!$D$5:$D$230*(((Inputs!$G$5:$G$230="moeda")+(Inputs!$G$5:$G$230="acoes"))*Inputs!$B$1+((Inputs!$G$5:$G$230&lt;&gt;"moeda")*(Inputs!$G$5:$G$230&lt;&gt;"acoes")))*INDEX(Inputs!$K$5:$AJ$230,0,MATCH(AD$2,Inputs!$K$4:$AJ$4,0)))+SUMPRODUCT((Inputs!$E$5:$E$230=$B68)*Inputs!$F$5:$F$230*(((Inputs!$G$5:$G$230="moeda")+(Inputs!$G$5:$G$230="acoes"))*Inputs!$B$1+((Inputs!$G$5:$G$230&lt;&gt;"moeda")*(Inputs!$G$5:$G$230&lt;&gt;"acoes")))*INDEX(Inputs!$K$5:$AJ$230,0,MATCH(AD$2,Inputs!$K$4:$AJ$4,0)))))</f>
        <v>22.668</v>
      </c>
      <c r="AE68" s="6" t="e">
        <f>IF(ISNA(MATCH(AE$2,Inputs!$K$4:$AJ$4,0)),NA(),IF(SUMPRODUCT((Inputs!$A$5:$A$230=$B68)*ISNUMBER(INDEX(Inputs!$K$5:$AJ$230,0,MATCH(AE$2,Inputs!$K$4:$AJ$4,0))))+SUMPRODUCT((Inputs!$C$5:$C$230=$B68)*ISNUMBER(INDEX(Inputs!$K$5:$AJ$230,0,MATCH(AE$2,Inputs!$K$4:$AJ$4,0))))+SUMPRODUCT((Inputs!$E$5:$E$230=$B68)*ISNUMBER(INDEX(Inputs!$K$5:$AJ$230,0,MATCH(AE$2,Inputs!$K$4:$AJ$4,0))))=0,NA(),SUMPRODUCT((Inputs!$A$5:$A$230=$B68)*Inputs!$B$5:$B$230*(((Inputs!$G$5:$G$230="moeda")+(Inputs!$G$5:$G$230="acoes"))*Inputs!$B$1+((Inputs!$G$5:$G$230&lt;&gt;"moeda")*(Inputs!$G$5:$G$230&lt;&gt;"acoes")))*INDEX(Inputs!$K$5:$AJ$230,0,MATCH(AE$2,Inputs!$K$4:$AJ$4,0)))+SUMPRODUCT((Inputs!$C$5:$C$230=$B68)*Inputs!$D$5:$D$230*(((Inputs!$G$5:$G$230="moeda")+(Inputs!$G$5:$G$230="acoes"))*Inputs!$B$1+((Inputs!$G$5:$G$230&lt;&gt;"moeda")*(Inputs!$G$5:$G$230&lt;&gt;"acoes")))*INDEX(Inputs!$K$5:$AJ$230,0,MATCH(AE$2,Inputs!$K$4:$AJ$4,0)))+SUMPRODUCT((Inputs!$E$5:$E$230=$B68)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8" s="6" t="e">
        <f>IF(ISNA(MATCH(AF$2,Inputs!$K$4:$AJ$4,0)),NA(),IF(SUMPRODUCT((Inputs!$A$5:$A$230=$B68)*ISNUMBER(INDEX(Inputs!$K$5:$AJ$230,0,MATCH(AF$2,Inputs!$K$4:$AJ$4,0))))+SUMPRODUCT((Inputs!$C$5:$C$230=$B68)*ISNUMBER(INDEX(Inputs!$K$5:$AJ$230,0,MATCH(AF$2,Inputs!$K$4:$AJ$4,0))))+SUMPRODUCT((Inputs!$E$5:$E$230=$B68)*ISNUMBER(INDEX(Inputs!$K$5:$AJ$230,0,MATCH(AF$2,Inputs!$K$4:$AJ$4,0))))=0,NA(),SUMPRODUCT((Inputs!$A$5:$A$230=$B68)*Inputs!$B$5:$B$230*(((Inputs!$G$5:$G$230="moeda")+(Inputs!$G$5:$G$230="acoes"))*Inputs!$B$1+((Inputs!$G$5:$G$230&lt;&gt;"moeda")*(Inputs!$G$5:$G$230&lt;&gt;"acoes")))*INDEX(Inputs!$K$5:$AJ$230,0,MATCH(AF$2,Inputs!$K$4:$AJ$4,0)))+SUMPRODUCT((Inputs!$C$5:$C$230=$B68)*Inputs!$D$5:$D$230*(((Inputs!$G$5:$G$230="moeda")+(Inputs!$G$5:$G$230="acoes"))*Inputs!$B$1+((Inputs!$G$5:$G$230&lt;&gt;"moeda")*(Inputs!$G$5:$G$230&lt;&gt;"acoes")))*INDEX(Inputs!$K$5:$AJ$230,0,MATCH(AF$2,Inputs!$K$4:$AJ$4,0)))+SUMPRODUCT((Inputs!$E$5:$E$230=$B68)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8" s="3" t="e">
        <f>SUM(AC68:AF68)</f>
        <v>#N/A</v>
      </c>
      <c r="AH68" s="6">
        <f>IF(ISNA(MATCH(AH$2,Inputs!$K$4:$AJ$4,0)),NA(),IF(SUMPRODUCT((Inputs!$A$5:$A$230=$B68)*ISNUMBER(INDEX(Inputs!$K$5:$AJ$230,0,MATCH(AH$2,Inputs!$K$4:$AJ$4,0))))+SUMPRODUCT((Inputs!$C$5:$C$230=$B68)*ISNUMBER(INDEX(Inputs!$K$5:$AJ$230,0,MATCH(AH$2,Inputs!$K$4:$AJ$4,0))))+SUMPRODUCT((Inputs!$E$5:$E$230=$B68)*ISNUMBER(INDEX(Inputs!$K$5:$AJ$230,0,MATCH(AH$2,Inputs!$K$4:$AJ$4,0))))=0,NA(),SUMPRODUCT((Inputs!$A$5:$A$230=$B68)*Inputs!$B$5:$B$230*(((Inputs!$G$5:$G$230="moeda")+(Inputs!$G$5:$G$230="acoes"))*Inputs!$B$1+((Inputs!$G$5:$G$230&lt;&gt;"moeda")*(Inputs!$G$5:$G$230&lt;&gt;"acoes")))*INDEX(Inputs!$K$5:$AJ$230,0,MATCH(AH$2,Inputs!$K$4:$AJ$4,0)))+SUMPRODUCT((Inputs!$C$5:$C$230=$B68)*Inputs!$D$5:$D$230*(((Inputs!$G$5:$G$230="moeda")+(Inputs!$G$5:$G$230="acoes"))*Inputs!$B$1+((Inputs!$G$5:$G$230&lt;&gt;"moeda")*(Inputs!$G$5:$G$230&lt;&gt;"acoes")))*INDEX(Inputs!$K$5:$AJ$230,0,MATCH(AH$2,Inputs!$K$4:$AJ$4,0)))+SUMPRODUCT((Inputs!$E$5:$E$230=$B68)*Inputs!$F$5:$F$230*(((Inputs!$G$5:$G$230="moeda")+(Inputs!$G$5:$G$230="acoes"))*Inputs!$B$1+((Inputs!$G$5:$G$230&lt;&gt;"moeda")*(Inputs!$G$5:$G$230&lt;&gt;"acoes")))*INDEX(Inputs!$K$5:$AJ$230,0,MATCH(AH$2,Inputs!$K$4:$AJ$4,0)))))</f>
        <v>17.694</v>
      </c>
      <c r="AI68" s="6">
        <f>IF(ISNA(MATCH(AI$2,Inputs!$K$4:$AJ$4,0)),NA(),IF(SUMPRODUCT((Inputs!$A$5:$A$230=$B68)*ISNUMBER(INDEX(Inputs!$K$5:$AJ$230,0,MATCH(AI$2,Inputs!$K$4:$AJ$4,0))))+SUMPRODUCT((Inputs!$C$5:$C$230=$B68)*ISNUMBER(INDEX(Inputs!$K$5:$AJ$230,0,MATCH(AI$2,Inputs!$K$4:$AJ$4,0))))+SUMPRODUCT((Inputs!$E$5:$E$230=$B68)*ISNUMBER(INDEX(Inputs!$K$5:$AJ$230,0,MATCH(AI$2,Inputs!$K$4:$AJ$4,0))))=0,NA(),SUMPRODUCT((Inputs!$A$5:$A$230=$B68)*Inputs!$B$5:$B$230*(((Inputs!$G$5:$G$230="moeda")+(Inputs!$G$5:$G$230="acoes"))*Inputs!$B$1+((Inputs!$G$5:$G$230&lt;&gt;"moeda")*(Inputs!$G$5:$G$230&lt;&gt;"acoes")))*INDEX(Inputs!$K$5:$AJ$230,0,MATCH(AI$2,Inputs!$K$4:$AJ$4,0)))+SUMPRODUCT((Inputs!$C$5:$C$230=$B68)*Inputs!$D$5:$D$230*(((Inputs!$G$5:$G$230="moeda")+(Inputs!$G$5:$G$230="acoes"))*Inputs!$B$1+((Inputs!$G$5:$G$230&lt;&gt;"moeda")*(Inputs!$G$5:$G$230&lt;&gt;"acoes")))*INDEX(Inputs!$K$5:$AJ$230,0,MATCH(AI$2,Inputs!$K$4:$AJ$4,0)))+SUMPRODUCT((Inputs!$E$5:$E$230=$B68)*Inputs!$F$5:$F$230*(((Inputs!$G$5:$G$230="moeda")+(Inputs!$G$5:$G$230="acoes"))*Inputs!$B$1+((Inputs!$G$5:$G$230&lt;&gt;"moeda")*(Inputs!$G$5:$G$230&lt;&gt;"acoes")))*INDEX(Inputs!$K$5:$AJ$230,0,MATCH(AI$2,Inputs!$K$4:$AJ$4,0)))))</f>
        <v>6.26</v>
      </c>
      <c r="AJ68" s="6">
        <f>IF(ISNA(MATCH(AJ$2,Inputs!$K$4:$AJ$4,0)),NA(),IF(SUMPRODUCT((Inputs!$A$5:$A$230=$B68)*ISNUMBER(INDEX(Inputs!$K$5:$AJ$230,0,MATCH(AJ$2,Inputs!$K$4:$AJ$4,0))))+SUMPRODUCT((Inputs!$C$5:$C$230=$B68)*ISNUMBER(INDEX(Inputs!$K$5:$AJ$230,0,MATCH(AJ$2,Inputs!$K$4:$AJ$4,0))))+SUMPRODUCT((Inputs!$E$5:$E$230=$B68)*ISNUMBER(INDEX(Inputs!$K$5:$AJ$230,0,MATCH(AJ$2,Inputs!$K$4:$AJ$4,0))))=0,NA(),SUMPRODUCT((Inputs!$A$5:$A$230=$B68)*Inputs!$B$5:$B$230*(((Inputs!$G$5:$G$230="moeda")+(Inputs!$G$5:$G$230="acoes"))*Inputs!$B$1+((Inputs!$G$5:$G$230&lt;&gt;"moeda")*(Inputs!$G$5:$G$230&lt;&gt;"acoes")))*INDEX(Inputs!$K$5:$AJ$230,0,MATCH(AJ$2,Inputs!$K$4:$AJ$4,0)))+SUMPRODUCT((Inputs!$C$5:$C$230=$B68)*Inputs!$D$5:$D$230*(((Inputs!$G$5:$G$230="moeda")+(Inputs!$G$5:$G$230="acoes"))*Inputs!$B$1+((Inputs!$G$5:$G$230&lt;&gt;"moeda")*(Inputs!$G$5:$G$230&lt;&gt;"acoes")))*INDEX(Inputs!$K$5:$AJ$230,0,MATCH(AJ$2,Inputs!$K$4:$AJ$4,0)))+SUMPRODUCT((Inputs!$E$5:$E$230=$B68)*Inputs!$F$5:$F$230*(((Inputs!$G$5:$G$230="moeda")+(Inputs!$G$5:$G$230="acoes"))*Inputs!$B$1+((Inputs!$G$5:$G$230&lt;&gt;"moeda")*(Inputs!$G$5:$G$230&lt;&gt;"acoes")))*INDEX(Inputs!$K$5:$AJ$230,0,MATCH(AJ$2,Inputs!$K$4:$AJ$4,0)))))</f>
        <v>14.536</v>
      </c>
      <c r="AK68" s="6">
        <f>IF(ISNA(MATCH(AK$2,Inputs!$K$4:$AJ$4,0)),NA(),IF(SUMPRODUCT((Inputs!$A$5:$A$230=$B68)*ISNUMBER(INDEX(Inputs!$K$5:$AJ$230,0,MATCH(AK$2,Inputs!$K$4:$AJ$4,0))))+SUMPRODUCT((Inputs!$C$5:$C$230=$B68)*ISNUMBER(INDEX(Inputs!$K$5:$AJ$230,0,MATCH(AK$2,Inputs!$K$4:$AJ$4,0))))+SUMPRODUCT((Inputs!$E$5:$E$230=$B68)*ISNUMBER(INDEX(Inputs!$K$5:$AJ$230,0,MATCH(AK$2,Inputs!$K$4:$AJ$4,0))))=0,NA(),SUMPRODUCT((Inputs!$A$5:$A$230=$B68)*Inputs!$B$5:$B$230*(((Inputs!$G$5:$G$230="moeda")+(Inputs!$G$5:$G$230="acoes"))*Inputs!$B$1+((Inputs!$G$5:$G$230&lt;&gt;"moeda")*(Inputs!$G$5:$G$230&lt;&gt;"acoes")))*INDEX(Inputs!$K$5:$AJ$230,0,MATCH(AK$2,Inputs!$K$4:$AJ$4,0)))+SUMPRODUCT((Inputs!$C$5:$C$230=$B68)*Inputs!$D$5:$D$230*(((Inputs!$G$5:$G$230="moeda")+(Inputs!$G$5:$G$230="acoes"))*Inputs!$B$1+((Inputs!$G$5:$G$230&lt;&gt;"moeda")*(Inputs!$G$5:$G$230&lt;&gt;"acoes")))*INDEX(Inputs!$K$5:$AJ$230,0,MATCH(AK$2,Inputs!$K$4:$AJ$4,0)))+SUMPRODUCT((Inputs!$E$5:$E$230=$B68)*Inputs!$F$5:$F$230*(((Inputs!$G$5:$G$230="moeda")+(Inputs!$G$5:$G$230="acoes"))*Inputs!$B$1+((Inputs!$G$5:$G$230&lt;&gt;"moeda")*(Inputs!$G$5:$G$230&lt;&gt;"acoes")))*INDEX(Inputs!$K$5:$AJ$230,0,MATCH(AK$2,Inputs!$K$4:$AJ$4,0)))))</f>
        <v>19.742</v>
      </c>
      <c r="AL68" s="3">
        <f>SUM(AH68:AK68)</f>
        <v>58.232</v>
      </c>
    </row>
    <row r="69">
      <c r="B69" s="46" t="n">
        <v>61</v>
      </c>
      <c r="C69" s="29" t="inlineStr">
        <is>
          <t>Transmissao | TPE</t>
        </is>
      </c>
      <c r="D69" s="6">
        <f>IF(ISNA(MATCH(D$2,Inputs!$K$4:$AJ$4,0)),NA(),IF(SUMPRODUCT((Inputs!$A$5:$A$230=$B69)*ISNUMBER(INDEX(Inputs!$K$5:$AJ$230,0,MATCH(D$2,Inputs!$K$4:$AJ$4,0))))+SUMPRODUCT((Inputs!$C$5:$C$230=$B69)*ISNUMBER(INDEX(Inputs!$K$5:$AJ$230,0,MATCH(D$2,Inputs!$K$4:$AJ$4,0))))+SUMPRODUCT((Inputs!$E$5:$E$230=$B69)*ISNUMBER(INDEX(Inputs!$K$5:$AJ$230,0,MATCH(D$2,Inputs!$K$4:$AJ$4,0))))=0,NA(),SUMPRODUCT((Inputs!$A$5:$A$230=$B69)*Inputs!$B$5:$B$230*(((Inputs!$G$5:$G$230="moeda")+(Inputs!$G$5:$G$230="acoes"))*Inputs!$B$1+((Inputs!$G$5:$G$230&lt;&gt;"moeda")*(Inputs!$G$5:$G$230&lt;&gt;"acoes")))*INDEX(Inputs!$K$5:$AJ$230,0,MATCH(D$2,Inputs!$K$4:$AJ$4,0)))+SUMPRODUCT((Inputs!$C$5:$C$230=$B69)*Inputs!$D$5:$D$230*(((Inputs!$G$5:$G$230="moeda")+(Inputs!$G$5:$G$230="acoes"))*Inputs!$B$1+((Inputs!$G$5:$G$230&lt;&gt;"moeda")*(Inputs!$G$5:$G$230&lt;&gt;"acoes")))*INDEX(Inputs!$K$5:$AJ$230,0,MATCH(D$2,Inputs!$K$4:$AJ$4,0)))+SUMPRODUCT((Inputs!$E$5:$E$230=$B69)*Inputs!$F$5:$F$230*(((Inputs!$G$5:$G$230="moeda")+(Inputs!$G$5:$G$230="acoes"))*Inputs!$B$1+((Inputs!$G$5:$G$230&lt;&gt;"moeda")*(Inputs!$G$5:$G$230&lt;&gt;"acoes")))*INDEX(Inputs!$K$5:$AJ$230,0,MATCH(D$2,Inputs!$K$4:$AJ$4,0)))))</f>
        <v>112.342</v>
      </c>
      <c r="E69" s="6">
        <f>IF(ISNA(MATCH(E$2,Inputs!$K$4:$AJ$4,0)),NA(),IF(SUMPRODUCT((Inputs!$A$5:$A$230=$B69)*ISNUMBER(INDEX(Inputs!$K$5:$AJ$230,0,MATCH(E$2,Inputs!$K$4:$AJ$4,0))))+SUMPRODUCT((Inputs!$C$5:$C$230=$B69)*ISNUMBER(INDEX(Inputs!$K$5:$AJ$230,0,MATCH(E$2,Inputs!$K$4:$AJ$4,0))))+SUMPRODUCT((Inputs!$E$5:$E$230=$B69)*ISNUMBER(INDEX(Inputs!$K$5:$AJ$230,0,MATCH(E$2,Inputs!$K$4:$AJ$4,0))))=0,NA(),SUMPRODUCT((Inputs!$A$5:$A$230=$B69)*Inputs!$B$5:$B$230*(((Inputs!$G$5:$G$230="moeda")+(Inputs!$G$5:$G$230="acoes"))*Inputs!$B$1+((Inputs!$G$5:$G$230&lt;&gt;"moeda")*(Inputs!$G$5:$G$230&lt;&gt;"acoes")))*INDEX(Inputs!$K$5:$AJ$230,0,MATCH(E$2,Inputs!$K$4:$AJ$4,0)))+SUMPRODUCT((Inputs!$C$5:$C$230=$B69)*Inputs!$D$5:$D$230*(((Inputs!$G$5:$G$230="moeda")+(Inputs!$G$5:$G$230="acoes"))*Inputs!$B$1+((Inputs!$G$5:$G$230&lt;&gt;"moeda")*(Inputs!$G$5:$G$230&lt;&gt;"acoes")))*INDEX(Inputs!$K$5:$AJ$230,0,MATCH(E$2,Inputs!$K$4:$AJ$4,0)))+SUMPRODUCT((Inputs!$E$5:$E$230=$B69)*Inputs!$F$5:$F$230*(((Inputs!$G$5:$G$230="moeda")+(Inputs!$G$5:$G$230="acoes"))*Inputs!$B$1+((Inputs!$G$5:$G$230&lt;&gt;"moeda")*(Inputs!$G$5:$G$230&lt;&gt;"acoes")))*INDEX(Inputs!$K$5:$AJ$230,0,MATCH(E$2,Inputs!$K$4:$AJ$4,0)))))</f>
        <v>137.284</v>
      </c>
      <c r="F69" s="6">
        <f>IF(ISNA(MATCH(F$2,Inputs!$K$4:$AJ$4,0)),NA(),IF(SUMPRODUCT((Inputs!$A$5:$A$230=$B69)*ISNUMBER(INDEX(Inputs!$K$5:$AJ$230,0,MATCH(F$2,Inputs!$K$4:$AJ$4,0))))+SUMPRODUCT((Inputs!$C$5:$C$230=$B69)*ISNUMBER(INDEX(Inputs!$K$5:$AJ$230,0,MATCH(F$2,Inputs!$K$4:$AJ$4,0))))+SUMPRODUCT((Inputs!$E$5:$E$230=$B69)*ISNUMBER(INDEX(Inputs!$K$5:$AJ$230,0,MATCH(F$2,Inputs!$K$4:$AJ$4,0))))=0,NA(),SUMPRODUCT((Inputs!$A$5:$A$230=$B69)*Inputs!$B$5:$B$230*(((Inputs!$G$5:$G$230="moeda")+(Inputs!$G$5:$G$230="acoes"))*Inputs!$B$1+((Inputs!$G$5:$G$230&lt;&gt;"moeda")*(Inputs!$G$5:$G$230&lt;&gt;"acoes")))*INDEX(Inputs!$K$5:$AJ$230,0,MATCH(F$2,Inputs!$K$4:$AJ$4,0)))+SUMPRODUCT((Inputs!$C$5:$C$230=$B69)*Inputs!$D$5:$D$230*(((Inputs!$G$5:$G$230="moeda")+(Inputs!$G$5:$G$230="acoes"))*Inputs!$B$1+((Inputs!$G$5:$G$230&lt;&gt;"moeda")*(Inputs!$G$5:$G$230&lt;&gt;"acoes")))*INDEX(Inputs!$K$5:$AJ$230,0,MATCH(F$2,Inputs!$K$4:$AJ$4,0)))+SUMPRODUCT((Inputs!$E$5:$E$230=$B69)*Inputs!$F$5:$F$230*(((Inputs!$G$5:$G$230="moeda")+(Inputs!$G$5:$G$230="acoes"))*Inputs!$B$1+((Inputs!$G$5:$G$230&lt;&gt;"moeda")*(Inputs!$G$5:$G$230&lt;&gt;"acoes")))*INDEX(Inputs!$K$5:$AJ$230,0,MATCH(F$2,Inputs!$K$4:$AJ$4,0)))))</f>
        <v>112.088</v>
      </c>
      <c r="G69" s="6">
        <f>IF(ISNA(MATCH(G$2,Inputs!$K$4:$AJ$4,0)),NA(),IF(SUMPRODUCT((Inputs!$A$5:$A$230=$B69)*ISNUMBER(INDEX(Inputs!$K$5:$AJ$230,0,MATCH(G$2,Inputs!$K$4:$AJ$4,0))))+SUMPRODUCT((Inputs!$C$5:$C$230=$B69)*ISNUMBER(INDEX(Inputs!$K$5:$AJ$230,0,MATCH(G$2,Inputs!$K$4:$AJ$4,0))))+SUMPRODUCT((Inputs!$E$5:$E$230=$B69)*ISNUMBER(INDEX(Inputs!$K$5:$AJ$230,0,MATCH(G$2,Inputs!$K$4:$AJ$4,0))))=0,NA(),SUMPRODUCT((Inputs!$A$5:$A$230=$B69)*Inputs!$B$5:$B$230*(((Inputs!$G$5:$G$230="moeda")+(Inputs!$G$5:$G$230="acoes"))*Inputs!$B$1+((Inputs!$G$5:$G$230&lt;&gt;"moeda")*(Inputs!$G$5:$G$230&lt;&gt;"acoes")))*INDEX(Inputs!$K$5:$AJ$230,0,MATCH(G$2,Inputs!$K$4:$AJ$4,0)))+SUMPRODUCT((Inputs!$C$5:$C$230=$B69)*Inputs!$D$5:$D$230*(((Inputs!$G$5:$G$230="moeda")+(Inputs!$G$5:$G$230="acoes"))*Inputs!$B$1+((Inputs!$G$5:$G$230&lt;&gt;"moeda")*(Inputs!$G$5:$G$230&lt;&gt;"acoes")))*INDEX(Inputs!$K$5:$AJ$230,0,MATCH(G$2,Inputs!$K$4:$AJ$4,0)))+SUMPRODUCT((Inputs!$E$5:$E$230=$B69)*Inputs!$F$5:$F$230*(((Inputs!$G$5:$G$230="moeda")+(Inputs!$G$5:$G$230="acoes"))*Inputs!$B$1+((Inputs!$G$5:$G$230&lt;&gt;"moeda")*(Inputs!$G$5:$G$230&lt;&gt;"acoes")))*INDEX(Inputs!$K$5:$AJ$230,0,MATCH(G$2,Inputs!$K$4:$AJ$4,0)))))</f>
        <v>139.417</v>
      </c>
      <c r="H69" s="3">
        <f>SUM(D69:G69)</f>
        <v>501.131</v>
      </c>
      <c r="I69" s="6">
        <f>IF(ISNA(MATCH(I$2,Inputs!$K$4:$AJ$4,0)),NA(),IF(SUMPRODUCT((Inputs!$A$5:$A$230=$B69)*ISNUMBER(INDEX(Inputs!$K$5:$AJ$230,0,MATCH(I$2,Inputs!$K$4:$AJ$4,0))))+SUMPRODUCT((Inputs!$C$5:$C$230=$B69)*ISNUMBER(INDEX(Inputs!$K$5:$AJ$230,0,MATCH(I$2,Inputs!$K$4:$AJ$4,0))))+SUMPRODUCT((Inputs!$E$5:$E$230=$B69)*ISNUMBER(INDEX(Inputs!$K$5:$AJ$230,0,MATCH(I$2,Inputs!$K$4:$AJ$4,0))))=0,NA(),SUMPRODUCT((Inputs!$A$5:$A$230=$B69)*Inputs!$B$5:$B$230*(((Inputs!$G$5:$G$230="moeda")+(Inputs!$G$5:$G$230="acoes"))*Inputs!$B$1+((Inputs!$G$5:$G$230&lt;&gt;"moeda")*(Inputs!$G$5:$G$230&lt;&gt;"acoes")))*INDEX(Inputs!$K$5:$AJ$230,0,MATCH(I$2,Inputs!$K$4:$AJ$4,0)))+SUMPRODUCT((Inputs!$C$5:$C$230=$B69)*Inputs!$D$5:$D$230*(((Inputs!$G$5:$G$230="moeda")+(Inputs!$G$5:$G$230="acoes"))*Inputs!$B$1+((Inputs!$G$5:$G$230&lt;&gt;"moeda")*(Inputs!$G$5:$G$230&lt;&gt;"acoes")))*INDEX(Inputs!$K$5:$AJ$230,0,MATCH(I$2,Inputs!$K$4:$AJ$4,0)))+SUMPRODUCT((Inputs!$E$5:$E$230=$B69)*Inputs!$F$5:$F$230*(((Inputs!$G$5:$G$230="moeda")+(Inputs!$G$5:$G$230="acoes"))*Inputs!$B$1+((Inputs!$G$5:$G$230&lt;&gt;"moeda")*(Inputs!$G$5:$G$230&lt;&gt;"acoes")))*INDEX(Inputs!$K$5:$AJ$230,0,MATCH(I$2,Inputs!$K$4:$AJ$4,0)))))</f>
        <v>117.661</v>
      </c>
      <c r="J69" s="6">
        <f>IF(ISNA(MATCH(J$2,Inputs!$K$4:$AJ$4,0)),NA(),IF(SUMPRODUCT((Inputs!$A$5:$A$230=$B69)*ISNUMBER(INDEX(Inputs!$K$5:$AJ$230,0,MATCH(J$2,Inputs!$K$4:$AJ$4,0))))+SUMPRODUCT((Inputs!$C$5:$C$230=$B69)*ISNUMBER(INDEX(Inputs!$K$5:$AJ$230,0,MATCH(J$2,Inputs!$K$4:$AJ$4,0))))+SUMPRODUCT((Inputs!$E$5:$E$230=$B69)*ISNUMBER(INDEX(Inputs!$K$5:$AJ$230,0,MATCH(J$2,Inputs!$K$4:$AJ$4,0))))=0,NA(),SUMPRODUCT((Inputs!$A$5:$A$230=$B69)*Inputs!$B$5:$B$230*(((Inputs!$G$5:$G$230="moeda")+(Inputs!$G$5:$G$230="acoes"))*Inputs!$B$1+((Inputs!$G$5:$G$230&lt;&gt;"moeda")*(Inputs!$G$5:$G$230&lt;&gt;"acoes")))*INDEX(Inputs!$K$5:$AJ$230,0,MATCH(J$2,Inputs!$K$4:$AJ$4,0)))+SUMPRODUCT((Inputs!$C$5:$C$230=$B69)*Inputs!$D$5:$D$230*(((Inputs!$G$5:$G$230="moeda")+(Inputs!$G$5:$G$230="acoes"))*Inputs!$B$1+((Inputs!$G$5:$G$230&lt;&gt;"moeda")*(Inputs!$G$5:$G$230&lt;&gt;"acoes")))*INDEX(Inputs!$K$5:$AJ$230,0,MATCH(J$2,Inputs!$K$4:$AJ$4,0)))+SUMPRODUCT((Inputs!$E$5:$E$230=$B69)*Inputs!$F$5:$F$230*(((Inputs!$G$5:$G$230="moeda")+(Inputs!$G$5:$G$230="acoes"))*Inputs!$B$1+((Inputs!$G$5:$G$230&lt;&gt;"moeda")*(Inputs!$G$5:$G$230&lt;&gt;"acoes")))*INDEX(Inputs!$K$5:$AJ$230,0,MATCH(J$2,Inputs!$K$4:$AJ$4,0)))))</f>
        <v>140.164</v>
      </c>
      <c r="K69" s="6">
        <f>IF(ISNA(MATCH(K$2,Inputs!$K$4:$AJ$4,0)),NA(),IF(SUMPRODUCT((Inputs!$A$5:$A$230=$B69)*ISNUMBER(INDEX(Inputs!$K$5:$AJ$230,0,MATCH(K$2,Inputs!$K$4:$AJ$4,0))))+SUMPRODUCT((Inputs!$C$5:$C$230=$B69)*ISNUMBER(INDEX(Inputs!$K$5:$AJ$230,0,MATCH(K$2,Inputs!$K$4:$AJ$4,0))))+SUMPRODUCT((Inputs!$E$5:$E$230=$B69)*ISNUMBER(INDEX(Inputs!$K$5:$AJ$230,0,MATCH(K$2,Inputs!$K$4:$AJ$4,0))))=0,NA(),SUMPRODUCT((Inputs!$A$5:$A$230=$B69)*Inputs!$B$5:$B$230*(((Inputs!$G$5:$G$230="moeda")+(Inputs!$G$5:$G$230="acoes"))*Inputs!$B$1+((Inputs!$G$5:$G$230&lt;&gt;"moeda")*(Inputs!$G$5:$G$230&lt;&gt;"acoes")))*INDEX(Inputs!$K$5:$AJ$230,0,MATCH(K$2,Inputs!$K$4:$AJ$4,0)))+SUMPRODUCT((Inputs!$C$5:$C$230=$B69)*Inputs!$D$5:$D$230*(((Inputs!$G$5:$G$230="moeda")+(Inputs!$G$5:$G$230="acoes"))*Inputs!$B$1+((Inputs!$G$5:$G$230&lt;&gt;"moeda")*(Inputs!$G$5:$G$230&lt;&gt;"acoes")))*INDEX(Inputs!$K$5:$AJ$230,0,MATCH(K$2,Inputs!$K$4:$AJ$4,0)))+SUMPRODUCT((Inputs!$E$5:$E$230=$B69)*Inputs!$F$5:$F$230*(((Inputs!$G$5:$G$230="moeda")+(Inputs!$G$5:$G$230="acoes"))*Inputs!$B$1+((Inputs!$G$5:$G$230&lt;&gt;"moeda")*(Inputs!$G$5:$G$230&lt;&gt;"acoes")))*INDEX(Inputs!$K$5:$AJ$230,0,MATCH(K$2,Inputs!$K$4:$AJ$4,0)))))</f>
        <v>54.032</v>
      </c>
      <c r="L69" s="6">
        <f>IF(ISNA(MATCH(L$2,Inputs!$K$4:$AJ$4,0)),NA(),IF(SUMPRODUCT((Inputs!$A$5:$A$230=$B69)*ISNUMBER(INDEX(Inputs!$K$5:$AJ$230,0,MATCH(L$2,Inputs!$K$4:$AJ$4,0))))+SUMPRODUCT((Inputs!$C$5:$C$230=$B69)*ISNUMBER(INDEX(Inputs!$K$5:$AJ$230,0,MATCH(L$2,Inputs!$K$4:$AJ$4,0))))+SUMPRODUCT((Inputs!$E$5:$E$230=$B69)*ISNUMBER(INDEX(Inputs!$K$5:$AJ$230,0,MATCH(L$2,Inputs!$K$4:$AJ$4,0))))=0,NA(),SUMPRODUCT((Inputs!$A$5:$A$230=$B69)*Inputs!$B$5:$B$230*(((Inputs!$G$5:$G$230="moeda")+(Inputs!$G$5:$G$230="acoes"))*Inputs!$B$1+((Inputs!$G$5:$G$230&lt;&gt;"moeda")*(Inputs!$G$5:$G$230&lt;&gt;"acoes")))*INDEX(Inputs!$K$5:$AJ$230,0,MATCH(L$2,Inputs!$K$4:$AJ$4,0)))+SUMPRODUCT((Inputs!$C$5:$C$230=$B69)*Inputs!$D$5:$D$230*(((Inputs!$G$5:$G$230="moeda")+(Inputs!$G$5:$G$230="acoes"))*Inputs!$B$1+((Inputs!$G$5:$G$230&lt;&gt;"moeda")*(Inputs!$G$5:$G$230&lt;&gt;"acoes")))*INDEX(Inputs!$K$5:$AJ$230,0,MATCH(L$2,Inputs!$K$4:$AJ$4,0)))+SUMPRODUCT((Inputs!$E$5:$E$230=$B69)*Inputs!$F$5:$F$230*(((Inputs!$G$5:$G$230="moeda")+(Inputs!$G$5:$G$230="acoes"))*Inputs!$B$1+((Inputs!$G$5:$G$230&lt;&gt;"moeda")*(Inputs!$G$5:$G$230&lt;&gt;"acoes")))*INDEX(Inputs!$K$5:$AJ$230,0,MATCH(L$2,Inputs!$K$4:$AJ$4,0)))))</f>
        <v>80.276</v>
      </c>
      <c r="M69" s="3">
        <f>SUM(I69:L69)</f>
        <v>392.133</v>
      </c>
      <c r="N69" s="6">
        <f>IF(ISNA(MATCH(N$2,Inputs!$K$4:$AJ$4,0)),NA(),IF(SUMPRODUCT((Inputs!$A$5:$A$230=$B69)*ISNUMBER(INDEX(Inputs!$K$5:$AJ$230,0,MATCH(N$2,Inputs!$K$4:$AJ$4,0))))+SUMPRODUCT((Inputs!$C$5:$C$230=$B69)*ISNUMBER(INDEX(Inputs!$K$5:$AJ$230,0,MATCH(N$2,Inputs!$K$4:$AJ$4,0))))+SUMPRODUCT((Inputs!$E$5:$E$230=$B69)*ISNUMBER(INDEX(Inputs!$K$5:$AJ$230,0,MATCH(N$2,Inputs!$K$4:$AJ$4,0))))=0,NA(),SUMPRODUCT((Inputs!$A$5:$A$230=$B69)*Inputs!$B$5:$B$230*(((Inputs!$G$5:$G$230="moeda")+(Inputs!$G$5:$G$230="acoes"))*Inputs!$B$1+((Inputs!$G$5:$G$230&lt;&gt;"moeda")*(Inputs!$G$5:$G$230&lt;&gt;"acoes")))*INDEX(Inputs!$K$5:$AJ$230,0,MATCH(N$2,Inputs!$K$4:$AJ$4,0)))+SUMPRODUCT((Inputs!$C$5:$C$230=$B69)*Inputs!$D$5:$D$230*(((Inputs!$G$5:$G$230="moeda")+(Inputs!$G$5:$G$230="acoes"))*Inputs!$B$1+((Inputs!$G$5:$G$230&lt;&gt;"moeda")*(Inputs!$G$5:$G$230&lt;&gt;"acoes")))*INDEX(Inputs!$K$5:$AJ$230,0,MATCH(N$2,Inputs!$K$4:$AJ$4,0)))+SUMPRODUCT((Inputs!$E$5:$E$230=$B69)*Inputs!$F$5:$F$230*(((Inputs!$G$5:$G$230="moeda")+(Inputs!$G$5:$G$230="acoes"))*Inputs!$B$1+((Inputs!$G$5:$G$230&lt;&gt;"moeda")*(Inputs!$G$5:$G$230&lt;&gt;"acoes")))*INDEX(Inputs!$K$5:$AJ$230,0,MATCH(N$2,Inputs!$K$4:$AJ$4,0)))))</f>
        <v>113.18</v>
      </c>
      <c r="O69" s="6">
        <f>IF(ISNA(MATCH(O$2,Inputs!$K$4:$AJ$4,0)),NA(),IF(SUMPRODUCT((Inputs!$A$5:$A$230=$B69)*ISNUMBER(INDEX(Inputs!$K$5:$AJ$230,0,MATCH(O$2,Inputs!$K$4:$AJ$4,0))))+SUMPRODUCT((Inputs!$C$5:$C$230=$B69)*ISNUMBER(INDEX(Inputs!$K$5:$AJ$230,0,MATCH(O$2,Inputs!$K$4:$AJ$4,0))))+SUMPRODUCT((Inputs!$E$5:$E$230=$B69)*ISNUMBER(INDEX(Inputs!$K$5:$AJ$230,0,MATCH(O$2,Inputs!$K$4:$AJ$4,0))))=0,NA(),SUMPRODUCT((Inputs!$A$5:$A$230=$B69)*Inputs!$B$5:$B$230*(((Inputs!$G$5:$G$230="moeda")+(Inputs!$G$5:$G$230="acoes"))*Inputs!$B$1+((Inputs!$G$5:$G$230&lt;&gt;"moeda")*(Inputs!$G$5:$G$230&lt;&gt;"acoes")))*INDEX(Inputs!$K$5:$AJ$230,0,MATCH(O$2,Inputs!$K$4:$AJ$4,0)))+SUMPRODUCT((Inputs!$C$5:$C$230=$B69)*Inputs!$D$5:$D$230*(((Inputs!$G$5:$G$230="moeda")+(Inputs!$G$5:$G$230="acoes"))*Inputs!$B$1+((Inputs!$G$5:$G$230&lt;&gt;"moeda")*(Inputs!$G$5:$G$230&lt;&gt;"acoes")))*INDEX(Inputs!$K$5:$AJ$230,0,MATCH(O$2,Inputs!$K$4:$AJ$4,0)))+SUMPRODUCT((Inputs!$E$5:$E$230=$B69)*Inputs!$F$5:$F$230*(((Inputs!$G$5:$G$230="moeda")+(Inputs!$G$5:$G$230="acoes"))*Inputs!$B$1+((Inputs!$G$5:$G$230&lt;&gt;"moeda")*(Inputs!$G$5:$G$230&lt;&gt;"acoes")))*INDEX(Inputs!$K$5:$AJ$230,0,MATCH(O$2,Inputs!$K$4:$AJ$4,0)))))</f>
        <v>104.836</v>
      </c>
      <c r="P69" s="6">
        <f>IF(ISNA(MATCH(P$2,Inputs!$K$4:$AJ$4,0)),NA(),IF(SUMPRODUCT((Inputs!$A$5:$A$230=$B69)*ISNUMBER(INDEX(Inputs!$K$5:$AJ$230,0,MATCH(P$2,Inputs!$K$4:$AJ$4,0))))+SUMPRODUCT((Inputs!$C$5:$C$230=$B69)*ISNUMBER(INDEX(Inputs!$K$5:$AJ$230,0,MATCH(P$2,Inputs!$K$4:$AJ$4,0))))+SUMPRODUCT((Inputs!$E$5:$E$230=$B69)*ISNUMBER(INDEX(Inputs!$K$5:$AJ$230,0,MATCH(P$2,Inputs!$K$4:$AJ$4,0))))=0,NA(),SUMPRODUCT((Inputs!$A$5:$A$230=$B69)*Inputs!$B$5:$B$230*(((Inputs!$G$5:$G$230="moeda")+(Inputs!$G$5:$G$230="acoes"))*Inputs!$B$1+((Inputs!$G$5:$G$230&lt;&gt;"moeda")*(Inputs!$G$5:$G$230&lt;&gt;"acoes")))*INDEX(Inputs!$K$5:$AJ$230,0,MATCH(P$2,Inputs!$K$4:$AJ$4,0)))+SUMPRODUCT((Inputs!$C$5:$C$230=$B69)*Inputs!$D$5:$D$230*(((Inputs!$G$5:$G$230="moeda")+(Inputs!$G$5:$G$230="acoes"))*Inputs!$B$1+((Inputs!$G$5:$G$230&lt;&gt;"moeda")*(Inputs!$G$5:$G$230&lt;&gt;"acoes")))*INDEX(Inputs!$K$5:$AJ$230,0,MATCH(P$2,Inputs!$K$4:$AJ$4,0)))+SUMPRODUCT((Inputs!$E$5:$E$230=$B69)*Inputs!$F$5:$F$230*(((Inputs!$G$5:$G$230="moeda")+(Inputs!$G$5:$G$230="acoes"))*Inputs!$B$1+((Inputs!$G$5:$G$230&lt;&gt;"moeda")*(Inputs!$G$5:$G$230&lt;&gt;"acoes")))*INDEX(Inputs!$K$5:$AJ$230,0,MATCH(P$2,Inputs!$K$4:$AJ$4,0)))))</f>
        <v>71.205</v>
      </c>
      <c r="Q69" s="6">
        <f>IF(ISNA(MATCH(Q$2,Inputs!$K$4:$AJ$4,0)),NA(),IF(SUMPRODUCT((Inputs!$A$5:$A$230=$B69)*ISNUMBER(INDEX(Inputs!$K$5:$AJ$230,0,MATCH(Q$2,Inputs!$K$4:$AJ$4,0))))+SUMPRODUCT((Inputs!$C$5:$C$230=$B69)*ISNUMBER(INDEX(Inputs!$K$5:$AJ$230,0,MATCH(Q$2,Inputs!$K$4:$AJ$4,0))))+SUMPRODUCT((Inputs!$E$5:$E$230=$B69)*ISNUMBER(INDEX(Inputs!$K$5:$AJ$230,0,MATCH(Q$2,Inputs!$K$4:$AJ$4,0))))=0,NA(),SUMPRODUCT((Inputs!$A$5:$A$230=$B69)*Inputs!$B$5:$B$230*(((Inputs!$G$5:$G$230="moeda")+(Inputs!$G$5:$G$230="acoes"))*Inputs!$B$1+((Inputs!$G$5:$G$230&lt;&gt;"moeda")*(Inputs!$G$5:$G$230&lt;&gt;"acoes")))*INDEX(Inputs!$K$5:$AJ$230,0,MATCH(Q$2,Inputs!$K$4:$AJ$4,0)))+SUMPRODUCT((Inputs!$C$5:$C$230=$B69)*Inputs!$D$5:$D$230*(((Inputs!$G$5:$G$230="moeda")+(Inputs!$G$5:$G$230="acoes"))*Inputs!$B$1+((Inputs!$G$5:$G$230&lt;&gt;"moeda")*(Inputs!$G$5:$G$230&lt;&gt;"acoes")))*INDEX(Inputs!$K$5:$AJ$230,0,MATCH(Q$2,Inputs!$K$4:$AJ$4,0)))+SUMPRODUCT((Inputs!$E$5:$E$230=$B69)*Inputs!$F$5:$F$230*(((Inputs!$G$5:$G$230="moeda")+(Inputs!$G$5:$G$230="acoes"))*Inputs!$B$1+((Inputs!$G$5:$G$230&lt;&gt;"moeda")*(Inputs!$G$5:$G$230&lt;&gt;"acoes")))*INDEX(Inputs!$K$5:$AJ$230,0,MATCH(Q$2,Inputs!$K$4:$AJ$4,0)))))</f>
        <v>84.746</v>
      </c>
      <c r="R69" s="3">
        <f>SUM(N69:Q69)</f>
        <v>373.967</v>
      </c>
      <c r="S69" s="6">
        <f>IF(ISNA(MATCH(S$2,Inputs!$K$4:$AJ$4,0)),NA(),IF(SUMPRODUCT((Inputs!$A$5:$A$230=$B69)*ISNUMBER(INDEX(Inputs!$K$5:$AJ$230,0,MATCH(S$2,Inputs!$K$4:$AJ$4,0))))+SUMPRODUCT((Inputs!$C$5:$C$230=$B69)*ISNUMBER(INDEX(Inputs!$K$5:$AJ$230,0,MATCH(S$2,Inputs!$K$4:$AJ$4,0))))+SUMPRODUCT((Inputs!$E$5:$E$230=$B69)*ISNUMBER(INDEX(Inputs!$K$5:$AJ$230,0,MATCH(S$2,Inputs!$K$4:$AJ$4,0))))=0,NA(),SUMPRODUCT((Inputs!$A$5:$A$230=$B69)*Inputs!$B$5:$B$230*(((Inputs!$G$5:$G$230="moeda")+(Inputs!$G$5:$G$230="acoes"))*Inputs!$B$1+((Inputs!$G$5:$G$230&lt;&gt;"moeda")*(Inputs!$G$5:$G$230&lt;&gt;"acoes")))*INDEX(Inputs!$K$5:$AJ$230,0,MATCH(S$2,Inputs!$K$4:$AJ$4,0)))+SUMPRODUCT((Inputs!$C$5:$C$230=$B69)*Inputs!$D$5:$D$230*(((Inputs!$G$5:$G$230="moeda")+(Inputs!$G$5:$G$230="acoes"))*Inputs!$B$1+((Inputs!$G$5:$G$230&lt;&gt;"moeda")*(Inputs!$G$5:$G$230&lt;&gt;"acoes")))*INDEX(Inputs!$K$5:$AJ$230,0,MATCH(S$2,Inputs!$K$4:$AJ$4,0)))+SUMPRODUCT((Inputs!$E$5:$E$230=$B69)*Inputs!$F$5:$F$230*(((Inputs!$G$5:$G$230="moeda")+(Inputs!$G$5:$G$230="acoes"))*Inputs!$B$1+((Inputs!$G$5:$G$230&lt;&gt;"moeda")*(Inputs!$G$5:$G$230&lt;&gt;"acoes")))*INDEX(Inputs!$K$5:$AJ$230,0,MATCH(S$2,Inputs!$K$4:$AJ$4,0)))))</f>
        <v>112.65</v>
      </c>
      <c r="T69" s="6">
        <f>IF(ISNA(MATCH(T$2,Inputs!$K$4:$AJ$4,0)),NA(),IF(SUMPRODUCT((Inputs!$A$5:$A$230=$B69)*ISNUMBER(INDEX(Inputs!$K$5:$AJ$230,0,MATCH(T$2,Inputs!$K$4:$AJ$4,0))))+SUMPRODUCT((Inputs!$C$5:$C$230=$B69)*ISNUMBER(INDEX(Inputs!$K$5:$AJ$230,0,MATCH(T$2,Inputs!$K$4:$AJ$4,0))))+SUMPRODUCT((Inputs!$E$5:$E$230=$B69)*ISNUMBER(INDEX(Inputs!$K$5:$AJ$230,0,MATCH(T$2,Inputs!$K$4:$AJ$4,0))))=0,NA(),SUMPRODUCT((Inputs!$A$5:$A$230=$B69)*Inputs!$B$5:$B$230*(((Inputs!$G$5:$G$230="moeda")+(Inputs!$G$5:$G$230="acoes"))*Inputs!$B$1+((Inputs!$G$5:$G$230&lt;&gt;"moeda")*(Inputs!$G$5:$G$230&lt;&gt;"acoes")))*INDEX(Inputs!$K$5:$AJ$230,0,MATCH(T$2,Inputs!$K$4:$AJ$4,0)))+SUMPRODUCT((Inputs!$C$5:$C$230=$B69)*Inputs!$D$5:$D$230*(((Inputs!$G$5:$G$230="moeda")+(Inputs!$G$5:$G$230="acoes"))*Inputs!$B$1+((Inputs!$G$5:$G$230&lt;&gt;"moeda")*(Inputs!$G$5:$G$230&lt;&gt;"acoes")))*INDEX(Inputs!$K$5:$AJ$230,0,MATCH(T$2,Inputs!$K$4:$AJ$4,0)))+SUMPRODUCT((Inputs!$E$5:$E$230=$B69)*Inputs!$F$5:$F$230*(((Inputs!$G$5:$G$230="moeda")+(Inputs!$G$5:$G$230="acoes"))*Inputs!$B$1+((Inputs!$G$5:$G$230&lt;&gt;"moeda")*(Inputs!$G$5:$G$230&lt;&gt;"acoes")))*INDEX(Inputs!$K$5:$AJ$230,0,MATCH(T$2,Inputs!$K$4:$AJ$4,0)))))</f>
        <v>92.954</v>
      </c>
      <c r="U69" s="6">
        <f>IF(ISNA(MATCH(U$2,Inputs!$K$4:$AJ$4,0)),NA(),IF(SUMPRODUCT((Inputs!$A$5:$A$230=$B69)*ISNUMBER(INDEX(Inputs!$K$5:$AJ$230,0,MATCH(U$2,Inputs!$K$4:$AJ$4,0))))+SUMPRODUCT((Inputs!$C$5:$C$230=$B69)*ISNUMBER(INDEX(Inputs!$K$5:$AJ$230,0,MATCH(U$2,Inputs!$K$4:$AJ$4,0))))+SUMPRODUCT((Inputs!$E$5:$E$230=$B69)*ISNUMBER(INDEX(Inputs!$K$5:$AJ$230,0,MATCH(U$2,Inputs!$K$4:$AJ$4,0))))=0,NA(),SUMPRODUCT((Inputs!$A$5:$A$230=$B69)*Inputs!$B$5:$B$230*(((Inputs!$G$5:$G$230="moeda")+(Inputs!$G$5:$G$230="acoes"))*Inputs!$B$1+((Inputs!$G$5:$G$230&lt;&gt;"moeda")*(Inputs!$G$5:$G$230&lt;&gt;"acoes")))*INDEX(Inputs!$K$5:$AJ$230,0,MATCH(U$2,Inputs!$K$4:$AJ$4,0)))+SUMPRODUCT((Inputs!$C$5:$C$230=$B69)*Inputs!$D$5:$D$230*(((Inputs!$G$5:$G$230="moeda")+(Inputs!$G$5:$G$230="acoes"))*Inputs!$B$1+((Inputs!$G$5:$G$230&lt;&gt;"moeda")*(Inputs!$G$5:$G$230&lt;&gt;"acoes")))*INDEX(Inputs!$K$5:$AJ$230,0,MATCH(U$2,Inputs!$K$4:$AJ$4,0)))+SUMPRODUCT((Inputs!$E$5:$E$230=$B69)*Inputs!$F$5:$F$230*(((Inputs!$G$5:$G$230="moeda")+(Inputs!$G$5:$G$230="acoes"))*Inputs!$B$1+((Inputs!$G$5:$G$230&lt;&gt;"moeda")*(Inputs!$G$5:$G$230&lt;&gt;"acoes")))*INDEX(Inputs!$K$5:$AJ$230,0,MATCH(U$2,Inputs!$K$4:$AJ$4,0)))))</f>
        <v>81.169</v>
      </c>
      <c r="V69" s="6">
        <f>IF(ISNA(MATCH(V$2,Inputs!$K$4:$AJ$4,0)),NA(),IF(SUMPRODUCT((Inputs!$A$5:$A$230=$B69)*ISNUMBER(INDEX(Inputs!$K$5:$AJ$230,0,MATCH(V$2,Inputs!$K$4:$AJ$4,0))))+SUMPRODUCT((Inputs!$C$5:$C$230=$B69)*ISNUMBER(INDEX(Inputs!$K$5:$AJ$230,0,MATCH(V$2,Inputs!$K$4:$AJ$4,0))))+SUMPRODUCT((Inputs!$E$5:$E$230=$B69)*ISNUMBER(INDEX(Inputs!$K$5:$AJ$230,0,MATCH(V$2,Inputs!$K$4:$AJ$4,0))))=0,NA(),SUMPRODUCT((Inputs!$A$5:$A$230=$B69)*Inputs!$B$5:$B$230*(((Inputs!$G$5:$G$230="moeda")+(Inputs!$G$5:$G$230="acoes"))*Inputs!$B$1+((Inputs!$G$5:$G$230&lt;&gt;"moeda")*(Inputs!$G$5:$G$230&lt;&gt;"acoes")))*INDEX(Inputs!$K$5:$AJ$230,0,MATCH(V$2,Inputs!$K$4:$AJ$4,0)))+SUMPRODUCT((Inputs!$C$5:$C$230=$B69)*Inputs!$D$5:$D$230*(((Inputs!$G$5:$G$230="moeda")+(Inputs!$G$5:$G$230="acoes"))*Inputs!$B$1+((Inputs!$G$5:$G$230&lt;&gt;"moeda")*(Inputs!$G$5:$G$230&lt;&gt;"acoes")))*INDEX(Inputs!$K$5:$AJ$230,0,MATCH(V$2,Inputs!$K$4:$AJ$4,0)))+SUMPRODUCT((Inputs!$E$5:$E$230=$B69)*Inputs!$F$5:$F$230*(((Inputs!$G$5:$G$230="moeda")+(Inputs!$G$5:$G$230="acoes"))*Inputs!$B$1+((Inputs!$G$5:$G$230&lt;&gt;"moeda")*(Inputs!$G$5:$G$230&lt;&gt;"acoes")))*INDEX(Inputs!$K$5:$AJ$230,0,MATCH(V$2,Inputs!$K$4:$AJ$4,0)))))</f>
        <v>103.139</v>
      </c>
      <c r="W69" s="3">
        <f>SUM(S69:V69)</f>
        <v>389.912</v>
      </c>
      <c r="X69" s="6">
        <f>IF(ISNA(MATCH(X$2,Inputs!$K$4:$AJ$4,0)),NA(),IF(SUMPRODUCT((Inputs!$A$5:$A$230=$B69)*ISNUMBER(INDEX(Inputs!$K$5:$AJ$230,0,MATCH(X$2,Inputs!$K$4:$AJ$4,0))))+SUMPRODUCT((Inputs!$C$5:$C$230=$B69)*ISNUMBER(INDEX(Inputs!$K$5:$AJ$230,0,MATCH(X$2,Inputs!$K$4:$AJ$4,0))))+SUMPRODUCT((Inputs!$E$5:$E$230=$B69)*ISNUMBER(INDEX(Inputs!$K$5:$AJ$230,0,MATCH(X$2,Inputs!$K$4:$AJ$4,0))))=0,NA(),SUMPRODUCT((Inputs!$A$5:$A$230=$B69)*Inputs!$B$5:$B$230*(((Inputs!$G$5:$G$230="moeda")+(Inputs!$G$5:$G$230="acoes"))*Inputs!$B$1+((Inputs!$G$5:$G$230&lt;&gt;"moeda")*(Inputs!$G$5:$G$230&lt;&gt;"acoes")))*INDEX(Inputs!$K$5:$AJ$230,0,MATCH(X$2,Inputs!$K$4:$AJ$4,0)))+SUMPRODUCT((Inputs!$C$5:$C$230=$B69)*Inputs!$D$5:$D$230*(((Inputs!$G$5:$G$230="moeda")+(Inputs!$G$5:$G$230="acoes"))*Inputs!$B$1+((Inputs!$G$5:$G$230&lt;&gt;"moeda")*(Inputs!$G$5:$G$230&lt;&gt;"acoes")))*INDEX(Inputs!$K$5:$AJ$230,0,MATCH(X$2,Inputs!$K$4:$AJ$4,0)))+SUMPRODUCT((Inputs!$E$5:$E$230=$B69)*Inputs!$F$5:$F$230*(((Inputs!$G$5:$G$230="moeda")+(Inputs!$G$5:$G$230="acoes"))*Inputs!$B$1+((Inputs!$G$5:$G$230&lt;&gt;"moeda")*(Inputs!$G$5:$G$230&lt;&gt;"acoes")))*INDEX(Inputs!$K$5:$AJ$230,0,MATCH(X$2,Inputs!$K$4:$AJ$4,0)))))</f>
        <v>120.293</v>
      </c>
      <c r="Y69" s="6">
        <f>IF(ISNA(MATCH(Y$2,Inputs!$K$4:$AJ$4,0)),NA(),IF(SUMPRODUCT((Inputs!$A$5:$A$230=$B69)*ISNUMBER(INDEX(Inputs!$K$5:$AJ$230,0,MATCH(Y$2,Inputs!$K$4:$AJ$4,0))))+SUMPRODUCT((Inputs!$C$5:$C$230=$B69)*ISNUMBER(INDEX(Inputs!$K$5:$AJ$230,0,MATCH(Y$2,Inputs!$K$4:$AJ$4,0))))+SUMPRODUCT((Inputs!$E$5:$E$230=$B69)*ISNUMBER(INDEX(Inputs!$K$5:$AJ$230,0,MATCH(Y$2,Inputs!$K$4:$AJ$4,0))))=0,NA(),SUMPRODUCT((Inputs!$A$5:$A$230=$B69)*Inputs!$B$5:$B$230*(((Inputs!$G$5:$G$230="moeda")+(Inputs!$G$5:$G$230="acoes"))*Inputs!$B$1+((Inputs!$G$5:$G$230&lt;&gt;"moeda")*(Inputs!$G$5:$G$230&lt;&gt;"acoes")))*INDEX(Inputs!$K$5:$AJ$230,0,MATCH(Y$2,Inputs!$K$4:$AJ$4,0)))+SUMPRODUCT((Inputs!$C$5:$C$230=$B69)*Inputs!$D$5:$D$230*(((Inputs!$G$5:$G$230="moeda")+(Inputs!$G$5:$G$230="acoes"))*Inputs!$B$1+((Inputs!$G$5:$G$230&lt;&gt;"moeda")*(Inputs!$G$5:$G$230&lt;&gt;"acoes")))*INDEX(Inputs!$K$5:$AJ$230,0,MATCH(Y$2,Inputs!$K$4:$AJ$4,0)))+SUMPRODUCT((Inputs!$E$5:$E$230=$B69)*Inputs!$F$5:$F$230*(((Inputs!$G$5:$G$230="moeda")+(Inputs!$G$5:$G$230="acoes"))*Inputs!$B$1+((Inputs!$G$5:$G$230&lt;&gt;"moeda")*(Inputs!$G$5:$G$230&lt;&gt;"acoes")))*INDEX(Inputs!$K$5:$AJ$230,0,MATCH(Y$2,Inputs!$K$4:$AJ$4,0)))))</f>
        <v>102.759</v>
      </c>
      <c r="Z69" s="6">
        <f>IF(ISNA(MATCH(Z$2,Inputs!$K$4:$AJ$4,0)),NA(),IF(SUMPRODUCT((Inputs!$A$5:$A$230=$B69)*ISNUMBER(INDEX(Inputs!$K$5:$AJ$230,0,MATCH(Z$2,Inputs!$K$4:$AJ$4,0))))+SUMPRODUCT((Inputs!$C$5:$C$230=$B69)*ISNUMBER(INDEX(Inputs!$K$5:$AJ$230,0,MATCH(Z$2,Inputs!$K$4:$AJ$4,0))))+SUMPRODUCT((Inputs!$E$5:$E$230=$B69)*ISNUMBER(INDEX(Inputs!$K$5:$AJ$230,0,MATCH(Z$2,Inputs!$K$4:$AJ$4,0))))=0,NA(),SUMPRODUCT((Inputs!$A$5:$A$230=$B69)*Inputs!$B$5:$B$230*(((Inputs!$G$5:$G$230="moeda")+(Inputs!$G$5:$G$230="acoes"))*Inputs!$B$1+((Inputs!$G$5:$G$230&lt;&gt;"moeda")*(Inputs!$G$5:$G$230&lt;&gt;"acoes")))*INDEX(Inputs!$K$5:$AJ$230,0,MATCH(Z$2,Inputs!$K$4:$AJ$4,0)))+SUMPRODUCT((Inputs!$C$5:$C$230=$B69)*Inputs!$D$5:$D$230*(((Inputs!$G$5:$G$230="moeda")+(Inputs!$G$5:$G$230="acoes"))*Inputs!$B$1+((Inputs!$G$5:$G$230&lt;&gt;"moeda")*(Inputs!$G$5:$G$230&lt;&gt;"acoes")))*INDEX(Inputs!$K$5:$AJ$230,0,MATCH(Z$2,Inputs!$K$4:$AJ$4,0)))+SUMPRODUCT((Inputs!$E$5:$E$230=$B69)*Inputs!$F$5:$F$230*(((Inputs!$G$5:$G$230="moeda")+(Inputs!$G$5:$G$230="acoes"))*Inputs!$B$1+((Inputs!$G$5:$G$230&lt;&gt;"moeda")*(Inputs!$G$5:$G$230&lt;&gt;"acoes")))*INDEX(Inputs!$K$5:$AJ$230,0,MATCH(Z$2,Inputs!$K$4:$AJ$4,0)))))</f>
        <v>79.546</v>
      </c>
      <c r="AA69" s="6">
        <f>IF(ISNA(MATCH(AA$2,Inputs!$K$4:$AJ$4,0)),NA(),IF(SUMPRODUCT((Inputs!$A$5:$A$230=$B69)*ISNUMBER(INDEX(Inputs!$K$5:$AJ$230,0,MATCH(AA$2,Inputs!$K$4:$AJ$4,0))))+SUMPRODUCT((Inputs!$C$5:$C$230=$B69)*ISNUMBER(INDEX(Inputs!$K$5:$AJ$230,0,MATCH(AA$2,Inputs!$K$4:$AJ$4,0))))+SUMPRODUCT((Inputs!$E$5:$E$230=$B69)*ISNUMBER(INDEX(Inputs!$K$5:$AJ$230,0,MATCH(AA$2,Inputs!$K$4:$AJ$4,0))))=0,NA(),SUMPRODUCT((Inputs!$A$5:$A$230=$B69)*Inputs!$B$5:$B$230*(((Inputs!$G$5:$G$230="moeda")+(Inputs!$G$5:$G$230="acoes"))*Inputs!$B$1+((Inputs!$G$5:$G$230&lt;&gt;"moeda")*(Inputs!$G$5:$G$230&lt;&gt;"acoes")))*INDEX(Inputs!$K$5:$AJ$230,0,MATCH(AA$2,Inputs!$K$4:$AJ$4,0)))+SUMPRODUCT((Inputs!$C$5:$C$230=$B69)*Inputs!$D$5:$D$230*(((Inputs!$G$5:$G$230="moeda")+(Inputs!$G$5:$G$230="acoes"))*Inputs!$B$1+((Inputs!$G$5:$G$230&lt;&gt;"moeda")*(Inputs!$G$5:$G$230&lt;&gt;"acoes")))*INDEX(Inputs!$K$5:$AJ$230,0,MATCH(AA$2,Inputs!$K$4:$AJ$4,0)))+SUMPRODUCT((Inputs!$E$5:$E$230=$B69)*Inputs!$F$5:$F$230*(((Inputs!$G$5:$G$230="moeda")+(Inputs!$G$5:$G$230="acoes"))*Inputs!$B$1+((Inputs!$G$5:$G$230&lt;&gt;"moeda")*(Inputs!$G$5:$G$230&lt;&gt;"acoes")))*INDEX(Inputs!$K$5:$AJ$230,0,MATCH(AA$2,Inputs!$K$4:$AJ$4,0)))))</f>
        <v>90.018</v>
      </c>
      <c r="AB69" s="3">
        <f>SUM(X69:AA69)</f>
        <v>392.616</v>
      </c>
      <c r="AC69" s="6">
        <f>IF(ISNA(MATCH(AC$2,Inputs!$K$4:$AJ$4,0)),NA(),IF(SUMPRODUCT((Inputs!$A$5:$A$230=$B69)*ISNUMBER(INDEX(Inputs!$K$5:$AJ$230,0,MATCH(AC$2,Inputs!$K$4:$AJ$4,0))))+SUMPRODUCT((Inputs!$C$5:$C$230=$B69)*ISNUMBER(INDEX(Inputs!$K$5:$AJ$230,0,MATCH(AC$2,Inputs!$K$4:$AJ$4,0))))+SUMPRODUCT((Inputs!$E$5:$E$230=$B69)*ISNUMBER(INDEX(Inputs!$K$5:$AJ$230,0,MATCH(AC$2,Inputs!$K$4:$AJ$4,0))))=0,NA(),SUMPRODUCT((Inputs!$A$5:$A$230=$B69)*Inputs!$B$5:$B$230*(((Inputs!$G$5:$G$230="moeda")+(Inputs!$G$5:$G$230="acoes"))*Inputs!$B$1+((Inputs!$G$5:$G$230&lt;&gt;"moeda")*(Inputs!$G$5:$G$230&lt;&gt;"acoes")))*INDEX(Inputs!$K$5:$AJ$230,0,MATCH(AC$2,Inputs!$K$4:$AJ$4,0)))+SUMPRODUCT((Inputs!$C$5:$C$230=$B69)*Inputs!$D$5:$D$230*(((Inputs!$G$5:$G$230="moeda")+(Inputs!$G$5:$G$230="acoes"))*Inputs!$B$1+((Inputs!$G$5:$G$230&lt;&gt;"moeda")*(Inputs!$G$5:$G$230&lt;&gt;"acoes")))*INDEX(Inputs!$K$5:$AJ$230,0,MATCH(AC$2,Inputs!$K$4:$AJ$4,0)))+SUMPRODUCT((Inputs!$E$5:$E$230=$B69)*Inputs!$F$5:$F$230*(((Inputs!$G$5:$G$230="moeda")+(Inputs!$G$5:$G$230="acoes"))*Inputs!$B$1+((Inputs!$G$5:$G$230&lt;&gt;"moeda")*(Inputs!$G$5:$G$230&lt;&gt;"acoes")))*INDEX(Inputs!$K$5:$AJ$230,0,MATCH(AC$2,Inputs!$K$4:$AJ$4,0)))))</f>
        <v>107.153</v>
      </c>
      <c r="AD69" s="6">
        <f>IF(ISNA(MATCH(AD$2,Inputs!$K$4:$AJ$4,0)),NA(),IF(SUMPRODUCT((Inputs!$A$5:$A$230=$B69)*ISNUMBER(INDEX(Inputs!$K$5:$AJ$230,0,MATCH(AD$2,Inputs!$K$4:$AJ$4,0))))+SUMPRODUCT((Inputs!$C$5:$C$230=$B69)*ISNUMBER(INDEX(Inputs!$K$5:$AJ$230,0,MATCH(AD$2,Inputs!$K$4:$AJ$4,0))))+SUMPRODUCT((Inputs!$E$5:$E$230=$B69)*ISNUMBER(INDEX(Inputs!$K$5:$AJ$230,0,MATCH(AD$2,Inputs!$K$4:$AJ$4,0))))=0,NA(),SUMPRODUCT((Inputs!$A$5:$A$230=$B69)*Inputs!$B$5:$B$230*(((Inputs!$G$5:$G$230="moeda")+(Inputs!$G$5:$G$230="acoes"))*Inputs!$B$1+((Inputs!$G$5:$G$230&lt;&gt;"moeda")*(Inputs!$G$5:$G$230&lt;&gt;"acoes")))*INDEX(Inputs!$K$5:$AJ$230,0,MATCH(AD$2,Inputs!$K$4:$AJ$4,0)))+SUMPRODUCT((Inputs!$C$5:$C$230=$B69)*Inputs!$D$5:$D$230*(((Inputs!$G$5:$G$230="moeda")+(Inputs!$G$5:$G$230="acoes"))*Inputs!$B$1+((Inputs!$G$5:$G$230&lt;&gt;"moeda")*(Inputs!$G$5:$G$230&lt;&gt;"acoes")))*INDEX(Inputs!$K$5:$AJ$230,0,MATCH(AD$2,Inputs!$K$4:$AJ$4,0)))+SUMPRODUCT((Inputs!$E$5:$E$230=$B69)*Inputs!$F$5:$F$230*(((Inputs!$G$5:$G$230="moeda")+(Inputs!$G$5:$G$230="acoes"))*Inputs!$B$1+((Inputs!$G$5:$G$230&lt;&gt;"moeda")*(Inputs!$G$5:$G$230&lt;&gt;"acoes")))*INDEX(Inputs!$K$5:$AJ$230,0,MATCH(AD$2,Inputs!$K$4:$AJ$4,0)))))</f>
        <v>130.903</v>
      </c>
      <c r="AE69" s="6" t="e">
        <f>IF(ISNA(MATCH(AE$2,Inputs!$K$4:$AJ$4,0)),NA(),IF(SUMPRODUCT((Inputs!$A$5:$A$230=$B69)*ISNUMBER(INDEX(Inputs!$K$5:$AJ$230,0,MATCH(AE$2,Inputs!$K$4:$AJ$4,0))))+SUMPRODUCT((Inputs!$C$5:$C$230=$B69)*ISNUMBER(INDEX(Inputs!$K$5:$AJ$230,0,MATCH(AE$2,Inputs!$K$4:$AJ$4,0))))+SUMPRODUCT((Inputs!$E$5:$E$230=$B69)*ISNUMBER(INDEX(Inputs!$K$5:$AJ$230,0,MATCH(AE$2,Inputs!$K$4:$AJ$4,0))))=0,NA(),SUMPRODUCT((Inputs!$A$5:$A$230=$B69)*Inputs!$B$5:$B$230*(((Inputs!$G$5:$G$230="moeda")+(Inputs!$G$5:$G$230="acoes"))*Inputs!$B$1+((Inputs!$G$5:$G$230&lt;&gt;"moeda")*(Inputs!$G$5:$G$230&lt;&gt;"acoes")))*INDEX(Inputs!$K$5:$AJ$230,0,MATCH(AE$2,Inputs!$K$4:$AJ$4,0)))+SUMPRODUCT((Inputs!$C$5:$C$230=$B69)*Inputs!$D$5:$D$230*(((Inputs!$G$5:$G$230="moeda")+(Inputs!$G$5:$G$230="acoes"))*Inputs!$B$1+((Inputs!$G$5:$G$230&lt;&gt;"moeda")*(Inputs!$G$5:$G$230&lt;&gt;"acoes")))*INDEX(Inputs!$K$5:$AJ$230,0,MATCH(AE$2,Inputs!$K$4:$AJ$4,0)))+SUMPRODUCT((Inputs!$E$5:$E$230=$B69)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69" s="6" t="e">
        <f>IF(ISNA(MATCH(AF$2,Inputs!$K$4:$AJ$4,0)),NA(),IF(SUMPRODUCT((Inputs!$A$5:$A$230=$B69)*ISNUMBER(INDEX(Inputs!$K$5:$AJ$230,0,MATCH(AF$2,Inputs!$K$4:$AJ$4,0))))+SUMPRODUCT((Inputs!$C$5:$C$230=$B69)*ISNUMBER(INDEX(Inputs!$K$5:$AJ$230,0,MATCH(AF$2,Inputs!$K$4:$AJ$4,0))))+SUMPRODUCT((Inputs!$E$5:$E$230=$B69)*ISNUMBER(INDEX(Inputs!$K$5:$AJ$230,0,MATCH(AF$2,Inputs!$K$4:$AJ$4,0))))=0,NA(),SUMPRODUCT((Inputs!$A$5:$A$230=$B69)*Inputs!$B$5:$B$230*(((Inputs!$G$5:$G$230="moeda")+(Inputs!$G$5:$G$230="acoes"))*Inputs!$B$1+((Inputs!$G$5:$G$230&lt;&gt;"moeda")*(Inputs!$G$5:$G$230&lt;&gt;"acoes")))*INDEX(Inputs!$K$5:$AJ$230,0,MATCH(AF$2,Inputs!$K$4:$AJ$4,0)))+SUMPRODUCT((Inputs!$C$5:$C$230=$B69)*Inputs!$D$5:$D$230*(((Inputs!$G$5:$G$230="moeda")+(Inputs!$G$5:$G$230="acoes"))*Inputs!$B$1+((Inputs!$G$5:$G$230&lt;&gt;"moeda")*(Inputs!$G$5:$G$230&lt;&gt;"acoes")))*INDEX(Inputs!$K$5:$AJ$230,0,MATCH(AF$2,Inputs!$K$4:$AJ$4,0)))+SUMPRODUCT((Inputs!$E$5:$E$230=$B69)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69" s="3" t="e">
        <f>SUM(AC69:AF69)</f>
        <v>#N/A</v>
      </c>
      <c r="AH69" s="6">
        <f>IF(ISNA(MATCH(AH$2,Inputs!$K$4:$AJ$4,0)),NA(),IF(SUMPRODUCT((Inputs!$A$5:$A$230=$B69)*ISNUMBER(INDEX(Inputs!$K$5:$AJ$230,0,MATCH(AH$2,Inputs!$K$4:$AJ$4,0))))+SUMPRODUCT((Inputs!$C$5:$C$230=$B69)*ISNUMBER(INDEX(Inputs!$K$5:$AJ$230,0,MATCH(AH$2,Inputs!$K$4:$AJ$4,0))))+SUMPRODUCT((Inputs!$E$5:$E$230=$B69)*ISNUMBER(INDEX(Inputs!$K$5:$AJ$230,0,MATCH(AH$2,Inputs!$K$4:$AJ$4,0))))=0,NA(),SUMPRODUCT((Inputs!$A$5:$A$230=$B69)*Inputs!$B$5:$B$230*(((Inputs!$G$5:$G$230="moeda")+(Inputs!$G$5:$G$230="acoes"))*Inputs!$B$1+((Inputs!$G$5:$G$230&lt;&gt;"moeda")*(Inputs!$G$5:$G$230&lt;&gt;"acoes")))*INDEX(Inputs!$K$5:$AJ$230,0,MATCH(AH$2,Inputs!$K$4:$AJ$4,0)))+SUMPRODUCT((Inputs!$C$5:$C$230=$B69)*Inputs!$D$5:$D$230*(((Inputs!$G$5:$G$230="moeda")+(Inputs!$G$5:$G$230="acoes"))*Inputs!$B$1+((Inputs!$G$5:$G$230&lt;&gt;"moeda")*(Inputs!$G$5:$G$230&lt;&gt;"acoes")))*INDEX(Inputs!$K$5:$AJ$230,0,MATCH(AH$2,Inputs!$K$4:$AJ$4,0)))+SUMPRODUCT((Inputs!$E$5:$E$230=$B69)*Inputs!$F$5:$F$230*(((Inputs!$G$5:$G$230="moeda")+(Inputs!$G$5:$G$230="acoes"))*Inputs!$B$1+((Inputs!$G$5:$G$230&lt;&gt;"moeda")*(Inputs!$G$5:$G$230&lt;&gt;"acoes")))*INDEX(Inputs!$K$5:$AJ$230,0,MATCH(AH$2,Inputs!$K$4:$AJ$4,0)))))</f>
        <v>244.342</v>
      </c>
      <c r="AI69" s="6">
        <f>IF(ISNA(MATCH(AI$2,Inputs!$K$4:$AJ$4,0)),NA(),IF(SUMPRODUCT((Inputs!$A$5:$A$230=$B69)*ISNUMBER(INDEX(Inputs!$K$5:$AJ$230,0,MATCH(AI$2,Inputs!$K$4:$AJ$4,0))))+SUMPRODUCT((Inputs!$C$5:$C$230=$B69)*ISNUMBER(INDEX(Inputs!$K$5:$AJ$230,0,MATCH(AI$2,Inputs!$K$4:$AJ$4,0))))+SUMPRODUCT((Inputs!$E$5:$E$230=$B69)*ISNUMBER(INDEX(Inputs!$K$5:$AJ$230,0,MATCH(AI$2,Inputs!$K$4:$AJ$4,0))))=0,NA(),SUMPRODUCT((Inputs!$A$5:$A$230=$B69)*Inputs!$B$5:$B$230*(((Inputs!$G$5:$G$230="moeda")+(Inputs!$G$5:$G$230="acoes"))*Inputs!$B$1+((Inputs!$G$5:$G$230&lt;&gt;"moeda")*(Inputs!$G$5:$G$230&lt;&gt;"acoes")))*INDEX(Inputs!$K$5:$AJ$230,0,MATCH(AI$2,Inputs!$K$4:$AJ$4,0)))+SUMPRODUCT((Inputs!$C$5:$C$230=$B69)*Inputs!$D$5:$D$230*(((Inputs!$G$5:$G$230="moeda")+(Inputs!$G$5:$G$230="acoes"))*Inputs!$B$1+((Inputs!$G$5:$G$230&lt;&gt;"moeda")*(Inputs!$G$5:$G$230&lt;&gt;"acoes")))*INDEX(Inputs!$K$5:$AJ$230,0,MATCH(AI$2,Inputs!$K$4:$AJ$4,0)))+SUMPRODUCT((Inputs!$E$5:$E$230=$B69)*Inputs!$F$5:$F$230*(((Inputs!$G$5:$G$230="moeda")+(Inputs!$G$5:$G$230="acoes"))*Inputs!$B$1+((Inputs!$G$5:$G$230&lt;&gt;"moeda")*(Inputs!$G$5:$G$230&lt;&gt;"acoes")))*INDEX(Inputs!$K$5:$AJ$230,0,MATCH(AI$2,Inputs!$K$4:$AJ$4,0)))))</f>
        <v>261.313</v>
      </c>
      <c r="AJ69" s="6">
        <f>IF(ISNA(MATCH(AJ$2,Inputs!$K$4:$AJ$4,0)),NA(),IF(SUMPRODUCT((Inputs!$A$5:$A$230=$B69)*ISNUMBER(INDEX(Inputs!$K$5:$AJ$230,0,MATCH(AJ$2,Inputs!$K$4:$AJ$4,0))))+SUMPRODUCT((Inputs!$C$5:$C$230=$B69)*ISNUMBER(INDEX(Inputs!$K$5:$AJ$230,0,MATCH(AJ$2,Inputs!$K$4:$AJ$4,0))))+SUMPRODUCT((Inputs!$E$5:$E$230=$B69)*ISNUMBER(INDEX(Inputs!$K$5:$AJ$230,0,MATCH(AJ$2,Inputs!$K$4:$AJ$4,0))))=0,NA(),SUMPRODUCT((Inputs!$A$5:$A$230=$B69)*Inputs!$B$5:$B$230*(((Inputs!$G$5:$G$230="moeda")+(Inputs!$G$5:$G$230="acoes"))*Inputs!$B$1+((Inputs!$G$5:$G$230&lt;&gt;"moeda")*(Inputs!$G$5:$G$230&lt;&gt;"acoes")))*INDEX(Inputs!$K$5:$AJ$230,0,MATCH(AJ$2,Inputs!$K$4:$AJ$4,0)))+SUMPRODUCT((Inputs!$C$5:$C$230=$B69)*Inputs!$D$5:$D$230*(((Inputs!$G$5:$G$230="moeda")+(Inputs!$G$5:$G$230="acoes"))*Inputs!$B$1+((Inputs!$G$5:$G$230&lt;&gt;"moeda")*(Inputs!$G$5:$G$230&lt;&gt;"acoes")))*INDEX(Inputs!$K$5:$AJ$230,0,MATCH(AJ$2,Inputs!$K$4:$AJ$4,0)))+SUMPRODUCT((Inputs!$E$5:$E$230=$B69)*Inputs!$F$5:$F$230*(((Inputs!$G$5:$G$230="moeda")+(Inputs!$G$5:$G$230="acoes"))*Inputs!$B$1+((Inputs!$G$5:$G$230&lt;&gt;"moeda")*(Inputs!$G$5:$G$230&lt;&gt;"acoes")))*INDEX(Inputs!$K$5:$AJ$230,0,MATCH(AJ$2,Inputs!$K$4:$AJ$4,0)))))</f>
        <v>155.388</v>
      </c>
      <c r="AK69" s="6">
        <f>IF(ISNA(MATCH(AK$2,Inputs!$K$4:$AJ$4,0)),NA(),IF(SUMPRODUCT((Inputs!$A$5:$A$230=$B69)*ISNUMBER(INDEX(Inputs!$K$5:$AJ$230,0,MATCH(AK$2,Inputs!$K$4:$AJ$4,0))))+SUMPRODUCT((Inputs!$C$5:$C$230=$B69)*ISNUMBER(INDEX(Inputs!$K$5:$AJ$230,0,MATCH(AK$2,Inputs!$K$4:$AJ$4,0))))+SUMPRODUCT((Inputs!$E$5:$E$230=$B69)*ISNUMBER(INDEX(Inputs!$K$5:$AJ$230,0,MATCH(AK$2,Inputs!$K$4:$AJ$4,0))))=0,NA(),SUMPRODUCT((Inputs!$A$5:$A$230=$B69)*Inputs!$B$5:$B$230*(((Inputs!$G$5:$G$230="moeda")+(Inputs!$G$5:$G$230="acoes"))*Inputs!$B$1+((Inputs!$G$5:$G$230&lt;&gt;"moeda")*(Inputs!$G$5:$G$230&lt;&gt;"acoes")))*INDEX(Inputs!$K$5:$AJ$230,0,MATCH(AK$2,Inputs!$K$4:$AJ$4,0)))+SUMPRODUCT((Inputs!$C$5:$C$230=$B69)*Inputs!$D$5:$D$230*(((Inputs!$G$5:$G$230="moeda")+(Inputs!$G$5:$G$230="acoes"))*Inputs!$B$1+((Inputs!$G$5:$G$230&lt;&gt;"moeda")*(Inputs!$G$5:$G$230&lt;&gt;"acoes")))*INDEX(Inputs!$K$5:$AJ$230,0,MATCH(AK$2,Inputs!$K$4:$AJ$4,0)))+SUMPRODUCT((Inputs!$E$5:$E$230=$B69)*Inputs!$F$5:$F$230*(((Inputs!$G$5:$G$230="moeda")+(Inputs!$G$5:$G$230="acoes"))*Inputs!$B$1+((Inputs!$G$5:$G$230&lt;&gt;"moeda")*(Inputs!$G$5:$G$230&lt;&gt;"acoes")))*INDEX(Inputs!$K$5:$AJ$230,0,MATCH(AK$2,Inputs!$K$4:$AJ$4,0)))))</f>
        <v>641.729</v>
      </c>
      <c r="AL69" s="3">
        <f>SUM(AH69:AK69)</f>
        <v>1302.772</v>
      </c>
    </row>
    <row r="70">
      <c r="B70" s="46" t="n">
        <v>62</v>
      </c>
      <c r="C70" s="29" t="inlineStr">
        <is>
          <t>Transmissao | ETEM</t>
        </is>
      </c>
      <c r="D70" s="6">
        <f>IF(ISNA(MATCH(D$2,Inputs!$K$4:$AJ$4,0)),NA(),IF(SUMPRODUCT((Inputs!$A$5:$A$230=$B70)*ISNUMBER(INDEX(Inputs!$K$5:$AJ$230,0,MATCH(D$2,Inputs!$K$4:$AJ$4,0))))+SUMPRODUCT((Inputs!$C$5:$C$230=$B70)*ISNUMBER(INDEX(Inputs!$K$5:$AJ$230,0,MATCH(D$2,Inputs!$K$4:$AJ$4,0))))+SUMPRODUCT((Inputs!$E$5:$E$230=$B70)*ISNUMBER(INDEX(Inputs!$K$5:$AJ$230,0,MATCH(D$2,Inputs!$K$4:$AJ$4,0))))=0,NA(),SUMPRODUCT((Inputs!$A$5:$A$230=$B70)*Inputs!$B$5:$B$230*(((Inputs!$G$5:$G$230="moeda")+(Inputs!$G$5:$G$230="acoes"))*Inputs!$B$1+((Inputs!$G$5:$G$230&lt;&gt;"moeda")*(Inputs!$G$5:$G$230&lt;&gt;"acoes")))*INDEX(Inputs!$K$5:$AJ$230,0,MATCH(D$2,Inputs!$K$4:$AJ$4,0)))+SUMPRODUCT((Inputs!$C$5:$C$230=$B70)*Inputs!$D$5:$D$230*(((Inputs!$G$5:$G$230="moeda")+(Inputs!$G$5:$G$230="acoes"))*Inputs!$B$1+((Inputs!$G$5:$G$230&lt;&gt;"moeda")*(Inputs!$G$5:$G$230&lt;&gt;"acoes")))*INDEX(Inputs!$K$5:$AJ$230,0,MATCH(D$2,Inputs!$K$4:$AJ$4,0)))+SUMPRODUCT((Inputs!$E$5:$E$230=$B70)*Inputs!$F$5:$F$230*(((Inputs!$G$5:$G$230="moeda")+(Inputs!$G$5:$G$230="acoes"))*Inputs!$B$1+((Inputs!$G$5:$G$230&lt;&gt;"moeda")*(Inputs!$G$5:$G$230&lt;&gt;"acoes")))*INDEX(Inputs!$K$5:$AJ$230,0,MATCH(D$2,Inputs!$K$4:$AJ$4,0)))))</f>
        <v>5.496</v>
      </c>
      <c r="E70" s="6">
        <f>IF(ISNA(MATCH(E$2,Inputs!$K$4:$AJ$4,0)),NA(),IF(SUMPRODUCT((Inputs!$A$5:$A$230=$B70)*ISNUMBER(INDEX(Inputs!$K$5:$AJ$230,0,MATCH(E$2,Inputs!$K$4:$AJ$4,0))))+SUMPRODUCT((Inputs!$C$5:$C$230=$B70)*ISNUMBER(INDEX(Inputs!$K$5:$AJ$230,0,MATCH(E$2,Inputs!$K$4:$AJ$4,0))))+SUMPRODUCT((Inputs!$E$5:$E$230=$B70)*ISNUMBER(INDEX(Inputs!$K$5:$AJ$230,0,MATCH(E$2,Inputs!$K$4:$AJ$4,0))))=0,NA(),SUMPRODUCT((Inputs!$A$5:$A$230=$B70)*Inputs!$B$5:$B$230*(((Inputs!$G$5:$G$230="moeda")+(Inputs!$G$5:$G$230="acoes"))*Inputs!$B$1+((Inputs!$G$5:$G$230&lt;&gt;"moeda")*(Inputs!$G$5:$G$230&lt;&gt;"acoes")))*INDEX(Inputs!$K$5:$AJ$230,0,MATCH(E$2,Inputs!$K$4:$AJ$4,0)))+SUMPRODUCT((Inputs!$C$5:$C$230=$B70)*Inputs!$D$5:$D$230*(((Inputs!$G$5:$G$230="moeda")+(Inputs!$G$5:$G$230="acoes"))*Inputs!$B$1+((Inputs!$G$5:$G$230&lt;&gt;"moeda")*(Inputs!$G$5:$G$230&lt;&gt;"acoes")))*INDEX(Inputs!$K$5:$AJ$230,0,MATCH(E$2,Inputs!$K$4:$AJ$4,0)))+SUMPRODUCT((Inputs!$E$5:$E$230=$B70)*Inputs!$F$5:$F$230*(((Inputs!$G$5:$G$230="moeda")+(Inputs!$G$5:$G$230="acoes"))*Inputs!$B$1+((Inputs!$G$5:$G$230&lt;&gt;"moeda")*(Inputs!$G$5:$G$230&lt;&gt;"acoes")))*INDEX(Inputs!$K$5:$AJ$230,0,MATCH(E$2,Inputs!$K$4:$AJ$4,0)))))</f>
        <v>6.175</v>
      </c>
      <c r="F70" s="6">
        <f>IF(ISNA(MATCH(F$2,Inputs!$K$4:$AJ$4,0)),NA(),IF(SUMPRODUCT((Inputs!$A$5:$A$230=$B70)*ISNUMBER(INDEX(Inputs!$K$5:$AJ$230,0,MATCH(F$2,Inputs!$K$4:$AJ$4,0))))+SUMPRODUCT((Inputs!$C$5:$C$230=$B70)*ISNUMBER(INDEX(Inputs!$K$5:$AJ$230,0,MATCH(F$2,Inputs!$K$4:$AJ$4,0))))+SUMPRODUCT((Inputs!$E$5:$E$230=$B70)*ISNUMBER(INDEX(Inputs!$K$5:$AJ$230,0,MATCH(F$2,Inputs!$K$4:$AJ$4,0))))=0,NA(),SUMPRODUCT((Inputs!$A$5:$A$230=$B70)*Inputs!$B$5:$B$230*(((Inputs!$G$5:$G$230="moeda")+(Inputs!$G$5:$G$230="acoes"))*Inputs!$B$1+((Inputs!$G$5:$G$230&lt;&gt;"moeda")*(Inputs!$G$5:$G$230&lt;&gt;"acoes")))*INDEX(Inputs!$K$5:$AJ$230,0,MATCH(F$2,Inputs!$K$4:$AJ$4,0)))+SUMPRODUCT((Inputs!$C$5:$C$230=$B70)*Inputs!$D$5:$D$230*(((Inputs!$G$5:$G$230="moeda")+(Inputs!$G$5:$G$230="acoes"))*Inputs!$B$1+((Inputs!$G$5:$G$230&lt;&gt;"moeda")*(Inputs!$G$5:$G$230&lt;&gt;"acoes")))*INDEX(Inputs!$K$5:$AJ$230,0,MATCH(F$2,Inputs!$K$4:$AJ$4,0)))+SUMPRODUCT((Inputs!$E$5:$E$230=$B70)*Inputs!$F$5:$F$230*(((Inputs!$G$5:$G$230="moeda")+(Inputs!$G$5:$G$230="acoes"))*Inputs!$B$1+((Inputs!$G$5:$G$230&lt;&gt;"moeda")*(Inputs!$G$5:$G$230&lt;&gt;"acoes")))*INDEX(Inputs!$K$5:$AJ$230,0,MATCH(F$2,Inputs!$K$4:$AJ$4,0)))))</f>
        <v>6.029</v>
      </c>
      <c r="G70" s="6">
        <f>IF(ISNA(MATCH(G$2,Inputs!$K$4:$AJ$4,0)),NA(),IF(SUMPRODUCT((Inputs!$A$5:$A$230=$B70)*ISNUMBER(INDEX(Inputs!$K$5:$AJ$230,0,MATCH(G$2,Inputs!$K$4:$AJ$4,0))))+SUMPRODUCT((Inputs!$C$5:$C$230=$B70)*ISNUMBER(INDEX(Inputs!$K$5:$AJ$230,0,MATCH(G$2,Inputs!$K$4:$AJ$4,0))))+SUMPRODUCT((Inputs!$E$5:$E$230=$B70)*ISNUMBER(INDEX(Inputs!$K$5:$AJ$230,0,MATCH(G$2,Inputs!$K$4:$AJ$4,0))))=0,NA(),SUMPRODUCT((Inputs!$A$5:$A$230=$B70)*Inputs!$B$5:$B$230*(((Inputs!$G$5:$G$230="moeda")+(Inputs!$G$5:$G$230="acoes"))*Inputs!$B$1+((Inputs!$G$5:$G$230&lt;&gt;"moeda")*(Inputs!$G$5:$G$230&lt;&gt;"acoes")))*INDEX(Inputs!$K$5:$AJ$230,0,MATCH(G$2,Inputs!$K$4:$AJ$4,0)))+SUMPRODUCT((Inputs!$C$5:$C$230=$B70)*Inputs!$D$5:$D$230*(((Inputs!$G$5:$G$230="moeda")+(Inputs!$G$5:$G$230="acoes"))*Inputs!$B$1+((Inputs!$G$5:$G$230&lt;&gt;"moeda")*(Inputs!$G$5:$G$230&lt;&gt;"acoes")))*INDEX(Inputs!$K$5:$AJ$230,0,MATCH(G$2,Inputs!$K$4:$AJ$4,0)))+SUMPRODUCT((Inputs!$E$5:$E$230=$B70)*Inputs!$F$5:$F$230*(((Inputs!$G$5:$G$230="moeda")+(Inputs!$G$5:$G$230="acoes"))*Inputs!$B$1+((Inputs!$G$5:$G$230&lt;&gt;"moeda")*(Inputs!$G$5:$G$230&lt;&gt;"acoes")))*INDEX(Inputs!$K$5:$AJ$230,0,MATCH(G$2,Inputs!$K$4:$AJ$4,0)))))</f>
        <v>6.203</v>
      </c>
      <c r="H70" s="3">
        <f>SUM(D70:G70)</f>
        <v>23.903</v>
      </c>
      <c r="I70" s="6">
        <f>IF(ISNA(MATCH(I$2,Inputs!$K$4:$AJ$4,0)),NA(),IF(SUMPRODUCT((Inputs!$A$5:$A$230=$B70)*ISNUMBER(INDEX(Inputs!$K$5:$AJ$230,0,MATCH(I$2,Inputs!$K$4:$AJ$4,0))))+SUMPRODUCT((Inputs!$C$5:$C$230=$B70)*ISNUMBER(INDEX(Inputs!$K$5:$AJ$230,0,MATCH(I$2,Inputs!$K$4:$AJ$4,0))))+SUMPRODUCT((Inputs!$E$5:$E$230=$B70)*ISNUMBER(INDEX(Inputs!$K$5:$AJ$230,0,MATCH(I$2,Inputs!$K$4:$AJ$4,0))))=0,NA(),SUMPRODUCT((Inputs!$A$5:$A$230=$B70)*Inputs!$B$5:$B$230*(((Inputs!$G$5:$G$230="moeda")+(Inputs!$G$5:$G$230="acoes"))*Inputs!$B$1+((Inputs!$G$5:$G$230&lt;&gt;"moeda")*(Inputs!$G$5:$G$230&lt;&gt;"acoes")))*INDEX(Inputs!$K$5:$AJ$230,0,MATCH(I$2,Inputs!$K$4:$AJ$4,0)))+SUMPRODUCT((Inputs!$C$5:$C$230=$B70)*Inputs!$D$5:$D$230*(((Inputs!$G$5:$G$230="moeda")+(Inputs!$G$5:$G$230="acoes"))*Inputs!$B$1+((Inputs!$G$5:$G$230&lt;&gt;"moeda")*(Inputs!$G$5:$G$230&lt;&gt;"acoes")))*INDEX(Inputs!$K$5:$AJ$230,0,MATCH(I$2,Inputs!$K$4:$AJ$4,0)))+SUMPRODUCT((Inputs!$E$5:$E$230=$B70)*Inputs!$F$5:$F$230*(((Inputs!$G$5:$G$230="moeda")+(Inputs!$G$5:$G$230="acoes"))*Inputs!$B$1+((Inputs!$G$5:$G$230&lt;&gt;"moeda")*(Inputs!$G$5:$G$230&lt;&gt;"acoes")))*INDEX(Inputs!$K$5:$AJ$230,0,MATCH(I$2,Inputs!$K$4:$AJ$4,0)))))</f>
        <v>6.269</v>
      </c>
      <c r="J70" s="6">
        <f>IF(ISNA(MATCH(J$2,Inputs!$K$4:$AJ$4,0)),NA(),IF(SUMPRODUCT((Inputs!$A$5:$A$230=$B70)*ISNUMBER(INDEX(Inputs!$K$5:$AJ$230,0,MATCH(J$2,Inputs!$K$4:$AJ$4,0))))+SUMPRODUCT((Inputs!$C$5:$C$230=$B70)*ISNUMBER(INDEX(Inputs!$K$5:$AJ$230,0,MATCH(J$2,Inputs!$K$4:$AJ$4,0))))+SUMPRODUCT((Inputs!$E$5:$E$230=$B70)*ISNUMBER(INDEX(Inputs!$K$5:$AJ$230,0,MATCH(J$2,Inputs!$K$4:$AJ$4,0))))=0,NA(),SUMPRODUCT((Inputs!$A$5:$A$230=$B70)*Inputs!$B$5:$B$230*(((Inputs!$G$5:$G$230="moeda")+(Inputs!$G$5:$G$230="acoes"))*Inputs!$B$1+((Inputs!$G$5:$G$230&lt;&gt;"moeda")*(Inputs!$G$5:$G$230&lt;&gt;"acoes")))*INDEX(Inputs!$K$5:$AJ$230,0,MATCH(J$2,Inputs!$K$4:$AJ$4,0)))+SUMPRODUCT((Inputs!$C$5:$C$230=$B70)*Inputs!$D$5:$D$230*(((Inputs!$G$5:$G$230="moeda")+(Inputs!$G$5:$G$230="acoes"))*Inputs!$B$1+((Inputs!$G$5:$G$230&lt;&gt;"moeda")*(Inputs!$G$5:$G$230&lt;&gt;"acoes")))*INDEX(Inputs!$K$5:$AJ$230,0,MATCH(J$2,Inputs!$K$4:$AJ$4,0)))+SUMPRODUCT((Inputs!$E$5:$E$230=$B70)*Inputs!$F$5:$F$230*(((Inputs!$G$5:$G$230="moeda")+(Inputs!$G$5:$G$230="acoes"))*Inputs!$B$1+((Inputs!$G$5:$G$230&lt;&gt;"moeda")*(Inputs!$G$5:$G$230&lt;&gt;"acoes")))*INDEX(Inputs!$K$5:$AJ$230,0,MATCH(J$2,Inputs!$K$4:$AJ$4,0)))))</f>
        <v>7.684</v>
      </c>
      <c r="K70" s="6">
        <f>IF(ISNA(MATCH(K$2,Inputs!$K$4:$AJ$4,0)),NA(),IF(SUMPRODUCT((Inputs!$A$5:$A$230=$B70)*ISNUMBER(INDEX(Inputs!$K$5:$AJ$230,0,MATCH(K$2,Inputs!$K$4:$AJ$4,0))))+SUMPRODUCT((Inputs!$C$5:$C$230=$B70)*ISNUMBER(INDEX(Inputs!$K$5:$AJ$230,0,MATCH(K$2,Inputs!$K$4:$AJ$4,0))))+SUMPRODUCT((Inputs!$E$5:$E$230=$B70)*ISNUMBER(INDEX(Inputs!$K$5:$AJ$230,0,MATCH(K$2,Inputs!$K$4:$AJ$4,0))))=0,NA(),SUMPRODUCT((Inputs!$A$5:$A$230=$B70)*Inputs!$B$5:$B$230*(((Inputs!$G$5:$G$230="moeda")+(Inputs!$G$5:$G$230="acoes"))*Inputs!$B$1+((Inputs!$G$5:$G$230&lt;&gt;"moeda")*(Inputs!$G$5:$G$230&lt;&gt;"acoes")))*INDEX(Inputs!$K$5:$AJ$230,0,MATCH(K$2,Inputs!$K$4:$AJ$4,0)))+SUMPRODUCT((Inputs!$C$5:$C$230=$B70)*Inputs!$D$5:$D$230*(((Inputs!$G$5:$G$230="moeda")+(Inputs!$G$5:$G$230="acoes"))*Inputs!$B$1+((Inputs!$G$5:$G$230&lt;&gt;"moeda")*(Inputs!$G$5:$G$230&lt;&gt;"acoes")))*INDEX(Inputs!$K$5:$AJ$230,0,MATCH(K$2,Inputs!$K$4:$AJ$4,0)))+SUMPRODUCT((Inputs!$E$5:$E$230=$B70)*Inputs!$F$5:$F$230*(((Inputs!$G$5:$G$230="moeda")+(Inputs!$G$5:$G$230="acoes"))*Inputs!$B$1+((Inputs!$G$5:$G$230&lt;&gt;"moeda")*(Inputs!$G$5:$G$230&lt;&gt;"acoes")))*INDEX(Inputs!$K$5:$AJ$230,0,MATCH(K$2,Inputs!$K$4:$AJ$4,0)))))</f>
        <v>2.836</v>
      </c>
      <c r="L70" s="6">
        <f>IF(ISNA(MATCH(L$2,Inputs!$K$4:$AJ$4,0)),NA(),IF(SUMPRODUCT((Inputs!$A$5:$A$230=$B70)*ISNUMBER(INDEX(Inputs!$K$5:$AJ$230,0,MATCH(L$2,Inputs!$K$4:$AJ$4,0))))+SUMPRODUCT((Inputs!$C$5:$C$230=$B70)*ISNUMBER(INDEX(Inputs!$K$5:$AJ$230,0,MATCH(L$2,Inputs!$K$4:$AJ$4,0))))+SUMPRODUCT((Inputs!$E$5:$E$230=$B70)*ISNUMBER(INDEX(Inputs!$K$5:$AJ$230,0,MATCH(L$2,Inputs!$K$4:$AJ$4,0))))=0,NA(),SUMPRODUCT((Inputs!$A$5:$A$230=$B70)*Inputs!$B$5:$B$230*(((Inputs!$G$5:$G$230="moeda")+(Inputs!$G$5:$G$230="acoes"))*Inputs!$B$1+((Inputs!$G$5:$G$230&lt;&gt;"moeda")*(Inputs!$G$5:$G$230&lt;&gt;"acoes")))*INDEX(Inputs!$K$5:$AJ$230,0,MATCH(L$2,Inputs!$K$4:$AJ$4,0)))+SUMPRODUCT((Inputs!$C$5:$C$230=$B70)*Inputs!$D$5:$D$230*(((Inputs!$G$5:$G$230="moeda")+(Inputs!$G$5:$G$230="acoes"))*Inputs!$B$1+((Inputs!$G$5:$G$230&lt;&gt;"moeda")*(Inputs!$G$5:$G$230&lt;&gt;"acoes")))*INDEX(Inputs!$K$5:$AJ$230,0,MATCH(L$2,Inputs!$K$4:$AJ$4,0)))+SUMPRODUCT((Inputs!$E$5:$E$230=$B70)*Inputs!$F$5:$F$230*(((Inputs!$G$5:$G$230="moeda")+(Inputs!$G$5:$G$230="acoes"))*Inputs!$B$1+((Inputs!$G$5:$G$230&lt;&gt;"moeda")*(Inputs!$G$5:$G$230&lt;&gt;"acoes")))*INDEX(Inputs!$K$5:$AJ$230,0,MATCH(L$2,Inputs!$K$4:$AJ$4,0)))))</f>
        <v>4.282</v>
      </c>
      <c r="M70" s="3">
        <f>SUM(I70:L70)</f>
        <v>21.071</v>
      </c>
      <c r="N70" s="6">
        <f>IF(ISNA(MATCH(N$2,Inputs!$K$4:$AJ$4,0)),NA(),IF(SUMPRODUCT((Inputs!$A$5:$A$230=$B70)*ISNUMBER(INDEX(Inputs!$K$5:$AJ$230,0,MATCH(N$2,Inputs!$K$4:$AJ$4,0))))+SUMPRODUCT((Inputs!$C$5:$C$230=$B70)*ISNUMBER(INDEX(Inputs!$K$5:$AJ$230,0,MATCH(N$2,Inputs!$K$4:$AJ$4,0))))+SUMPRODUCT((Inputs!$E$5:$E$230=$B70)*ISNUMBER(INDEX(Inputs!$K$5:$AJ$230,0,MATCH(N$2,Inputs!$K$4:$AJ$4,0))))=0,NA(),SUMPRODUCT((Inputs!$A$5:$A$230=$B70)*Inputs!$B$5:$B$230*(((Inputs!$G$5:$G$230="moeda")+(Inputs!$G$5:$G$230="acoes"))*Inputs!$B$1+((Inputs!$G$5:$G$230&lt;&gt;"moeda")*(Inputs!$G$5:$G$230&lt;&gt;"acoes")))*INDEX(Inputs!$K$5:$AJ$230,0,MATCH(N$2,Inputs!$K$4:$AJ$4,0)))+SUMPRODUCT((Inputs!$C$5:$C$230=$B70)*Inputs!$D$5:$D$230*(((Inputs!$G$5:$G$230="moeda")+(Inputs!$G$5:$G$230="acoes"))*Inputs!$B$1+((Inputs!$G$5:$G$230&lt;&gt;"moeda")*(Inputs!$G$5:$G$230&lt;&gt;"acoes")))*INDEX(Inputs!$K$5:$AJ$230,0,MATCH(N$2,Inputs!$K$4:$AJ$4,0)))+SUMPRODUCT((Inputs!$E$5:$E$230=$B70)*Inputs!$F$5:$F$230*(((Inputs!$G$5:$G$230="moeda")+(Inputs!$G$5:$G$230="acoes"))*Inputs!$B$1+((Inputs!$G$5:$G$230&lt;&gt;"moeda")*(Inputs!$G$5:$G$230&lt;&gt;"acoes")))*INDEX(Inputs!$K$5:$AJ$230,0,MATCH(N$2,Inputs!$K$4:$AJ$4,0)))))</f>
        <v>6.113</v>
      </c>
      <c r="O70" s="6">
        <f>IF(ISNA(MATCH(O$2,Inputs!$K$4:$AJ$4,0)),NA(),IF(SUMPRODUCT((Inputs!$A$5:$A$230=$B70)*ISNUMBER(INDEX(Inputs!$K$5:$AJ$230,0,MATCH(O$2,Inputs!$K$4:$AJ$4,0))))+SUMPRODUCT((Inputs!$C$5:$C$230=$B70)*ISNUMBER(INDEX(Inputs!$K$5:$AJ$230,0,MATCH(O$2,Inputs!$K$4:$AJ$4,0))))+SUMPRODUCT((Inputs!$E$5:$E$230=$B70)*ISNUMBER(INDEX(Inputs!$K$5:$AJ$230,0,MATCH(O$2,Inputs!$K$4:$AJ$4,0))))=0,NA(),SUMPRODUCT((Inputs!$A$5:$A$230=$B70)*Inputs!$B$5:$B$230*(((Inputs!$G$5:$G$230="moeda")+(Inputs!$G$5:$G$230="acoes"))*Inputs!$B$1+((Inputs!$G$5:$G$230&lt;&gt;"moeda")*(Inputs!$G$5:$G$230&lt;&gt;"acoes")))*INDEX(Inputs!$K$5:$AJ$230,0,MATCH(O$2,Inputs!$K$4:$AJ$4,0)))+SUMPRODUCT((Inputs!$C$5:$C$230=$B70)*Inputs!$D$5:$D$230*(((Inputs!$G$5:$G$230="moeda")+(Inputs!$G$5:$G$230="acoes"))*Inputs!$B$1+((Inputs!$G$5:$G$230&lt;&gt;"moeda")*(Inputs!$G$5:$G$230&lt;&gt;"acoes")))*INDEX(Inputs!$K$5:$AJ$230,0,MATCH(O$2,Inputs!$K$4:$AJ$4,0)))+SUMPRODUCT((Inputs!$E$5:$E$230=$B70)*Inputs!$F$5:$F$230*(((Inputs!$G$5:$G$230="moeda")+(Inputs!$G$5:$G$230="acoes"))*Inputs!$B$1+((Inputs!$G$5:$G$230&lt;&gt;"moeda")*(Inputs!$G$5:$G$230&lt;&gt;"acoes")))*INDEX(Inputs!$K$5:$AJ$230,0,MATCH(O$2,Inputs!$K$4:$AJ$4,0)))))</f>
        <v>5.599</v>
      </c>
      <c r="P70" s="6">
        <f>IF(ISNA(MATCH(P$2,Inputs!$K$4:$AJ$4,0)),NA(),IF(SUMPRODUCT((Inputs!$A$5:$A$230=$B70)*ISNUMBER(INDEX(Inputs!$K$5:$AJ$230,0,MATCH(P$2,Inputs!$K$4:$AJ$4,0))))+SUMPRODUCT((Inputs!$C$5:$C$230=$B70)*ISNUMBER(INDEX(Inputs!$K$5:$AJ$230,0,MATCH(P$2,Inputs!$K$4:$AJ$4,0))))+SUMPRODUCT((Inputs!$E$5:$E$230=$B70)*ISNUMBER(INDEX(Inputs!$K$5:$AJ$230,0,MATCH(P$2,Inputs!$K$4:$AJ$4,0))))=0,NA(),SUMPRODUCT((Inputs!$A$5:$A$230=$B70)*Inputs!$B$5:$B$230*(((Inputs!$G$5:$G$230="moeda")+(Inputs!$G$5:$G$230="acoes"))*Inputs!$B$1+((Inputs!$G$5:$G$230&lt;&gt;"moeda")*(Inputs!$G$5:$G$230&lt;&gt;"acoes")))*INDEX(Inputs!$K$5:$AJ$230,0,MATCH(P$2,Inputs!$K$4:$AJ$4,0)))+SUMPRODUCT((Inputs!$C$5:$C$230=$B70)*Inputs!$D$5:$D$230*(((Inputs!$G$5:$G$230="moeda")+(Inputs!$G$5:$G$230="acoes"))*Inputs!$B$1+((Inputs!$G$5:$G$230&lt;&gt;"moeda")*(Inputs!$G$5:$G$230&lt;&gt;"acoes")))*INDEX(Inputs!$K$5:$AJ$230,0,MATCH(P$2,Inputs!$K$4:$AJ$4,0)))+SUMPRODUCT((Inputs!$E$5:$E$230=$B70)*Inputs!$F$5:$F$230*(((Inputs!$G$5:$G$230="moeda")+(Inputs!$G$5:$G$230="acoes"))*Inputs!$B$1+((Inputs!$G$5:$G$230&lt;&gt;"moeda")*(Inputs!$G$5:$G$230&lt;&gt;"acoes")))*INDEX(Inputs!$K$5:$AJ$230,0,MATCH(P$2,Inputs!$K$4:$AJ$4,0)))))</f>
        <v>3.804</v>
      </c>
      <c r="Q70" s="6">
        <f>IF(ISNA(MATCH(Q$2,Inputs!$K$4:$AJ$4,0)),NA(),IF(SUMPRODUCT((Inputs!$A$5:$A$230=$B70)*ISNUMBER(INDEX(Inputs!$K$5:$AJ$230,0,MATCH(Q$2,Inputs!$K$4:$AJ$4,0))))+SUMPRODUCT((Inputs!$C$5:$C$230=$B70)*ISNUMBER(INDEX(Inputs!$K$5:$AJ$230,0,MATCH(Q$2,Inputs!$K$4:$AJ$4,0))))+SUMPRODUCT((Inputs!$E$5:$E$230=$B70)*ISNUMBER(INDEX(Inputs!$K$5:$AJ$230,0,MATCH(Q$2,Inputs!$K$4:$AJ$4,0))))=0,NA(),SUMPRODUCT((Inputs!$A$5:$A$230=$B70)*Inputs!$B$5:$B$230*(((Inputs!$G$5:$G$230="moeda")+(Inputs!$G$5:$G$230="acoes"))*Inputs!$B$1+((Inputs!$G$5:$G$230&lt;&gt;"moeda")*(Inputs!$G$5:$G$230&lt;&gt;"acoes")))*INDEX(Inputs!$K$5:$AJ$230,0,MATCH(Q$2,Inputs!$K$4:$AJ$4,0)))+SUMPRODUCT((Inputs!$C$5:$C$230=$B70)*Inputs!$D$5:$D$230*(((Inputs!$G$5:$G$230="moeda")+(Inputs!$G$5:$G$230="acoes"))*Inputs!$B$1+((Inputs!$G$5:$G$230&lt;&gt;"moeda")*(Inputs!$G$5:$G$230&lt;&gt;"acoes")))*INDEX(Inputs!$K$5:$AJ$230,0,MATCH(Q$2,Inputs!$K$4:$AJ$4,0)))+SUMPRODUCT((Inputs!$E$5:$E$230=$B70)*Inputs!$F$5:$F$230*(((Inputs!$G$5:$G$230="moeda")+(Inputs!$G$5:$G$230="acoes"))*Inputs!$B$1+((Inputs!$G$5:$G$230&lt;&gt;"moeda")*(Inputs!$G$5:$G$230&lt;&gt;"acoes")))*INDEX(Inputs!$K$5:$AJ$230,0,MATCH(Q$2,Inputs!$K$4:$AJ$4,0)))))</f>
        <v>4.467</v>
      </c>
      <c r="R70" s="3">
        <f>SUM(N70:Q70)</f>
        <v>19.983</v>
      </c>
      <c r="S70" s="6">
        <f>IF(ISNA(MATCH(S$2,Inputs!$K$4:$AJ$4,0)),NA(),IF(SUMPRODUCT((Inputs!$A$5:$A$230=$B70)*ISNUMBER(INDEX(Inputs!$K$5:$AJ$230,0,MATCH(S$2,Inputs!$K$4:$AJ$4,0))))+SUMPRODUCT((Inputs!$C$5:$C$230=$B70)*ISNUMBER(INDEX(Inputs!$K$5:$AJ$230,0,MATCH(S$2,Inputs!$K$4:$AJ$4,0))))+SUMPRODUCT((Inputs!$E$5:$E$230=$B70)*ISNUMBER(INDEX(Inputs!$K$5:$AJ$230,0,MATCH(S$2,Inputs!$K$4:$AJ$4,0))))=0,NA(),SUMPRODUCT((Inputs!$A$5:$A$230=$B70)*Inputs!$B$5:$B$230*(((Inputs!$G$5:$G$230="moeda")+(Inputs!$G$5:$G$230="acoes"))*Inputs!$B$1+((Inputs!$G$5:$G$230&lt;&gt;"moeda")*(Inputs!$G$5:$G$230&lt;&gt;"acoes")))*INDEX(Inputs!$K$5:$AJ$230,0,MATCH(S$2,Inputs!$K$4:$AJ$4,0)))+SUMPRODUCT((Inputs!$C$5:$C$230=$B70)*Inputs!$D$5:$D$230*(((Inputs!$G$5:$G$230="moeda")+(Inputs!$G$5:$G$230="acoes"))*Inputs!$B$1+((Inputs!$G$5:$G$230&lt;&gt;"moeda")*(Inputs!$G$5:$G$230&lt;&gt;"acoes")))*INDEX(Inputs!$K$5:$AJ$230,0,MATCH(S$2,Inputs!$K$4:$AJ$4,0)))+SUMPRODUCT((Inputs!$E$5:$E$230=$B70)*Inputs!$F$5:$F$230*(((Inputs!$G$5:$G$230="moeda")+(Inputs!$G$5:$G$230="acoes"))*Inputs!$B$1+((Inputs!$G$5:$G$230&lt;&gt;"moeda")*(Inputs!$G$5:$G$230&lt;&gt;"acoes")))*INDEX(Inputs!$K$5:$AJ$230,0,MATCH(S$2,Inputs!$K$4:$AJ$4,0)))))</f>
        <v>5.959</v>
      </c>
      <c r="T70" s="6">
        <f>IF(ISNA(MATCH(T$2,Inputs!$K$4:$AJ$4,0)),NA(),IF(SUMPRODUCT((Inputs!$A$5:$A$230=$B70)*ISNUMBER(INDEX(Inputs!$K$5:$AJ$230,0,MATCH(T$2,Inputs!$K$4:$AJ$4,0))))+SUMPRODUCT((Inputs!$C$5:$C$230=$B70)*ISNUMBER(INDEX(Inputs!$K$5:$AJ$230,0,MATCH(T$2,Inputs!$K$4:$AJ$4,0))))+SUMPRODUCT((Inputs!$E$5:$E$230=$B70)*ISNUMBER(INDEX(Inputs!$K$5:$AJ$230,0,MATCH(T$2,Inputs!$K$4:$AJ$4,0))))=0,NA(),SUMPRODUCT((Inputs!$A$5:$A$230=$B70)*Inputs!$B$5:$B$230*(((Inputs!$G$5:$G$230="moeda")+(Inputs!$G$5:$G$230="acoes"))*Inputs!$B$1+((Inputs!$G$5:$G$230&lt;&gt;"moeda")*(Inputs!$G$5:$G$230&lt;&gt;"acoes")))*INDEX(Inputs!$K$5:$AJ$230,0,MATCH(T$2,Inputs!$K$4:$AJ$4,0)))+SUMPRODUCT((Inputs!$C$5:$C$230=$B70)*Inputs!$D$5:$D$230*(((Inputs!$G$5:$G$230="moeda")+(Inputs!$G$5:$G$230="acoes"))*Inputs!$B$1+((Inputs!$G$5:$G$230&lt;&gt;"moeda")*(Inputs!$G$5:$G$230&lt;&gt;"acoes")))*INDEX(Inputs!$K$5:$AJ$230,0,MATCH(T$2,Inputs!$K$4:$AJ$4,0)))+SUMPRODUCT((Inputs!$E$5:$E$230=$B70)*Inputs!$F$5:$F$230*(((Inputs!$G$5:$G$230="moeda")+(Inputs!$G$5:$G$230="acoes"))*Inputs!$B$1+((Inputs!$G$5:$G$230&lt;&gt;"moeda")*(Inputs!$G$5:$G$230&lt;&gt;"acoes")))*INDEX(Inputs!$K$5:$AJ$230,0,MATCH(T$2,Inputs!$K$4:$AJ$4,0)))))</f>
        <v>4.746</v>
      </c>
      <c r="U70" s="6">
        <f>IF(ISNA(MATCH(U$2,Inputs!$K$4:$AJ$4,0)),NA(),IF(SUMPRODUCT((Inputs!$A$5:$A$230=$B70)*ISNUMBER(INDEX(Inputs!$K$5:$AJ$230,0,MATCH(U$2,Inputs!$K$4:$AJ$4,0))))+SUMPRODUCT((Inputs!$C$5:$C$230=$B70)*ISNUMBER(INDEX(Inputs!$K$5:$AJ$230,0,MATCH(U$2,Inputs!$K$4:$AJ$4,0))))+SUMPRODUCT((Inputs!$E$5:$E$230=$B70)*ISNUMBER(INDEX(Inputs!$K$5:$AJ$230,0,MATCH(U$2,Inputs!$K$4:$AJ$4,0))))=0,NA(),SUMPRODUCT((Inputs!$A$5:$A$230=$B70)*Inputs!$B$5:$B$230*(((Inputs!$G$5:$G$230="moeda")+(Inputs!$G$5:$G$230="acoes"))*Inputs!$B$1+((Inputs!$G$5:$G$230&lt;&gt;"moeda")*(Inputs!$G$5:$G$230&lt;&gt;"acoes")))*INDEX(Inputs!$K$5:$AJ$230,0,MATCH(U$2,Inputs!$K$4:$AJ$4,0)))+SUMPRODUCT((Inputs!$C$5:$C$230=$B70)*Inputs!$D$5:$D$230*(((Inputs!$G$5:$G$230="moeda")+(Inputs!$G$5:$G$230="acoes"))*Inputs!$B$1+((Inputs!$G$5:$G$230&lt;&gt;"moeda")*(Inputs!$G$5:$G$230&lt;&gt;"acoes")))*INDEX(Inputs!$K$5:$AJ$230,0,MATCH(U$2,Inputs!$K$4:$AJ$4,0)))+SUMPRODUCT((Inputs!$E$5:$E$230=$B70)*Inputs!$F$5:$F$230*(((Inputs!$G$5:$G$230="moeda")+(Inputs!$G$5:$G$230="acoes"))*Inputs!$B$1+((Inputs!$G$5:$G$230&lt;&gt;"moeda")*(Inputs!$G$5:$G$230&lt;&gt;"acoes")))*INDEX(Inputs!$K$5:$AJ$230,0,MATCH(U$2,Inputs!$K$4:$AJ$4,0)))))</f>
        <v>4.228</v>
      </c>
      <c r="V70" s="6">
        <f>IF(ISNA(MATCH(V$2,Inputs!$K$4:$AJ$4,0)),NA(),IF(SUMPRODUCT((Inputs!$A$5:$A$230=$B70)*ISNUMBER(INDEX(Inputs!$K$5:$AJ$230,0,MATCH(V$2,Inputs!$K$4:$AJ$4,0))))+SUMPRODUCT((Inputs!$C$5:$C$230=$B70)*ISNUMBER(INDEX(Inputs!$K$5:$AJ$230,0,MATCH(V$2,Inputs!$K$4:$AJ$4,0))))+SUMPRODUCT((Inputs!$E$5:$E$230=$B70)*ISNUMBER(INDEX(Inputs!$K$5:$AJ$230,0,MATCH(V$2,Inputs!$K$4:$AJ$4,0))))=0,NA(),SUMPRODUCT((Inputs!$A$5:$A$230=$B70)*Inputs!$B$5:$B$230*(((Inputs!$G$5:$G$230="moeda")+(Inputs!$G$5:$G$230="acoes"))*Inputs!$B$1+((Inputs!$G$5:$G$230&lt;&gt;"moeda")*(Inputs!$G$5:$G$230&lt;&gt;"acoes")))*INDEX(Inputs!$K$5:$AJ$230,0,MATCH(V$2,Inputs!$K$4:$AJ$4,0)))+SUMPRODUCT((Inputs!$C$5:$C$230=$B70)*Inputs!$D$5:$D$230*(((Inputs!$G$5:$G$230="moeda")+(Inputs!$G$5:$G$230="acoes"))*Inputs!$B$1+((Inputs!$G$5:$G$230&lt;&gt;"moeda")*(Inputs!$G$5:$G$230&lt;&gt;"acoes")))*INDEX(Inputs!$K$5:$AJ$230,0,MATCH(V$2,Inputs!$K$4:$AJ$4,0)))+SUMPRODUCT((Inputs!$E$5:$E$230=$B70)*Inputs!$F$5:$F$230*(((Inputs!$G$5:$G$230="moeda")+(Inputs!$G$5:$G$230="acoes"))*Inputs!$B$1+((Inputs!$G$5:$G$230&lt;&gt;"moeda")*(Inputs!$G$5:$G$230&lt;&gt;"acoes")))*INDEX(Inputs!$K$5:$AJ$230,0,MATCH(V$2,Inputs!$K$4:$AJ$4,0)))))</f>
        <v>5.344</v>
      </c>
      <c r="W70" s="3">
        <f>SUM(S70:V70)</f>
        <v>20.277</v>
      </c>
      <c r="X70" s="6">
        <f>IF(ISNA(MATCH(X$2,Inputs!$K$4:$AJ$4,0)),NA(),IF(SUMPRODUCT((Inputs!$A$5:$A$230=$B70)*ISNUMBER(INDEX(Inputs!$K$5:$AJ$230,0,MATCH(X$2,Inputs!$K$4:$AJ$4,0))))+SUMPRODUCT((Inputs!$C$5:$C$230=$B70)*ISNUMBER(INDEX(Inputs!$K$5:$AJ$230,0,MATCH(X$2,Inputs!$K$4:$AJ$4,0))))+SUMPRODUCT((Inputs!$E$5:$E$230=$B70)*ISNUMBER(INDEX(Inputs!$K$5:$AJ$230,0,MATCH(X$2,Inputs!$K$4:$AJ$4,0))))=0,NA(),SUMPRODUCT((Inputs!$A$5:$A$230=$B70)*Inputs!$B$5:$B$230*(((Inputs!$G$5:$G$230="moeda")+(Inputs!$G$5:$G$230="acoes"))*Inputs!$B$1+((Inputs!$G$5:$G$230&lt;&gt;"moeda")*(Inputs!$G$5:$G$230&lt;&gt;"acoes")))*INDEX(Inputs!$K$5:$AJ$230,0,MATCH(X$2,Inputs!$K$4:$AJ$4,0)))+SUMPRODUCT((Inputs!$C$5:$C$230=$B70)*Inputs!$D$5:$D$230*(((Inputs!$G$5:$G$230="moeda")+(Inputs!$G$5:$G$230="acoes"))*Inputs!$B$1+((Inputs!$G$5:$G$230&lt;&gt;"moeda")*(Inputs!$G$5:$G$230&lt;&gt;"acoes")))*INDEX(Inputs!$K$5:$AJ$230,0,MATCH(X$2,Inputs!$K$4:$AJ$4,0)))+SUMPRODUCT((Inputs!$E$5:$E$230=$B70)*Inputs!$F$5:$F$230*(((Inputs!$G$5:$G$230="moeda")+(Inputs!$G$5:$G$230="acoes"))*Inputs!$B$1+((Inputs!$G$5:$G$230&lt;&gt;"moeda")*(Inputs!$G$5:$G$230&lt;&gt;"acoes")))*INDEX(Inputs!$K$5:$AJ$230,0,MATCH(X$2,Inputs!$K$4:$AJ$4,0)))))</f>
        <v>6.593</v>
      </c>
      <c r="Y70" s="6">
        <f>IF(ISNA(MATCH(Y$2,Inputs!$K$4:$AJ$4,0)),NA(),IF(SUMPRODUCT((Inputs!$A$5:$A$230=$B70)*ISNUMBER(INDEX(Inputs!$K$5:$AJ$230,0,MATCH(Y$2,Inputs!$K$4:$AJ$4,0))))+SUMPRODUCT((Inputs!$C$5:$C$230=$B70)*ISNUMBER(INDEX(Inputs!$K$5:$AJ$230,0,MATCH(Y$2,Inputs!$K$4:$AJ$4,0))))+SUMPRODUCT((Inputs!$E$5:$E$230=$B70)*ISNUMBER(INDEX(Inputs!$K$5:$AJ$230,0,MATCH(Y$2,Inputs!$K$4:$AJ$4,0))))=0,NA(),SUMPRODUCT((Inputs!$A$5:$A$230=$B70)*Inputs!$B$5:$B$230*(((Inputs!$G$5:$G$230="moeda")+(Inputs!$G$5:$G$230="acoes"))*Inputs!$B$1+((Inputs!$G$5:$G$230&lt;&gt;"moeda")*(Inputs!$G$5:$G$230&lt;&gt;"acoes")))*INDEX(Inputs!$K$5:$AJ$230,0,MATCH(Y$2,Inputs!$K$4:$AJ$4,0)))+SUMPRODUCT((Inputs!$C$5:$C$230=$B70)*Inputs!$D$5:$D$230*(((Inputs!$G$5:$G$230="moeda")+(Inputs!$G$5:$G$230="acoes"))*Inputs!$B$1+((Inputs!$G$5:$G$230&lt;&gt;"moeda")*(Inputs!$G$5:$G$230&lt;&gt;"acoes")))*INDEX(Inputs!$K$5:$AJ$230,0,MATCH(Y$2,Inputs!$K$4:$AJ$4,0)))+SUMPRODUCT((Inputs!$E$5:$E$230=$B70)*Inputs!$F$5:$F$230*(((Inputs!$G$5:$G$230="moeda")+(Inputs!$G$5:$G$230="acoes"))*Inputs!$B$1+((Inputs!$G$5:$G$230&lt;&gt;"moeda")*(Inputs!$G$5:$G$230&lt;&gt;"acoes")))*INDEX(Inputs!$K$5:$AJ$230,0,MATCH(Y$2,Inputs!$K$4:$AJ$4,0)))))</f>
        <v>5.347</v>
      </c>
      <c r="Z70" s="6">
        <f>IF(ISNA(MATCH(Z$2,Inputs!$K$4:$AJ$4,0)),NA(),IF(SUMPRODUCT((Inputs!$A$5:$A$230=$B70)*ISNUMBER(INDEX(Inputs!$K$5:$AJ$230,0,MATCH(Z$2,Inputs!$K$4:$AJ$4,0))))+SUMPRODUCT((Inputs!$C$5:$C$230=$B70)*ISNUMBER(INDEX(Inputs!$K$5:$AJ$230,0,MATCH(Z$2,Inputs!$K$4:$AJ$4,0))))+SUMPRODUCT((Inputs!$E$5:$E$230=$B70)*ISNUMBER(INDEX(Inputs!$K$5:$AJ$230,0,MATCH(Z$2,Inputs!$K$4:$AJ$4,0))))=0,NA(),SUMPRODUCT((Inputs!$A$5:$A$230=$B70)*Inputs!$B$5:$B$230*(((Inputs!$G$5:$G$230="moeda")+(Inputs!$G$5:$G$230="acoes"))*Inputs!$B$1+((Inputs!$G$5:$G$230&lt;&gt;"moeda")*(Inputs!$G$5:$G$230&lt;&gt;"acoes")))*INDEX(Inputs!$K$5:$AJ$230,0,MATCH(Z$2,Inputs!$K$4:$AJ$4,0)))+SUMPRODUCT((Inputs!$C$5:$C$230=$B70)*Inputs!$D$5:$D$230*(((Inputs!$G$5:$G$230="moeda")+(Inputs!$G$5:$G$230="acoes"))*Inputs!$B$1+((Inputs!$G$5:$G$230&lt;&gt;"moeda")*(Inputs!$G$5:$G$230&lt;&gt;"acoes")))*INDEX(Inputs!$K$5:$AJ$230,0,MATCH(Z$2,Inputs!$K$4:$AJ$4,0)))+SUMPRODUCT((Inputs!$E$5:$E$230=$B70)*Inputs!$F$5:$F$230*(((Inputs!$G$5:$G$230="moeda")+(Inputs!$G$5:$G$230="acoes"))*Inputs!$B$1+((Inputs!$G$5:$G$230&lt;&gt;"moeda")*(Inputs!$G$5:$G$230&lt;&gt;"acoes")))*INDEX(Inputs!$K$5:$AJ$230,0,MATCH(Z$2,Inputs!$K$4:$AJ$4,0)))))</f>
        <v>4.082</v>
      </c>
      <c r="AA70" s="6">
        <f>IF(ISNA(MATCH(AA$2,Inputs!$K$4:$AJ$4,0)),NA(),IF(SUMPRODUCT((Inputs!$A$5:$A$230=$B70)*ISNUMBER(INDEX(Inputs!$K$5:$AJ$230,0,MATCH(AA$2,Inputs!$K$4:$AJ$4,0))))+SUMPRODUCT((Inputs!$C$5:$C$230=$B70)*ISNUMBER(INDEX(Inputs!$K$5:$AJ$230,0,MATCH(AA$2,Inputs!$K$4:$AJ$4,0))))+SUMPRODUCT((Inputs!$E$5:$E$230=$B70)*ISNUMBER(INDEX(Inputs!$K$5:$AJ$230,0,MATCH(AA$2,Inputs!$K$4:$AJ$4,0))))=0,NA(),SUMPRODUCT((Inputs!$A$5:$A$230=$B70)*Inputs!$B$5:$B$230*(((Inputs!$G$5:$G$230="moeda")+(Inputs!$G$5:$G$230="acoes"))*Inputs!$B$1+((Inputs!$G$5:$G$230&lt;&gt;"moeda")*(Inputs!$G$5:$G$230&lt;&gt;"acoes")))*INDEX(Inputs!$K$5:$AJ$230,0,MATCH(AA$2,Inputs!$K$4:$AJ$4,0)))+SUMPRODUCT((Inputs!$C$5:$C$230=$B70)*Inputs!$D$5:$D$230*(((Inputs!$G$5:$G$230="moeda")+(Inputs!$G$5:$G$230="acoes"))*Inputs!$B$1+((Inputs!$G$5:$G$230&lt;&gt;"moeda")*(Inputs!$G$5:$G$230&lt;&gt;"acoes")))*INDEX(Inputs!$K$5:$AJ$230,0,MATCH(AA$2,Inputs!$K$4:$AJ$4,0)))+SUMPRODUCT((Inputs!$E$5:$E$230=$B70)*Inputs!$F$5:$F$230*(((Inputs!$G$5:$G$230="moeda")+(Inputs!$G$5:$G$230="acoes"))*Inputs!$B$1+((Inputs!$G$5:$G$230&lt;&gt;"moeda")*(Inputs!$G$5:$G$230&lt;&gt;"acoes")))*INDEX(Inputs!$K$5:$AJ$230,0,MATCH(AA$2,Inputs!$K$4:$AJ$4,0)))))</f>
        <v>4.583</v>
      </c>
      <c r="AB70" s="3">
        <f>SUM(X70:AA70)</f>
        <v>20.605</v>
      </c>
      <c r="AC70" s="6">
        <f>IF(ISNA(MATCH(AC$2,Inputs!$K$4:$AJ$4,0)),NA(),IF(SUMPRODUCT((Inputs!$A$5:$A$230=$B70)*ISNUMBER(INDEX(Inputs!$K$5:$AJ$230,0,MATCH(AC$2,Inputs!$K$4:$AJ$4,0))))+SUMPRODUCT((Inputs!$C$5:$C$230=$B70)*ISNUMBER(INDEX(Inputs!$K$5:$AJ$230,0,MATCH(AC$2,Inputs!$K$4:$AJ$4,0))))+SUMPRODUCT((Inputs!$E$5:$E$230=$B70)*ISNUMBER(INDEX(Inputs!$K$5:$AJ$230,0,MATCH(AC$2,Inputs!$K$4:$AJ$4,0))))=0,NA(),SUMPRODUCT((Inputs!$A$5:$A$230=$B70)*Inputs!$B$5:$B$230*(((Inputs!$G$5:$G$230="moeda")+(Inputs!$G$5:$G$230="acoes"))*Inputs!$B$1+((Inputs!$G$5:$G$230&lt;&gt;"moeda")*(Inputs!$G$5:$G$230&lt;&gt;"acoes")))*INDEX(Inputs!$K$5:$AJ$230,0,MATCH(AC$2,Inputs!$K$4:$AJ$4,0)))+SUMPRODUCT((Inputs!$C$5:$C$230=$B70)*Inputs!$D$5:$D$230*(((Inputs!$G$5:$G$230="moeda")+(Inputs!$G$5:$G$230="acoes"))*Inputs!$B$1+((Inputs!$G$5:$G$230&lt;&gt;"moeda")*(Inputs!$G$5:$G$230&lt;&gt;"acoes")))*INDEX(Inputs!$K$5:$AJ$230,0,MATCH(AC$2,Inputs!$K$4:$AJ$4,0)))+SUMPRODUCT((Inputs!$E$5:$E$230=$B70)*Inputs!$F$5:$F$230*(((Inputs!$G$5:$G$230="moeda")+(Inputs!$G$5:$G$230="acoes"))*Inputs!$B$1+((Inputs!$G$5:$G$230&lt;&gt;"moeda")*(Inputs!$G$5:$G$230&lt;&gt;"acoes")))*INDEX(Inputs!$K$5:$AJ$230,0,MATCH(AC$2,Inputs!$K$4:$AJ$4,0)))))</f>
        <v>5.446</v>
      </c>
      <c r="AD70" s="6">
        <f>IF(ISNA(MATCH(AD$2,Inputs!$K$4:$AJ$4,0)),NA(),IF(SUMPRODUCT((Inputs!$A$5:$A$230=$B70)*ISNUMBER(INDEX(Inputs!$K$5:$AJ$230,0,MATCH(AD$2,Inputs!$K$4:$AJ$4,0))))+SUMPRODUCT((Inputs!$C$5:$C$230=$B70)*ISNUMBER(INDEX(Inputs!$K$5:$AJ$230,0,MATCH(AD$2,Inputs!$K$4:$AJ$4,0))))+SUMPRODUCT((Inputs!$E$5:$E$230=$B70)*ISNUMBER(INDEX(Inputs!$K$5:$AJ$230,0,MATCH(AD$2,Inputs!$K$4:$AJ$4,0))))=0,NA(),SUMPRODUCT((Inputs!$A$5:$A$230=$B70)*Inputs!$B$5:$B$230*(((Inputs!$G$5:$G$230="moeda")+(Inputs!$G$5:$G$230="acoes"))*Inputs!$B$1+((Inputs!$G$5:$G$230&lt;&gt;"moeda")*(Inputs!$G$5:$G$230&lt;&gt;"acoes")))*INDEX(Inputs!$K$5:$AJ$230,0,MATCH(AD$2,Inputs!$K$4:$AJ$4,0)))+SUMPRODUCT((Inputs!$C$5:$C$230=$B70)*Inputs!$D$5:$D$230*(((Inputs!$G$5:$G$230="moeda")+(Inputs!$G$5:$G$230="acoes"))*Inputs!$B$1+((Inputs!$G$5:$G$230&lt;&gt;"moeda")*(Inputs!$G$5:$G$230&lt;&gt;"acoes")))*INDEX(Inputs!$K$5:$AJ$230,0,MATCH(AD$2,Inputs!$K$4:$AJ$4,0)))+SUMPRODUCT((Inputs!$E$5:$E$230=$B70)*Inputs!$F$5:$F$230*(((Inputs!$G$5:$G$230="moeda")+(Inputs!$G$5:$G$230="acoes"))*Inputs!$B$1+((Inputs!$G$5:$G$230&lt;&gt;"moeda")*(Inputs!$G$5:$G$230&lt;&gt;"acoes")))*INDEX(Inputs!$K$5:$AJ$230,0,MATCH(AD$2,Inputs!$K$4:$AJ$4,0)))))</f>
        <v>6.696</v>
      </c>
      <c r="AE70" s="6" t="e">
        <f>IF(ISNA(MATCH(AE$2,Inputs!$K$4:$AJ$4,0)),NA(),IF(SUMPRODUCT((Inputs!$A$5:$A$230=$B70)*ISNUMBER(INDEX(Inputs!$K$5:$AJ$230,0,MATCH(AE$2,Inputs!$K$4:$AJ$4,0))))+SUMPRODUCT((Inputs!$C$5:$C$230=$B70)*ISNUMBER(INDEX(Inputs!$K$5:$AJ$230,0,MATCH(AE$2,Inputs!$K$4:$AJ$4,0))))+SUMPRODUCT((Inputs!$E$5:$E$230=$B70)*ISNUMBER(INDEX(Inputs!$K$5:$AJ$230,0,MATCH(AE$2,Inputs!$K$4:$AJ$4,0))))=0,NA(),SUMPRODUCT((Inputs!$A$5:$A$230=$B70)*Inputs!$B$5:$B$230*(((Inputs!$G$5:$G$230="moeda")+(Inputs!$G$5:$G$230="acoes"))*Inputs!$B$1+((Inputs!$G$5:$G$230&lt;&gt;"moeda")*(Inputs!$G$5:$G$230&lt;&gt;"acoes")))*INDEX(Inputs!$K$5:$AJ$230,0,MATCH(AE$2,Inputs!$K$4:$AJ$4,0)))+SUMPRODUCT((Inputs!$C$5:$C$230=$B70)*Inputs!$D$5:$D$230*(((Inputs!$G$5:$G$230="moeda")+(Inputs!$G$5:$G$230="acoes"))*Inputs!$B$1+((Inputs!$G$5:$G$230&lt;&gt;"moeda")*(Inputs!$G$5:$G$230&lt;&gt;"acoes")))*INDEX(Inputs!$K$5:$AJ$230,0,MATCH(AE$2,Inputs!$K$4:$AJ$4,0)))+SUMPRODUCT((Inputs!$E$5:$E$230=$B70)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0" s="6" t="e">
        <f>IF(ISNA(MATCH(AF$2,Inputs!$K$4:$AJ$4,0)),NA(),IF(SUMPRODUCT((Inputs!$A$5:$A$230=$B70)*ISNUMBER(INDEX(Inputs!$K$5:$AJ$230,0,MATCH(AF$2,Inputs!$K$4:$AJ$4,0))))+SUMPRODUCT((Inputs!$C$5:$C$230=$B70)*ISNUMBER(INDEX(Inputs!$K$5:$AJ$230,0,MATCH(AF$2,Inputs!$K$4:$AJ$4,0))))+SUMPRODUCT((Inputs!$E$5:$E$230=$B70)*ISNUMBER(INDEX(Inputs!$K$5:$AJ$230,0,MATCH(AF$2,Inputs!$K$4:$AJ$4,0))))=0,NA(),SUMPRODUCT((Inputs!$A$5:$A$230=$B70)*Inputs!$B$5:$B$230*(((Inputs!$G$5:$G$230="moeda")+(Inputs!$G$5:$G$230="acoes"))*Inputs!$B$1+((Inputs!$G$5:$G$230&lt;&gt;"moeda")*(Inputs!$G$5:$G$230&lt;&gt;"acoes")))*INDEX(Inputs!$K$5:$AJ$230,0,MATCH(AF$2,Inputs!$K$4:$AJ$4,0)))+SUMPRODUCT((Inputs!$C$5:$C$230=$B70)*Inputs!$D$5:$D$230*(((Inputs!$G$5:$G$230="moeda")+(Inputs!$G$5:$G$230="acoes"))*Inputs!$B$1+((Inputs!$G$5:$G$230&lt;&gt;"moeda")*(Inputs!$G$5:$G$230&lt;&gt;"acoes")))*INDEX(Inputs!$K$5:$AJ$230,0,MATCH(AF$2,Inputs!$K$4:$AJ$4,0)))+SUMPRODUCT((Inputs!$E$5:$E$230=$B70)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0" s="3" t="e">
        <f>SUM(AC70:AF70)</f>
        <v>#N/A</v>
      </c>
      <c r="AH70" s="6">
        <f>IF(ISNA(MATCH(AH$2,Inputs!$K$4:$AJ$4,0)),NA(),IF(SUMPRODUCT((Inputs!$A$5:$A$230=$B70)*ISNUMBER(INDEX(Inputs!$K$5:$AJ$230,0,MATCH(AH$2,Inputs!$K$4:$AJ$4,0))))+SUMPRODUCT((Inputs!$C$5:$C$230=$B70)*ISNUMBER(INDEX(Inputs!$K$5:$AJ$230,0,MATCH(AH$2,Inputs!$K$4:$AJ$4,0))))+SUMPRODUCT((Inputs!$E$5:$E$230=$B70)*ISNUMBER(INDEX(Inputs!$K$5:$AJ$230,0,MATCH(AH$2,Inputs!$K$4:$AJ$4,0))))=0,NA(),SUMPRODUCT((Inputs!$A$5:$A$230=$B70)*Inputs!$B$5:$B$230*(((Inputs!$G$5:$G$230="moeda")+(Inputs!$G$5:$G$230="acoes"))*Inputs!$B$1+((Inputs!$G$5:$G$230&lt;&gt;"moeda")*(Inputs!$G$5:$G$230&lt;&gt;"acoes")))*INDEX(Inputs!$K$5:$AJ$230,0,MATCH(AH$2,Inputs!$K$4:$AJ$4,0)))+SUMPRODUCT((Inputs!$C$5:$C$230=$B70)*Inputs!$D$5:$D$230*(((Inputs!$G$5:$G$230="moeda")+(Inputs!$G$5:$G$230="acoes"))*Inputs!$B$1+((Inputs!$G$5:$G$230&lt;&gt;"moeda")*(Inputs!$G$5:$G$230&lt;&gt;"acoes")))*INDEX(Inputs!$K$5:$AJ$230,0,MATCH(AH$2,Inputs!$K$4:$AJ$4,0)))+SUMPRODUCT((Inputs!$E$5:$E$230=$B70)*Inputs!$F$5:$F$230*(((Inputs!$G$5:$G$230="moeda")+(Inputs!$G$5:$G$230="acoes"))*Inputs!$B$1+((Inputs!$G$5:$G$230&lt;&gt;"moeda")*(Inputs!$G$5:$G$230&lt;&gt;"acoes")))*INDEX(Inputs!$K$5:$AJ$230,0,MATCH(AH$2,Inputs!$K$4:$AJ$4,0)))))</f>
        <v>4.437</v>
      </c>
      <c r="AI70" s="6">
        <f>IF(ISNA(MATCH(AI$2,Inputs!$K$4:$AJ$4,0)),NA(),IF(SUMPRODUCT((Inputs!$A$5:$A$230=$B70)*ISNUMBER(INDEX(Inputs!$K$5:$AJ$230,0,MATCH(AI$2,Inputs!$K$4:$AJ$4,0))))+SUMPRODUCT((Inputs!$C$5:$C$230=$B70)*ISNUMBER(INDEX(Inputs!$K$5:$AJ$230,0,MATCH(AI$2,Inputs!$K$4:$AJ$4,0))))+SUMPRODUCT((Inputs!$E$5:$E$230=$B70)*ISNUMBER(INDEX(Inputs!$K$5:$AJ$230,0,MATCH(AI$2,Inputs!$K$4:$AJ$4,0))))=0,NA(),SUMPRODUCT((Inputs!$A$5:$A$230=$B70)*Inputs!$B$5:$B$230*(((Inputs!$G$5:$G$230="moeda")+(Inputs!$G$5:$G$230="acoes"))*Inputs!$B$1+((Inputs!$G$5:$G$230&lt;&gt;"moeda")*(Inputs!$G$5:$G$230&lt;&gt;"acoes")))*INDEX(Inputs!$K$5:$AJ$230,0,MATCH(AI$2,Inputs!$K$4:$AJ$4,0)))+SUMPRODUCT((Inputs!$C$5:$C$230=$B70)*Inputs!$D$5:$D$230*(((Inputs!$G$5:$G$230="moeda")+(Inputs!$G$5:$G$230="acoes"))*Inputs!$B$1+((Inputs!$G$5:$G$230&lt;&gt;"moeda")*(Inputs!$G$5:$G$230&lt;&gt;"acoes")))*INDEX(Inputs!$K$5:$AJ$230,0,MATCH(AI$2,Inputs!$K$4:$AJ$4,0)))+SUMPRODUCT((Inputs!$E$5:$E$230=$B70)*Inputs!$F$5:$F$230*(((Inputs!$G$5:$G$230="moeda")+(Inputs!$G$5:$G$230="acoes"))*Inputs!$B$1+((Inputs!$G$5:$G$230&lt;&gt;"moeda")*(Inputs!$G$5:$G$230&lt;&gt;"acoes")))*INDEX(Inputs!$K$5:$AJ$230,0,MATCH(AI$2,Inputs!$K$4:$AJ$4,0)))))</f>
        <v>1.918</v>
      </c>
      <c r="AJ70" s="6">
        <f>IF(ISNA(MATCH(AJ$2,Inputs!$K$4:$AJ$4,0)),NA(),IF(SUMPRODUCT((Inputs!$A$5:$A$230=$B70)*ISNUMBER(INDEX(Inputs!$K$5:$AJ$230,0,MATCH(AJ$2,Inputs!$K$4:$AJ$4,0))))+SUMPRODUCT((Inputs!$C$5:$C$230=$B70)*ISNUMBER(INDEX(Inputs!$K$5:$AJ$230,0,MATCH(AJ$2,Inputs!$K$4:$AJ$4,0))))+SUMPRODUCT((Inputs!$E$5:$E$230=$B70)*ISNUMBER(INDEX(Inputs!$K$5:$AJ$230,0,MATCH(AJ$2,Inputs!$K$4:$AJ$4,0))))=0,NA(),SUMPRODUCT((Inputs!$A$5:$A$230=$B70)*Inputs!$B$5:$B$230*(((Inputs!$G$5:$G$230="moeda")+(Inputs!$G$5:$G$230="acoes"))*Inputs!$B$1+((Inputs!$G$5:$G$230&lt;&gt;"moeda")*(Inputs!$G$5:$G$230&lt;&gt;"acoes")))*INDEX(Inputs!$K$5:$AJ$230,0,MATCH(AJ$2,Inputs!$K$4:$AJ$4,0)))+SUMPRODUCT((Inputs!$C$5:$C$230=$B70)*Inputs!$D$5:$D$230*(((Inputs!$G$5:$G$230="moeda")+(Inputs!$G$5:$G$230="acoes"))*Inputs!$B$1+((Inputs!$G$5:$G$230&lt;&gt;"moeda")*(Inputs!$G$5:$G$230&lt;&gt;"acoes")))*INDEX(Inputs!$K$5:$AJ$230,0,MATCH(AJ$2,Inputs!$K$4:$AJ$4,0)))+SUMPRODUCT((Inputs!$E$5:$E$230=$B70)*Inputs!$F$5:$F$230*(((Inputs!$G$5:$G$230="moeda")+(Inputs!$G$5:$G$230="acoes"))*Inputs!$B$1+((Inputs!$G$5:$G$230&lt;&gt;"moeda")*(Inputs!$G$5:$G$230&lt;&gt;"acoes")))*INDEX(Inputs!$K$5:$AJ$230,0,MATCH(AJ$2,Inputs!$K$4:$AJ$4,0)))))</f>
        <v>3.572</v>
      </c>
      <c r="AK70" s="6">
        <f>IF(ISNA(MATCH(AK$2,Inputs!$K$4:$AJ$4,0)),NA(),IF(SUMPRODUCT((Inputs!$A$5:$A$230=$B70)*ISNUMBER(INDEX(Inputs!$K$5:$AJ$230,0,MATCH(AK$2,Inputs!$K$4:$AJ$4,0))))+SUMPRODUCT((Inputs!$C$5:$C$230=$B70)*ISNUMBER(INDEX(Inputs!$K$5:$AJ$230,0,MATCH(AK$2,Inputs!$K$4:$AJ$4,0))))+SUMPRODUCT((Inputs!$E$5:$E$230=$B70)*ISNUMBER(INDEX(Inputs!$K$5:$AJ$230,0,MATCH(AK$2,Inputs!$K$4:$AJ$4,0))))=0,NA(),SUMPRODUCT((Inputs!$A$5:$A$230=$B70)*Inputs!$B$5:$B$230*(((Inputs!$G$5:$G$230="moeda")+(Inputs!$G$5:$G$230="acoes"))*Inputs!$B$1+((Inputs!$G$5:$G$230&lt;&gt;"moeda")*(Inputs!$G$5:$G$230&lt;&gt;"acoes")))*INDEX(Inputs!$K$5:$AJ$230,0,MATCH(AK$2,Inputs!$K$4:$AJ$4,0)))+SUMPRODUCT((Inputs!$C$5:$C$230=$B70)*Inputs!$D$5:$D$230*(((Inputs!$G$5:$G$230="moeda")+(Inputs!$G$5:$G$230="acoes"))*Inputs!$B$1+((Inputs!$G$5:$G$230&lt;&gt;"moeda")*(Inputs!$G$5:$G$230&lt;&gt;"acoes")))*INDEX(Inputs!$K$5:$AJ$230,0,MATCH(AK$2,Inputs!$K$4:$AJ$4,0)))+SUMPRODUCT((Inputs!$E$5:$E$230=$B70)*Inputs!$F$5:$F$230*(((Inputs!$G$5:$G$230="moeda")+(Inputs!$G$5:$G$230="acoes"))*Inputs!$B$1+((Inputs!$G$5:$G$230&lt;&gt;"moeda")*(Inputs!$G$5:$G$230&lt;&gt;"acoes")))*INDEX(Inputs!$K$5:$AJ$230,0,MATCH(AK$2,Inputs!$K$4:$AJ$4,0)))))</f>
        <v>4.895</v>
      </c>
      <c r="AL70" s="3">
        <f>SUM(AH70:AK70)</f>
        <v>14.822</v>
      </c>
    </row>
    <row r="71">
      <c r="B71" s="46" t="n">
        <v>63</v>
      </c>
      <c r="C71" s="29" t="inlineStr">
        <is>
          <t>Transmissao | TNE</t>
        </is>
      </c>
      <c r="D71" s="6">
        <f>IF(ISNA(MATCH(D$2,Inputs!$K$4:$AJ$4,0)),NA(),IF(SUMPRODUCT((Inputs!$A$5:$A$230=$B71)*ISNUMBER(INDEX(Inputs!$K$5:$AJ$230,0,MATCH(D$2,Inputs!$K$4:$AJ$4,0))))+SUMPRODUCT((Inputs!$C$5:$C$230=$B71)*ISNUMBER(INDEX(Inputs!$K$5:$AJ$230,0,MATCH(D$2,Inputs!$K$4:$AJ$4,0))))+SUMPRODUCT((Inputs!$E$5:$E$230=$B71)*ISNUMBER(INDEX(Inputs!$K$5:$AJ$230,0,MATCH(D$2,Inputs!$K$4:$AJ$4,0))))=0,NA(),SUMPRODUCT((Inputs!$A$5:$A$230=$B71)*Inputs!$B$5:$B$230*(((Inputs!$G$5:$G$230="moeda")+(Inputs!$G$5:$G$230="acoes"))*Inputs!$B$1+((Inputs!$G$5:$G$230&lt;&gt;"moeda")*(Inputs!$G$5:$G$230&lt;&gt;"acoes")))*INDEX(Inputs!$K$5:$AJ$230,0,MATCH(D$2,Inputs!$K$4:$AJ$4,0)))+SUMPRODUCT((Inputs!$C$5:$C$230=$B71)*Inputs!$D$5:$D$230*(((Inputs!$G$5:$G$230="moeda")+(Inputs!$G$5:$G$230="acoes"))*Inputs!$B$1+((Inputs!$G$5:$G$230&lt;&gt;"moeda")*(Inputs!$G$5:$G$230&lt;&gt;"acoes")))*INDEX(Inputs!$K$5:$AJ$230,0,MATCH(D$2,Inputs!$K$4:$AJ$4,0)))+SUMPRODUCT((Inputs!$E$5:$E$230=$B71)*Inputs!$F$5:$F$230*(((Inputs!$G$5:$G$230="moeda")+(Inputs!$G$5:$G$230="acoes"))*Inputs!$B$1+((Inputs!$G$5:$G$230&lt;&gt;"moeda")*(Inputs!$G$5:$G$230&lt;&gt;"acoes")))*INDEX(Inputs!$K$5:$AJ$230,0,MATCH(D$2,Inputs!$K$4:$AJ$4,0)))))</f>
        <v>5.44</v>
      </c>
      <c r="E71" s="6">
        <f>IF(ISNA(MATCH(E$2,Inputs!$K$4:$AJ$4,0)),NA(),IF(SUMPRODUCT((Inputs!$A$5:$A$230=$B71)*ISNUMBER(INDEX(Inputs!$K$5:$AJ$230,0,MATCH(E$2,Inputs!$K$4:$AJ$4,0))))+SUMPRODUCT((Inputs!$C$5:$C$230=$B71)*ISNUMBER(INDEX(Inputs!$K$5:$AJ$230,0,MATCH(E$2,Inputs!$K$4:$AJ$4,0))))+SUMPRODUCT((Inputs!$E$5:$E$230=$B71)*ISNUMBER(INDEX(Inputs!$K$5:$AJ$230,0,MATCH(E$2,Inputs!$K$4:$AJ$4,0))))=0,NA(),SUMPRODUCT((Inputs!$A$5:$A$230=$B71)*Inputs!$B$5:$B$230*(((Inputs!$G$5:$G$230="moeda")+(Inputs!$G$5:$G$230="acoes"))*Inputs!$B$1+((Inputs!$G$5:$G$230&lt;&gt;"moeda")*(Inputs!$G$5:$G$230&lt;&gt;"acoes")))*INDEX(Inputs!$K$5:$AJ$230,0,MATCH(E$2,Inputs!$K$4:$AJ$4,0)))+SUMPRODUCT((Inputs!$C$5:$C$230=$B71)*Inputs!$D$5:$D$230*(((Inputs!$G$5:$G$230="moeda")+(Inputs!$G$5:$G$230="acoes"))*Inputs!$B$1+((Inputs!$G$5:$G$230&lt;&gt;"moeda")*(Inputs!$G$5:$G$230&lt;&gt;"acoes")))*INDEX(Inputs!$K$5:$AJ$230,0,MATCH(E$2,Inputs!$K$4:$AJ$4,0)))+SUMPRODUCT((Inputs!$E$5:$E$230=$B71)*Inputs!$F$5:$F$230*(((Inputs!$G$5:$G$230="moeda")+(Inputs!$G$5:$G$230="acoes"))*Inputs!$B$1+((Inputs!$G$5:$G$230&lt;&gt;"moeda")*(Inputs!$G$5:$G$230&lt;&gt;"acoes")))*INDEX(Inputs!$K$5:$AJ$230,0,MATCH(E$2,Inputs!$K$4:$AJ$4,0)))))</f>
        <v>6.195</v>
      </c>
      <c r="F71" s="6">
        <f>IF(ISNA(MATCH(F$2,Inputs!$K$4:$AJ$4,0)),NA(),IF(SUMPRODUCT((Inputs!$A$5:$A$230=$B71)*ISNUMBER(INDEX(Inputs!$K$5:$AJ$230,0,MATCH(F$2,Inputs!$K$4:$AJ$4,0))))+SUMPRODUCT((Inputs!$C$5:$C$230=$B71)*ISNUMBER(INDEX(Inputs!$K$5:$AJ$230,0,MATCH(F$2,Inputs!$K$4:$AJ$4,0))))+SUMPRODUCT((Inputs!$E$5:$E$230=$B71)*ISNUMBER(INDEX(Inputs!$K$5:$AJ$230,0,MATCH(F$2,Inputs!$K$4:$AJ$4,0))))=0,NA(),SUMPRODUCT((Inputs!$A$5:$A$230=$B71)*Inputs!$B$5:$B$230*(((Inputs!$G$5:$G$230="moeda")+(Inputs!$G$5:$G$230="acoes"))*Inputs!$B$1+((Inputs!$G$5:$G$230&lt;&gt;"moeda")*(Inputs!$G$5:$G$230&lt;&gt;"acoes")))*INDEX(Inputs!$K$5:$AJ$230,0,MATCH(F$2,Inputs!$K$4:$AJ$4,0)))+SUMPRODUCT((Inputs!$C$5:$C$230=$B71)*Inputs!$D$5:$D$230*(((Inputs!$G$5:$G$230="moeda")+(Inputs!$G$5:$G$230="acoes"))*Inputs!$B$1+((Inputs!$G$5:$G$230&lt;&gt;"moeda")*(Inputs!$G$5:$G$230&lt;&gt;"acoes")))*INDEX(Inputs!$K$5:$AJ$230,0,MATCH(F$2,Inputs!$K$4:$AJ$4,0)))+SUMPRODUCT((Inputs!$E$5:$E$230=$B71)*Inputs!$F$5:$F$230*(((Inputs!$G$5:$G$230="moeda")+(Inputs!$G$5:$G$230="acoes"))*Inputs!$B$1+((Inputs!$G$5:$G$230&lt;&gt;"moeda")*(Inputs!$G$5:$G$230&lt;&gt;"acoes")))*INDEX(Inputs!$K$5:$AJ$230,0,MATCH(F$2,Inputs!$K$4:$AJ$4,0)))))</f>
        <v>5.376</v>
      </c>
      <c r="G71" s="6">
        <f>IF(ISNA(MATCH(G$2,Inputs!$K$4:$AJ$4,0)),NA(),IF(SUMPRODUCT((Inputs!$A$5:$A$230=$B71)*ISNUMBER(INDEX(Inputs!$K$5:$AJ$230,0,MATCH(G$2,Inputs!$K$4:$AJ$4,0))))+SUMPRODUCT((Inputs!$C$5:$C$230=$B71)*ISNUMBER(INDEX(Inputs!$K$5:$AJ$230,0,MATCH(G$2,Inputs!$K$4:$AJ$4,0))))+SUMPRODUCT((Inputs!$E$5:$E$230=$B71)*ISNUMBER(INDEX(Inputs!$K$5:$AJ$230,0,MATCH(G$2,Inputs!$K$4:$AJ$4,0))))=0,NA(),SUMPRODUCT((Inputs!$A$5:$A$230=$B71)*Inputs!$B$5:$B$230*(((Inputs!$G$5:$G$230="moeda")+(Inputs!$G$5:$G$230="acoes"))*Inputs!$B$1+((Inputs!$G$5:$G$230&lt;&gt;"moeda")*(Inputs!$G$5:$G$230&lt;&gt;"acoes")))*INDEX(Inputs!$K$5:$AJ$230,0,MATCH(G$2,Inputs!$K$4:$AJ$4,0)))+SUMPRODUCT((Inputs!$C$5:$C$230=$B71)*Inputs!$D$5:$D$230*(((Inputs!$G$5:$G$230="moeda")+(Inputs!$G$5:$G$230="acoes"))*Inputs!$B$1+((Inputs!$G$5:$G$230&lt;&gt;"moeda")*(Inputs!$G$5:$G$230&lt;&gt;"acoes")))*INDEX(Inputs!$K$5:$AJ$230,0,MATCH(G$2,Inputs!$K$4:$AJ$4,0)))+SUMPRODUCT((Inputs!$E$5:$E$230=$B71)*Inputs!$F$5:$F$230*(((Inputs!$G$5:$G$230="moeda")+(Inputs!$G$5:$G$230="acoes"))*Inputs!$B$1+((Inputs!$G$5:$G$230&lt;&gt;"moeda")*(Inputs!$G$5:$G$230&lt;&gt;"acoes")))*INDEX(Inputs!$K$5:$AJ$230,0,MATCH(G$2,Inputs!$K$4:$AJ$4,0)))))</f>
        <v>5.206</v>
      </c>
      <c r="H71" s="3">
        <f>SUM(D71:G71)</f>
        <v>22.217</v>
      </c>
      <c r="I71" s="6">
        <f>IF(ISNA(MATCH(I$2,Inputs!$K$4:$AJ$4,0)),NA(),IF(SUMPRODUCT((Inputs!$A$5:$A$230=$B71)*ISNUMBER(INDEX(Inputs!$K$5:$AJ$230,0,MATCH(I$2,Inputs!$K$4:$AJ$4,0))))+SUMPRODUCT((Inputs!$C$5:$C$230=$B71)*ISNUMBER(INDEX(Inputs!$K$5:$AJ$230,0,MATCH(I$2,Inputs!$K$4:$AJ$4,0))))+SUMPRODUCT((Inputs!$E$5:$E$230=$B71)*ISNUMBER(INDEX(Inputs!$K$5:$AJ$230,0,MATCH(I$2,Inputs!$K$4:$AJ$4,0))))=0,NA(),SUMPRODUCT((Inputs!$A$5:$A$230=$B71)*Inputs!$B$5:$B$230*(((Inputs!$G$5:$G$230="moeda")+(Inputs!$G$5:$G$230="acoes"))*Inputs!$B$1+((Inputs!$G$5:$G$230&lt;&gt;"moeda")*(Inputs!$G$5:$G$230&lt;&gt;"acoes")))*INDEX(Inputs!$K$5:$AJ$230,0,MATCH(I$2,Inputs!$K$4:$AJ$4,0)))+SUMPRODUCT((Inputs!$C$5:$C$230=$B71)*Inputs!$D$5:$D$230*(((Inputs!$G$5:$G$230="moeda")+(Inputs!$G$5:$G$230="acoes"))*Inputs!$B$1+((Inputs!$G$5:$G$230&lt;&gt;"moeda")*(Inputs!$G$5:$G$230&lt;&gt;"acoes")))*INDEX(Inputs!$K$5:$AJ$230,0,MATCH(I$2,Inputs!$K$4:$AJ$4,0)))+SUMPRODUCT((Inputs!$E$5:$E$230=$B71)*Inputs!$F$5:$F$230*(((Inputs!$G$5:$G$230="moeda")+(Inputs!$G$5:$G$230="acoes"))*Inputs!$B$1+((Inputs!$G$5:$G$230&lt;&gt;"moeda")*(Inputs!$G$5:$G$230&lt;&gt;"acoes")))*INDEX(Inputs!$K$5:$AJ$230,0,MATCH(I$2,Inputs!$K$4:$AJ$4,0)))))</f>
        <v>3.634</v>
      </c>
      <c r="J71" s="6">
        <f>IF(ISNA(MATCH(J$2,Inputs!$K$4:$AJ$4,0)),NA(),IF(SUMPRODUCT((Inputs!$A$5:$A$230=$B71)*ISNUMBER(INDEX(Inputs!$K$5:$AJ$230,0,MATCH(J$2,Inputs!$K$4:$AJ$4,0))))+SUMPRODUCT((Inputs!$C$5:$C$230=$B71)*ISNUMBER(INDEX(Inputs!$K$5:$AJ$230,0,MATCH(J$2,Inputs!$K$4:$AJ$4,0))))+SUMPRODUCT((Inputs!$E$5:$E$230=$B71)*ISNUMBER(INDEX(Inputs!$K$5:$AJ$230,0,MATCH(J$2,Inputs!$K$4:$AJ$4,0))))=0,NA(),SUMPRODUCT((Inputs!$A$5:$A$230=$B71)*Inputs!$B$5:$B$230*(((Inputs!$G$5:$G$230="moeda")+(Inputs!$G$5:$G$230="acoes"))*Inputs!$B$1+((Inputs!$G$5:$G$230&lt;&gt;"moeda")*(Inputs!$G$5:$G$230&lt;&gt;"acoes")))*INDEX(Inputs!$K$5:$AJ$230,0,MATCH(J$2,Inputs!$K$4:$AJ$4,0)))+SUMPRODUCT((Inputs!$C$5:$C$230=$B71)*Inputs!$D$5:$D$230*(((Inputs!$G$5:$G$230="moeda")+(Inputs!$G$5:$G$230="acoes"))*Inputs!$B$1+((Inputs!$G$5:$G$230&lt;&gt;"moeda")*(Inputs!$G$5:$G$230&lt;&gt;"acoes")))*INDEX(Inputs!$K$5:$AJ$230,0,MATCH(J$2,Inputs!$K$4:$AJ$4,0)))+SUMPRODUCT((Inputs!$E$5:$E$230=$B71)*Inputs!$F$5:$F$230*(((Inputs!$G$5:$G$230="moeda")+(Inputs!$G$5:$G$230="acoes"))*Inputs!$B$1+((Inputs!$G$5:$G$230&lt;&gt;"moeda")*(Inputs!$G$5:$G$230&lt;&gt;"acoes")))*INDEX(Inputs!$K$5:$AJ$230,0,MATCH(J$2,Inputs!$K$4:$AJ$4,0)))))</f>
        <v>6.398</v>
      </c>
      <c r="K71" s="6">
        <f>IF(ISNA(MATCH(K$2,Inputs!$K$4:$AJ$4,0)),NA(),IF(SUMPRODUCT((Inputs!$A$5:$A$230=$B71)*ISNUMBER(INDEX(Inputs!$K$5:$AJ$230,0,MATCH(K$2,Inputs!$K$4:$AJ$4,0))))+SUMPRODUCT((Inputs!$C$5:$C$230=$B71)*ISNUMBER(INDEX(Inputs!$K$5:$AJ$230,0,MATCH(K$2,Inputs!$K$4:$AJ$4,0))))+SUMPRODUCT((Inputs!$E$5:$E$230=$B71)*ISNUMBER(INDEX(Inputs!$K$5:$AJ$230,0,MATCH(K$2,Inputs!$K$4:$AJ$4,0))))=0,NA(),SUMPRODUCT((Inputs!$A$5:$A$230=$B71)*Inputs!$B$5:$B$230*(((Inputs!$G$5:$G$230="moeda")+(Inputs!$G$5:$G$230="acoes"))*Inputs!$B$1+((Inputs!$G$5:$G$230&lt;&gt;"moeda")*(Inputs!$G$5:$G$230&lt;&gt;"acoes")))*INDEX(Inputs!$K$5:$AJ$230,0,MATCH(K$2,Inputs!$K$4:$AJ$4,0)))+SUMPRODUCT((Inputs!$C$5:$C$230=$B71)*Inputs!$D$5:$D$230*(((Inputs!$G$5:$G$230="moeda")+(Inputs!$G$5:$G$230="acoes"))*Inputs!$B$1+((Inputs!$G$5:$G$230&lt;&gt;"moeda")*(Inputs!$G$5:$G$230&lt;&gt;"acoes")))*INDEX(Inputs!$K$5:$AJ$230,0,MATCH(K$2,Inputs!$K$4:$AJ$4,0)))+SUMPRODUCT((Inputs!$E$5:$E$230=$B71)*Inputs!$F$5:$F$230*(((Inputs!$G$5:$G$230="moeda")+(Inputs!$G$5:$G$230="acoes"))*Inputs!$B$1+((Inputs!$G$5:$G$230&lt;&gt;"moeda")*(Inputs!$G$5:$G$230&lt;&gt;"acoes")))*INDEX(Inputs!$K$5:$AJ$230,0,MATCH(K$2,Inputs!$K$4:$AJ$4,0)))))</f>
        <v>14.105</v>
      </c>
      <c r="L71" s="6">
        <f>IF(ISNA(MATCH(L$2,Inputs!$K$4:$AJ$4,0)),NA(),IF(SUMPRODUCT((Inputs!$A$5:$A$230=$B71)*ISNUMBER(INDEX(Inputs!$K$5:$AJ$230,0,MATCH(L$2,Inputs!$K$4:$AJ$4,0))))+SUMPRODUCT((Inputs!$C$5:$C$230=$B71)*ISNUMBER(INDEX(Inputs!$K$5:$AJ$230,0,MATCH(L$2,Inputs!$K$4:$AJ$4,0))))+SUMPRODUCT((Inputs!$E$5:$E$230=$B71)*ISNUMBER(INDEX(Inputs!$K$5:$AJ$230,0,MATCH(L$2,Inputs!$K$4:$AJ$4,0))))=0,NA(),SUMPRODUCT((Inputs!$A$5:$A$230=$B71)*Inputs!$B$5:$B$230*(((Inputs!$G$5:$G$230="moeda")+(Inputs!$G$5:$G$230="acoes"))*Inputs!$B$1+((Inputs!$G$5:$G$230&lt;&gt;"moeda")*(Inputs!$G$5:$G$230&lt;&gt;"acoes")))*INDEX(Inputs!$K$5:$AJ$230,0,MATCH(L$2,Inputs!$K$4:$AJ$4,0)))+SUMPRODUCT((Inputs!$C$5:$C$230=$B71)*Inputs!$D$5:$D$230*(((Inputs!$G$5:$G$230="moeda")+(Inputs!$G$5:$G$230="acoes"))*Inputs!$B$1+((Inputs!$G$5:$G$230&lt;&gt;"moeda")*(Inputs!$G$5:$G$230&lt;&gt;"acoes")))*INDEX(Inputs!$K$5:$AJ$230,0,MATCH(L$2,Inputs!$K$4:$AJ$4,0)))+SUMPRODUCT((Inputs!$E$5:$E$230=$B71)*Inputs!$F$5:$F$230*(((Inputs!$G$5:$G$230="moeda")+(Inputs!$G$5:$G$230="acoes"))*Inputs!$B$1+((Inputs!$G$5:$G$230&lt;&gt;"moeda")*(Inputs!$G$5:$G$230&lt;&gt;"acoes")))*INDEX(Inputs!$K$5:$AJ$230,0,MATCH(L$2,Inputs!$K$4:$AJ$4,0)))))</f>
        <v>33.618</v>
      </c>
      <c r="M71" s="3">
        <f>SUM(I71:L71)</f>
        <v>57.755</v>
      </c>
      <c r="N71" s="6">
        <f>IF(ISNA(MATCH(N$2,Inputs!$K$4:$AJ$4,0)),NA(),IF(SUMPRODUCT((Inputs!$A$5:$A$230=$B71)*ISNUMBER(INDEX(Inputs!$K$5:$AJ$230,0,MATCH(N$2,Inputs!$K$4:$AJ$4,0))))+SUMPRODUCT((Inputs!$C$5:$C$230=$B71)*ISNUMBER(INDEX(Inputs!$K$5:$AJ$230,0,MATCH(N$2,Inputs!$K$4:$AJ$4,0))))+SUMPRODUCT((Inputs!$E$5:$E$230=$B71)*ISNUMBER(INDEX(Inputs!$K$5:$AJ$230,0,MATCH(N$2,Inputs!$K$4:$AJ$4,0))))=0,NA(),SUMPRODUCT((Inputs!$A$5:$A$230=$B71)*Inputs!$B$5:$B$230*(((Inputs!$G$5:$G$230="moeda")+(Inputs!$G$5:$G$230="acoes"))*Inputs!$B$1+((Inputs!$G$5:$G$230&lt;&gt;"moeda")*(Inputs!$G$5:$G$230&lt;&gt;"acoes")))*INDEX(Inputs!$K$5:$AJ$230,0,MATCH(N$2,Inputs!$K$4:$AJ$4,0)))+SUMPRODUCT((Inputs!$C$5:$C$230=$B71)*Inputs!$D$5:$D$230*(((Inputs!$G$5:$G$230="moeda")+(Inputs!$G$5:$G$230="acoes"))*Inputs!$B$1+((Inputs!$G$5:$G$230&lt;&gt;"moeda")*(Inputs!$G$5:$G$230&lt;&gt;"acoes")))*INDEX(Inputs!$K$5:$AJ$230,0,MATCH(N$2,Inputs!$K$4:$AJ$4,0)))+SUMPRODUCT((Inputs!$E$5:$E$230=$B71)*Inputs!$F$5:$F$230*(((Inputs!$G$5:$G$230="moeda")+(Inputs!$G$5:$G$230="acoes"))*Inputs!$B$1+((Inputs!$G$5:$G$230&lt;&gt;"moeda")*(Inputs!$G$5:$G$230&lt;&gt;"acoes")))*INDEX(Inputs!$K$5:$AJ$230,0,MATCH(N$2,Inputs!$K$4:$AJ$4,0)))))</f>
        <v>15.185</v>
      </c>
      <c r="O71" s="6">
        <f>IF(ISNA(MATCH(O$2,Inputs!$K$4:$AJ$4,0)),NA(),IF(SUMPRODUCT((Inputs!$A$5:$A$230=$B71)*ISNUMBER(INDEX(Inputs!$K$5:$AJ$230,0,MATCH(O$2,Inputs!$K$4:$AJ$4,0))))+SUMPRODUCT((Inputs!$C$5:$C$230=$B71)*ISNUMBER(INDEX(Inputs!$K$5:$AJ$230,0,MATCH(O$2,Inputs!$K$4:$AJ$4,0))))+SUMPRODUCT((Inputs!$E$5:$E$230=$B71)*ISNUMBER(INDEX(Inputs!$K$5:$AJ$230,0,MATCH(O$2,Inputs!$K$4:$AJ$4,0))))=0,NA(),SUMPRODUCT((Inputs!$A$5:$A$230=$B71)*Inputs!$B$5:$B$230*(((Inputs!$G$5:$G$230="moeda")+(Inputs!$G$5:$G$230="acoes"))*Inputs!$B$1+((Inputs!$G$5:$G$230&lt;&gt;"moeda")*(Inputs!$G$5:$G$230&lt;&gt;"acoes")))*INDEX(Inputs!$K$5:$AJ$230,0,MATCH(O$2,Inputs!$K$4:$AJ$4,0)))+SUMPRODUCT((Inputs!$C$5:$C$230=$B71)*Inputs!$D$5:$D$230*(((Inputs!$G$5:$G$230="moeda")+(Inputs!$G$5:$G$230="acoes"))*Inputs!$B$1+((Inputs!$G$5:$G$230&lt;&gt;"moeda")*(Inputs!$G$5:$G$230&lt;&gt;"acoes")))*INDEX(Inputs!$K$5:$AJ$230,0,MATCH(O$2,Inputs!$K$4:$AJ$4,0)))+SUMPRODUCT((Inputs!$E$5:$E$230=$B71)*Inputs!$F$5:$F$230*(((Inputs!$G$5:$G$230="moeda")+(Inputs!$G$5:$G$230="acoes"))*Inputs!$B$1+((Inputs!$G$5:$G$230&lt;&gt;"moeda")*(Inputs!$G$5:$G$230&lt;&gt;"acoes")))*INDEX(Inputs!$K$5:$AJ$230,0,MATCH(O$2,Inputs!$K$4:$AJ$4,0)))))</f>
        <v>23.083</v>
      </c>
      <c r="P71" s="6">
        <f>IF(ISNA(MATCH(P$2,Inputs!$K$4:$AJ$4,0)),NA(),IF(SUMPRODUCT((Inputs!$A$5:$A$230=$B71)*ISNUMBER(INDEX(Inputs!$K$5:$AJ$230,0,MATCH(P$2,Inputs!$K$4:$AJ$4,0))))+SUMPRODUCT((Inputs!$C$5:$C$230=$B71)*ISNUMBER(INDEX(Inputs!$K$5:$AJ$230,0,MATCH(P$2,Inputs!$K$4:$AJ$4,0))))+SUMPRODUCT((Inputs!$E$5:$E$230=$B71)*ISNUMBER(INDEX(Inputs!$K$5:$AJ$230,0,MATCH(P$2,Inputs!$K$4:$AJ$4,0))))=0,NA(),SUMPRODUCT((Inputs!$A$5:$A$230=$B71)*Inputs!$B$5:$B$230*(((Inputs!$G$5:$G$230="moeda")+(Inputs!$G$5:$G$230="acoes"))*Inputs!$B$1+((Inputs!$G$5:$G$230&lt;&gt;"moeda")*(Inputs!$G$5:$G$230&lt;&gt;"acoes")))*INDEX(Inputs!$K$5:$AJ$230,0,MATCH(P$2,Inputs!$K$4:$AJ$4,0)))+SUMPRODUCT((Inputs!$C$5:$C$230=$B71)*Inputs!$D$5:$D$230*(((Inputs!$G$5:$G$230="moeda")+(Inputs!$G$5:$G$230="acoes"))*Inputs!$B$1+((Inputs!$G$5:$G$230&lt;&gt;"moeda")*(Inputs!$G$5:$G$230&lt;&gt;"acoes")))*INDEX(Inputs!$K$5:$AJ$230,0,MATCH(P$2,Inputs!$K$4:$AJ$4,0)))+SUMPRODUCT((Inputs!$E$5:$E$230=$B71)*Inputs!$F$5:$F$230*(((Inputs!$G$5:$G$230="moeda")+(Inputs!$G$5:$G$230="acoes"))*Inputs!$B$1+((Inputs!$G$5:$G$230&lt;&gt;"moeda")*(Inputs!$G$5:$G$230&lt;&gt;"acoes")))*INDEX(Inputs!$K$5:$AJ$230,0,MATCH(P$2,Inputs!$K$4:$AJ$4,0)))))</f>
        <v>66.286</v>
      </c>
      <c r="Q71" s="6">
        <f>IF(ISNA(MATCH(Q$2,Inputs!$K$4:$AJ$4,0)),NA(),IF(SUMPRODUCT((Inputs!$A$5:$A$230=$B71)*ISNUMBER(INDEX(Inputs!$K$5:$AJ$230,0,MATCH(Q$2,Inputs!$K$4:$AJ$4,0))))+SUMPRODUCT((Inputs!$C$5:$C$230=$B71)*ISNUMBER(INDEX(Inputs!$K$5:$AJ$230,0,MATCH(Q$2,Inputs!$K$4:$AJ$4,0))))+SUMPRODUCT((Inputs!$E$5:$E$230=$B71)*ISNUMBER(INDEX(Inputs!$K$5:$AJ$230,0,MATCH(Q$2,Inputs!$K$4:$AJ$4,0))))=0,NA(),SUMPRODUCT((Inputs!$A$5:$A$230=$B71)*Inputs!$B$5:$B$230*(((Inputs!$G$5:$G$230="moeda")+(Inputs!$G$5:$G$230="acoes"))*Inputs!$B$1+((Inputs!$G$5:$G$230&lt;&gt;"moeda")*(Inputs!$G$5:$G$230&lt;&gt;"acoes")))*INDEX(Inputs!$K$5:$AJ$230,0,MATCH(Q$2,Inputs!$K$4:$AJ$4,0)))+SUMPRODUCT((Inputs!$C$5:$C$230=$B71)*Inputs!$D$5:$D$230*(((Inputs!$G$5:$G$230="moeda")+(Inputs!$G$5:$G$230="acoes"))*Inputs!$B$1+((Inputs!$G$5:$G$230&lt;&gt;"moeda")*(Inputs!$G$5:$G$230&lt;&gt;"acoes")))*INDEX(Inputs!$K$5:$AJ$230,0,MATCH(Q$2,Inputs!$K$4:$AJ$4,0)))+SUMPRODUCT((Inputs!$E$5:$E$230=$B71)*Inputs!$F$5:$F$230*(((Inputs!$G$5:$G$230="moeda")+(Inputs!$G$5:$G$230="acoes"))*Inputs!$B$1+((Inputs!$G$5:$G$230&lt;&gt;"moeda")*(Inputs!$G$5:$G$230&lt;&gt;"acoes")))*INDEX(Inputs!$K$5:$AJ$230,0,MATCH(Q$2,Inputs!$K$4:$AJ$4,0)))))</f>
        <v>242.892</v>
      </c>
      <c r="R71" s="3">
        <f>SUM(N71:Q71)</f>
        <v>347.446</v>
      </c>
      <c r="S71" s="6">
        <f>IF(ISNA(MATCH(S$2,Inputs!$K$4:$AJ$4,0)),NA(),IF(SUMPRODUCT((Inputs!$A$5:$A$230=$B71)*ISNUMBER(INDEX(Inputs!$K$5:$AJ$230,0,MATCH(S$2,Inputs!$K$4:$AJ$4,0))))+SUMPRODUCT((Inputs!$C$5:$C$230=$B71)*ISNUMBER(INDEX(Inputs!$K$5:$AJ$230,0,MATCH(S$2,Inputs!$K$4:$AJ$4,0))))+SUMPRODUCT((Inputs!$E$5:$E$230=$B71)*ISNUMBER(INDEX(Inputs!$K$5:$AJ$230,0,MATCH(S$2,Inputs!$K$4:$AJ$4,0))))=0,NA(),SUMPRODUCT((Inputs!$A$5:$A$230=$B71)*Inputs!$B$5:$B$230*(((Inputs!$G$5:$G$230="moeda")+(Inputs!$G$5:$G$230="acoes"))*Inputs!$B$1+((Inputs!$G$5:$G$230&lt;&gt;"moeda")*(Inputs!$G$5:$G$230&lt;&gt;"acoes")))*INDEX(Inputs!$K$5:$AJ$230,0,MATCH(S$2,Inputs!$K$4:$AJ$4,0)))+SUMPRODUCT((Inputs!$C$5:$C$230=$B71)*Inputs!$D$5:$D$230*(((Inputs!$G$5:$G$230="moeda")+(Inputs!$G$5:$G$230="acoes"))*Inputs!$B$1+((Inputs!$G$5:$G$230&lt;&gt;"moeda")*(Inputs!$G$5:$G$230&lt;&gt;"acoes")))*INDEX(Inputs!$K$5:$AJ$230,0,MATCH(S$2,Inputs!$K$4:$AJ$4,0)))+SUMPRODUCT((Inputs!$E$5:$E$230=$B71)*Inputs!$F$5:$F$230*(((Inputs!$G$5:$G$230="moeda")+(Inputs!$G$5:$G$230="acoes"))*Inputs!$B$1+((Inputs!$G$5:$G$230&lt;&gt;"moeda")*(Inputs!$G$5:$G$230&lt;&gt;"acoes")))*INDEX(Inputs!$K$5:$AJ$230,0,MATCH(S$2,Inputs!$K$4:$AJ$4,0)))))</f>
        <v>288.075</v>
      </c>
      <c r="T71" s="6">
        <f>IF(ISNA(MATCH(T$2,Inputs!$K$4:$AJ$4,0)),NA(),IF(SUMPRODUCT((Inputs!$A$5:$A$230=$B71)*ISNUMBER(INDEX(Inputs!$K$5:$AJ$230,0,MATCH(T$2,Inputs!$K$4:$AJ$4,0))))+SUMPRODUCT((Inputs!$C$5:$C$230=$B71)*ISNUMBER(INDEX(Inputs!$K$5:$AJ$230,0,MATCH(T$2,Inputs!$K$4:$AJ$4,0))))+SUMPRODUCT((Inputs!$E$5:$E$230=$B71)*ISNUMBER(INDEX(Inputs!$K$5:$AJ$230,0,MATCH(T$2,Inputs!$K$4:$AJ$4,0))))=0,NA(),SUMPRODUCT((Inputs!$A$5:$A$230=$B71)*Inputs!$B$5:$B$230*(((Inputs!$G$5:$G$230="moeda")+(Inputs!$G$5:$G$230="acoes"))*Inputs!$B$1+((Inputs!$G$5:$G$230&lt;&gt;"moeda")*(Inputs!$G$5:$G$230&lt;&gt;"acoes")))*INDEX(Inputs!$K$5:$AJ$230,0,MATCH(T$2,Inputs!$K$4:$AJ$4,0)))+SUMPRODUCT((Inputs!$C$5:$C$230=$B71)*Inputs!$D$5:$D$230*(((Inputs!$G$5:$G$230="moeda")+(Inputs!$G$5:$G$230="acoes"))*Inputs!$B$1+((Inputs!$G$5:$G$230&lt;&gt;"moeda")*(Inputs!$G$5:$G$230&lt;&gt;"acoes")))*INDEX(Inputs!$K$5:$AJ$230,0,MATCH(T$2,Inputs!$K$4:$AJ$4,0)))+SUMPRODUCT((Inputs!$E$5:$E$230=$B71)*Inputs!$F$5:$F$230*(((Inputs!$G$5:$G$230="moeda")+(Inputs!$G$5:$G$230="acoes"))*Inputs!$B$1+((Inputs!$G$5:$G$230&lt;&gt;"moeda")*(Inputs!$G$5:$G$230&lt;&gt;"acoes")))*INDEX(Inputs!$K$5:$AJ$230,0,MATCH(T$2,Inputs!$K$4:$AJ$4,0)))))</f>
        <v>562.531</v>
      </c>
      <c r="U71" s="6">
        <f>IF(ISNA(MATCH(U$2,Inputs!$K$4:$AJ$4,0)),NA(),IF(SUMPRODUCT((Inputs!$A$5:$A$230=$B71)*ISNUMBER(INDEX(Inputs!$K$5:$AJ$230,0,MATCH(U$2,Inputs!$K$4:$AJ$4,0))))+SUMPRODUCT((Inputs!$C$5:$C$230=$B71)*ISNUMBER(INDEX(Inputs!$K$5:$AJ$230,0,MATCH(U$2,Inputs!$K$4:$AJ$4,0))))+SUMPRODUCT((Inputs!$E$5:$E$230=$B71)*ISNUMBER(INDEX(Inputs!$K$5:$AJ$230,0,MATCH(U$2,Inputs!$K$4:$AJ$4,0))))=0,NA(),SUMPRODUCT((Inputs!$A$5:$A$230=$B71)*Inputs!$B$5:$B$230*(((Inputs!$G$5:$G$230="moeda")+(Inputs!$G$5:$G$230="acoes"))*Inputs!$B$1+((Inputs!$G$5:$G$230&lt;&gt;"moeda")*(Inputs!$G$5:$G$230&lt;&gt;"acoes")))*INDEX(Inputs!$K$5:$AJ$230,0,MATCH(U$2,Inputs!$K$4:$AJ$4,0)))+SUMPRODUCT((Inputs!$C$5:$C$230=$B71)*Inputs!$D$5:$D$230*(((Inputs!$G$5:$G$230="moeda")+(Inputs!$G$5:$G$230="acoes"))*Inputs!$B$1+((Inputs!$G$5:$G$230&lt;&gt;"moeda")*(Inputs!$G$5:$G$230&lt;&gt;"acoes")))*INDEX(Inputs!$K$5:$AJ$230,0,MATCH(U$2,Inputs!$K$4:$AJ$4,0)))+SUMPRODUCT((Inputs!$E$5:$E$230=$B71)*Inputs!$F$5:$F$230*(((Inputs!$G$5:$G$230="moeda")+(Inputs!$G$5:$G$230="acoes"))*Inputs!$B$1+((Inputs!$G$5:$G$230&lt;&gt;"moeda")*(Inputs!$G$5:$G$230&lt;&gt;"acoes")))*INDEX(Inputs!$K$5:$AJ$230,0,MATCH(U$2,Inputs!$K$4:$AJ$4,0)))))</f>
        <v>749.807</v>
      </c>
      <c r="V71" s="6">
        <f>IF(ISNA(MATCH(V$2,Inputs!$K$4:$AJ$4,0)),NA(),IF(SUMPRODUCT((Inputs!$A$5:$A$230=$B71)*ISNUMBER(INDEX(Inputs!$K$5:$AJ$230,0,MATCH(V$2,Inputs!$K$4:$AJ$4,0))))+SUMPRODUCT((Inputs!$C$5:$C$230=$B71)*ISNUMBER(INDEX(Inputs!$K$5:$AJ$230,0,MATCH(V$2,Inputs!$K$4:$AJ$4,0))))+SUMPRODUCT((Inputs!$E$5:$E$230=$B71)*ISNUMBER(INDEX(Inputs!$K$5:$AJ$230,0,MATCH(V$2,Inputs!$K$4:$AJ$4,0))))=0,NA(),SUMPRODUCT((Inputs!$A$5:$A$230=$B71)*Inputs!$B$5:$B$230*(((Inputs!$G$5:$G$230="moeda")+(Inputs!$G$5:$G$230="acoes"))*Inputs!$B$1+((Inputs!$G$5:$G$230&lt;&gt;"moeda")*(Inputs!$G$5:$G$230&lt;&gt;"acoes")))*INDEX(Inputs!$K$5:$AJ$230,0,MATCH(V$2,Inputs!$K$4:$AJ$4,0)))+SUMPRODUCT((Inputs!$C$5:$C$230=$B71)*Inputs!$D$5:$D$230*(((Inputs!$G$5:$G$230="moeda")+(Inputs!$G$5:$G$230="acoes"))*Inputs!$B$1+((Inputs!$G$5:$G$230&lt;&gt;"moeda")*(Inputs!$G$5:$G$230&lt;&gt;"acoes")))*INDEX(Inputs!$K$5:$AJ$230,0,MATCH(V$2,Inputs!$K$4:$AJ$4,0)))+SUMPRODUCT((Inputs!$E$5:$E$230=$B71)*Inputs!$F$5:$F$230*(((Inputs!$G$5:$G$230="moeda")+(Inputs!$G$5:$G$230="acoes"))*Inputs!$B$1+((Inputs!$G$5:$G$230&lt;&gt;"moeda")*(Inputs!$G$5:$G$230&lt;&gt;"acoes")))*INDEX(Inputs!$K$5:$AJ$230,0,MATCH(V$2,Inputs!$K$4:$AJ$4,0)))))</f>
        <v>717.261</v>
      </c>
      <c r="W71" s="3">
        <f>SUM(S71:V71)</f>
        <v>2317.674</v>
      </c>
      <c r="X71" s="6">
        <f>IF(ISNA(MATCH(X$2,Inputs!$K$4:$AJ$4,0)),NA(),IF(SUMPRODUCT((Inputs!$A$5:$A$230=$B71)*ISNUMBER(INDEX(Inputs!$K$5:$AJ$230,0,MATCH(X$2,Inputs!$K$4:$AJ$4,0))))+SUMPRODUCT((Inputs!$C$5:$C$230=$B71)*ISNUMBER(INDEX(Inputs!$K$5:$AJ$230,0,MATCH(X$2,Inputs!$K$4:$AJ$4,0))))+SUMPRODUCT((Inputs!$E$5:$E$230=$B71)*ISNUMBER(INDEX(Inputs!$K$5:$AJ$230,0,MATCH(X$2,Inputs!$K$4:$AJ$4,0))))=0,NA(),SUMPRODUCT((Inputs!$A$5:$A$230=$B71)*Inputs!$B$5:$B$230*(((Inputs!$G$5:$G$230="moeda")+(Inputs!$G$5:$G$230="acoes"))*Inputs!$B$1+((Inputs!$G$5:$G$230&lt;&gt;"moeda")*(Inputs!$G$5:$G$230&lt;&gt;"acoes")))*INDEX(Inputs!$K$5:$AJ$230,0,MATCH(X$2,Inputs!$K$4:$AJ$4,0)))+SUMPRODUCT((Inputs!$C$5:$C$230=$B71)*Inputs!$D$5:$D$230*(((Inputs!$G$5:$G$230="moeda")+(Inputs!$G$5:$G$230="acoes"))*Inputs!$B$1+((Inputs!$G$5:$G$230&lt;&gt;"moeda")*(Inputs!$G$5:$G$230&lt;&gt;"acoes")))*INDEX(Inputs!$K$5:$AJ$230,0,MATCH(X$2,Inputs!$K$4:$AJ$4,0)))+SUMPRODUCT((Inputs!$E$5:$E$230=$B71)*Inputs!$F$5:$F$230*(((Inputs!$G$5:$G$230="moeda")+(Inputs!$G$5:$G$230="acoes"))*Inputs!$B$1+((Inputs!$G$5:$G$230&lt;&gt;"moeda")*(Inputs!$G$5:$G$230&lt;&gt;"acoes")))*INDEX(Inputs!$K$5:$AJ$230,0,MATCH(X$2,Inputs!$K$4:$AJ$4,0)))))</f>
        <v>623.738</v>
      </c>
      <c r="Y71" s="6">
        <f>IF(ISNA(MATCH(Y$2,Inputs!$K$4:$AJ$4,0)),NA(),IF(SUMPRODUCT((Inputs!$A$5:$A$230=$B71)*ISNUMBER(INDEX(Inputs!$K$5:$AJ$230,0,MATCH(Y$2,Inputs!$K$4:$AJ$4,0))))+SUMPRODUCT((Inputs!$C$5:$C$230=$B71)*ISNUMBER(INDEX(Inputs!$K$5:$AJ$230,0,MATCH(Y$2,Inputs!$K$4:$AJ$4,0))))+SUMPRODUCT((Inputs!$E$5:$E$230=$B71)*ISNUMBER(INDEX(Inputs!$K$5:$AJ$230,0,MATCH(Y$2,Inputs!$K$4:$AJ$4,0))))=0,NA(),SUMPRODUCT((Inputs!$A$5:$A$230=$B71)*Inputs!$B$5:$B$230*(((Inputs!$G$5:$G$230="moeda")+(Inputs!$G$5:$G$230="acoes"))*Inputs!$B$1+((Inputs!$G$5:$G$230&lt;&gt;"moeda")*(Inputs!$G$5:$G$230&lt;&gt;"acoes")))*INDEX(Inputs!$K$5:$AJ$230,0,MATCH(Y$2,Inputs!$K$4:$AJ$4,0)))+SUMPRODUCT((Inputs!$C$5:$C$230=$B71)*Inputs!$D$5:$D$230*(((Inputs!$G$5:$G$230="moeda")+(Inputs!$G$5:$G$230="acoes"))*Inputs!$B$1+((Inputs!$G$5:$G$230&lt;&gt;"moeda")*(Inputs!$G$5:$G$230&lt;&gt;"acoes")))*INDEX(Inputs!$K$5:$AJ$230,0,MATCH(Y$2,Inputs!$K$4:$AJ$4,0)))+SUMPRODUCT((Inputs!$E$5:$E$230=$B71)*Inputs!$F$5:$F$230*(((Inputs!$G$5:$G$230="moeda")+(Inputs!$G$5:$G$230="acoes"))*Inputs!$B$1+((Inputs!$G$5:$G$230&lt;&gt;"moeda")*(Inputs!$G$5:$G$230&lt;&gt;"acoes")))*INDEX(Inputs!$K$5:$AJ$230,0,MATCH(Y$2,Inputs!$K$4:$AJ$4,0)))))</f>
        <v>172.372</v>
      </c>
      <c r="Z71" s="6">
        <f>IF(ISNA(MATCH(Z$2,Inputs!$K$4:$AJ$4,0)),NA(),IF(SUMPRODUCT((Inputs!$A$5:$A$230=$B71)*ISNUMBER(INDEX(Inputs!$K$5:$AJ$230,0,MATCH(Z$2,Inputs!$K$4:$AJ$4,0))))+SUMPRODUCT((Inputs!$C$5:$C$230=$B71)*ISNUMBER(INDEX(Inputs!$K$5:$AJ$230,0,MATCH(Z$2,Inputs!$K$4:$AJ$4,0))))+SUMPRODUCT((Inputs!$E$5:$E$230=$B71)*ISNUMBER(INDEX(Inputs!$K$5:$AJ$230,0,MATCH(Z$2,Inputs!$K$4:$AJ$4,0))))=0,NA(),SUMPRODUCT((Inputs!$A$5:$A$230=$B71)*Inputs!$B$5:$B$230*(((Inputs!$G$5:$G$230="moeda")+(Inputs!$G$5:$G$230="acoes"))*Inputs!$B$1+((Inputs!$G$5:$G$230&lt;&gt;"moeda")*(Inputs!$G$5:$G$230&lt;&gt;"acoes")))*INDEX(Inputs!$K$5:$AJ$230,0,MATCH(Z$2,Inputs!$K$4:$AJ$4,0)))+SUMPRODUCT((Inputs!$C$5:$C$230=$B71)*Inputs!$D$5:$D$230*(((Inputs!$G$5:$G$230="moeda")+(Inputs!$G$5:$G$230="acoes"))*Inputs!$B$1+((Inputs!$G$5:$G$230&lt;&gt;"moeda")*(Inputs!$G$5:$G$230&lt;&gt;"acoes")))*INDEX(Inputs!$K$5:$AJ$230,0,MATCH(Z$2,Inputs!$K$4:$AJ$4,0)))+SUMPRODUCT((Inputs!$E$5:$E$230=$B71)*Inputs!$F$5:$F$230*(((Inputs!$G$5:$G$230="moeda")+(Inputs!$G$5:$G$230="acoes"))*Inputs!$B$1+((Inputs!$G$5:$G$230&lt;&gt;"moeda")*(Inputs!$G$5:$G$230&lt;&gt;"acoes")))*INDEX(Inputs!$K$5:$AJ$230,0,MATCH(Z$2,Inputs!$K$4:$AJ$4,0)))))</f>
        <v>2279.208</v>
      </c>
      <c r="AA71" s="6">
        <f>IF(ISNA(MATCH(AA$2,Inputs!$K$4:$AJ$4,0)),NA(),IF(SUMPRODUCT((Inputs!$A$5:$A$230=$B71)*ISNUMBER(INDEX(Inputs!$K$5:$AJ$230,0,MATCH(AA$2,Inputs!$K$4:$AJ$4,0))))+SUMPRODUCT((Inputs!$C$5:$C$230=$B71)*ISNUMBER(INDEX(Inputs!$K$5:$AJ$230,0,MATCH(AA$2,Inputs!$K$4:$AJ$4,0))))+SUMPRODUCT((Inputs!$E$5:$E$230=$B71)*ISNUMBER(INDEX(Inputs!$K$5:$AJ$230,0,MATCH(AA$2,Inputs!$K$4:$AJ$4,0))))=0,NA(),SUMPRODUCT((Inputs!$A$5:$A$230=$B71)*Inputs!$B$5:$B$230*(((Inputs!$G$5:$G$230="moeda")+(Inputs!$G$5:$G$230="acoes"))*Inputs!$B$1+((Inputs!$G$5:$G$230&lt;&gt;"moeda")*(Inputs!$G$5:$G$230&lt;&gt;"acoes")))*INDEX(Inputs!$K$5:$AJ$230,0,MATCH(AA$2,Inputs!$K$4:$AJ$4,0)))+SUMPRODUCT((Inputs!$C$5:$C$230=$B71)*Inputs!$D$5:$D$230*(((Inputs!$G$5:$G$230="moeda")+(Inputs!$G$5:$G$230="acoes"))*Inputs!$B$1+((Inputs!$G$5:$G$230&lt;&gt;"moeda")*(Inputs!$G$5:$G$230&lt;&gt;"acoes")))*INDEX(Inputs!$K$5:$AJ$230,0,MATCH(AA$2,Inputs!$K$4:$AJ$4,0)))+SUMPRODUCT((Inputs!$E$5:$E$230=$B71)*Inputs!$F$5:$F$230*(((Inputs!$G$5:$G$230="moeda")+(Inputs!$G$5:$G$230="acoes"))*Inputs!$B$1+((Inputs!$G$5:$G$230&lt;&gt;"moeda")*(Inputs!$G$5:$G$230&lt;&gt;"acoes")))*INDEX(Inputs!$K$5:$AJ$230,0,MATCH(AA$2,Inputs!$K$4:$AJ$4,0)))))</f>
        <v>133.091</v>
      </c>
      <c r="AB71" s="3">
        <f>SUM(X71:AA71)</f>
        <v>3208.409</v>
      </c>
      <c r="AC71" s="6">
        <f>IF(ISNA(MATCH(AC$2,Inputs!$K$4:$AJ$4,0)),NA(),IF(SUMPRODUCT((Inputs!$A$5:$A$230=$B71)*ISNUMBER(INDEX(Inputs!$K$5:$AJ$230,0,MATCH(AC$2,Inputs!$K$4:$AJ$4,0))))+SUMPRODUCT((Inputs!$C$5:$C$230=$B71)*ISNUMBER(INDEX(Inputs!$K$5:$AJ$230,0,MATCH(AC$2,Inputs!$K$4:$AJ$4,0))))+SUMPRODUCT((Inputs!$E$5:$E$230=$B71)*ISNUMBER(INDEX(Inputs!$K$5:$AJ$230,0,MATCH(AC$2,Inputs!$K$4:$AJ$4,0))))=0,NA(),SUMPRODUCT((Inputs!$A$5:$A$230=$B71)*Inputs!$B$5:$B$230*(((Inputs!$G$5:$G$230="moeda")+(Inputs!$G$5:$G$230="acoes"))*Inputs!$B$1+((Inputs!$G$5:$G$230&lt;&gt;"moeda")*(Inputs!$G$5:$G$230&lt;&gt;"acoes")))*INDEX(Inputs!$K$5:$AJ$230,0,MATCH(AC$2,Inputs!$K$4:$AJ$4,0)))+SUMPRODUCT((Inputs!$C$5:$C$230=$B71)*Inputs!$D$5:$D$230*(((Inputs!$G$5:$G$230="moeda")+(Inputs!$G$5:$G$230="acoes"))*Inputs!$B$1+((Inputs!$G$5:$G$230&lt;&gt;"moeda")*(Inputs!$G$5:$G$230&lt;&gt;"acoes")))*INDEX(Inputs!$K$5:$AJ$230,0,MATCH(AC$2,Inputs!$K$4:$AJ$4,0)))+SUMPRODUCT((Inputs!$E$5:$E$230=$B71)*Inputs!$F$5:$F$230*(((Inputs!$G$5:$G$230="moeda")+(Inputs!$G$5:$G$230="acoes"))*Inputs!$B$1+((Inputs!$G$5:$G$230&lt;&gt;"moeda")*(Inputs!$G$5:$G$230&lt;&gt;"acoes")))*INDEX(Inputs!$K$5:$AJ$230,0,MATCH(AC$2,Inputs!$K$4:$AJ$4,0)))))</f>
        <v>168.521</v>
      </c>
      <c r="AD71" s="6">
        <f>IF(ISNA(MATCH(AD$2,Inputs!$K$4:$AJ$4,0)),NA(),IF(SUMPRODUCT((Inputs!$A$5:$A$230=$B71)*ISNUMBER(INDEX(Inputs!$K$5:$AJ$230,0,MATCH(AD$2,Inputs!$K$4:$AJ$4,0))))+SUMPRODUCT((Inputs!$C$5:$C$230=$B71)*ISNUMBER(INDEX(Inputs!$K$5:$AJ$230,0,MATCH(AD$2,Inputs!$K$4:$AJ$4,0))))+SUMPRODUCT((Inputs!$E$5:$E$230=$B71)*ISNUMBER(INDEX(Inputs!$K$5:$AJ$230,0,MATCH(AD$2,Inputs!$K$4:$AJ$4,0))))=0,NA(),SUMPRODUCT((Inputs!$A$5:$A$230=$B71)*Inputs!$B$5:$B$230*(((Inputs!$G$5:$G$230="moeda")+(Inputs!$G$5:$G$230="acoes"))*Inputs!$B$1+((Inputs!$G$5:$G$230&lt;&gt;"moeda")*(Inputs!$G$5:$G$230&lt;&gt;"acoes")))*INDEX(Inputs!$K$5:$AJ$230,0,MATCH(AD$2,Inputs!$K$4:$AJ$4,0)))+SUMPRODUCT((Inputs!$C$5:$C$230=$B71)*Inputs!$D$5:$D$230*(((Inputs!$G$5:$G$230="moeda")+(Inputs!$G$5:$G$230="acoes"))*Inputs!$B$1+((Inputs!$G$5:$G$230&lt;&gt;"moeda")*(Inputs!$G$5:$G$230&lt;&gt;"acoes")))*INDEX(Inputs!$K$5:$AJ$230,0,MATCH(AD$2,Inputs!$K$4:$AJ$4,0)))+SUMPRODUCT((Inputs!$E$5:$E$230=$B71)*Inputs!$F$5:$F$230*(((Inputs!$G$5:$G$230="moeda")+(Inputs!$G$5:$G$230="acoes"))*Inputs!$B$1+((Inputs!$G$5:$G$230&lt;&gt;"moeda")*(Inputs!$G$5:$G$230&lt;&gt;"acoes")))*INDEX(Inputs!$K$5:$AJ$230,0,MATCH(AD$2,Inputs!$K$4:$AJ$4,0)))))</f>
        <v>215.897</v>
      </c>
      <c r="AE71" s="6" t="e">
        <f>IF(ISNA(MATCH(AE$2,Inputs!$K$4:$AJ$4,0)),NA(),IF(SUMPRODUCT((Inputs!$A$5:$A$230=$B71)*ISNUMBER(INDEX(Inputs!$K$5:$AJ$230,0,MATCH(AE$2,Inputs!$K$4:$AJ$4,0))))+SUMPRODUCT((Inputs!$C$5:$C$230=$B71)*ISNUMBER(INDEX(Inputs!$K$5:$AJ$230,0,MATCH(AE$2,Inputs!$K$4:$AJ$4,0))))+SUMPRODUCT((Inputs!$E$5:$E$230=$B71)*ISNUMBER(INDEX(Inputs!$K$5:$AJ$230,0,MATCH(AE$2,Inputs!$K$4:$AJ$4,0))))=0,NA(),SUMPRODUCT((Inputs!$A$5:$A$230=$B71)*Inputs!$B$5:$B$230*(((Inputs!$G$5:$G$230="moeda")+(Inputs!$G$5:$G$230="acoes"))*Inputs!$B$1+((Inputs!$G$5:$G$230&lt;&gt;"moeda")*(Inputs!$G$5:$G$230&lt;&gt;"acoes")))*INDEX(Inputs!$K$5:$AJ$230,0,MATCH(AE$2,Inputs!$K$4:$AJ$4,0)))+SUMPRODUCT((Inputs!$C$5:$C$230=$B71)*Inputs!$D$5:$D$230*(((Inputs!$G$5:$G$230="moeda")+(Inputs!$G$5:$G$230="acoes"))*Inputs!$B$1+((Inputs!$G$5:$G$230&lt;&gt;"moeda")*(Inputs!$G$5:$G$230&lt;&gt;"acoes")))*INDEX(Inputs!$K$5:$AJ$230,0,MATCH(AE$2,Inputs!$K$4:$AJ$4,0)))+SUMPRODUCT((Inputs!$E$5:$E$230=$B71)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1" s="6" t="e">
        <f>IF(ISNA(MATCH(AF$2,Inputs!$K$4:$AJ$4,0)),NA(),IF(SUMPRODUCT((Inputs!$A$5:$A$230=$B71)*ISNUMBER(INDEX(Inputs!$K$5:$AJ$230,0,MATCH(AF$2,Inputs!$K$4:$AJ$4,0))))+SUMPRODUCT((Inputs!$C$5:$C$230=$B71)*ISNUMBER(INDEX(Inputs!$K$5:$AJ$230,0,MATCH(AF$2,Inputs!$K$4:$AJ$4,0))))+SUMPRODUCT((Inputs!$E$5:$E$230=$B71)*ISNUMBER(INDEX(Inputs!$K$5:$AJ$230,0,MATCH(AF$2,Inputs!$K$4:$AJ$4,0))))=0,NA(),SUMPRODUCT((Inputs!$A$5:$A$230=$B71)*Inputs!$B$5:$B$230*(((Inputs!$G$5:$G$230="moeda")+(Inputs!$G$5:$G$230="acoes"))*Inputs!$B$1+((Inputs!$G$5:$G$230&lt;&gt;"moeda")*(Inputs!$G$5:$G$230&lt;&gt;"acoes")))*INDEX(Inputs!$K$5:$AJ$230,0,MATCH(AF$2,Inputs!$K$4:$AJ$4,0)))+SUMPRODUCT((Inputs!$C$5:$C$230=$B71)*Inputs!$D$5:$D$230*(((Inputs!$G$5:$G$230="moeda")+(Inputs!$G$5:$G$230="acoes"))*Inputs!$B$1+((Inputs!$G$5:$G$230&lt;&gt;"moeda")*(Inputs!$G$5:$G$230&lt;&gt;"acoes")))*INDEX(Inputs!$K$5:$AJ$230,0,MATCH(AF$2,Inputs!$K$4:$AJ$4,0)))+SUMPRODUCT((Inputs!$E$5:$E$230=$B71)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1" s="3" t="e">
        <f>SUM(AC71:AF71)</f>
        <v>#N/A</v>
      </c>
      <c r="AH71" s="6">
        <f>IF(ISNA(MATCH(AH$2,Inputs!$K$4:$AJ$4,0)),NA(),IF(SUMPRODUCT((Inputs!$A$5:$A$230=$B71)*ISNUMBER(INDEX(Inputs!$K$5:$AJ$230,0,MATCH(AH$2,Inputs!$K$4:$AJ$4,0))))+SUMPRODUCT((Inputs!$C$5:$C$230=$B71)*ISNUMBER(INDEX(Inputs!$K$5:$AJ$230,0,MATCH(AH$2,Inputs!$K$4:$AJ$4,0))))+SUMPRODUCT((Inputs!$E$5:$E$230=$B71)*ISNUMBER(INDEX(Inputs!$K$5:$AJ$230,0,MATCH(AH$2,Inputs!$K$4:$AJ$4,0))))=0,NA(),SUMPRODUCT((Inputs!$A$5:$A$230=$B71)*Inputs!$B$5:$B$230*(((Inputs!$G$5:$G$230="moeda")+(Inputs!$G$5:$G$230="acoes"))*Inputs!$B$1+((Inputs!$G$5:$G$230&lt;&gt;"moeda")*(Inputs!$G$5:$G$230&lt;&gt;"acoes")))*INDEX(Inputs!$K$5:$AJ$230,0,MATCH(AH$2,Inputs!$K$4:$AJ$4,0)))+SUMPRODUCT((Inputs!$C$5:$C$230=$B71)*Inputs!$D$5:$D$230*(((Inputs!$G$5:$G$230="moeda")+(Inputs!$G$5:$G$230="acoes"))*Inputs!$B$1+((Inputs!$G$5:$G$230&lt;&gt;"moeda")*(Inputs!$G$5:$G$230&lt;&gt;"acoes")))*INDEX(Inputs!$K$5:$AJ$230,0,MATCH(AH$2,Inputs!$K$4:$AJ$4,0)))+SUMPRODUCT((Inputs!$E$5:$E$230=$B71)*Inputs!$F$5:$F$230*(((Inputs!$G$5:$G$230="moeda")+(Inputs!$G$5:$G$230="acoes"))*Inputs!$B$1+((Inputs!$G$5:$G$230&lt;&gt;"moeda")*(Inputs!$G$5:$G$230&lt;&gt;"acoes")))*INDEX(Inputs!$K$5:$AJ$230,0,MATCH(AH$2,Inputs!$K$4:$AJ$4,0)))))</f>
        <v>193.717</v>
      </c>
      <c r="AI71" s="6">
        <f>IF(ISNA(MATCH(AI$2,Inputs!$K$4:$AJ$4,0)),NA(),IF(SUMPRODUCT((Inputs!$A$5:$A$230=$B71)*ISNUMBER(INDEX(Inputs!$K$5:$AJ$230,0,MATCH(AI$2,Inputs!$K$4:$AJ$4,0))))+SUMPRODUCT((Inputs!$C$5:$C$230=$B71)*ISNUMBER(INDEX(Inputs!$K$5:$AJ$230,0,MATCH(AI$2,Inputs!$K$4:$AJ$4,0))))+SUMPRODUCT((Inputs!$E$5:$E$230=$B71)*ISNUMBER(INDEX(Inputs!$K$5:$AJ$230,0,MATCH(AI$2,Inputs!$K$4:$AJ$4,0))))=0,NA(),SUMPRODUCT((Inputs!$A$5:$A$230=$B71)*Inputs!$B$5:$B$230*(((Inputs!$G$5:$G$230="moeda")+(Inputs!$G$5:$G$230="acoes"))*Inputs!$B$1+((Inputs!$G$5:$G$230&lt;&gt;"moeda")*(Inputs!$G$5:$G$230&lt;&gt;"acoes")))*INDEX(Inputs!$K$5:$AJ$230,0,MATCH(AI$2,Inputs!$K$4:$AJ$4,0)))+SUMPRODUCT((Inputs!$C$5:$C$230=$B71)*Inputs!$D$5:$D$230*(((Inputs!$G$5:$G$230="moeda")+(Inputs!$G$5:$G$230="acoes"))*Inputs!$B$1+((Inputs!$G$5:$G$230&lt;&gt;"moeda")*(Inputs!$G$5:$G$230&lt;&gt;"acoes")))*INDEX(Inputs!$K$5:$AJ$230,0,MATCH(AI$2,Inputs!$K$4:$AJ$4,0)))+SUMPRODUCT((Inputs!$E$5:$E$230=$B71)*Inputs!$F$5:$F$230*(((Inputs!$G$5:$G$230="moeda")+(Inputs!$G$5:$G$230="acoes"))*Inputs!$B$1+((Inputs!$G$5:$G$230&lt;&gt;"moeda")*(Inputs!$G$5:$G$230&lt;&gt;"acoes")))*INDEX(Inputs!$K$5:$AJ$230,0,MATCH(AI$2,Inputs!$K$4:$AJ$4,0)))))</f>
        <v>5.088</v>
      </c>
      <c r="AJ71" s="6">
        <f>IF(ISNA(MATCH(AJ$2,Inputs!$K$4:$AJ$4,0)),NA(),IF(SUMPRODUCT((Inputs!$A$5:$A$230=$B71)*ISNUMBER(INDEX(Inputs!$K$5:$AJ$230,0,MATCH(AJ$2,Inputs!$K$4:$AJ$4,0))))+SUMPRODUCT((Inputs!$C$5:$C$230=$B71)*ISNUMBER(INDEX(Inputs!$K$5:$AJ$230,0,MATCH(AJ$2,Inputs!$K$4:$AJ$4,0))))+SUMPRODUCT((Inputs!$E$5:$E$230=$B71)*ISNUMBER(INDEX(Inputs!$K$5:$AJ$230,0,MATCH(AJ$2,Inputs!$K$4:$AJ$4,0))))=0,NA(),SUMPRODUCT((Inputs!$A$5:$A$230=$B71)*Inputs!$B$5:$B$230*(((Inputs!$G$5:$G$230="moeda")+(Inputs!$G$5:$G$230="acoes"))*Inputs!$B$1+((Inputs!$G$5:$G$230&lt;&gt;"moeda")*(Inputs!$G$5:$G$230&lt;&gt;"acoes")))*INDEX(Inputs!$K$5:$AJ$230,0,MATCH(AJ$2,Inputs!$K$4:$AJ$4,0)))+SUMPRODUCT((Inputs!$C$5:$C$230=$B71)*Inputs!$D$5:$D$230*(((Inputs!$G$5:$G$230="moeda")+(Inputs!$G$5:$G$230="acoes"))*Inputs!$B$1+((Inputs!$G$5:$G$230&lt;&gt;"moeda")*(Inputs!$G$5:$G$230&lt;&gt;"acoes")))*INDEX(Inputs!$K$5:$AJ$230,0,MATCH(AJ$2,Inputs!$K$4:$AJ$4,0)))+SUMPRODUCT((Inputs!$E$5:$E$230=$B71)*Inputs!$F$5:$F$230*(((Inputs!$G$5:$G$230="moeda")+(Inputs!$G$5:$G$230="acoes"))*Inputs!$B$1+((Inputs!$G$5:$G$230&lt;&gt;"moeda")*(Inputs!$G$5:$G$230&lt;&gt;"acoes")))*INDEX(Inputs!$K$5:$AJ$230,0,MATCH(AJ$2,Inputs!$K$4:$AJ$4,0)))))</f>
        <v>1.992</v>
      </c>
      <c r="AK71" s="6">
        <f>IF(ISNA(MATCH(AK$2,Inputs!$K$4:$AJ$4,0)),NA(),IF(SUMPRODUCT((Inputs!$A$5:$A$230=$B71)*ISNUMBER(INDEX(Inputs!$K$5:$AJ$230,0,MATCH(AK$2,Inputs!$K$4:$AJ$4,0))))+SUMPRODUCT((Inputs!$C$5:$C$230=$B71)*ISNUMBER(INDEX(Inputs!$K$5:$AJ$230,0,MATCH(AK$2,Inputs!$K$4:$AJ$4,0))))+SUMPRODUCT((Inputs!$E$5:$E$230=$B71)*ISNUMBER(INDEX(Inputs!$K$5:$AJ$230,0,MATCH(AK$2,Inputs!$K$4:$AJ$4,0))))=0,NA(),SUMPRODUCT((Inputs!$A$5:$A$230=$B71)*Inputs!$B$5:$B$230*(((Inputs!$G$5:$G$230="moeda")+(Inputs!$G$5:$G$230="acoes"))*Inputs!$B$1+((Inputs!$G$5:$G$230&lt;&gt;"moeda")*(Inputs!$G$5:$G$230&lt;&gt;"acoes")))*INDEX(Inputs!$K$5:$AJ$230,0,MATCH(AK$2,Inputs!$K$4:$AJ$4,0)))+SUMPRODUCT((Inputs!$C$5:$C$230=$B71)*Inputs!$D$5:$D$230*(((Inputs!$G$5:$G$230="moeda")+(Inputs!$G$5:$G$230="acoes"))*Inputs!$B$1+((Inputs!$G$5:$G$230&lt;&gt;"moeda")*(Inputs!$G$5:$G$230&lt;&gt;"acoes")))*INDEX(Inputs!$K$5:$AJ$230,0,MATCH(AK$2,Inputs!$K$4:$AJ$4,0)))+SUMPRODUCT((Inputs!$E$5:$E$230=$B71)*Inputs!$F$5:$F$230*(((Inputs!$G$5:$G$230="moeda")+(Inputs!$G$5:$G$230="acoes"))*Inputs!$B$1+((Inputs!$G$5:$G$230&lt;&gt;"moeda")*(Inputs!$G$5:$G$230&lt;&gt;"acoes")))*INDEX(Inputs!$K$5:$AJ$230,0,MATCH(AK$2,Inputs!$K$4:$AJ$4,0)))))</f>
        <v>-25.724</v>
      </c>
      <c r="AL71" s="3">
        <f>SUM(AH71:AK71)</f>
        <v>175.073</v>
      </c>
    </row>
    <row r="72">
      <c r="B72" s="46" t="n">
        <v>64</v>
      </c>
      <c r="C72" s="29" t="inlineStr">
        <is>
          <t>Transmissao | ETES</t>
        </is>
      </c>
      <c r="D72" s="6">
        <f>IF(ISNA(MATCH(D$2,Inputs!$K$4:$AJ$4,0)),NA(),IF(SUMPRODUCT((Inputs!$A$5:$A$230=$B72)*ISNUMBER(INDEX(Inputs!$K$5:$AJ$230,0,MATCH(D$2,Inputs!$K$4:$AJ$4,0))))+SUMPRODUCT((Inputs!$C$5:$C$230=$B72)*ISNUMBER(INDEX(Inputs!$K$5:$AJ$230,0,MATCH(D$2,Inputs!$K$4:$AJ$4,0))))+SUMPRODUCT((Inputs!$E$5:$E$230=$B72)*ISNUMBER(INDEX(Inputs!$K$5:$AJ$230,0,MATCH(D$2,Inputs!$K$4:$AJ$4,0))))=0,NA(),SUMPRODUCT((Inputs!$A$5:$A$230=$B72)*Inputs!$B$5:$B$230*(((Inputs!$G$5:$G$230="moeda")+(Inputs!$G$5:$G$230="acoes"))*Inputs!$B$1+((Inputs!$G$5:$G$230&lt;&gt;"moeda")*(Inputs!$G$5:$G$230&lt;&gt;"acoes")))*INDEX(Inputs!$K$5:$AJ$230,0,MATCH(D$2,Inputs!$K$4:$AJ$4,0)))+SUMPRODUCT((Inputs!$C$5:$C$230=$B72)*Inputs!$D$5:$D$230*(((Inputs!$G$5:$G$230="moeda")+(Inputs!$G$5:$G$230="acoes"))*Inputs!$B$1+((Inputs!$G$5:$G$230&lt;&gt;"moeda")*(Inputs!$G$5:$G$230&lt;&gt;"acoes")))*INDEX(Inputs!$K$5:$AJ$230,0,MATCH(D$2,Inputs!$K$4:$AJ$4,0)))+SUMPRODUCT((Inputs!$E$5:$E$230=$B72)*Inputs!$F$5:$F$230*(((Inputs!$G$5:$G$230="moeda")+(Inputs!$G$5:$G$230="acoes"))*Inputs!$B$1+((Inputs!$G$5:$G$230&lt;&gt;"moeda")*(Inputs!$G$5:$G$230&lt;&gt;"acoes")))*INDEX(Inputs!$K$5:$AJ$230,0,MATCH(D$2,Inputs!$K$4:$AJ$4,0)))))</f>
        <v>0.608</v>
      </c>
      <c r="E72" s="6">
        <f>IF(ISNA(MATCH(E$2,Inputs!$K$4:$AJ$4,0)),NA(),IF(SUMPRODUCT((Inputs!$A$5:$A$230=$B72)*ISNUMBER(INDEX(Inputs!$K$5:$AJ$230,0,MATCH(E$2,Inputs!$K$4:$AJ$4,0))))+SUMPRODUCT((Inputs!$C$5:$C$230=$B72)*ISNUMBER(INDEX(Inputs!$K$5:$AJ$230,0,MATCH(E$2,Inputs!$K$4:$AJ$4,0))))+SUMPRODUCT((Inputs!$E$5:$E$230=$B72)*ISNUMBER(INDEX(Inputs!$K$5:$AJ$230,0,MATCH(E$2,Inputs!$K$4:$AJ$4,0))))=0,NA(),SUMPRODUCT((Inputs!$A$5:$A$230=$B72)*Inputs!$B$5:$B$230*(((Inputs!$G$5:$G$230="moeda")+(Inputs!$G$5:$G$230="acoes"))*Inputs!$B$1+((Inputs!$G$5:$G$230&lt;&gt;"moeda")*(Inputs!$G$5:$G$230&lt;&gt;"acoes")))*INDEX(Inputs!$K$5:$AJ$230,0,MATCH(E$2,Inputs!$K$4:$AJ$4,0)))+SUMPRODUCT((Inputs!$C$5:$C$230=$B72)*Inputs!$D$5:$D$230*(((Inputs!$G$5:$G$230="moeda")+(Inputs!$G$5:$G$230="acoes"))*Inputs!$B$1+((Inputs!$G$5:$G$230&lt;&gt;"moeda")*(Inputs!$G$5:$G$230&lt;&gt;"acoes")))*INDEX(Inputs!$K$5:$AJ$230,0,MATCH(E$2,Inputs!$K$4:$AJ$4,0)))+SUMPRODUCT((Inputs!$E$5:$E$230=$B72)*Inputs!$F$5:$F$230*(((Inputs!$G$5:$G$230="moeda")+(Inputs!$G$5:$G$230="acoes"))*Inputs!$B$1+((Inputs!$G$5:$G$230&lt;&gt;"moeda")*(Inputs!$G$5:$G$230&lt;&gt;"acoes")))*INDEX(Inputs!$K$5:$AJ$230,0,MATCH(E$2,Inputs!$K$4:$AJ$4,0)))))</f>
        <v>6.208</v>
      </c>
      <c r="F72" s="6">
        <f>IF(ISNA(MATCH(F$2,Inputs!$K$4:$AJ$4,0)),NA(),IF(SUMPRODUCT((Inputs!$A$5:$A$230=$B72)*ISNUMBER(INDEX(Inputs!$K$5:$AJ$230,0,MATCH(F$2,Inputs!$K$4:$AJ$4,0))))+SUMPRODUCT((Inputs!$C$5:$C$230=$B72)*ISNUMBER(INDEX(Inputs!$K$5:$AJ$230,0,MATCH(F$2,Inputs!$K$4:$AJ$4,0))))+SUMPRODUCT((Inputs!$E$5:$E$230=$B72)*ISNUMBER(INDEX(Inputs!$K$5:$AJ$230,0,MATCH(F$2,Inputs!$K$4:$AJ$4,0))))=0,NA(),SUMPRODUCT((Inputs!$A$5:$A$230=$B72)*Inputs!$B$5:$B$230*(((Inputs!$G$5:$G$230="moeda")+(Inputs!$G$5:$G$230="acoes"))*Inputs!$B$1+((Inputs!$G$5:$G$230&lt;&gt;"moeda")*(Inputs!$G$5:$G$230&lt;&gt;"acoes")))*INDEX(Inputs!$K$5:$AJ$230,0,MATCH(F$2,Inputs!$K$4:$AJ$4,0)))+SUMPRODUCT((Inputs!$C$5:$C$230=$B72)*Inputs!$D$5:$D$230*(((Inputs!$G$5:$G$230="moeda")+(Inputs!$G$5:$G$230="acoes"))*Inputs!$B$1+((Inputs!$G$5:$G$230&lt;&gt;"moeda")*(Inputs!$G$5:$G$230&lt;&gt;"acoes")))*INDEX(Inputs!$K$5:$AJ$230,0,MATCH(F$2,Inputs!$K$4:$AJ$4,0)))+SUMPRODUCT((Inputs!$E$5:$E$230=$B72)*Inputs!$F$5:$F$230*(((Inputs!$G$5:$G$230="moeda")+(Inputs!$G$5:$G$230="acoes"))*Inputs!$B$1+((Inputs!$G$5:$G$230&lt;&gt;"moeda")*(Inputs!$G$5:$G$230&lt;&gt;"acoes")))*INDEX(Inputs!$K$5:$AJ$230,0,MATCH(F$2,Inputs!$K$4:$AJ$4,0)))))</f>
        <v>5.469</v>
      </c>
      <c r="G72" s="6">
        <f>IF(ISNA(MATCH(G$2,Inputs!$K$4:$AJ$4,0)),NA(),IF(SUMPRODUCT((Inputs!$A$5:$A$230=$B72)*ISNUMBER(INDEX(Inputs!$K$5:$AJ$230,0,MATCH(G$2,Inputs!$K$4:$AJ$4,0))))+SUMPRODUCT((Inputs!$C$5:$C$230=$B72)*ISNUMBER(INDEX(Inputs!$K$5:$AJ$230,0,MATCH(G$2,Inputs!$K$4:$AJ$4,0))))+SUMPRODUCT((Inputs!$E$5:$E$230=$B72)*ISNUMBER(INDEX(Inputs!$K$5:$AJ$230,0,MATCH(G$2,Inputs!$K$4:$AJ$4,0))))=0,NA(),SUMPRODUCT((Inputs!$A$5:$A$230=$B72)*Inputs!$B$5:$B$230*(((Inputs!$G$5:$G$230="moeda")+(Inputs!$G$5:$G$230="acoes"))*Inputs!$B$1+((Inputs!$G$5:$G$230&lt;&gt;"moeda")*(Inputs!$G$5:$G$230&lt;&gt;"acoes")))*INDEX(Inputs!$K$5:$AJ$230,0,MATCH(G$2,Inputs!$K$4:$AJ$4,0)))+SUMPRODUCT((Inputs!$C$5:$C$230=$B72)*Inputs!$D$5:$D$230*(((Inputs!$G$5:$G$230="moeda")+(Inputs!$G$5:$G$230="acoes"))*Inputs!$B$1+((Inputs!$G$5:$G$230&lt;&gt;"moeda")*(Inputs!$G$5:$G$230&lt;&gt;"acoes")))*INDEX(Inputs!$K$5:$AJ$230,0,MATCH(G$2,Inputs!$K$4:$AJ$4,0)))+SUMPRODUCT((Inputs!$E$5:$E$230=$B72)*Inputs!$F$5:$F$230*(((Inputs!$G$5:$G$230="moeda")+(Inputs!$G$5:$G$230="acoes"))*Inputs!$B$1+((Inputs!$G$5:$G$230&lt;&gt;"moeda")*(Inputs!$G$5:$G$230&lt;&gt;"acoes")))*INDEX(Inputs!$K$5:$AJ$230,0,MATCH(G$2,Inputs!$K$4:$AJ$4,0)))))</f>
        <v>6.627</v>
      </c>
      <c r="H72" s="3">
        <f>SUM(D72:G72)</f>
        <v>18.912</v>
      </c>
      <c r="I72" s="6">
        <f>IF(ISNA(MATCH(I$2,Inputs!$K$4:$AJ$4,0)),NA(),IF(SUMPRODUCT((Inputs!$A$5:$A$230=$B72)*ISNUMBER(INDEX(Inputs!$K$5:$AJ$230,0,MATCH(I$2,Inputs!$K$4:$AJ$4,0))))+SUMPRODUCT((Inputs!$C$5:$C$230=$B72)*ISNUMBER(INDEX(Inputs!$K$5:$AJ$230,0,MATCH(I$2,Inputs!$K$4:$AJ$4,0))))+SUMPRODUCT((Inputs!$E$5:$E$230=$B72)*ISNUMBER(INDEX(Inputs!$K$5:$AJ$230,0,MATCH(I$2,Inputs!$K$4:$AJ$4,0))))=0,NA(),SUMPRODUCT((Inputs!$A$5:$A$230=$B72)*Inputs!$B$5:$B$230*(((Inputs!$G$5:$G$230="moeda")+(Inputs!$G$5:$G$230="acoes"))*Inputs!$B$1+((Inputs!$G$5:$G$230&lt;&gt;"moeda")*(Inputs!$G$5:$G$230&lt;&gt;"acoes")))*INDEX(Inputs!$K$5:$AJ$230,0,MATCH(I$2,Inputs!$K$4:$AJ$4,0)))+SUMPRODUCT((Inputs!$C$5:$C$230=$B72)*Inputs!$D$5:$D$230*(((Inputs!$G$5:$G$230="moeda")+(Inputs!$G$5:$G$230="acoes"))*Inputs!$B$1+((Inputs!$G$5:$G$230&lt;&gt;"moeda")*(Inputs!$G$5:$G$230&lt;&gt;"acoes")))*INDEX(Inputs!$K$5:$AJ$230,0,MATCH(I$2,Inputs!$K$4:$AJ$4,0)))+SUMPRODUCT((Inputs!$E$5:$E$230=$B72)*Inputs!$F$5:$F$230*(((Inputs!$G$5:$G$230="moeda")+(Inputs!$G$5:$G$230="acoes"))*Inputs!$B$1+((Inputs!$G$5:$G$230&lt;&gt;"moeda")*(Inputs!$G$5:$G$230&lt;&gt;"acoes")))*INDEX(Inputs!$K$5:$AJ$230,0,MATCH(I$2,Inputs!$K$4:$AJ$4,0)))))</f>
        <v>5.685</v>
      </c>
      <c r="J72" s="6">
        <f>IF(ISNA(MATCH(J$2,Inputs!$K$4:$AJ$4,0)),NA(),IF(SUMPRODUCT((Inputs!$A$5:$A$230=$B72)*ISNUMBER(INDEX(Inputs!$K$5:$AJ$230,0,MATCH(J$2,Inputs!$K$4:$AJ$4,0))))+SUMPRODUCT((Inputs!$C$5:$C$230=$B72)*ISNUMBER(INDEX(Inputs!$K$5:$AJ$230,0,MATCH(J$2,Inputs!$K$4:$AJ$4,0))))+SUMPRODUCT((Inputs!$E$5:$E$230=$B72)*ISNUMBER(INDEX(Inputs!$K$5:$AJ$230,0,MATCH(J$2,Inputs!$K$4:$AJ$4,0))))=0,NA(),SUMPRODUCT((Inputs!$A$5:$A$230=$B72)*Inputs!$B$5:$B$230*(((Inputs!$G$5:$G$230="moeda")+(Inputs!$G$5:$G$230="acoes"))*Inputs!$B$1+((Inputs!$G$5:$G$230&lt;&gt;"moeda")*(Inputs!$G$5:$G$230&lt;&gt;"acoes")))*INDEX(Inputs!$K$5:$AJ$230,0,MATCH(J$2,Inputs!$K$4:$AJ$4,0)))+SUMPRODUCT((Inputs!$C$5:$C$230=$B72)*Inputs!$D$5:$D$230*(((Inputs!$G$5:$G$230="moeda")+(Inputs!$G$5:$G$230="acoes"))*Inputs!$B$1+((Inputs!$G$5:$G$230&lt;&gt;"moeda")*(Inputs!$G$5:$G$230&lt;&gt;"acoes")))*INDEX(Inputs!$K$5:$AJ$230,0,MATCH(J$2,Inputs!$K$4:$AJ$4,0)))+SUMPRODUCT((Inputs!$E$5:$E$230=$B72)*Inputs!$F$5:$F$230*(((Inputs!$G$5:$G$230="moeda")+(Inputs!$G$5:$G$230="acoes"))*Inputs!$B$1+((Inputs!$G$5:$G$230&lt;&gt;"moeda")*(Inputs!$G$5:$G$230&lt;&gt;"acoes")))*INDEX(Inputs!$K$5:$AJ$230,0,MATCH(J$2,Inputs!$K$4:$AJ$4,0)))))</f>
        <v>6.785</v>
      </c>
      <c r="K72" s="6">
        <f>IF(ISNA(MATCH(K$2,Inputs!$K$4:$AJ$4,0)),NA(),IF(SUMPRODUCT((Inputs!$A$5:$A$230=$B72)*ISNUMBER(INDEX(Inputs!$K$5:$AJ$230,0,MATCH(K$2,Inputs!$K$4:$AJ$4,0))))+SUMPRODUCT((Inputs!$C$5:$C$230=$B72)*ISNUMBER(INDEX(Inputs!$K$5:$AJ$230,0,MATCH(K$2,Inputs!$K$4:$AJ$4,0))))+SUMPRODUCT((Inputs!$E$5:$E$230=$B72)*ISNUMBER(INDEX(Inputs!$K$5:$AJ$230,0,MATCH(K$2,Inputs!$K$4:$AJ$4,0))))=0,NA(),SUMPRODUCT((Inputs!$A$5:$A$230=$B72)*Inputs!$B$5:$B$230*(((Inputs!$G$5:$G$230="moeda")+(Inputs!$G$5:$G$230="acoes"))*Inputs!$B$1+((Inputs!$G$5:$G$230&lt;&gt;"moeda")*(Inputs!$G$5:$G$230&lt;&gt;"acoes")))*INDEX(Inputs!$K$5:$AJ$230,0,MATCH(K$2,Inputs!$K$4:$AJ$4,0)))+SUMPRODUCT((Inputs!$C$5:$C$230=$B72)*Inputs!$D$5:$D$230*(((Inputs!$G$5:$G$230="moeda")+(Inputs!$G$5:$G$230="acoes"))*Inputs!$B$1+((Inputs!$G$5:$G$230&lt;&gt;"moeda")*(Inputs!$G$5:$G$230&lt;&gt;"acoes")))*INDEX(Inputs!$K$5:$AJ$230,0,MATCH(K$2,Inputs!$K$4:$AJ$4,0)))+SUMPRODUCT((Inputs!$E$5:$E$230=$B72)*Inputs!$F$5:$F$230*(((Inputs!$G$5:$G$230="moeda")+(Inputs!$G$5:$G$230="acoes"))*Inputs!$B$1+((Inputs!$G$5:$G$230&lt;&gt;"moeda")*(Inputs!$G$5:$G$230&lt;&gt;"acoes")))*INDEX(Inputs!$K$5:$AJ$230,0,MATCH(K$2,Inputs!$K$4:$AJ$4,0)))))</f>
        <v>3.505</v>
      </c>
      <c r="L72" s="6">
        <f>IF(ISNA(MATCH(L$2,Inputs!$K$4:$AJ$4,0)),NA(),IF(SUMPRODUCT((Inputs!$A$5:$A$230=$B72)*ISNUMBER(INDEX(Inputs!$K$5:$AJ$230,0,MATCH(L$2,Inputs!$K$4:$AJ$4,0))))+SUMPRODUCT((Inputs!$C$5:$C$230=$B72)*ISNUMBER(INDEX(Inputs!$K$5:$AJ$230,0,MATCH(L$2,Inputs!$K$4:$AJ$4,0))))+SUMPRODUCT((Inputs!$E$5:$E$230=$B72)*ISNUMBER(INDEX(Inputs!$K$5:$AJ$230,0,MATCH(L$2,Inputs!$K$4:$AJ$4,0))))=0,NA(),SUMPRODUCT((Inputs!$A$5:$A$230=$B72)*Inputs!$B$5:$B$230*(((Inputs!$G$5:$G$230="moeda")+(Inputs!$G$5:$G$230="acoes"))*Inputs!$B$1+((Inputs!$G$5:$G$230&lt;&gt;"moeda")*(Inputs!$G$5:$G$230&lt;&gt;"acoes")))*INDEX(Inputs!$K$5:$AJ$230,0,MATCH(L$2,Inputs!$K$4:$AJ$4,0)))+SUMPRODUCT((Inputs!$C$5:$C$230=$B72)*Inputs!$D$5:$D$230*(((Inputs!$G$5:$G$230="moeda")+(Inputs!$G$5:$G$230="acoes"))*Inputs!$B$1+((Inputs!$G$5:$G$230&lt;&gt;"moeda")*(Inputs!$G$5:$G$230&lt;&gt;"acoes")))*INDEX(Inputs!$K$5:$AJ$230,0,MATCH(L$2,Inputs!$K$4:$AJ$4,0)))+SUMPRODUCT((Inputs!$E$5:$E$230=$B72)*Inputs!$F$5:$F$230*(((Inputs!$G$5:$G$230="moeda")+(Inputs!$G$5:$G$230="acoes"))*Inputs!$B$1+((Inputs!$G$5:$G$230&lt;&gt;"moeda")*(Inputs!$G$5:$G$230&lt;&gt;"acoes")))*INDEX(Inputs!$K$5:$AJ$230,0,MATCH(L$2,Inputs!$K$4:$AJ$4,0)))))</f>
        <v>4.304</v>
      </c>
      <c r="M72" s="3">
        <f>SUM(I72:L72)</f>
        <v>20.279</v>
      </c>
      <c r="N72" s="6">
        <f>IF(ISNA(MATCH(N$2,Inputs!$K$4:$AJ$4,0)),NA(),IF(SUMPRODUCT((Inputs!$A$5:$A$230=$B72)*ISNUMBER(INDEX(Inputs!$K$5:$AJ$230,0,MATCH(N$2,Inputs!$K$4:$AJ$4,0))))+SUMPRODUCT((Inputs!$C$5:$C$230=$B72)*ISNUMBER(INDEX(Inputs!$K$5:$AJ$230,0,MATCH(N$2,Inputs!$K$4:$AJ$4,0))))+SUMPRODUCT((Inputs!$E$5:$E$230=$B72)*ISNUMBER(INDEX(Inputs!$K$5:$AJ$230,0,MATCH(N$2,Inputs!$K$4:$AJ$4,0))))=0,NA(),SUMPRODUCT((Inputs!$A$5:$A$230=$B72)*Inputs!$B$5:$B$230*(((Inputs!$G$5:$G$230="moeda")+(Inputs!$G$5:$G$230="acoes"))*Inputs!$B$1+((Inputs!$G$5:$G$230&lt;&gt;"moeda")*(Inputs!$G$5:$G$230&lt;&gt;"acoes")))*INDEX(Inputs!$K$5:$AJ$230,0,MATCH(N$2,Inputs!$K$4:$AJ$4,0)))+SUMPRODUCT((Inputs!$C$5:$C$230=$B72)*Inputs!$D$5:$D$230*(((Inputs!$G$5:$G$230="moeda")+(Inputs!$G$5:$G$230="acoes"))*Inputs!$B$1+((Inputs!$G$5:$G$230&lt;&gt;"moeda")*(Inputs!$G$5:$G$230&lt;&gt;"acoes")))*INDEX(Inputs!$K$5:$AJ$230,0,MATCH(N$2,Inputs!$K$4:$AJ$4,0)))+SUMPRODUCT((Inputs!$E$5:$E$230=$B72)*Inputs!$F$5:$F$230*(((Inputs!$G$5:$G$230="moeda")+(Inputs!$G$5:$G$230="acoes"))*Inputs!$B$1+((Inputs!$G$5:$G$230&lt;&gt;"moeda")*(Inputs!$G$5:$G$230&lt;&gt;"acoes")))*INDEX(Inputs!$K$5:$AJ$230,0,MATCH(N$2,Inputs!$K$4:$AJ$4,0)))))</f>
        <v>5.727</v>
      </c>
      <c r="O72" s="6">
        <f>IF(ISNA(MATCH(O$2,Inputs!$K$4:$AJ$4,0)),NA(),IF(SUMPRODUCT((Inputs!$A$5:$A$230=$B72)*ISNUMBER(INDEX(Inputs!$K$5:$AJ$230,0,MATCH(O$2,Inputs!$K$4:$AJ$4,0))))+SUMPRODUCT((Inputs!$C$5:$C$230=$B72)*ISNUMBER(INDEX(Inputs!$K$5:$AJ$230,0,MATCH(O$2,Inputs!$K$4:$AJ$4,0))))+SUMPRODUCT((Inputs!$E$5:$E$230=$B72)*ISNUMBER(INDEX(Inputs!$K$5:$AJ$230,0,MATCH(O$2,Inputs!$K$4:$AJ$4,0))))=0,NA(),SUMPRODUCT((Inputs!$A$5:$A$230=$B72)*Inputs!$B$5:$B$230*(((Inputs!$G$5:$G$230="moeda")+(Inputs!$G$5:$G$230="acoes"))*Inputs!$B$1+((Inputs!$G$5:$G$230&lt;&gt;"moeda")*(Inputs!$G$5:$G$230&lt;&gt;"acoes")))*INDEX(Inputs!$K$5:$AJ$230,0,MATCH(O$2,Inputs!$K$4:$AJ$4,0)))+SUMPRODUCT((Inputs!$C$5:$C$230=$B72)*Inputs!$D$5:$D$230*(((Inputs!$G$5:$G$230="moeda")+(Inputs!$G$5:$G$230="acoes"))*Inputs!$B$1+((Inputs!$G$5:$G$230&lt;&gt;"moeda")*(Inputs!$G$5:$G$230&lt;&gt;"acoes")))*INDEX(Inputs!$K$5:$AJ$230,0,MATCH(O$2,Inputs!$K$4:$AJ$4,0)))+SUMPRODUCT((Inputs!$E$5:$E$230=$B72)*Inputs!$F$5:$F$230*(((Inputs!$G$5:$G$230="moeda")+(Inputs!$G$5:$G$230="acoes"))*Inputs!$B$1+((Inputs!$G$5:$G$230&lt;&gt;"moeda")*(Inputs!$G$5:$G$230&lt;&gt;"acoes")))*INDEX(Inputs!$K$5:$AJ$230,0,MATCH(O$2,Inputs!$K$4:$AJ$4,0)))))</f>
        <v>5.305</v>
      </c>
      <c r="P72" s="6">
        <f>IF(ISNA(MATCH(P$2,Inputs!$K$4:$AJ$4,0)),NA(),IF(SUMPRODUCT((Inputs!$A$5:$A$230=$B72)*ISNUMBER(INDEX(Inputs!$K$5:$AJ$230,0,MATCH(P$2,Inputs!$K$4:$AJ$4,0))))+SUMPRODUCT((Inputs!$C$5:$C$230=$B72)*ISNUMBER(INDEX(Inputs!$K$5:$AJ$230,0,MATCH(P$2,Inputs!$K$4:$AJ$4,0))))+SUMPRODUCT((Inputs!$E$5:$E$230=$B72)*ISNUMBER(INDEX(Inputs!$K$5:$AJ$230,0,MATCH(P$2,Inputs!$K$4:$AJ$4,0))))=0,NA(),SUMPRODUCT((Inputs!$A$5:$A$230=$B72)*Inputs!$B$5:$B$230*(((Inputs!$G$5:$G$230="moeda")+(Inputs!$G$5:$G$230="acoes"))*Inputs!$B$1+((Inputs!$G$5:$G$230&lt;&gt;"moeda")*(Inputs!$G$5:$G$230&lt;&gt;"acoes")))*INDEX(Inputs!$K$5:$AJ$230,0,MATCH(P$2,Inputs!$K$4:$AJ$4,0)))+SUMPRODUCT((Inputs!$C$5:$C$230=$B72)*Inputs!$D$5:$D$230*(((Inputs!$G$5:$G$230="moeda")+(Inputs!$G$5:$G$230="acoes"))*Inputs!$B$1+((Inputs!$G$5:$G$230&lt;&gt;"moeda")*(Inputs!$G$5:$G$230&lt;&gt;"acoes")))*INDEX(Inputs!$K$5:$AJ$230,0,MATCH(P$2,Inputs!$K$4:$AJ$4,0)))+SUMPRODUCT((Inputs!$E$5:$E$230=$B72)*Inputs!$F$5:$F$230*(((Inputs!$G$5:$G$230="moeda")+(Inputs!$G$5:$G$230="acoes"))*Inputs!$B$1+((Inputs!$G$5:$G$230&lt;&gt;"moeda")*(Inputs!$G$5:$G$230&lt;&gt;"acoes")))*INDEX(Inputs!$K$5:$AJ$230,0,MATCH(P$2,Inputs!$K$4:$AJ$4,0)))))</f>
        <v>3.946</v>
      </c>
      <c r="Q72" s="6">
        <f>IF(ISNA(MATCH(Q$2,Inputs!$K$4:$AJ$4,0)),NA(),IF(SUMPRODUCT((Inputs!$A$5:$A$230=$B72)*ISNUMBER(INDEX(Inputs!$K$5:$AJ$230,0,MATCH(Q$2,Inputs!$K$4:$AJ$4,0))))+SUMPRODUCT((Inputs!$C$5:$C$230=$B72)*ISNUMBER(INDEX(Inputs!$K$5:$AJ$230,0,MATCH(Q$2,Inputs!$K$4:$AJ$4,0))))+SUMPRODUCT((Inputs!$E$5:$E$230=$B72)*ISNUMBER(INDEX(Inputs!$K$5:$AJ$230,0,MATCH(Q$2,Inputs!$K$4:$AJ$4,0))))=0,NA(),SUMPRODUCT((Inputs!$A$5:$A$230=$B72)*Inputs!$B$5:$B$230*(((Inputs!$G$5:$G$230="moeda")+(Inputs!$G$5:$G$230="acoes"))*Inputs!$B$1+((Inputs!$G$5:$G$230&lt;&gt;"moeda")*(Inputs!$G$5:$G$230&lt;&gt;"acoes")))*INDEX(Inputs!$K$5:$AJ$230,0,MATCH(Q$2,Inputs!$K$4:$AJ$4,0)))+SUMPRODUCT((Inputs!$C$5:$C$230=$B72)*Inputs!$D$5:$D$230*(((Inputs!$G$5:$G$230="moeda")+(Inputs!$G$5:$G$230="acoes"))*Inputs!$B$1+((Inputs!$G$5:$G$230&lt;&gt;"moeda")*(Inputs!$G$5:$G$230&lt;&gt;"acoes")))*INDEX(Inputs!$K$5:$AJ$230,0,MATCH(Q$2,Inputs!$K$4:$AJ$4,0)))+SUMPRODUCT((Inputs!$E$5:$E$230=$B72)*Inputs!$F$5:$F$230*(((Inputs!$G$5:$G$230="moeda")+(Inputs!$G$5:$G$230="acoes"))*Inputs!$B$1+((Inputs!$G$5:$G$230&lt;&gt;"moeda")*(Inputs!$G$5:$G$230&lt;&gt;"acoes")))*INDEX(Inputs!$K$5:$AJ$230,0,MATCH(Q$2,Inputs!$K$4:$AJ$4,0)))))</f>
        <v>4.32</v>
      </c>
      <c r="R72" s="3">
        <f>SUM(N72:Q72)</f>
        <v>19.298</v>
      </c>
      <c r="S72" s="6">
        <f>IF(ISNA(MATCH(S$2,Inputs!$K$4:$AJ$4,0)),NA(),IF(SUMPRODUCT((Inputs!$A$5:$A$230=$B72)*ISNUMBER(INDEX(Inputs!$K$5:$AJ$230,0,MATCH(S$2,Inputs!$K$4:$AJ$4,0))))+SUMPRODUCT((Inputs!$C$5:$C$230=$B72)*ISNUMBER(INDEX(Inputs!$K$5:$AJ$230,0,MATCH(S$2,Inputs!$K$4:$AJ$4,0))))+SUMPRODUCT((Inputs!$E$5:$E$230=$B72)*ISNUMBER(INDEX(Inputs!$K$5:$AJ$230,0,MATCH(S$2,Inputs!$K$4:$AJ$4,0))))=0,NA(),SUMPRODUCT((Inputs!$A$5:$A$230=$B72)*Inputs!$B$5:$B$230*(((Inputs!$G$5:$G$230="moeda")+(Inputs!$G$5:$G$230="acoes"))*Inputs!$B$1+((Inputs!$G$5:$G$230&lt;&gt;"moeda")*(Inputs!$G$5:$G$230&lt;&gt;"acoes")))*INDEX(Inputs!$K$5:$AJ$230,0,MATCH(S$2,Inputs!$K$4:$AJ$4,0)))+SUMPRODUCT((Inputs!$C$5:$C$230=$B72)*Inputs!$D$5:$D$230*(((Inputs!$G$5:$G$230="moeda")+(Inputs!$G$5:$G$230="acoes"))*Inputs!$B$1+((Inputs!$G$5:$G$230&lt;&gt;"moeda")*(Inputs!$G$5:$G$230&lt;&gt;"acoes")))*INDEX(Inputs!$K$5:$AJ$230,0,MATCH(S$2,Inputs!$K$4:$AJ$4,0)))+SUMPRODUCT((Inputs!$E$5:$E$230=$B72)*Inputs!$F$5:$F$230*(((Inputs!$G$5:$G$230="moeda")+(Inputs!$G$5:$G$230="acoes"))*Inputs!$B$1+((Inputs!$G$5:$G$230&lt;&gt;"moeda")*(Inputs!$G$5:$G$230&lt;&gt;"acoes")))*INDEX(Inputs!$K$5:$AJ$230,0,MATCH(S$2,Inputs!$K$4:$AJ$4,0)))))</f>
        <v>5.458</v>
      </c>
      <c r="T72" s="6">
        <f>IF(ISNA(MATCH(T$2,Inputs!$K$4:$AJ$4,0)),NA(),IF(SUMPRODUCT((Inputs!$A$5:$A$230=$B72)*ISNUMBER(INDEX(Inputs!$K$5:$AJ$230,0,MATCH(T$2,Inputs!$K$4:$AJ$4,0))))+SUMPRODUCT((Inputs!$C$5:$C$230=$B72)*ISNUMBER(INDEX(Inputs!$K$5:$AJ$230,0,MATCH(T$2,Inputs!$K$4:$AJ$4,0))))+SUMPRODUCT((Inputs!$E$5:$E$230=$B72)*ISNUMBER(INDEX(Inputs!$K$5:$AJ$230,0,MATCH(T$2,Inputs!$K$4:$AJ$4,0))))=0,NA(),SUMPRODUCT((Inputs!$A$5:$A$230=$B72)*Inputs!$B$5:$B$230*(((Inputs!$G$5:$G$230="moeda")+(Inputs!$G$5:$G$230="acoes"))*Inputs!$B$1+((Inputs!$G$5:$G$230&lt;&gt;"moeda")*(Inputs!$G$5:$G$230&lt;&gt;"acoes")))*INDEX(Inputs!$K$5:$AJ$230,0,MATCH(T$2,Inputs!$K$4:$AJ$4,0)))+SUMPRODUCT((Inputs!$C$5:$C$230=$B72)*Inputs!$D$5:$D$230*(((Inputs!$G$5:$G$230="moeda")+(Inputs!$G$5:$G$230="acoes"))*Inputs!$B$1+((Inputs!$G$5:$G$230&lt;&gt;"moeda")*(Inputs!$G$5:$G$230&lt;&gt;"acoes")))*INDEX(Inputs!$K$5:$AJ$230,0,MATCH(T$2,Inputs!$K$4:$AJ$4,0)))+SUMPRODUCT((Inputs!$E$5:$E$230=$B72)*Inputs!$F$5:$F$230*(((Inputs!$G$5:$G$230="moeda")+(Inputs!$G$5:$G$230="acoes"))*Inputs!$B$1+((Inputs!$G$5:$G$230&lt;&gt;"moeda")*(Inputs!$G$5:$G$230&lt;&gt;"acoes")))*INDEX(Inputs!$K$5:$AJ$230,0,MATCH(T$2,Inputs!$K$4:$AJ$4,0)))))</f>
        <v>4.687</v>
      </c>
      <c r="U72" s="6">
        <f>IF(ISNA(MATCH(U$2,Inputs!$K$4:$AJ$4,0)),NA(),IF(SUMPRODUCT((Inputs!$A$5:$A$230=$B72)*ISNUMBER(INDEX(Inputs!$K$5:$AJ$230,0,MATCH(U$2,Inputs!$K$4:$AJ$4,0))))+SUMPRODUCT((Inputs!$C$5:$C$230=$B72)*ISNUMBER(INDEX(Inputs!$K$5:$AJ$230,0,MATCH(U$2,Inputs!$K$4:$AJ$4,0))))+SUMPRODUCT((Inputs!$E$5:$E$230=$B72)*ISNUMBER(INDEX(Inputs!$K$5:$AJ$230,0,MATCH(U$2,Inputs!$K$4:$AJ$4,0))))=0,NA(),SUMPRODUCT((Inputs!$A$5:$A$230=$B72)*Inputs!$B$5:$B$230*(((Inputs!$G$5:$G$230="moeda")+(Inputs!$G$5:$G$230="acoes"))*Inputs!$B$1+((Inputs!$G$5:$G$230&lt;&gt;"moeda")*(Inputs!$G$5:$G$230&lt;&gt;"acoes")))*INDEX(Inputs!$K$5:$AJ$230,0,MATCH(U$2,Inputs!$K$4:$AJ$4,0)))+SUMPRODUCT((Inputs!$C$5:$C$230=$B72)*Inputs!$D$5:$D$230*(((Inputs!$G$5:$G$230="moeda")+(Inputs!$G$5:$G$230="acoes"))*Inputs!$B$1+((Inputs!$G$5:$G$230&lt;&gt;"moeda")*(Inputs!$G$5:$G$230&lt;&gt;"acoes")))*INDEX(Inputs!$K$5:$AJ$230,0,MATCH(U$2,Inputs!$K$4:$AJ$4,0)))+SUMPRODUCT((Inputs!$E$5:$E$230=$B72)*Inputs!$F$5:$F$230*(((Inputs!$G$5:$G$230="moeda")+(Inputs!$G$5:$G$230="acoes"))*Inputs!$B$1+((Inputs!$G$5:$G$230&lt;&gt;"moeda")*(Inputs!$G$5:$G$230&lt;&gt;"acoes")))*INDEX(Inputs!$K$5:$AJ$230,0,MATCH(U$2,Inputs!$K$4:$AJ$4,0)))))</f>
        <v>3.916</v>
      </c>
      <c r="V72" s="6">
        <f>IF(ISNA(MATCH(V$2,Inputs!$K$4:$AJ$4,0)),NA(),IF(SUMPRODUCT((Inputs!$A$5:$A$230=$B72)*ISNUMBER(INDEX(Inputs!$K$5:$AJ$230,0,MATCH(V$2,Inputs!$K$4:$AJ$4,0))))+SUMPRODUCT((Inputs!$C$5:$C$230=$B72)*ISNUMBER(INDEX(Inputs!$K$5:$AJ$230,0,MATCH(V$2,Inputs!$K$4:$AJ$4,0))))+SUMPRODUCT((Inputs!$E$5:$E$230=$B72)*ISNUMBER(INDEX(Inputs!$K$5:$AJ$230,0,MATCH(V$2,Inputs!$K$4:$AJ$4,0))))=0,NA(),SUMPRODUCT((Inputs!$A$5:$A$230=$B72)*Inputs!$B$5:$B$230*(((Inputs!$G$5:$G$230="moeda")+(Inputs!$G$5:$G$230="acoes"))*Inputs!$B$1+((Inputs!$G$5:$G$230&lt;&gt;"moeda")*(Inputs!$G$5:$G$230&lt;&gt;"acoes")))*INDEX(Inputs!$K$5:$AJ$230,0,MATCH(V$2,Inputs!$K$4:$AJ$4,0)))+SUMPRODUCT((Inputs!$C$5:$C$230=$B72)*Inputs!$D$5:$D$230*(((Inputs!$G$5:$G$230="moeda")+(Inputs!$G$5:$G$230="acoes"))*Inputs!$B$1+((Inputs!$G$5:$G$230&lt;&gt;"moeda")*(Inputs!$G$5:$G$230&lt;&gt;"acoes")))*INDEX(Inputs!$K$5:$AJ$230,0,MATCH(V$2,Inputs!$K$4:$AJ$4,0)))+SUMPRODUCT((Inputs!$E$5:$E$230=$B72)*Inputs!$F$5:$F$230*(((Inputs!$G$5:$G$230="moeda")+(Inputs!$G$5:$G$230="acoes"))*Inputs!$B$1+((Inputs!$G$5:$G$230&lt;&gt;"moeda")*(Inputs!$G$5:$G$230&lt;&gt;"acoes")))*INDEX(Inputs!$K$5:$AJ$230,0,MATCH(V$2,Inputs!$K$4:$AJ$4,0)))))</f>
        <v>5.028</v>
      </c>
      <c r="W72" s="3">
        <f>SUM(S72:V72)</f>
        <v>19.089</v>
      </c>
      <c r="X72" s="6">
        <f>IF(ISNA(MATCH(X$2,Inputs!$K$4:$AJ$4,0)),NA(),IF(SUMPRODUCT((Inputs!$A$5:$A$230=$B72)*ISNUMBER(INDEX(Inputs!$K$5:$AJ$230,0,MATCH(X$2,Inputs!$K$4:$AJ$4,0))))+SUMPRODUCT((Inputs!$C$5:$C$230=$B72)*ISNUMBER(INDEX(Inputs!$K$5:$AJ$230,0,MATCH(X$2,Inputs!$K$4:$AJ$4,0))))+SUMPRODUCT((Inputs!$E$5:$E$230=$B72)*ISNUMBER(INDEX(Inputs!$K$5:$AJ$230,0,MATCH(X$2,Inputs!$K$4:$AJ$4,0))))=0,NA(),SUMPRODUCT((Inputs!$A$5:$A$230=$B72)*Inputs!$B$5:$B$230*(((Inputs!$G$5:$G$230="moeda")+(Inputs!$G$5:$G$230="acoes"))*Inputs!$B$1+((Inputs!$G$5:$G$230&lt;&gt;"moeda")*(Inputs!$G$5:$G$230&lt;&gt;"acoes")))*INDEX(Inputs!$K$5:$AJ$230,0,MATCH(X$2,Inputs!$K$4:$AJ$4,0)))+SUMPRODUCT((Inputs!$C$5:$C$230=$B72)*Inputs!$D$5:$D$230*(((Inputs!$G$5:$G$230="moeda")+(Inputs!$G$5:$G$230="acoes"))*Inputs!$B$1+((Inputs!$G$5:$G$230&lt;&gt;"moeda")*(Inputs!$G$5:$G$230&lt;&gt;"acoes")))*INDEX(Inputs!$K$5:$AJ$230,0,MATCH(X$2,Inputs!$K$4:$AJ$4,0)))+SUMPRODUCT((Inputs!$E$5:$E$230=$B72)*Inputs!$F$5:$F$230*(((Inputs!$G$5:$G$230="moeda")+(Inputs!$G$5:$G$230="acoes"))*Inputs!$B$1+((Inputs!$G$5:$G$230&lt;&gt;"moeda")*(Inputs!$G$5:$G$230&lt;&gt;"acoes")))*INDEX(Inputs!$K$5:$AJ$230,0,MATCH(X$2,Inputs!$K$4:$AJ$4,0)))))</f>
        <v>5.747</v>
      </c>
      <c r="Y72" s="6">
        <f>IF(ISNA(MATCH(Y$2,Inputs!$K$4:$AJ$4,0)),NA(),IF(SUMPRODUCT((Inputs!$A$5:$A$230=$B72)*ISNUMBER(INDEX(Inputs!$K$5:$AJ$230,0,MATCH(Y$2,Inputs!$K$4:$AJ$4,0))))+SUMPRODUCT((Inputs!$C$5:$C$230=$B72)*ISNUMBER(INDEX(Inputs!$K$5:$AJ$230,0,MATCH(Y$2,Inputs!$K$4:$AJ$4,0))))+SUMPRODUCT((Inputs!$E$5:$E$230=$B72)*ISNUMBER(INDEX(Inputs!$K$5:$AJ$230,0,MATCH(Y$2,Inputs!$K$4:$AJ$4,0))))=0,NA(),SUMPRODUCT((Inputs!$A$5:$A$230=$B72)*Inputs!$B$5:$B$230*(((Inputs!$G$5:$G$230="moeda")+(Inputs!$G$5:$G$230="acoes"))*Inputs!$B$1+((Inputs!$G$5:$G$230&lt;&gt;"moeda")*(Inputs!$G$5:$G$230&lt;&gt;"acoes")))*INDEX(Inputs!$K$5:$AJ$230,0,MATCH(Y$2,Inputs!$K$4:$AJ$4,0)))+SUMPRODUCT((Inputs!$C$5:$C$230=$B72)*Inputs!$D$5:$D$230*(((Inputs!$G$5:$G$230="moeda")+(Inputs!$G$5:$G$230="acoes"))*Inputs!$B$1+((Inputs!$G$5:$G$230&lt;&gt;"moeda")*(Inputs!$G$5:$G$230&lt;&gt;"acoes")))*INDEX(Inputs!$K$5:$AJ$230,0,MATCH(Y$2,Inputs!$K$4:$AJ$4,0)))+SUMPRODUCT((Inputs!$E$5:$E$230=$B72)*Inputs!$F$5:$F$230*(((Inputs!$G$5:$G$230="moeda")+(Inputs!$G$5:$G$230="acoes"))*Inputs!$B$1+((Inputs!$G$5:$G$230&lt;&gt;"moeda")*(Inputs!$G$5:$G$230&lt;&gt;"acoes")))*INDEX(Inputs!$K$5:$AJ$230,0,MATCH(Y$2,Inputs!$K$4:$AJ$4,0)))))</f>
        <v>4.996</v>
      </c>
      <c r="Z72" s="6">
        <f>IF(ISNA(MATCH(Z$2,Inputs!$K$4:$AJ$4,0)),NA(),IF(SUMPRODUCT((Inputs!$A$5:$A$230=$B72)*ISNUMBER(INDEX(Inputs!$K$5:$AJ$230,0,MATCH(Z$2,Inputs!$K$4:$AJ$4,0))))+SUMPRODUCT((Inputs!$C$5:$C$230=$B72)*ISNUMBER(INDEX(Inputs!$K$5:$AJ$230,0,MATCH(Z$2,Inputs!$K$4:$AJ$4,0))))+SUMPRODUCT((Inputs!$E$5:$E$230=$B72)*ISNUMBER(INDEX(Inputs!$K$5:$AJ$230,0,MATCH(Z$2,Inputs!$K$4:$AJ$4,0))))=0,NA(),SUMPRODUCT((Inputs!$A$5:$A$230=$B72)*Inputs!$B$5:$B$230*(((Inputs!$G$5:$G$230="moeda")+(Inputs!$G$5:$G$230="acoes"))*Inputs!$B$1+((Inputs!$G$5:$G$230&lt;&gt;"moeda")*(Inputs!$G$5:$G$230&lt;&gt;"acoes")))*INDEX(Inputs!$K$5:$AJ$230,0,MATCH(Z$2,Inputs!$K$4:$AJ$4,0)))+SUMPRODUCT((Inputs!$C$5:$C$230=$B72)*Inputs!$D$5:$D$230*(((Inputs!$G$5:$G$230="moeda")+(Inputs!$G$5:$G$230="acoes"))*Inputs!$B$1+((Inputs!$G$5:$G$230&lt;&gt;"moeda")*(Inputs!$G$5:$G$230&lt;&gt;"acoes")))*INDEX(Inputs!$K$5:$AJ$230,0,MATCH(Z$2,Inputs!$K$4:$AJ$4,0)))+SUMPRODUCT((Inputs!$E$5:$E$230=$B72)*Inputs!$F$5:$F$230*(((Inputs!$G$5:$G$230="moeda")+(Inputs!$G$5:$G$230="acoes"))*Inputs!$B$1+((Inputs!$G$5:$G$230&lt;&gt;"moeda")*(Inputs!$G$5:$G$230&lt;&gt;"acoes")))*INDEX(Inputs!$K$5:$AJ$230,0,MATCH(Z$2,Inputs!$K$4:$AJ$4,0)))))</f>
        <v>4.014</v>
      </c>
      <c r="AA72" s="6">
        <f>IF(ISNA(MATCH(AA$2,Inputs!$K$4:$AJ$4,0)),NA(),IF(SUMPRODUCT((Inputs!$A$5:$A$230=$B72)*ISNUMBER(INDEX(Inputs!$K$5:$AJ$230,0,MATCH(AA$2,Inputs!$K$4:$AJ$4,0))))+SUMPRODUCT((Inputs!$C$5:$C$230=$B72)*ISNUMBER(INDEX(Inputs!$K$5:$AJ$230,0,MATCH(AA$2,Inputs!$K$4:$AJ$4,0))))+SUMPRODUCT((Inputs!$E$5:$E$230=$B72)*ISNUMBER(INDEX(Inputs!$K$5:$AJ$230,0,MATCH(AA$2,Inputs!$K$4:$AJ$4,0))))=0,NA(),SUMPRODUCT((Inputs!$A$5:$A$230=$B72)*Inputs!$B$5:$B$230*(((Inputs!$G$5:$G$230="moeda")+(Inputs!$G$5:$G$230="acoes"))*Inputs!$B$1+((Inputs!$G$5:$G$230&lt;&gt;"moeda")*(Inputs!$G$5:$G$230&lt;&gt;"acoes")))*INDEX(Inputs!$K$5:$AJ$230,0,MATCH(AA$2,Inputs!$K$4:$AJ$4,0)))+SUMPRODUCT((Inputs!$C$5:$C$230=$B72)*Inputs!$D$5:$D$230*(((Inputs!$G$5:$G$230="moeda")+(Inputs!$G$5:$G$230="acoes"))*Inputs!$B$1+((Inputs!$G$5:$G$230&lt;&gt;"moeda")*(Inputs!$G$5:$G$230&lt;&gt;"acoes")))*INDEX(Inputs!$K$5:$AJ$230,0,MATCH(AA$2,Inputs!$K$4:$AJ$4,0)))+SUMPRODUCT((Inputs!$E$5:$E$230=$B72)*Inputs!$F$5:$F$230*(((Inputs!$G$5:$G$230="moeda")+(Inputs!$G$5:$G$230="acoes"))*Inputs!$B$1+((Inputs!$G$5:$G$230&lt;&gt;"moeda")*(Inputs!$G$5:$G$230&lt;&gt;"acoes")))*INDEX(Inputs!$K$5:$AJ$230,0,MATCH(AA$2,Inputs!$K$4:$AJ$4,0)))))</f>
        <v>4.43</v>
      </c>
      <c r="AB72" s="3">
        <f>SUM(X72:AA72)</f>
        <v>19.187</v>
      </c>
      <c r="AC72" s="6">
        <f>IF(ISNA(MATCH(AC$2,Inputs!$K$4:$AJ$4,0)),NA(),IF(SUMPRODUCT((Inputs!$A$5:$A$230=$B72)*ISNUMBER(INDEX(Inputs!$K$5:$AJ$230,0,MATCH(AC$2,Inputs!$K$4:$AJ$4,0))))+SUMPRODUCT((Inputs!$C$5:$C$230=$B72)*ISNUMBER(INDEX(Inputs!$K$5:$AJ$230,0,MATCH(AC$2,Inputs!$K$4:$AJ$4,0))))+SUMPRODUCT((Inputs!$E$5:$E$230=$B72)*ISNUMBER(INDEX(Inputs!$K$5:$AJ$230,0,MATCH(AC$2,Inputs!$K$4:$AJ$4,0))))=0,NA(),SUMPRODUCT((Inputs!$A$5:$A$230=$B72)*Inputs!$B$5:$B$230*(((Inputs!$G$5:$G$230="moeda")+(Inputs!$G$5:$G$230="acoes"))*Inputs!$B$1+((Inputs!$G$5:$G$230&lt;&gt;"moeda")*(Inputs!$G$5:$G$230&lt;&gt;"acoes")))*INDEX(Inputs!$K$5:$AJ$230,0,MATCH(AC$2,Inputs!$K$4:$AJ$4,0)))+SUMPRODUCT((Inputs!$C$5:$C$230=$B72)*Inputs!$D$5:$D$230*(((Inputs!$G$5:$G$230="moeda")+(Inputs!$G$5:$G$230="acoes"))*Inputs!$B$1+((Inputs!$G$5:$G$230&lt;&gt;"moeda")*(Inputs!$G$5:$G$230&lt;&gt;"acoes")))*INDEX(Inputs!$K$5:$AJ$230,0,MATCH(AC$2,Inputs!$K$4:$AJ$4,0)))+SUMPRODUCT((Inputs!$E$5:$E$230=$B72)*Inputs!$F$5:$F$230*(((Inputs!$G$5:$G$230="moeda")+(Inputs!$G$5:$G$230="acoes"))*Inputs!$B$1+((Inputs!$G$5:$G$230&lt;&gt;"moeda")*(Inputs!$G$5:$G$230&lt;&gt;"acoes")))*INDEX(Inputs!$K$5:$AJ$230,0,MATCH(AC$2,Inputs!$K$4:$AJ$4,0)))))</f>
        <v>5.108</v>
      </c>
      <c r="AD72" s="6">
        <f>IF(ISNA(MATCH(AD$2,Inputs!$K$4:$AJ$4,0)),NA(),IF(SUMPRODUCT((Inputs!$A$5:$A$230=$B72)*ISNUMBER(INDEX(Inputs!$K$5:$AJ$230,0,MATCH(AD$2,Inputs!$K$4:$AJ$4,0))))+SUMPRODUCT((Inputs!$C$5:$C$230=$B72)*ISNUMBER(INDEX(Inputs!$K$5:$AJ$230,0,MATCH(AD$2,Inputs!$K$4:$AJ$4,0))))+SUMPRODUCT((Inputs!$E$5:$E$230=$B72)*ISNUMBER(INDEX(Inputs!$K$5:$AJ$230,0,MATCH(AD$2,Inputs!$K$4:$AJ$4,0))))=0,NA(),SUMPRODUCT((Inputs!$A$5:$A$230=$B72)*Inputs!$B$5:$B$230*(((Inputs!$G$5:$G$230="moeda")+(Inputs!$G$5:$G$230="acoes"))*Inputs!$B$1+((Inputs!$G$5:$G$230&lt;&gt;"moeda")*(Inputs!$G$5:$G$230&lt;&gt;"acoes")))*INDEX(Inputs!$K$5:$AJ$230,0,MATCH(AD$2,Inputs!$K$4:$AJ$4,0)))+SUMPRODUCT((Inputs!$C$5:$C$230=$B72)*Inputs!$D$5:$D$230*(((Inputs!$G$5:$G$230="moeda")+(Inputs!$G$5:$G$230="acoes"))*Inputs!$B$1+((Inputs!$G$5:$G$230&lt;&gt;"moeda")*(Inputs!$G$5:$G$230&lt;&gt;"acoes")))*INDEX(Inputs!$K$5:$AJ$230,0,MATCH(AD$2,Inputs!$K$4:$AJ$4,0)))+SUMPRODUCT((Inputs!$E$5:$E$230=$B72)*Inputs!$F$5:$F$230*(((Inputs!$G$5:$G$230="moeda")+(Inputs!$G$5:$G$230="acoes"))*Inputs!$B$1+((Inputs!$G$5:$G$230&lt;&gt;"moeda")*(Inputs!$G$5:$G$230&lt;&gt;"acoes")))*INDEX(Inputs!$K$5:$AJ$230,0,MATCH(AD$2,Inputs!$K$4:$AJ$4,0)))))</f>
        <v>6.034</v>
      </c>
      <c r="AE72" s="6" t="e">
        <f>IF(ISNA(MATCH(AE$2,Inputs!$K$4:$AJ$4,0)),NA(),IF(SUMPRODUCT((Inputs!$A$5:$A$230=$B72)*ISNUMBER(INDEX(Inputs!$K$5:$AJ$230,0,MATCH(AE$2,Inputs!$K$4:$AJ$4,0))))+SUMPRODUCT((Inputs!$C$5:$C$230=$B72)*ISNUMBER(INDEX(Inputs!$K$5:$AJ$230,0,MATCH(AE$2,Inputs!$K$4:$AJ$4,0))))+SUMPRODUCT((Inputs!$E$5:$E$230=$B72)*ISNUMBER(INDEX(Inputs!$K$5:$AJ$230,0,MATCH(AE$2,Inputs!$K$4:$AJ$4,0))))=0,NA(),SUMPRODUCT((Inputs!$A$5:$A$230=$B72)*Inputs!$B$5:$B$230*(((Inputs!$G$5:$G$230="moeda")+(Inputs!$G$5:$G$230="acoes"))*Inputs!$B$1+((Inputs!$G$5:$G$230&lt;&gt;"moeda")*(Inputs!$G$5:$G$230&lt;&gt;"acoes")))*INDEX(Inputs!$K$5:$AJ$230,0,MATCH(AE$2,Inputs!$K$4:$AJ$4,0)))+SUMPRODUCT((Inputs!$C$5:$C$230=$B72)*Inputs!$D$5:$D$230*(((Inputs!$G$5:$G$230="moeda")+(Inputs!$G$5:$G$230="acoes"))*Inputs!$B$1+((Inputs!$G$5:$G$230&lt;&gt;"moeda")*(Inputs!$G$5:$G$230&lt;&gt;"acoes")))*INDEX(Inputs!$K$5:$AJ$230,0,MATCH(AE$2,Inputs!$K$4:$AJ$4,0)))+SUMPRODUCT((Inputs!$E$5:$E$230=$B72)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2" s="6" t="e">
        <f>IF(ISNA(MATCH(AF$2,Inputs!$K$4:$AJ$4,0)),NA(),IF(SUMPRODUCT((Inputs!$A$5:$A$230=$B72)*ISNUMBER(INDEX(Inputs!$K$5:$AJ$230,0,MATCH(AF$2,Inputs!$K$4:$AJ$4,0))))+SUMPRODUCT((Inputs!$C$5:$C$230=$B72)*ISNUMBER(INDEX(Inputs!$K$5:$AJ$230,0,MATCH(AF$2,Inputs!$K$4:$AJ$4,0))))+SUMPRODUCT((Inputs!$E$5:$E$230=$B72)*ISNUMBER(INDEX(Inputs!$K$5:$AJ$230,0,MATCH(AF$2,Inputs!$K$4:$AJ$4,0))))=0,NA(),SUMPRODUCT((Inputs!$A$5:$A$230=$B72)*Inputs!$B$5:$B$230*(((Inputs!$G$5:$G$230="moeda")+(Inputs!$G$5:$G$230="acoes"))*Inputs!$B$1+((Inputs!$G$5:$G$230&lt;&gt;"moeda")*(Inputs!$G$5:$G$230&lt;&gt;"acoes")))*INDEX(Inputs!$K$5:$AJ$230,0,MATCH(AF$2,Inputs!$K$4:$AJ$4,0)))+SUMPRODUCT((Inputs!$C$5:$C$230=$B72)*Inputs!$D$5:$D$230*(((Inputs!$G$5:$G$230="moeda")+(Inputs!$G$5:$G$230="acoes"))*Inputs!$B$1+((Inputs!$G$5:$G$230&lt;&gt;"moeda")*(Inputs!$G$5:$G$230&lt;&gt;"acoes")))*INDEX(Inputs!$K$5:$AJ$230,0,MATCH(AF$2,Inputs!$K$4:$AJ$4,0)))+SUMPRODUCT((Inputs!$E$5:$E$230=$B72)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2" s="3" t="e">
        <f>SUM(AC72:AF72)</f>
        <v>#N/A</v>
      </c>
      <c r="AH72" s="6">
        <f>IF(ISNA(MATCH(AH$2,Inputs!$K$4:$AJ$4,0)),NA(),IF(SUMPRODUCT((Inputs!$A$5:$A$230=$B72)*ISNUMBER(INDEX(Inputs!$K$5:$AJ$230,0,MATCH(AH$2,Inputs!$K$4:$AJ$4,0))))+SUMPRODUCT((Inputs!$C$5:$C$230=$B72)*ISNUMBER(INDEX(Inputs!$K$5:$AJ$230,0,MATCH(AH$2,Inputs!$K$4:$AJ$4,0))))+SUMPRODUCT((Inputs!$E$5:$E$230=$B72)*ISNUMBER(INDEX(Inputs!$K$5:$AJ$230,0,MATCH(AH$2,Inputs!$K$4:$AJ$4,0))))=0,NA(),SUMPRODUCT((Inputs!$A$5:$A$230=$B72)*Inputs!$B$5:$B$230*(((Inputs!$G$5:$G$230="moeda")+(Inputs!$G$5:$G$230="acoes"))*Inputs!$B$1+((Inputs!$G$5:$G$230&lt;&gt;"moeda")*(Inputs!$G$5:$G$230&lt;&gt;"acoes")))*INDEX(Inputs!$K$5:$AJ$230,0,MATCH(AH$2,Inputs!$K$4:$AJ$4,0)))+SUMPRODUCT((Inputs!$C$5:$C$230=$B72)*Inputs!$D$5:$D$230*(((Inputs!$G$5:$G$230="moeda")+(Inputs!$G$5:$G$230="acoes"))*Inputs!$B$1+((Inputs!$G$5:$G$230&lt;&gt;"moeda")*(Inputs!$G$5:$G$230&lt;&gt;"acoes")))*INDEX(Inputs!$K$5:$AJ$230,0,MATCH(AH$2,Inputs!$K$4:$AJ$4,0)))+SUMPRODUCT((Inputs!$E$5:$E$230=$B72)*Inputs!$F$5:$F$230*(((Inputs!$G$5:$G$230="moeda")+(Inputs!$G$5:$G$230="acoes"))*Inputs!$B$1+((Inputs!$G$5:$G$230&lt;&gt;"moeda")*(Inputs!$G$5:$G$230&lt;&gt;"acoes")))*INDEX(Inputs!$K$5:$AJ$230,0,MATCH(AH$2,Inputs!$K$4:$AJ$4,0)))))</f>
        <v>7.316</v>
      </c>
      <c r="AI72" s="6">
        <f>IF(ISNA(MATCH(AI$2,Inputs!$K$4:$AJ$4,0)),NA(),IF(SUMPRODUCT((Inputs!$A$5:$A$230=$B72)*ISNUMBER(INDEX(Inputs!$K$5:$AJ$230,0,MATCH(AI$2,Inputs!$K$4:$AJ$4,0))))+SUMPRODUCT((Inputs!$C$5:$C$230=$B72)*ISNUMBER(INDEX(Inputs!$K$5:$AJ$230,0,MATCH(AI$2,Inputs!$K$4:$AJ$4,0))))+SUMPRODUCT((Inputs!$E$5:$E$230=$B72)*ISNUMBER(INDEX(Inputs!$K$5:$AJ$230,0,MATCH(AI$2,Inputs!$K$4:$AJ$4,0))))=0,NA(),SUMPRODUCT((Inputs!$A$5:$A$230=$B72)*Inputs!$B$5:$B$230*(((Inputs!$G$5:$G$230="moeda")+(Inputs!$G$5:$G$230="acoes"))*Inputs!$B$1+((Inputs!$G$5:$G$230&lt;&gt;"moeda")*(Inputs!$G$5:$G$230&lt;&gt;"acoes")))*INDEX(Inputs!$K$5:$AJ$230,0,MATCH(AI$2,Inputs!$K$4:$AJ$4,0)))+SUMPRODUCT((Inputs!$C$5:$C$230=$B72)*Inputs!$D$5:$D$230*(((Inputs!$G$5:$G$230="moeda")+(Inputs!$G$5:$G$230="acoes"))*Inputs!$B$1+((Inputs!$G$5:$G$230&lt;&gt;"moeda")*(Inputs!$G$5:$G$230&lt;&gt;"acoes")))*INDEX(Inputs!$K$5:$AJ$230,0,MATCH(AI$2,Inputs!$K$4:$AJ$4,0)))+SUMPRODUCT((Inputs!$E$5:$E$230=$B72)*Inputs!$F$5:$F$230*(((Inputs!$G$5:$G$230="moeda")+(Inputs!$G$5:$G$230="acoes"))*Inputs!$B$1+((Inputs!$G$5:$G$230&lt;&gt;"moeda")*(Inputs!$G$5:$G$230&lt;&gt;"acoes")))*INDEX(Inputs!$K$5:$AJ$230,0,MATCH(AI$2,Inputs!$K$4:$AJ$4,0)))))</f>
        <v>3.562</v>
      </c>
      <c r="AJ72" s="6">
        <f>IF(ISNA(MATCH(AJ$2,Inputs!$K$4:$AJ$4,0)),NA(),IF(SUMPRODUCT((Inputs!$A$5:$A$230=$B72)*ISNUMBER(INDEX(Inputs!$K$5:$AJ$230,0,MATCH(AJ$2,Inputs!$K$4:$AJ$4,0))))+SUMPRODUCT((Inputs!$C$5:$C$230=$B72)*ISNUMBER(INDEX(Inputs!$K$5:$AJ$230,0,MATCH(AJ$2,Inputs!$K$4:$AJ$4,0))))+SUMPRODUCT((Inputs!$E$5:$E$230=$B72)*ISNUMBER(INDEX(Inputs!$K$5:$AJ$230,0,MATCH(AJ$2,Inputs!$K$4:$AJ$4,0))))=0,NA(),SUMPRODUCT((Inputs!$A$5:$A$230=$B72)*Inputs!$B$5:$B$230*(((Inputs!$G$5:$G$230="moeda")+(Inputs!$G$5:$G$230="acoes"))*Inputs!$B$1+((Inputs!$G$5:$G$230&lt;&gt;"moeda")*(Inputs!$G$5:$G$230&lt;&gt;"acoes")))*INDEX(Inputs!$K$5:$AJ$230,0,MATCH(AJ$2,Inputs!$K$4:$AJ$4,0)))+SUMPRODUCT((Inputs!$C$5:$C$230=$B72)*Inputs!$D$5:$D$230*(((Inputs!$G$5:$G$230="moeda")+(Inputs!$G$5:$G$230="acoes"))*Inputs!$B$1+((Inputs!$G$5:$G$230&lt;&gt;"moeda")*(Inputs!$G$5:$G$230&lt;&gt;"acoes")))*INDEX(Inputs!$K$5:$AJ$230,0,MATCH(AJ$2,Inputs!$K$4:$AJ$4,0)))+SUMPRODUCT((Inputs!$E$5:$E$230=$B72)*Inputs!$F$5:$F$230*(((Inputs!$G$5:$G$230="moeda")+(Inputs!$G$5:$G$230="acoes"))*Inputs!$B$1+((Inputs!$G$5:$G$230&lt;&gt;"moeda")*(Inputs!$G$5:$G$230&lt;&gt;"acoes")))*INDEX(Inputs!$K$5:$AJ$230,0,MATCH(AJ$2,Inputs!$K$4:$AJ$4,0)))))</f>
        <v>23.34</v>
      </c>
      <c r="AK72" s="6">
        <f>IF(ISNA(MATCH(AK$2,Inputs!$K$4:$AJ$4,0)),NA(),IF(SUMPRODUCT((Inputs!$A$5:$A$230=$B72)*ISNUMBER(INDEX(Inputs!$K$5:$AJ$230,0,MATCH(AK$2,Inputs!$K$4:$AJ$4,0))))+SUMPRODUCT((Inputs!$C$5:$C$230=$B72)*ISNUMBER(INDEX(Inputs!$K$5:$AJ$230,0,MATCH(AK$2,Inputs!$K$4:$AJ$4,0))))+SUMPRODUCT((Inputs!$E$5:$E$230=$B72)*ISNUMBER(INDEX(Inputs!$K$5:$AJ$230,0,MATCH(AK$2,Inputs!$K$4:$AJ$4,0))))=0,NA(),SUMPRODUCT((Inputs!$A$5:$A$230=$B72)*Inputs!$B$5:$B$230*(((Inputs!$G$5:$G$230="moeda")+(Inputs!$G$5:$G$230="acoes"))*Inputs!$B$1+((Inputs!$G$5:$G$230&lt;&gt;"moeda")*(Inputs!$G$5:$G$230&lt;&gt;"acoes")))*INDEX(Inputs!$K$5:$AJ$230,0,MATCH(AK$2,Inputs!$K$4:$AJ$4,0)))+SUMPRODUCT((Inputs!$C$5:$C$230=$B72)*Inputs!$D$5:$D$230*(((Inputs!$G$5:$G$230="moeda")+(Inputs!$G$5:$G$230="acoes"))*Inputs!$B$1+((Inputs!$G$5:$G$230&lt;&gt;"moeda")*(Inputs!$G$5:$G$230&lt;&gt;"acoes")))*INDEX(Inputs!$K$5:$AJ$230,0,MATCH(AK$2,Inputs!$K$4:$AJ$4,0)))+SUMPRODUCT((Inputs!$E$5:$E$230=$B72)*Inputs!$F$5:$F$230*(((Inputs!$G$5:$G$230="moeda")+(Inputs!$G$5:$G$230="acoes"))*Inputs!$B$1+((Inputs!$G$5:$G$230&lt;&gt;"moeda")*(Inputs!$G$5:$G$230&lt;&gt;"acoes")))*INDEX(Inputs!$K$5:$AJ$230,0,MATCH(AK$2,Inputs!$K$4:$AJ$4,0)))))</f>
        <v>5.158</v>
      </c>
      <c r="AL72" s="3">
        <f>SUM(AH72:AK72)</f>
        <v>39.376</v>
      </c>
    </row>
    <row r="73">
      <c r="B73" s="46" t="n">
        <v>65</v>
      </c>
      <c r="C73" s="29" t="inlineStr">
        <is>
          <t>Transmissao | STN</t>
        </is>
      </c>
      <c r="D73" s="6">
        <f>IF(ISNA(MATCH(D$2,Inputs!$K$4:$AJ$4,0)),NA(),IF(SUMPRODUCT((Inputs!$A$5:$A$230=$B73)*ISNUMBER(INDEX(Inputs!$K$5:$AJ$230,0,MATCH(D$2,Inputs!$K$4:$AJ$4,0))))+SUMPRODUCT((Inputs!$C$5:$C$230=$B73)*ISNUMBER(INDEX(Inputs!$K$5:$AJ$230,0,MATCH(D$2,Inputs!$K$4:$AJ$4,0))))+SUMPRODUCT((Inputs!$E$5:$E$230=$B73)*ISNUMBER(INDEX(Inputs!$K$5:$AJ$230,0,MATCH(D$2,Inputs!$K$4:$AJ$4,0))))=0,NA(),SUMPRODUCT((Inputs!$A$5:$A$230=$B73)*Inputs!$B$5:$B$230*(((Inputs!$G$5:$G$230="moeda")+(Inputs!$G$5:$G$230="acoes"))*Inputs!$B$1+((Inputs!$G$5:$G$230&lt;&gt;"moeda")*(Inputs!$G$5:$G$230&lt;&gt;"acoes")))*INDEX(Inputs!$K$5:$AJ$230,0,MATCH(D$2,Inputs!$K$4:$AJ$4,0)))+SUMPRODUCT((Inputs!$C$5:$C$230=$B73)*Inputs!$D$5:$D$230*(((Inputs!$G$5:$G$230="moeda")+(Inputs!$G$5:$G$230="acoes"))*Inputs!$B$1+((Inputs!$G$5:$G$230&lt;&gt;"moeda")*(Inputs!$G$5:$G$230&lt;&gt;"acoes")))*INDEX(Inputs!$K$5:$AJ$230,0,MATCH(D$2,Inputs!$K$4:$AJ$4,0)))+SUMPRODUCT((Inputs!$E$5:$E$230=$B73)*Inputs!$F$5:$F$230*(((Inputs!$G$5:$G$230="moeda")+(Inputs!$G$5:$G$230="acoes"))*Inputs!$B$1+((Inputs!$G$5:$G$230&lt;&gt;"moeda")*(Inputs!$G$5:$G$230&lt;&gt;"acoes")))*INDEX(Inputs!$K$5:$AJ$230,0,MATCH(D$2,Inputs!$K$4:$AJ$4,0)))))</f>
        <v>52.242</v>
      </c>
      <c r="E73" s="6">
        <f>IF(ISNA(MATCH(E$2,Inputs!$K$4:$AJ$4,0)),NA(),IF(SUMPRODUCT((Inputs!$A$5:$A$230=$B73)*ISNUMBER(INDEX(Inputs!$K$5:$AJ$230,0,MATCH(E$2,Inputs!$K$4:$AJ$4,0))))+SUMPRODUCT((Inputs!$C$5:$C$230=$B73)*ISNUMBER(INDEX(Inputs!$K$5:$AJ$230,0,MATCH(E$2,Inputs!$K$4:$AJ$4,0))))+SUMPRODUCT((Inputs!$E$5:$E$230=$B73)*ISNUMBER(INDEX(Inputs!$K$5:$AJ$230,0,MATCH(E$2,Inputs!$K$4:$AJ$4,0))))=0,NA(),SUMPRODUCT((Inputs!$A$5:$A$230=$B73)*Inputs!$B$5:$B$230*(((Inputs!$G$5:$G$230="moeda")+(Inputs!$G$5:$G$230="acoes"))*Inputs!$B$1+((Inputs!$G$5:$G$230&lt;&gt;"moeda")*(Inputs!$G$5:$G$230&lt;&gt;"acoes")))*INDEX(Inputs!$K$5:$AJ$230,0,MATCH(E$2,Inputs!$K$4:$AJ$4,0)))+SUMPRODUCT((Inputs!$C$5:$C$230=$B73)*Inputs!$D$5:$D$230*(((Inputs!$G$5:$G$230="moeda")+(Inputs!$G$5:$G$230="acoes"))*Inputs!$B$1+((Inputs!$G$5:$G$230&lt;&gt;"moeda")*(Inputs!$G$5:$G$230&lt;&gt;"acoes")))*INDEX(Inputs!$K$5:$AJ$230,0,MATCH(E$2,Inputs!$K$4:$AJ$4,0)))+SUMPRODUCT((Inputs!$E$5:$E$230=$B73)*Inputs!$F$5:$F$230*(((Inputs!$G$5:$G$230="moeda")+(Inputs!$G$5:$G$230="acoes"))*Inputs!$B$1+((Inputs!$G$5:$G$230&lt;&gt;"moeda")*(Inputs!$G$5:$G$230&lt;&gt;"acoes")))*INDEX(Inputs!$K$5:$AJ$230,0,MATCH(E$2,Inputs!$K$4:$AJ$4,0)))))</f>
        <v>64.313</v>
      </c>
      <c r="F73" s="6">
        <f>IF(ISNA(MATCH(F$2,Inputs!$K$4:$AJ$4,0)),NA(),IF(SUMPRODUCT((Inputs!$A$5:$A$230=$B73)*ISNUMBER(INDEX(Inputs!$K$5:$AJ$230,0,MATCH(F$2,Inputs!$K$4:$AJ$4,0))))+SUMPRODUCT((Inputs!$C$5:$C$230=$B73)*ISNUMBER(INDEX(Inputs!$K$5:$AJ$230,0,MATCH(F$2,Inputs!$K$4:$AJ$4,0))))+SUMPRODUCT((Inputs!$E$5:$E$230=$B73)*ISNUMBER(INDEX(Inputs!$K$5:$AJ$230,0,MATCH(F$2,Inputs!$K$4:$AJ$4,0))))=0,NA(),SUMPRODUCT((Inputs!$A$5:$A$230=$B73)*Inputs!$B$5:$B$230*(((Inputs!$G$5:$G$230="moeda")+(Inputs!$G$5:$G$230="acoes"))*Inputs!$B$1+((Inputs!$G$5:$G$230&lt;&gt;"moeda")*(Inputs!$G$5:$G$230&lt;&gt;"acoes")))*INDEX(Inputs!$K$5:$AJ$230,0,MATCH(F$2,Inputs!$K$4:$AJ$4,0)))+SUMPRODUCT((Inputs!$C$5:$C$230=$B73)*Inputs!$D$5:$D$230*(((Inputs!$G$5:$G$230="moeda")+(Inputs!$G$5:$G$230="acoes"))*Inputs!$B$1+((Inputs!$G$5:$G$230&lt;&gt;"moeda")*(Inputs!$G$5:$G$230&lt;&gt;"acoes")))*INDEX(Inputs!$K$5:$AJ$230,0,MATCH(F$2,Inputs!$K$4:$AJ$4,0)))+SUMPRODUCT((Inputs!$E$5:$E$230=$B73)*Inputs!$F$5:$F$230*(((Inputs!$G$5:$G$230="moeda")+(Inputs!$G$5:$G$230="acoes"))*Inputs!$B$1+((Inputs!$G$5:$G$230&lt;&gt;"moeda")*(Inputs!$G$5:$G$230&lt;&gt;"acoes")))*INDEX(Inputs!$K$5:$AJ$230,0,MATCH(F$2,Inputs!$K$4:$AJ$4,0)))))</f>
        <v>44.134</v>
      </c>
      <c r="G73" s="6">
        <f>IF(ISNA(MATCH(G$2,Inputs!$K$4:$AJ$4,0)),NA(),IF(SUMPRODUCT((Inputs!$A$5:$A$230=$B73)*ISNUMBER(INDEX(Inputs!$K$5:$AJ$230,0,MATCH(G$2,Inputs!$K$4:$AJ$4,0))))+SUMPRODUCT((Inputs!$C$5:$C$230=$B73)*ISNUMBER(INDEX(Inputs!$K$5:$AJ$230,0,MATCH(G$2,Inputs!$K$4:$AJ$4,0))))+SUMPRODUCT((Inputs!$E$5:$E$230=$B73)*ISNUMBER(INDEX(Inputs!$K$5:$AJ$230,0,MATCH(G$2,Inputs!$K$4:$AJ$4,0))))=0,NA(),SUMPRODUCT((Inputs!$A$5:$A$230=$B73)*Inputs!$B$5:$B$230*(((Inputs!$G$5:$G$230="moeda")+(Inputs!$G$5:$G$230="acoes"))*Inputs!$B$1+((Inputs!$G$5:$G$230&lt;&gt;"moeda")*(Inputs!$G$5:$G$230&lt;&gt;"acoes")))*INDEX(Inputs!$K$5:$AJ$230,0,MATCH(G$2,Inputs!$K$4:$AJ$4,0)))+SUMPRODUCT((Inputs!$C$5:$C$230=$B73)*Inputs!$D$5:$D$230*(((Inputs!$G$5:$G$230="moeda")+(Inputs!$G$5:$G$230="acoes"))*Inputs!$B$1+((Inputs!$G$5:$G$230&lt;&gt;"moeda")*(Inputs!$G$5:$G$230&lt;&gt;"acoes")))*INDEX(Inputs!$K$5:$AJ$230,0,MATCH(G$2,Inputs!$K$4:$AJ$4,0)))+SUMPRODUCT((Inputs!$E$5:$E$230=$B73)*Inputs!$F$5:$F$230*(((Inputs!$G$5:$G$230="moeda")+(Inputs!$G$5:$G$230="acoes"))*Inputs!$B$1+((Inputs!$G$5:$G$230&lt;&gt;"moeda")*(Inputs!$G$5:$G$230&lt;&gt;"acoes")))*INDEX(Inputs!$K$5:$AJ$230,0,MATCH(G$2,Inputs!$K$4:$AJ$4,0)))))</f>
        <v>-14.633</v>
      </c>
      <c r="H73" s="3">
        <f>SUM(D73:G73)</f>
        <v>146.056</v>
      </c>
      <c r="I73" s="6">
        <f>IF(ISNA(MATCH(I$2,Inputs!$K$4:$AJ$4,0)),NA(),IF(SUMPRODUCT((Inputs!$A$5:$A$230=$B73)*ISNUMBER(INDEX(Inputs!$K$5:$AJ$230,0,MATCH(I$2,Inputs!$K$4:$AJ$4,0))))+SUMPRODUCT((Inputs!$C$5:$C$230=$B73)*ISNUMBER(INDEX(Inputs!$K$5:$AJ$230,0,MATCH(I$2,Inputs!$K$4:$AJ$4,0))))+SUMPRODUCT((Inputs!$E$5:$E$230=$B73)*ISNUMBER(INDEX(Inputs!$K$5:$AJ$230,0,MATCH(I$2,Inputs!$K$4:$AJ$4,0))))=0,NA(),SUMPRODUCT((Inputs!$A$5:$A$230=$B73)*Inputs!$B$5:$B$230*(((Inputs!$G$5:$G$230="moeda")+(Inputs!$G$5:$G$230="acoes"))*Inputs!$B$1+((Inputs!$G$5:$G$230&lt;&gt;"moeda")*(Inputs!$G$5:$G$230&lt;&gt;"acoes")))*INDEX(Inputs!$K$5:$AJ$230,0,MATCH(I$2,Inputs!$K$4:$AJ$4,0)))+SUMPRODUCT((Inputs!$C$5:$C$230=$B73)*Inputs!$D$5:$D$230*(((Inputs!$G$5:$G$230="moeda")+(Inputs!$G$5:$G$230="acoes"))*Inputs!$B$1+((Inputs!$G$5:$G$230&lt;&gt;"moeda")*(Inputs!$G$5:$G$230&lt;&gt;"acoes")))*INDEX(Inputs!$K$5:$AJ$230,0,MATCH(I$2,Inputs!$K$4:$AJ$4,0)))+SUMPRODUCT((Inputs!$E$5:$E$230=$B73)*Inputs!$F$5:$F$230*(((Inputs!$G$5:$G$230="moeda")+(Inputs!$G$5:$G$230="acoes"))*Inputs!$B$1+((Inputs!$G$5:$G$230&lt;&gt;"moeda")*(Inputs!$G$5:$G$230&lt;&gt;"acoes")))*INDEX(Inputs!$K$5:$AJ$230,0,MATCH(I$2,Inputs!$K$4:$AJ$4,0)))))</f>
        <v>51.216</v>
      </c>
      <c r="J73" s="6">
        <f>IF(ISNA(MATCH(J$2,Inputs!$K$4:$AJ$4,0)),NA(),IF(SUMPRODUCT((Inputs!$A$5:$A$230=$B73)*ISNUMBER(INDEX(Inputs!$K$5:$AJ$230,0,MATCH(J$2,Inputs!$K$4:$AJ$4,0))))+SUMPRODUCT((Inputs!$C$5:$C$230=$B73)*ISNUMBER(INDEX(Inputs!$K$5:$AJ$230,0,MATCH(J$2,Inputs!$K$4:$AJ$4,0))))+SUMPRODUCT((Inputs!$E$5:$E$230=$B73)*ISNUMBER(INDEX(Inputs!$K$5:$AJ$230,0,MATCH(J$2,Inputs!$K$4:$AJ$4,0))))=0,NA(),SUMPRODUCT((Inputs!$A$5:$A$230=$B73)*Inputs!$B$5:$B$230*(((Inputs!$G$5:$G$230="moeda")+(Inputs!$G$5:$G$230="acoes"))*Inputs!$B$1+((Inputs!$G$5:$G$230&lt;&gt;"moeda")*(Inputs!$G$5:$G$230&lt;&gt;"acoes")))*INDEX(Inputs!$K$5:$AJ$230,0,MATCH(J$2,Inputs!$K$4:$AJ$4,0)))+SUMPRODUCT((Inputs!$C$5:$C$230=$B73)*Inputs!$D$5:$D$230*(((Inputs!$G$5:$G$230="moeda")+(Inputs!$G$5:$G$230="acoes"))*Inputs!$B$1+((Inputs!$G$5:$G$230&lt;&gt;"moeda")*(Inputs!$G$5:$G$230&lt;&gt;"acoes")))*INDEX(Inputs!$K$5:$AJ$230,0,MATCH(J$2,Inputs!$K$4:$AJ$4,0)))+SUMPRODUCT((Inputs!$E$5:$E$230=$B73)*Inputs!$F$5:$F$230*(((Inputs!$G$5:$G$230="moeda")+(Inputs!$G$5:$G$230="acoes"))*Inputs!$B$1+((Inputs!$G$5:$G$230&lt;&gt;"moeda")*(Inputs!$G$5:$G$230&lt;&gt;"acoes")))*INDEX(Inputs!$K$5:$AJ$230,0,MATCH(J$2,Inputs!$K$4:$AJ$4,0)))))</f>
        <v>48.566</v>
      </c>
      <c r="K73" s="6">
        <f>IF(ISNA(MATCH(K$2,Inputs!$K$4:$AJ$4,0)),NA(),IF(SUMPRODUCT((Inputs!$A$5:$A$230=$B73)*ISNUMBER(INDEX(Inputs!$K$5:$AJ$230,0,MATCH(K$2,Inputs!$K$4:$AJ$4,0))))+SUMPRODUCT((Inputs!$C$5:$C$230=$B73)*ISNUMBER(INDEX(Inputs!$K$5:$AJ$230,0,MATCH(K$2,Inputs!$K$4:$AJ$4,0))))+SUMPRODUCT((Inputs!$E$5:$E$230=$B73)*ISNUMBER(INDEX(Inputs!$K$5:$AJ$230,0,MATCH(K$2,Inputs!$K$4:$AJ$4,0))))=0,NA(),SUMPRODUCT((Inputs!$A$5:$A$230=$B73)*Inputs!$B$5:$B$230*(((Inputs!$G$5:$G$230="moeda")+(Inputs!$G$5:$G$230="acoes"))*Inputs!$B$1+((Inputs!$G$5:$G$230&lt;&gt;"moeda")*(Inputs!$G$5:$G$230&lt;&gt;"acoes")))*INDEX(Inputs!$K$5:$AJ$230,0,MATCH(K$2,Inputs!$K$4:$AJ$4,0)))+SUMPRODUCT((Inputs!$C$5:$C$230=$B73)*Inputs!$D$5:$D$230*(((Inputs!$G$5:$G$230="moeda")+(Inputs!$G$5:$G$230="acoes"))*Inputs!$B$1+((Inputs!$G$5:$G$230&lt;&gt;"moeda")*(Inputs!$G$5:$G$230&lt;&gt;"acoes")))*INDEX(Inputs!$K$5:$AJ$230,0,MATCH(K$2,Inputs!$K$4:$AJ$4,0)))+SUMPRODUCT((Inputs!$E$5:$E$230=$B73)*Inputs!$F$5:$F$230*(((Inputs!$G$5:$G$230="moeda")+(Inputs!$G$5:$G$230="acoes"))*Inputs!$B$1+((Inputs!$G$5:$G$230&lt;&gt;"moeda")*(Inputs!$G$5:$G$230&lt;&gt;"acoes")))*INDEX(Inputs!$K$5:$AJ$230,0,MATCH(K$2,Inputs!$K$4:$AJ$4,0)))))</f>
        <v>38.625</v>
      </c>
      <c r="L73" s="6">
        <f>IF(ISNA(MATCH(L$2,Inputs!$K$4:$AJ$4,0)),NA(),IF(SUMPRODUCT((Inputs!$A$5:$A$230=$B73)*ISNUMBER(INDEX(Inputs!$K$5:$AJ$230,0,MATCH(L$2,Inputs!$K$4:$AJ$4,0))))+SUMPRODUCT((Inputs!$C$5:$C$230=$B73)*ISNUMBER(INDEX(Inputs!$K$5:$AJ$230,0,MATCH(L$2,Inputs!$K$4:$AJ$4,0))))+SUMPRODUCT((Inputs!$E$5:$E$230=$B73)*ISNUMBER(INDEX(Inputs!$K$5:$AJ$230,0,MATCH(L$2,Inputs!$K$4:$AJ$4,0))))=0,NA(),SUMPRODUCT((Inputs!$A$5:$A$230=$B73)*Inputs!$B$5:$B$230*(((Inputs!$G$5:$G$230="moeda")+(Inputs!$G$5:$G$230="acoes"))*Inputs!$B$1+((Inputs!$G$5:$G$230&lt;&gt;"moeda")*(Inputs!$G$5:$G$230&lt;&gt;"acoes")))*INDEX(Inputs!$K$5:$AJ$230,0,MATCH(L$2,Inputs!$K$4:$AJ$4,0)))+SUMPRODUCT((Inputs!$C$5:$C$230=$B73)*Inputs!$D$5:$D$230*(((Inputs!$G$5:$G$230="moeda")+(Inputs!$G$5:$G$230="acoes"))*Inputs!$B$1+((Inputs!$G$5:$G$230&lt;&gt;"moeda")*(Inputs!$G$5:$G$230&lt;&gt;"acoes")))*INDEX(Inputs!$K$5:$AJ$230,0,MATCH(L$2,Inputs!$K$4:$AJ$4,0)))+SUMPRODUCT((Inputs!$E$5:$E$230=$B73)*Inputs!$F$5:$F$230*(((Inputs!$G$5:$G$230="moeda")+(Inputs!$G$5:$G$230="acoes"))*Inputs!$B$1+((Inputs!$G$5:$G$230&lt;&gt;"moeda")*(Inputs!$G$5:$G$230&lt;&gt;"acoes")))*INDEX(Inputs!$K$5:$AJ$230,0,MATCH(L$2,Inputs!$K$4:$AJ$4,0)))))</f>
        <v>45.021</v>
      </c>
      <c r="M73" s="3">
        <f>SUM(I73:L73)</f>
        <v>183.428</v>
      </c>
      <c r="N73" s="6">
        <f>IF(ISNA(MATCH(N$2,Inputs!$K$4:$AJ$4,0)),NA(),IF(SUMPRODUCT((Inputs!$A$5:$A$230=$B73)*ISNUMBER(INDEX(Inputs!$K$5:$AJ$230,0,MATCH(N$2,Inputs!$K$4:$AJ$4,0))))+SUMPRODUCT((Inputs!$C$5:$C$230=$B73)*ISNUMBER(INDEX(Inputs!$K$5:$AJ$230,0,MATCH(N$2,Inputs!$K$4:$AJ$4,0))))+SUMPRODUCT((Inputs!$E$5:$E$230=$B73)*ISNUMBER(INDEX(Inputs!$K$5:$AJ$230,0,MATCH(N$2,Inputs!$K$4:$AJ$4,0))))=0,NA(),SUMPRODUCT((Inputs!$A$5:$A$230=$B73)*Inputs!$B$5:$B$230*(((Inputs!$G$5:$G$230="moeda")+(Inputs!$G$5:$G$230="acoes"))*Inputs!$B$1+((Inputs!$G$5:$G$230&lt;&gt;"moeda")*(Inputs!$G$5:$G$230&lt;&gt;"acoes")))*INDEX(Inputs!$K$5:$AJ$230,0,MATCH(N$2,Inputs!$K$4:$AJ$4,0)))+SUMPRODUCT((Inputs!$C$5:$C$230=$B73)*Inputs!$D$5:$D$230*(((Inputs!$G$5:$G$230="moeda")+(Inputs!$G$5:$G$230="acoes"))*Inputs!$B$1+((Inputs!$G$5:$G$230&lt;&gt;"moeda")*(Inputs!$G$5:$G$230&lt;&gt;"acoes")))*INDEX(Inputs!$K$5:$AJ$230,0,MATCH(N$2,Inputs!$K$4:$AJ$4,0)))+SUMPRODUCT((Inputs!$E$5:$E$230=$B73)*Inputs!$F$5:$F$230*(((Inputs!$G$5:$G$230="moeda")+(Inputs!$G$5:$G$230="acoes"))*Inputs!$B$1+((Inputs!$G$5:$G$230&lt;&gt;"moeda")*(Inputs!$G$5:$G$230&lt;&gt;"acoes")))*INDEX(Inputs!$K$5:$AJ$230,0,MATCH(N$2,Inputs!$K$4:$AJ$4,0)))))</f>
        <v>31.126</v>
      </c>
      <c r="O73" s="6">
        <f>IF(ISNA(MATCH(O$2,Inputs!$K$4:$AJ$4,0)),NA(),IF(SUMPRODUCT((Inputs!$A$5:$A$230=$B73)*ISNUMBER(INDEX(Inputs!$K$5:$AJ$230,0,MATCH(O$2,Inputs!$K$4:$AJ$4,0))))+SUMPRODUCT((Inputs!$C$5:$C$230=$B73)*ISNUMBER(INDEX(Inputs!$K$5:$AJ$230,0,MATCH(O$2,Inputs!$K$4:$AJ$4,0))))+SUMPRODUCT((Inputs!$E$5:$E$230=$B73)*ISNUMBER(INDEX(Inputs!$K$5:$AJ$230,0,MATCH(O$2,Inputs!$K$4:$AJ$4,0))))=0,NA(),SUMPRODUCT((Inputs!$A$5:$A$230=$B73)*Inputs!$B$5:$B$230*(((Inputs!$G$5:$G$230="moeda")+(Inputs!$G$5:$G$230="acoes"))*Inputs!$B$1+((Inputs!$G$5:$G$230&lt;&gt;"moeda")*(Inputs!$G$5:$G$230&lt;&gt;"acoes")))*INDEX(Inputs!$K$5:$AJ$230,0,MATCH(O$2,Inputs!$K$4:$AJ$4,0)))+SUMPRODUCT((Inputs!$C$5:$C$230=$B73)*Inputs!$D$5:$D$230*(((Inputs!$G$5:$G$230="moeda")+(Inputs!$G$5:$G$230="acoes"))*Inputs!$B$1+((Inputs!$G$5:$G$230&lt;&gt;"moeda")*(Inputs!$G$5:$G$230&lt;&gt;"acoes")))*INDEX(Inputs!$K$5:$AJ$230,0,MATCH(O$2,Inputs!$K$4:$AJ$4,0)))+SUMPRODUCT((Inputs!$E$5:$E$230=$B73)*Inputs!$F$5:$F$230*(((Inputs!$G$5:$G$230="moeda")+(Inputs!$G$5:$G$230="acoes"))*Inputs!$B$1+((Inputs!$G$5:$G$230&lt;&gt;"moeda")*(Inputs!$G$5:$G$230&lt;&gt;"acoes")))*INDEX(Inputs!$K$5:$AJ$230,0,MATCH(O$2,Inputs!$K$4:$AJ$4,0)))))</f>
        <v>3.203</v>
      </c>
      <c r="P73" s="6">
        <f>IF(ISNA(MATCH(P$2,Inputs!$K$4:$AJ$4,0)),NA(),IF(SUMPRODUCT((Inputs!$A$5:$A$230=$B73)*ISNUMBER(INDEX(Inputs!$K$5:$AJ$230,0,MATCH(P$2,Inputs!$K$4:$AJ$4,0))))+SUMPRODUCT((Inputs!$C$5:$C$230=$B73)*ISNUMBER(INDEX(Inputs!$K$5:$AJ$230,0,MATCH(P$2,Inputs!$K$4:$AJ$4,0))))+SUMPRODUCT((Inputs!$E$5:$E$230=$B73)*ISNUMBER(INDEX(Inputs!$K$5:$AJ$230,0,MATCH(P$2,Inputs!$K$4:$AJ$4,0))))=0,NA(),SUMPRODUCT((Inputs!$A$5:$A$230=$B73)*Inputs!$B$5:$B$230*(((Inputs!$G$5:$G$230="moeda")+(Inputs!$G$5:$G$230="acoes"))*Inputs!$B$1+((Inputs!$G$5:$G$230&lt;&gt;"moeda")*(Inputs!$G$5:$G$230&lt;&gt;"acoes")))*INDEX(Inputs!$K$5:$AJ$230,0,MATCH(P$2,Inputs!$K$4:$AJ$4,0)))+SUMPRODUCT((Inputs!$C$5:$C$230=$B73)*Inputs!$D$5:$D$230*(((Inputs!$G$5:$G$230="moeda")+(Inputs!$G$5:$G$230="acoes"))*Inputs!$B$1+((Inputs!$G$5:$G$230&lt;&gt;"moeda")*(Inputs!$G$5:$G$230&lt;&gt;"acoes")))*INDEX(Inputs!$K$5:$AJ$230,0,MATCH(P$2,Inputs!$K$4:$AJ$4,0)))+SUMPRODUCT((Inputs!$E$5:$E$230=$B73)*Inputs!$F$5:$F$230*(((Inputs!$G$5:$G$230="moeda")+(Inputs!$G$5:$G$230="acoes"))*Inputs!$B$1+((Inputs!$G$5:$G$230&lt;&gt;"moeda")*(Inputs!$G$5:$G$230&lt;&gt;"acoes")))*INDEX(Inputs!$K$5:$AJ$230,0,MATCH(P$2,Inputs!$K$4:$AJ$4,0)))))</f>
        <v>25.143</v>
      </c>
      <c r="Q73" s="6">
        <f>IF(ISNA(MATCH(Q$2,Inputs!$K$4:$AJ$4,0)),NA(),IF(SUMPRODUCT((Inputs!$A$5:$A$230=$B73)*ISNUMBER(INDEX(Inputs!$K$5:$AJ$230,0,MATCH(Q$2,Inputs!$K$4:$AJ$4,0))))+SUMPRODUCT((Inputs!$C$5:$C$230=$B73)*ISNUMBER(INDEX(Inputs!$K$5:$AJ$230,0,MATCH(Q$2,Inputs!$K$4:$AJ$4,0))))+SUMPRODUCT((Inputs!$E$5:$E$230=$B73)*ISNUMBER(INDEX(Inputs!$K$5:$AJ$230,0,MATCH(Q$2,Inputs!$K$4:$AJ$4,0))))=0,NA(),SUMPRODUCT((Inputs!$A$5:$A$230=$B73)*Inputs!$B$5:$B$230*(((Inputs!$G$5:$G$230="moeda")+(Inputs!$G$5:$G$230="acoes"))*Inputs!$B$1+((Inputs!$G$5:$G$230&lt;&gt;"moeda")*(Inputs!$G$5:$G$230&lt;&gt;"acoes")))*INDEX(Inputs!$K$5:$AJ$230,0,MATCH(Q$2,Inputs!$K$4:$AJ$4,0)))+SUMPRODUCT((Inputs!$C$5:$C$230=$B73)*Inputs!$D$5:$D$230*(((Inputs!$G$5:$G$230="moeda")+(Inputs!$G$5:$G$230="acoes"))*Inputs!$B$1+((Inputs!$G$5:$G$230&lt;&gt;"moeda")*(Inputs!$G$5:$G$230&lt;&gt;"acoes")))*INDEX(Inputs!$K$5:$AJ$230,0,MATCH(Q$2,Inputs!$K$4:$AJ$4,0)))+SUMPRODUCT((Inputs!$E$5:$E$230=$B73)*Inputs!$F$5:$F$230*(((Inputs!$G$5:$G$230="moeda")+(Inputs!$G$5:$G$230="acoes"))*Inputs!$B$1+((Inputs!$G$5:$G$230&lt;&gt;"moeda")*(Inputs!$G$5:$G$230&lt;&gt;"acoes")))*INDEX(Inputs!$K$5:$AJ$230,0,MATCH(Q$2,Inputs!$K$4:$AJ$4,0)))))</f>
        <v>37.711</v>
      </c>
      <c r="R73" s="3">
        <f>SUM(N73:Q73)</f>
        <v>97.183</v>
      </c>
      <c r="S73" s="6">
        <f>IF(ISNA(MATCH(S$2,Inputs!$K$4:$AJ$4,0)),NA(),IF(SUMPRODUCT((Inputs!$A$5:$A$230=$B73)*ISNUMBER(INDEX(Inputs!$K$5:$AJ$230,0,MATCH(S$2,Inputs!$K$4:$AJ$4,0))))+SUMPRODUCT((Inputs!$C$5:$C$230=$B73)*ISNUMBER(INDEX(Inputs!$K$5:$AJ$230,0,MATCH(S$2,Inputs!$K$4:$AJ$4,0))))+SUMPRODUCT((Inputs!$E$5:$E$230=$B73)*ISNUMBER(INDEX(Inputs!$K$5:$AJ$230,0,MATCH(S$2,Inputs!$K$4:$AJ$4,0))))=0,NA(),SUMPRODUCT((Inputs!$A$5:$A$230=$B73)*Inputs!$B$5:$B$230*(((Inputs!$G$5:$G$230="moeda")+(Inputs!$G$5:$G$230="acoes"))*Inputs!$B$1+((Inputs!$G$5:$G$230&lt;&gt;"moeda")*(Inputs!$G$5:$G$230&lt;&gt;"acoes")))*INDEX(Inputs!$K$5:$AJ$230,0,MATCH(S$2,Inputs!$K$4:$AJ$4,0)))+SUMPRODUCT((Inputs!$C$5:$C$230=$B73)*Inputs!$D$5:$D$230*(((Inputs!$G$5:$G$230="moeda")+(Inputs!$G$5:$G$230="acoes"))*Inputs!$B$1+((Inputs!$G$5:$G$230&lt;&gt;"moeda")*(Inputs!$G$5:$G$230&lt;&gt;"acoes")))*INDEX(Inputs!$K$5:$AJ$230,0,MATCH(S$2,Inputs!$K$4:$AJ$4,0)))+SUMPRODUCT((Inputs!$E$5:$E$230=$B73)*Inputs!$F$5:$F$230*(((Inputs!$G$5:$G$230="moeda")+(Inputs!$G$5:$G$230="acoes"))*Inputs!$B$1+((Inputs!$G$5:$G$230&lt;&gt;"moeda")*(Inputs!$G$5:$G$230&lt;&gt;"acoes")))*INDEX(Inputs!$K$5:$AJ$230,0,MATCH(S$2,Inputs!$K$4:$AJ$4,0)))))</f>
        <v>31.247</v>
      </c>
      <c r="T73" s="6">
        <f>IF(ISNA(MATCH(T$2,Inputs!$K$4:$AJ$4,0)),NA(),IF(SUMPRODUCT((Inputs!$A$5:$A$230=$B73)*ISNUMBER(INDEX(Inputs!$K$5:$AJ$230,0,MATCH(T$2,Inputs!$K$4:$AJ$4,0))))+SUMPRODUCT((Inputs!$C$5:$C$230=$B73)*ISNUMBER(INDEX(Inputs!$K$5:$AJ$230,0,MATCH(T$2,Inputs!$K$4:$AJ$4,0))))+SUMPRODUCT((Inputs!$E$5:$E$230=$B73)*ISNUMBER(INDEX(Inputs!$K$5:$AJ$230,0,MATCH(T$2,Inputs!$K$4:$AJ$4,0))))=0,NA(),SUMPRODUCT((Inputs!$A$5:$A$230=$B73)*Inputs!$B$5:$B$230*(((Inputs!$G$5:$G$230="moeda")+(Inputs!$G$5:$G$230="acoes"))*Inputs!$B$1+((Inputs!$G$5:$G$230&lt;&gt;"moeda")*(Inputs!$G$5:$G$230&lt;&gt;"acoes")))*INDEX(Inputs!$K$5:$AJ$230,0,MATCH(T$2,Inputs!$K$4:$AJ$4,0)))+SUMPRODUCT((Inputs!$C$5:$C$230=$B73)*Inputs!$D$5:$D$230*(((Inputs!$G$5:$G$230="moeda")+(Inputs!$G$5:$G$230="acoes"))*Inputs!$B$1+((Inputs!$G$5:$G$230&lt;&gt;"moeda")*(Inputs!$G$5:$G$230&lt;&gt;"acoes")))*INDEX(Inputs!$K$5:$AJ$230,0,MATCH(T$2,Inputs!$K$4:$AJ$4,0)))+SUMPRODUCT((Inputs!$E$5:$E$230=$B73)*Inputs!$F$5:$F$230*(((Inputs!$G$5:$G$230="moeda")+(Inputs!$G$5:$G$230="acoes"))*Inputs!$B$1+((Inputs!$G$5:$G$230&lt;&gt;"moeda")*(Inputs!$G$5:$G$230&lt;&gt;"acoes")))*INDEX(Inputs!$K$5:$AJ$230,0,MATCH(T$2,Inputs!$K$4:$AJ$4,0)))))</f>
        <v>33.645</v>
      </c>
      <c r="U73" s="6">
        <f>IF(ISNA(MATCH(U$2,Inputs!$K$4:$AJ$4,0)),NA(),IF(SUMPRODUCT((Inputs!$A$5:$A$230=$B73)*ISNUMBER(INDEX(Inputs!$K$5:$AJ$230,0,MATCH(U$2,Inputs!$K$4:$AJ$4,0))))+SUMPRODUCT((Inputs!$C$5:$C$230=$B73)*ISNUMBER(INDEX(Inputs!$K$5:$AJ$230,0,MATCH(U$2,Inputs!$K$4:$AJ$4,0))))+SUMPRODUCT((Inputs!$E$5:$E$230=$B73)*ISNUMBER(INDEX(Inputs!$K$5:$AJ$230,0,MATCH(U$2,Inputs!$K$4:$AJ$4,0))))=0,NA(),SUMPRODUCT((Inputs!$A$5:$A$230=$B73)*Inputs!$B$5:$B$230*(((Inputs!$G$5:$G$230="moeda")+(Inputs!$G$5:$G$230="acoes"))*Inputs!$B$1+((Inputs!$G$5:$G$230&lt;&gt;"moeda")*(Inputs!$G$5:$G$230&lt;&gt;"acoes")))*INDEX(Inputs!$K$5:$AJ$230,0,MATCH(U$2,Inputs!$K$4:$AJ$4,0)))+SUMPRODUCT((Inputs!$C$5:$C$230=$B73)*Inputs!$D$5:$D$230*(((Inputs!$G$5:$G$230="moeda")+(Inputs!$G$5:$G$230="acoes"))*Inputs!$B$1+((Inputs!$G$5:$G$230&lt;&gt;"moeda")*(Inputs!$G$5:$G$230&lt;&gt;"acoes")))*INDEX(Inputs!$K$5:$AJ$230,0,MATCH(U$2,Inputs!$K$4:$AJ$4,0)))+SUMPRODUCT((Inputs!$E$5:$E$230=$B73)*Inputs!$F$5:$F$230*(((Inputs!$G$5:$G$230="moeda")+(Inputs!$G$5:$G$230="acoes"))*Inputs!$B$1+((Inputs!$G$5:$G$230&lt;&gt;"moeda")*(Inputs!$G$5:$G$230&lt;&gt;"acoes")))*INDEX(Inputs!$K$5:$AJ$230,0,MATCH(U$2,Inputs!$K$4:$AJ$4,0)))))</f>
        <v>36.961</v>
      </c>
      <c r="V73" s="6">
        <f>IF(ISNA(MATCH(V$2,Inputs!$K$4:$AJ$4,0)),NA(),IF(SUMPRODUCT((Inputs!$A$5:$A$230=$B73)*ISNUMBER(INDEX(Inputs!$K$5:$AJ$230,0,MATCH(V$2,Inputs!$K$4:$AJ$4,0))))+SUMPRODUCT((Inputs!$C$5:$C$230=$B73)*ISNUMBER(INDEX(Inputs!$K$5:$AJ$230,0,MATCH(V$2,Inputs!$K$4:$AJ$4,0))))+SUMPRODUCT((Inputs!$E$5:$E$230=$B73)*ISNUMBER(INDEX(Inputs!$K$5:$AJ$230,0,MATCH(V$2,Inputs!$K$4:$AJ$4,0))))=0,NA(),SUMPRODUCT((Inputs!$A$5:$A$230=$B73)*Inputs!$B$5:$B$230*(((Inputs!$G$5:$G$230="moeda")+(Inputs!$G$5:$G$230="acoes"))*Inputs!$B$1+((Inputs!$G$5:$G$230&lt;&gt;"moeda")*(Inputs!$G$5:$G$230&lt;&gt;"acoes")))*INDEX(Inputs!$K$5:$AJ$230,0,MATCH(V$2,Inputs!$K$4:$AJ$4,0)))+SUMPRODUCT((Inputs!$C$5:$C$230=$B73)*Inputs!$D$5:$D$230*(((Inputs!$G$5:$G$230="moeda")+(Inputs!$G$5:$G$230="acoes"))*Inputs!$B$1+((Inputs!$G$5:$G$230&lt;&gt;"moeda")*(Inputs!$G$5:$G$230&lt;&gt;"acoes")))*INDEX(Inputs!$K$5:$AJ$230,0,MATCH(V$2,Inputs!$K$4:$AJ$4,0)))+SUMPRODUCT((Inputs!$E$5:$E$230=$B73)*Inputs!$F$5:$F$230*(((Inputs!$G$5:$G$230="moeda")+(Inputs!$G$5:$G$230="acoes"))*Inputs!$B$1+((Inputs!$G$5:$G$230&lt;&gt;"moeda")*(Inputs!$G$5:$G$230&lt;&gt;"acoes")))*INDEX(Inputs!$K$5:$AJ$230,0,MATCH(V$2,Inputs!$K$4:$AJ$4,0)))))</f>
        <v>40.674</v>
      </c>
      <c r="W73" s="3">
        <f>SUM(S73:V73)</f>
        <v>142.527</v>
      </c>
      <c r="X73" s="6">
        <f>IF(ISNA(MATCH(X$2,Inputs!$K$4:$AJ$4,0)),NA(),IF(SUMPRODUCT((Inputs!$A$5:$A$230=$B73)*ISNUMBER(INDEX(Inputs!$K$5:$AJ$230,0,MATCH(X$2,Inputs!$K$4:$AJ$4,0))))+SUMPRODUCT((Inputs!$C$5:$C$230=$B73)*ISNUMBER(INDEX(Inputs!$K$5:$AJ$230,0,MATCH(X$2,Inputs!$K$4:$AJ$4,0))))+SUMPRODUCT((Inputs!$E$5:$E$230=$B73)*ISNUMBER(INDEX(Inputs!$K$5:$AJ$230,0,MATCH(X$2,Inputs!$K$4:$AJ$4,0))))=0,NA(),SUMPRODUCT((Inputs!$A$5:$A$230=$B73)*Inputs!$B$5:$B$230*(((Inputs!$G$5:$G$230="moeda")+(Inputs!$G$5:$G$230="acoes"))*Inputs!$B$1+((Inputs!$G$5:$G$230&lt;&gt;"moeda")*(Inputs!$G$5:$G$230&lt;&gt;"acoes")))*INDEX(Inputs!$K$5:$AJ$230,0,MATCH(X$2,Inputs!$K$4:$AJ$4,0)))+SUMPRODUCT((Inputs!$C$5:$C$230=$B73)*Inputs!$D$5:$D$230*(((Inputs!$G$5:$G$230="moeda")+(Inputs!$G$5:$G$230="acoes"))*Inputs!$B$1+((Inputs!$G$5:$G$230&lt;&gt;"moeda")*(Inputs!$G$5:$G$230&lt;&gt;"acoes")))*INDEX(Inputs!$K$5:$AJ$230,0,MATCH(X$2,Inputs!$K$4:$AJ$4,0)))+SUMPRODUCT((Inputs!$E$5:$E$230=$B73)*Inputs!$F$5:$F$230*(((Inputs!$G$5:$G$230="moeda")+(Inputs!$G$5:$G$230="acoes"))*Inputs!$B$1+((Inputs!$G$5:$G$230&lt;&gt;"moeda")*(Inputs!$G$5:$G$230&lt;&gt;"acoes")))*INDEX(Inputs!$K$5:$AJ$230,0,MATCH(X$2,Inputs!$K$4:$AJ$4,0)))))</f>
        <v>41.117</v>
      </c>
      <c r="Y73" s="6">
        <f>IF(ISNA(MATCH(Y$2,Inputs!$K$4:$AJ$4,0)),NA(),IF(SUMPRODUCT((Inputs!$A$5:$A$230=$B73)*ISNUMBER(INDEX(Inputs!$K$5:$AJ$230,0,MATCH(Y$2,Inputs!$K$4:$AJ$4,0))))+SUMPRODUCT((Inputs!$C$5:$C$230=$B73)*ISNUMBER(INDEX(Inputs!$K$5:$AJ$230,0,MATCH(Y$2,Inputs!$K$4:$AJ$4,0))))+SUMPRODUCT((Inputs!$E$5:$E$230=$B73)*ISNUMBER(INDEX(Inputs!$K$5:$AJ$230,0,MATCH(Y$2,Inputs!$K$4:$AJ$4,0))))=0,NA(),SUMPRODUCT((Inputs!$A$5:$A$230=$B73)*Inputs!$B$5:$B$230*(((Inputs!$G$5:$G$230="moeda")+(Inputs!$G$5:$G$230="acoes"))*Inputs!$B$1+((Inputs!$G$5:$G$230&lt;&gt;"moeda")*(Inputs!$G$5:$G$230&lt;&gt;"acoes")))*INDEX(Inputs!$K$5:$AJ$230,0,MATCH(Y$2,Inputs!$K$4:$AJ$4,0)))+SUMPRODUCT((Inputs!$C$5:$C$230=$B73)*Inputs!$D$5:$D$230*(((Inputs!$G$5:$G$230="moeda")+(Inputs!$G$5:$G$230="acoes"))*Inputs!$B$1+((Inputs!$G$5:$G$230&lt;&gt;"moeda")*(Inputs!$G$5:$G$230&lt;&gt;"acoes")))*INDEX(Inputs!$K$5:$AJ$230,0,MATCH(Y$2,Inputs!$K$4:$AJ$4,0)))+SUMPRODUCT((Inputs!$E$5:$E$230=$B73)*Inputs!$F$5:$F$230*(((Inputs!$G$5:$G$230="moeda")+(Inputs!$G$5:$G$230="acoes"))*Inputs!$B$1+((Inputs!$G$5:$G$230&lt;&gt;"moeda")*(Inputs!$G$5:$G$230&lt;&gt;"acoes")))*INDEX(Inputs!$K$5:$AJ$230,0,MATCH(Y$2,Inputs!$K$4:$AJ$4,0)))))</f>
        <v>26.135</v>
      </c>
      <c r="Z73" s="6">
        <f>IF(ISNA(MATCH(Z$2,Inputs!$K$4:$AJ$4,0)),NA(),IF(SUMPRODUCT((Inputs!$A$5:$A$230=$B73)*ISNUMBER(INDEX(Inputs!$K$5:$AJ$230,0,MATCH(Z$2,Inputs!$K$4:$AJ$4,0))))+SUMPRODUCT((Inputs!$C$5:$C$230=$B73)*ISNUMBER(INDEX(Inputs!$K$5:$AJ$230,0,MATCH(Z$2,Inputs!$K$4:$AJ$4,0))))+SUMPRODUCT((Inputs!$E$5:$E$230=$B73)*ISNUMBER(INDEX(Inputs!$K$5:$AJ$230,0,MATCH(Z$2,Inputs!$K$4:$AJ$4,0))))=0,NA(),SUMPRODUCT((Inputs!$A$5:$A$230=$B73)*Inputs!$B$5:$B$230*(((Inputs!$G$5:$G$230="moeda")+(Inputs!$G$5:$G$230="acoes"))*Inputs!$B$1+((Inputs!$G$5:$G$230&lt;&gt;"moeda")*(Inputs!$G$5:$G$230&lt;&gt;"acoes")))*INDEX(Inputs!$K$5:$AJ$230,0,MATCH(Z$2,Inputs!$K$4:$AJ$4,0)))+SUMPRODUCT((Inputs!$C$5:$C$230=$B73)*Inputs!$D$5:$D$230*(((Inputs!$G$5:$G$230="moeda")+(Inputs!$G$5:$G$230="acoes"))*Inputs!$B$1+((Inputs!$G$5:$G$230&lt;&gt;"moeda")*(Inputs!$G$5:$G$230&lt;&gt;"acoes")))*INDEX(Inputs!$K$5:$AJ$230,0,MATCH(Z$2,Inputs!$K$4:$AJ$4,0)))+SUMPRODUCT((Inputs!$E$5:$E$230=$B73)*Inputs!$F$5:$F$230*(((Inputs!$G$5:$G$230="moeda")+(Inputs!$G$5:$G$230="acoes"))*Inputs!$B$1+((Inputs!$G$5:$G$230&lt;&gt;"moeda")*(Inputs!$G$5:$G$230&lt;&gt;"acoes")))*INDEX(Inputs!$K$5:$AJ$230,0,MATCH(Z$2,Inputs!$K$4:$AJ$4,0)))))</f>
        <v>41.617</v>
      </c>
      <c r="AA73" s="6">
        <f>IF(ISNA(MATCH(AA$2,Inputs!$K$4:$AJ$4,0)),NA(),IF(SUMPRODUCT((Inputs!$A$5:$A$230=$B73)*ISNUMBER(INDEX(Inputs!$K$5:$AJ$230,0,MATCH(AA$2,Inputs!$K$4:$AJ$4,0))))+SUMPRODUCT((Inputs!$C$5:$C$230=$B73)*ISNUMBER(INDEX(Inputs!$K$5:$AJ$230,0,MATCH(AA$2,Inputs!$K$4:$AJ$4,0))))+SUMPRODUCT((Inputs!$E$5:$E$230=$B73)*ISNUMBER(INDEX(Inputs!$K$5:$AJ$230,0,MATCH(AA$2,Inputs!$K$4:$AJ$4,0))))=0,NA(),SUMPRODUCT((Inputs!$A$5:$A$230=$B73)*Inputs!$B$5:$B$230*(((Inputs!$G$5:$G$230="moeda")+(Inputs!$G$5:$G$230="acoes"))*Inputs!$B$1+((Inputs!$G$5:$G$230&lt;&gt;"moeda")*(Inputs!$G$5:$G$230&lt;&gt;"acoes")))*INDEX(Inputs!$K$5:$AJ$230,0,MATCH(AA$2,Inputs!$K$4:$AJ$4,0)))+SUMPRODUCT((Inputs!$C$5:$C$230=$B73)*Inputs!$D$5:$D$230*(((Inputs!$G$5:$G$230="moeda")+(Inputs!$G$5:$G$230="acoes"))*Inputs!$B$1+((Inputs!$G$5:$G$230&lt;&gt;"moeda")*(Inputs!$G$5:$G$230&lt;&gt;"acoes")))*INDEX(Inputs!$K$5:$AJ$230,0,MATCH(AA$2,Inputs!$K$4:$AJ$4,0)))+SUMPRODUCT((Inputs!$E$5:$E$230=$B73)*Inputs!$F$5:$F$230*(((Inputs!$G$5:$G$230="moeda")+(Inputs!$G$5:$G$230="acoes"))*Inputs!$B$1+((Inputs!$G$5:$G$230&lt;&gt;"moeda")*(Inputs!$G$5:$G$230&lt;&gt;"acoes")))*INDEX(Inputs!$K$5:$AJ$230,0,MATCH(AA$2,Inputs!$K$4:$AJ$4,0)))))</f>
        <v>30.621</v>
      </c>
      <c r="AB73" s="3">
        <f>SUM(X73:AA73)</f>
        <v>139.49</v>
      </c>
      <c r="AC73" s="6">
        <f>IF(ISNA(MATCH(AC$2,Inputs!$K$4:$AJ$4,0)),NA(),IF(SUMPRODUCT((Inputs!$A$5:$A$230=$B73)*ISNUMBER(INDEX(Inputs!$K$5:$AJ$230,0,MATCH(AC$2,Inputs!$K$4:$AJ$4,0))))+SUMPRODUCT((Inputs!$C$5:$C$230=$B73)*ISNUMBER(INDEX(Inputs!$K$5:$AJ$230,0,MATCH(AC$2,Inputs!$K$4:$AJ$4,0))))+SUMPRODUCT((Inputs!$E$5:$E$230=$B73)*ISNUMBER(INDEX(Inputs!$K$5:$AJ$230,0,MATCH(AC$2,Inputs!$K$4:$AJ$4,0))))=0,NA(),SUMPRODUCT((Inputs!$A$5:$A$230=$B73)*Inputs!$B$5:$B$230*(((Inputs!$G$5:$G$230="moeda")+(Inputs!$G$5:$G$230="acoes"))*Inputs!$B$1+((Inputs!$G$5:$G$230&lt;&gt;"moeda")*(Inputs!$G$5:$G$230&lt;&gt;"acoes")))*INDEX(Inputs!$K$5:$AJ$230,0,MATCH(AC$2,Inputs!$K$4:$AJ$4,0)))+SUMPRODUCT((Inputs!$C$5:$C$230=$B73)*Inputs!$D$5:$D$230*(((Inputs!$G$5:$G$230="moeda")+(Inputs!$G$5:$G$230="acoes"))*Inputs!$B$1+((Inputs!$G$5:$G$230&lt;&gt;"moeda")*(Inputs!$G$5:$G$230&lt;&gt;"acoes")))*INDEX(Inputs!$K$5:$AJ$230,0,MATCH(AC$2,Inputs!$K$4:$AJ$4,0)))+SUMPRODUCT((Inputs!$E$5:$E$230=$B73)*Inputs!$F$5:$F$230*(((Inputs!$G$5:$G$230="moeda")+(Inputs!$G$5:$G$230="acoes"))*Inputs!$B$1+((Inputs!$G$5:$G$230&lt;&gt;"moeda")*(Inputs!$G$5:$G$230&lt;&gt;"acoes")))*INDEX(Inputs!$K$5:$AJ$230,0,MATCH(AC$2,Inputs!$K$4:$AJ$4,0)))))</f>
        <v>29.273</v>
      </c>
      <c r="AD73" s="6">
        <f>IF(ISNA(MATCH(AD$2,Inputs!$K$4:$AJ$4,0)),NA(),IF(SUMPRODUCT((Inputs!$A$5:$A$230=$B73)*ISNUMBER(INDEX(Inputs!$K$5:$AJ$230,0,MATCH(AD$2,Inputs!$K$4:$AJ$4,0))))+SUMPRODUCT((Inputs!$C$5:$C$230=$B73)*ISNUMBER(INDEX(Inputs!$K$5:$AJ$230,0,MATCH(AD$2,Inputs!$K$4:$AJ$4,0))))+SUMPRODUCT((Inputs!$E$5:$E$230=$B73)*ISNUMBER(INDEX(Inputs!$K$5:$AJ$230,0,MATCH(AD$2,Inputs!$K$4:$AJ$4,0))))=0,NA(),SUMPRODUCT((Inputs!$A$5:$A$230=$B73)*Inputs!$B$5:$B$230*(((Inputs!$G$5:$G$230="moeda")+(Inputs!$G$5:$G$230="acoes"))*Inputs!$B$1+((Inputs!$G$5:$G$230&lt;&gt;"moeda")*(Inputs!$G$5:$G$230&lt;&gt;"acoes")))*INDEX(Inputs!$K$5:$AJ$230,0,MATCH(AD$2,Inputs!$K$4:$AJ$4,0)))+SUMPRODUCT((Inputs!$C$5:$C$230=$B73)*Inputs!$D$5:$D$230*(((Inputs!$G$5:$G$230="moeda")+(Inputs!$G$5:$G$230="acoes"))*Inputs!$B$1+((Inputs!$G$5:$G$230&lt;&gt;"moeda")*(Inputs!$G$5:$G$230&lt;&gt;"acoes")))*INDEX(Inputs!$K$5:$AJ$230,0,MATCH(AD$2,Inputs!$K$4:$AJ$4,0)))+SUMPRODUCT((Inputs!$E$5:$E$230=$B73)*Inputs!$F$5:$F$230*(((Inputs!$G$5:$G$230="moeda")+(Inputs!$G$5:$G$230="acoes"))*Inputs!$B$1+((Inputs!$G$5:$G$230&lt;&gt;"moeda")*(Inputs!$G$5:$G$230&lt;&gt;"acoes")))*INDEX(Inputs!$K$5:$AJ$230,0,MATCH(AD$2,Inputs!$K$4:$AJ$4,0)))))</f>
        <v>56.666</v>
      </c>
      <c r="AE73" s="6" t="e">
        <f>IF(ISNA(MATCH(AE$2,Inputs!$K$4:$AJ$4,0)),NA(),IF(SUMPRODUCT((Inputs!$A$5:$A$230=$B73)*ISNUMBER(INDEX(Inputs!$K$5:$AJ$230,0,MATCH(AE$2,Inputs!$K$4:$AJ$4,0))))+SUMPRODUCT((Inputs!$C$5:$C$230=$B73)*ISNUMBER(INDEX(Inputs!$K$5:$AJ$230,0,MATCH(AE$2,Inputs!$K$4:$AJ$4,0))))+SUMPRODUCT((Inputs!$E$5:$E$230=$B73)*ISNUMBER(INDEX(Inputs!$K$5:$AJ$230,0,MATCH(AE$2,Inputs!$K$4:$AJ$4,0))))=0,NA(),SUMPRODUCT((Inputs!$A$5:$A$230=$B73)*Inputs!$B$5:$B$230*(((Inputs!$G$5:$G$230="moeda")+(Inputs!$G$5:$G$230="acoes"))*Inputs!$B$1+((Inputs!$G$5:$G$230&lt;&gt;"moeda")*(Inputs!$G$5:$G$230&lt;&gt;"acoes")))*INDEX(Inputs!$K$5:$AJ$230,0,MATCH(AE$2,Inputs!$K$4:$AJ$4,0)))+SUMPRODUCT((Inputs!$C$5:$C$230=$B73)*Inputs!$D$5:$D$230*(((Inputs!$G$5:$G$230="moeda")+(Inputs!$G$5:$G$230="acoes"))*Inputs!$B$1+((Inputs!$G$5:$G$230&lt;&gt;"moeda")*(Inputs!$G$5:$G$230&lt;&gt;"acoes")))*INDEX(Inputs!$K$5:$AJ$230,0,MATCH(AE$2,Inputs!$K$4:$AJ$4,0)))+SUMPRODUCT((Inputs!$E$5:$E$230=$B73)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3" s="6" t="e">
        <f>IF(ISNA(MATCH(AF$2,Inputs!$K$4:$AJ$4,0)),NA(),IF(SUMPRODUCT((Inputs!$A$5:$A$230=$B73)*ISNUMBER(INDEX(Inputs!$K$5:$AJ$230,0,MATCH(AF$2,Inputs!$K$4:$AJ$4,0))))+SUMPRODUCT((Inputs!$C$5:$C$230=$B73)*ISNUMBER(INDEX(Inputs!$K$5:$AJ$230,0,MATCH(AF$2,Inputs!$K$4:$AJ$4,0))))+SUMPRODUCT((Inputs!$E$5:$E$230=$B73)*ISNUMBER(INDEX(Inputs!$K$5:$AJ$230,0,MATCH(AF$2,Inputs!$K$4:$AJ$4,0))))=0,NA(),SUMPRODUCT((Inputs!$A$5:$A$230=$B73)*Inputs!$B$5:$B$230*(((Inputs!$G$5:$G$230="moeda")+(Inputs!$G$5:$G$230="acoes"))*Inputs!$B$1+((Inputs!$G$5:$G$230&lt;&gt;"moeda")*(Inputs!$G$5:$G$230&lt;&gt;"acoes")))*INDEX(Inputs!$K$5:$AJ$230,0,MATCH(AF$2,Inputs!$K$4:$AJ$4,0)))+SUMPRODUCT((Inputs!$C$5:$C$230=$B73)*Inputs!$D$5:$D$230*(((Inputs!$G$5:$G$230="moeda")+(Inputs!$G$5:$G$230="acoes"))*Inputs!$B$1+((Inputs!$G$5:$G$230&lt;&gt;"moeda")*(Inputs!$G$5:$G$230&lt;&gt;"acoes")))*INDEX(Inputs!$K$5:$AJ$230,0,MATCH(AF$2,Inputs!$K$4:$AJ$4,0)))+SUMPRODUCT((Inputs!$E$5:$E$230=$B73)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3" s="3" t="e">
        <f>SUM(AC73:AF73)</f>
        <v>#N/A</v>
      </c>
      <c r="AH73" s="6">
        <f>IF(ISNA(MATCH(AH$2,Inputs!$K$4:$AJ$4,0)),NA(),IF(SUMPRODUCT((Inputs!$A$5:$A$230=$B73)*ISNUMBER(INDEX(Inputs!$K$5:$AJ$230,0,MATCH(AH$2,Inputs!$K$4:$AJ$4,0))))+SUMPRODUCT((Inputs!$C$5:$C$230=$B73)*ISNUMBER(INDEX(Inputs!$K$5:$AJ$230,0,MATCH(AH$2,Inputs!$K$4:$AJ$4,0))))+SUMPRODUCT((Inputs!$E$5:$E$230=$B73)*ISNUMBER(INDEX(Inputs!$K$5:$AJ$230,0,MATCH(AH$2,Inputs!$K$4:$AJ$4,0))))=0,NA(),SUMPRODUCT((Inputs!$A$5:$A$230=$B73)*Inputs!$B$5:$B$230*(((Inputs!$G$5:$G$230="moeda")+(Inputs!$G$5:$G$230="acoes"))*Inputs!$B$1+((Inputs!$G$5:$G$230&lt;&gt;"moeda")*(Inputs!$G$5:$G$230&lt;&gt;"acoes")))*INDEX(Inputs!$K$5:$AJ$230,0,MATCH(AH$2,Inputs!$K$4:$AJ$4,0)))+SUMPRODUCT((Inputs!$C$5:$C$230=$B73)*Inputs!$D$5:$D$230*(((Inputs!$G$5:$G$230="moeda")+(Inputs!$G$5:$G$230="acoes"))*Inputs!$B$1+((Inputs!$G$5:$G$230&lt;&gt;"moeda")*(Inputs!$G$5:$G$230&lt;&gt;"acoes")))*INDEX(Inputs!$K$5:$AJ$230,0,MATCH(AH$2,Inputs!$K$4:$AJ$4,0)))+SUMPRODUCT((Inputs!$E$5:$E$230=$B73)*Inputs!$F$5:$F$230*(((Inputs!$G$5:$G$230="moeda")+(Inputs!$G$5:$G$230="acoes"))*Inputs!$B$1+((Inputs!$G$5:$G$230&lt;&gt;"moeda")*(Inputs!$G$5:$G$230&lt;&gt;"acoes")))*INDEX(Inputs!$K$5:$AJ$230,0,MATCH(AH$2,Inputs!$K$4:$AJ$4,0)))))</f>
        <v>34.966</v>
      </c>
      <c r="AI73" s="6">
        <f>IF(ISNA(MATCH(AI$2,Inputs!$K$4:$AJ$4,0)),NA(),IF(SUMPRODUCT((Inputs!$A$5:$A$230=$B73)*ISNUMBER(INDEX(Inputs!$K$5:$AJ$230,0,MATCH(AI$2,Inputs!$K$4:$AJ$4,0))))+SUMPRODUCT((Inputs!$C$5:$C$230=$B73)*ISNUMBER(INDEX(Inputs!$K$5:$AJ$230,0,MATCH(AI$2,Inputs!$K$4:$AJ$4,0))))+SUMPRODUCT((Inputs!$E$5:$E$230=$B73)*ISNUMBER(INDEX(Inputs!$K$5:$AJ$230,0,MATCH(AI$2,Inputs!$K$4:$AJ$4,0))))=0,NA(),SUMPRODUCT((Inputs!$A$5:$A$230=$B73)*Inputs!$B$5:$B$230*(((Inputs!$G$5:$G$230="moeda")+(Inputs!$G$5:$G$230="acoes"))*Inputs!$B$1+((Inputs!$G$5:$G$230&lt;&gt;"moeda")*(Inputs!$G$5:$G$230&lt;&gt;"acoes")))*INDEX(Inputs!$K$5:$AJ$230,0,MATCH(AI$2,Inputs!$K$4:$AJ$4,0)))+SUMPRODUCT((Inputs!$C$5:$C$230=$B73)*Inputs!$D$5:$D$230*(((Inputs!$G$5:$G$230="moeda")+(Inputs!$G$5:$G$230="acoes"))*Inputs!$B$1+((Inputs!$G$5:$G$230&lt;&gt;"moeda")*(Inputs!$G$5:$G$230&lt;&gt;"acoes")))*INDEX(Inputs!$K$5:$AJ$230,0,MATCH(AI$2,Inputs!$K$4:$AJ$4,0)))+SUMPRODUCT((Inputs!$E$5:$E$230=$B73)*Inputs!$F$5:$F$230*(((Inputs!$G$5:$G$230="moeda")+(Inputs!$G$5:$G$230="acoes"))*Inputs!$B$1+((Inputs!$G$5:$G$230&lt;&gt;"moeda")*(Inputs!$G$5:$G$230&lt;&gt;"acoes")))*INDEX(Inputs!$K$5:$AJ$230,0,MATCH(AI$2,Inputs!$K$4:$AJ$4,0)))))</f>
        <v>33.171</v>
      </c>
      <c r="AJ73" s="6">
        <f>IF(ISNA(MATCH(AJ$2,Inputs!$K$4:$AJ$4,0)),NA(),IF(SUMPRODUCT((Inputs!$A$5:$A$230=$B73)*ISNUMBER(INDEX(Inputs!$K$5:$AJ$230,0,MATCH(AJ$2,Inputs!$K$4:$AJ$4,0))))+SUMPRODUCT((Inputs!$C$5:$C$230=$B73)*ISNUMBER(INDEX(Inputs!$K$5:$AJ$230,0,MATCH(AJ$2,Inputs!$K$4:$AJ$4,0))))+SUMPRODUCT((Inputs!$E$5:$E$230=$B73)*ISNUMBER(INDEX(Inputs!$K$5:$AJ$230,0,MATCH(AJ$2,Inputs!$K$4:$AJ$4,0))))=0,NA(),SUMPRODUCT((Inputs!$A$5:$A$230=$B73)*Inputs!$B$5:$B$230*(((Inputs!$G$5:$G$230="moeda")+(Inputs!$G$5:$G$230="acoes"))*Inputs!$B$1+((Inputs!$G$5:$G$230&lt;&gt;"moeda")*(Inputs!$G$5:$G$230&lt;&gt;"acoes")))*INDEX(Inputs!$K$5:$AJ$230,0,MATCH(AJ$2,Inputs!$K$4:$AJ$4,0)))+SUMPRODUCT((Inputs!$C$5:$C$230=$B73)*Inputs!$D$5:$D$230*(((Inputs!$G$5:$G$230="moeda")+(Inputs!$G$5:$G$230="acoes"))*Inputs!$B$1+((Inputs!$G$5:$G$230&lt;&gt;"moeda")*(Inputs!$G$5:$G$230&lt;&gt;"acoes")))*INDEX(Inputs!$K$5:$AJ$230,0,MATCH(AJ$2,Inputs!$K$4:$AJ$4,0)))+SUMPRODUCT((Inputs!$E$5:$E$230=$B73)*Inputs!$F$5:$F$230*(((Inputs!$G$5:$G$230="moeda")+(Inputs!$G$5:$G$230="acoes"))*Inputs!$B$1+((Inputs!$G$5:$G$230&lt;&gt;"moeda")*(Inputs!$G$5:$G$230&lt;&gt;"acoes")))*INDEX(Inputs!$K$5:$AJ$230,0,MATCH(AJ$2,Inputs!$K$4:$AJ$4,0)))))</f>
        <v>50.624</v>
      </c>
      <c r="AK73" s="6">
        <f>IF(ISNA(MATCH(AK$2,Inputs!$K$4:$AJ$4,0)),NA(),IF(SUMPRODUCT((Inputs!$A$5:$A$230=$B73)*ISNUMBER(INDEX(Inputs!$K$5:$AJ$230,0,MATCH(AK$2,Inputs!$K$4:$AJ$4,0))))+SUMPRODUCT((Inputs!$C$5:$C$230=$B73)*ISNUMBER(INDEX(Inputs!$K$5:$AJ$230,0,MATCH(AK$2,Inputs!$K$4:$AJ$4,0))))+SUMPRODUCT((Inputs!$E$5:$E$230=$B73)*ISNUMBER(INDEX(Inputs!$K$5:$AJ$230,0,MATCH(AK$2,Inputs!$K$4:$AJ$4,0))))=0,NA(),SUMPRODUCT((Inputs!$A$5:$A$230=$B73)*Inputs!$B$5:$B$230*(((Inputs!$G$5:$G$230="moeda")+(Inputs!$G$5:$G$230="acoes"))*Inputs!$B$1+((Inputs!$G$5:$G$230&lt;&gt;"moeda")*(Inputs!$G$5:$G$230&lt;&gt;"acoes")))*INDEX(Inputs!$K$5:$AJ$230,0,MATCH(AK$2,Inputs!$K$4:$AJ$4,0)))+SUMPRODUCT((Inputs!$C$5:$C$230=$B73)*Inputs!$D$5:$D$230*(((Inputs!$G$5:$G$230="moeda")+(Inputs!$G$5:$G$230="acoes"))*Inputs!$B$1+((Inputs!$G$5:$G$230&lt;&gt;"moeda")*(Inputs!$G$5:$G$230&lt;&gt;"acoes")))*INDEX(Inputs!$K$5:$AJ$230,0,MATCH(AK$2,Inputs!$K$4:$AJ$4,0)))+SUMPRODUCT((Inputs!$E$5:$E$230=$B73)*Inputs!$F$5:$F$230*(((Inputs!$G$5:$G$230="moeda")+(Inputs!$G$5:$G$230="acoes"))*Inputs!$B$1+((Inputs!$G$5:$G$230&lt;&gt;"moeda")*(Inputs!$G$5:$G$230&lt;&gt;"acoes")))*INDEX(Inputs!$K$5:$AJ$230,0,MATCH(AK$2,Inputs!$K$4:$AJ$4,0)))))</f>
        <v>70.26</v>
      </c>
      <c r="AL73" s="3">
        <f>SUM(AH73:AK73)</f>
        <v>189.021</v>
      </c>
    </row>
    <row r="74">
      <c r="B74" s="46" t="n">
        <v>66</v>
      </c>
      <c r="C74" s="29" t="inlineStr">
        <is>
          <t>Transmissao | EDTE</t>
        </is>
      </c>
      <c r="D74" s="6">
        <f>IF(ISNA(MATCH(D$2,Inputs!$K$4:$AJ$4,0)),NA(),IF(SUMPRODUCT((Inputs!$A$5:$A$230=$B74)*ISNUMBER(INDEX(Inputs!$K$5:$AJ$230,0,MATCH(D$2,Inputs!$K$4:$AJ$4,0))))+SUMPRODUCT((Inputs!$C$5:$C$230=$B74)*ISNUMBER(INDEX(Inputs!$K$5:$AJ$230,0,MATCH(D$2,Inputs!$K$4:$AJ$4,0))))+SUMPRODUCT((Inputs!$E$5:$E$230=$B74)*ISNUMBER(INDEX(Inputs!$K$5:$AJ$230,0,MATCH(D$2,Inputs!$K$4:$AJ$4,0))))=0,NA(),SUMPRODUCT((Inputs!$A$5:$A$230=$B74)*Inputs!$B$5:$B$230*(((Inputs!$G$5:$G$230="moeda")+(Inputs!$G$5:$G$230="acoes"))*Inputs!$B$1+((Inputs!$G$5:$G$230&lt;&gt;"moeda")*(Inputs!$G$5:$G$230&lt;&gt;"acoes")))*INDEX(Inputs!$K$5:$AJ$230,0,MATCH(D$2,Inputs!$K$4:$AJ$4,0)))+SUMPRODUCT((Inputs!$C$5:$C$230=$B74)*Inputs!$D$5:$D$230*(((Inputs!$G$5:$G$230="moeda")+(Inputs!$G$5:$G$230="acoes"))*Inputs!$B$1+((Inputs!$G$5:$G$230&lt;&gt;"moeda")*(Inputs!$G$5:$G$230&lt;&gt;"acoes")))*INDEX(Inputs!$K$5:$AJ$230,0,MATCH(D$2,Inputs!$K$4:$AJ$4,0)))+SUMPRODUCT((Inputs!$E$5:$E$230=$B74)*Inputs!$F$5:$F$230*(((Inputs!$G$5:$G$230="moeda")+(Inputs!$G$5:$G$230="acoes"))*Inputs!$B$1+((Inputs!$G$5:$G$230&lt;&gt;"moeda")*(Inputs!$G$5:$G$230&lt;&gt;"acoes")))*INDEX(Inputs!$K$5:$AJ$230,0,MATCH(D$2,Inputs!$K$4:$AJ$4,0)))))</f>
        <v>31.42</v>
      </c>
      <c r="E74" s="6">
        <f>IF(ISNA(MATCH(E$2,Inputs!$K$4:$AJ$4,0)),NA(),IF(SUMPRODUCT((Inputs!$A$5:$A$230=$B74)*ISNUMBER(INDEX(Inputs!$K$5:$AJ$230,0,MATCH(E$2,Inputs!$K$4:$AJ$4,0))))+SUMPRODUCT((Inputs!$C$5:$C$230=$B74)*ISNUMBER(INDEX(Inputs!$K$5:$AJ$230,0,MATCH(E$2,Inputs!$K$4:$AJ$4,0))))+SUMPRODUCT((Inputs!$E$5:$E$230=$B74)*ISNUMBER(INDEX(Inputs!$K$5:$AJ$230,0,MATCH(E$2,Inputs!$K$4:$AJ$4,0))))=0,NA(),SUMPRODUCT((Inputs!$A$5:$A$230=$B74)*Inputs!$B$5:$B$230*(((Inputs!$G$5:$G$230="moeda")+(Inputs!$G$5:$G$230="acoes"))*Inputs!$B$1+((Inputs!$G$5:$G$230&lt;&gt;"moeda")*(Inputs!$G$5:$G$230&lt;&gt;"acoes")))*INDEX(Inputs!$K$5:$AJ$230,0,MATCH(E$2,Inputs!$K$4:$AJ$4,0)))+SUMPRODUCT((Inputs!$C$5:$C$230=$B74)*Inputs!$D$5:$D$230*(((Inputs!$G$5:$G$230="moeda")+(Inputs!$G$5:$G$230="acoes"))*Inputs!$B$1+((Inputs!$G$5:$G$230&lt;&gt;"moeda")*(Inputs!$G$5:$G$230&lt;&gt;"acoes")))*INDEX(Inputs!$K$5:$AJ$230,0,MATCH(E$2,Inputs!$K$4:$AJ$4,0)))+SUMPRODUCT((Inputs!$E$5:$E$230=$B74)*Inputs!$F$5:$F$230*(((Inputs!$G$5:$G$230="moeda")+(Inputs!$G$5:$G$230="acoes"))*Inputs!$B$1+((Inputs!$G$5:$G$230&lt;&gt;"moeda")*(Inputs!$G$5:$G$230&lt;&gt;"acoes")))*INDEX(Inputs!$K$5:$AJ$230,0,MATCH(E$2,Inputs!$K$4:$AJ$4,0)))))</f>
        <v>29.895</v>
      </c>
      <c r="F74" s="6">
        <f>IF(ISNA(MATCH(F$2,Inputs!$K$4:$AJ$4,0)),NA(),IF(SUMPRODUCT((Inputs!$A$5:$A$230=$B74)*ISNUMBER(INDEX(Inputs!$K$5:$AJ$230,0,MATCH(F$2,Inputs!$K$4:$AJ$4,0))))+SUMPRODUCT((Inputs!$C$5:$C$230=$B74)*ISNUMBER(INDEX(Inputs!$K$5:$AJ$230,0,MATCH(F$2,Inputs!$K$4:$AJ$4,0))))+SUMPRODUCT((Inputs!$E$5:$E$230=$B74)*ISNUMBER(INDEX(Inputs!$K$5:$AJ$230,0,MATCH(F$2,Inputs!$K$4:$AJ$4,0))))=0,NA(),SUMPRODUCT((Inputs!$A$5:$A$230=$B74)*Inputs!$B$5:$B$230*(((Inputs!$G$5:$G$230="moeda")+(Inputs!$G$5:$G$230="acoes"))*Inputs!$B$1+((Inputs!$G$5:$G$230&lt;&gt;"moeda")*(Inputs!$G$5:$G$230&lt;&gt;"acoes")))*INDEX(Inputs!$K$5:$AJ$230,0,MATCH(F$2,Inputs!$K$4:$AJ$4,0)))+SUMPRODUCT((Inputs!$C$5:$C$230=$B74)*Inputs!$D$5:$D$230*(((Inputs!$G$5:$G$230="moeda")+(Inputs!$G$5:$G$230="acoes"))*Inputs!$B$1+((Inputs!$G$5:$G$230&lt;&gt;"moeda")*(Inputs!$G$5:$G$230&lt;&gt;"acoes")))*INDEX(Inputs!$K$5:$AJ$230,0,MATCH(F$2,Inputs!$K$4:$AJ$4,0)))+SUMPRODUCT((Inputs!$E$5:$E$230=$B74)*Inputs!$F$5:$F$230*(((Inputs!$G$5:$G$230="moeda")+(Inputs!$G$5:$G$230="acoes"))*Inputs!$B$1+((Inputs!$G$5:$G$230&lt;&gt;"moeda")*(Inputs!$G$5:$G$230&lt;&gt;"acoes")))*INDEX(Inputs!$K$5:$AJ$230,0,MATCH(F$2,Inputs!$K$4:$AJ$4,0)))))</f>
        <v>31.519</v>
      </c>
      <c r="G74" s="6">
        <f>IF(ISNA(MATCH(G$2,Inputs!$K$4:$AJ$4,0)),NA(),IF(SUMPRODUCT((Inputs!$A$5:$A$230=$B74)*ISNUMBER(INDEX(Inputs!$K$5:$AJ$230,0,MATCH(G$2,Inputs!$K$4:$AJ$4,0))))+SUMPRODUCT((Inputs!$C$5:$C$230=$B74)*ISNUMBER(INDEX(Inputs!$K$5:$AJ$230,0,MATCH(G$2,Inputs!$K$4:$AJ$4,0))))+SUMPRODUCT((Inputs!$E$5:$E$230=$B74)*ISNUMBER(INDEX(Inputs!$K$5:$AJ$230,0,MATCH(G$2,Inputs!$K$4:$AJ$4,0))))=0,NA(),SUMPRODUCT((Inputs!$A$5:$A$230=$B74)*Inputs!$B$5:$B$230*(((Inputs!$G$5:$G$230="moeda")+(Inputs!$G$5:$G$230="acoes"))*Inputs!$B$1+((Inputs!$G$5:$G$230&lt;&gt;"moeda")*(Inputs!$G$5:$G$230&lt;&gt;"acoes")))*INDEX(Inputs!$K$5:$AJ$230,0,MATCH(G$2,Inputs!$K$4:$AJ$4,0)))+SUMPRODUCT((Inputs!$C$5:$C$230=$B74)*Inputs!$D$5:$D$230*(((Inputs!$G$5:$G$230="moeda")+(Inputs!$G$5:$G$230="acoes"))*Inputs!$B$1+((Inputs!$G$5:$G$230&lt;&gt;"moeda")*(Inputs!$G$5:$G$230&lt;&gt;"acoes")))*INDEX(Inputs!$K$5:$AJ$230,0,MATCH(G$2,Inputs!$K$4:$AJ$4,0)))+SUMPRODUCT((Inputs!$E$5:$E$230=$B74)*Inputs!$F$5:$F$230*(((Inputs!$G$5:$G$230="moeda")+(Inputs!$G$5:$G$230="acoes"))*Inputs!$B$1+((Inputs!$G$5:$G$230&lt;&gt;"moeda")*(Inputs!$G$5:$G$230&lt;&gt;"acoes")))*INDEX(Inputs!$K$5:$AJ$230,0,MATCH(G$2,Inputs!$K$4:$AJ$4,0)))))</f>
        <v>39.299</v>
      </c>
      <c r="H74" s="3">
        <f>SUM(D74:G74)</f>
        <v>132.133</v>
      </c>
      <c r="I74" s="6">
        <f>IF(ISNA(MATCH(I$2,Inputs!$K$4:$AJ$4,0)),NA(),IF(SUMPRODUCT((Inputs!$A$5:$A$230=$B74)*ISNUMBER(INDEX(Inputs!$K$5:$AJ$230,0,MATCH(I$2,Inputs!$K$4:$AJ$4,0))))+SUMPRODUCT((Inputs!$C$5:$C$230=$B74)*ISNUMBER(INDEX(Inputs!$K$5:$AJ$230,0,MATCH(I$2,Inputs!$K$4:$AJ$4,0))))+SUMPRODUCT((Inputs!$E$5:$E$230=$B74)*ISNUMBER(INDEX(Inputs!$K$5:$AJ$230,0,MATCH(I$2,Inputs!$K$4:$AJ$4,0))))=0,NA(),SUMPRODUCT((Inputs!$A$5:$A$230=$B74)*Inputs!$B$5:$B$230*(((Inputs!$G$5:$G$230="moeda")+(Inputs!$G$5:$G$230="acoes"))*Inputs!$B$1+((Inputs!$G$5:$G$230&lt;&gt;"moeda")*(Inputs!$G$5:$G$230&lt;&gt;"acoes")))*INDEX(Inputs!$K$5:$AJ$230,0,MATCH(I$2,Inputs!$K$4:$AJ$4,0)))+SUMPRODUCT((Inputs!$C$5:$C$230=$B74)*Inputs!$D$5:$D$230*(((Inputs!$G$5:$G$230="moeda")+(Inputs!$G$5:$G$230="acoes"))*Inputs!$B$1+((Inputs!$G$5:$G$230&lt;&gt;"moeda")*(Inputs!$G$5:$G$230&lt;&gt;"acoes")))*INDEX(Inputs!$K$5:$AJ$230,0,MATCH(I$2,Inputs!$K$4:$AJ$4,0)))+SUMPRODUCT((Inputs!$E$5:$E$230=$B74)*Inputs!$F$5:$F$230*(((Inputs!$G$5:$G$230="moeda")+(Inputs!$G$5:$G$230="acoes"))*Inputs!$B$1+((Inputs!$G$5:$G$230&lt;&gt;"moeda")*(Inputs!$G$5:$G$230&lt;&gt;"acoes")))*INDEX(Inputs!$K$5:$AJ$230,0,MATCH(I$2,Inputs!$K$4:$AJ$4,0)))))</f>
        <v>33.219</v>
      </c>
      <c r="J74" s="6">
        <f>IF(ISNA(MATCH(J$2,Inputs!$K$4:$AJ$4,0)),NA(),IF(SUMPRODUCT((Inputs!$A$5:$A$230=$B74)*ISNUMBER(INDEX(Inputs!$K$5:$AJ$230,0,MATCH(J$2,Inputs!$K$4:$AJ$4,0))))+SUMPRODUCT((Inputs!$C$5:$C$230=$B74)*ISNUMBER(INDEX(Inputs!$K$5:$AJ$230,0,MATCH(J$2,Inputs!$K$4:$AJ$4,0))))+SUMPRODUCT((Inputs!$E$5:$E$230=$B74)*ISNUMBER(INDEX(Inputs!$K$5:$AJ$230,0,MATCH(J$2,Inputs!$K$4:$AJ$4,0))))=0,NA(),SUMPRODUCT((Inputs!$A$5:$A$230=$B74)*Inputs!$B$5:$B$230*(((Inputs!$G$5:$G$230="moeda")+(Inputs!$G$5:$G$230="acoes"))*Inputs!$B$1+((Inputs!$G$5:$G$230&lt;&gt;"moeda")*(Inputs!$G$5:$G$230&lt;&gt;"acoes")))*INDEX(Inputs!$K$5:$AJ$230,0,MATCH(J$2,Inputs!$K$4:$AJ$4,0)))+SUMPRODUCT((Inputs!$C$5:$C$230=$B74)*Inputs!$D$5:$D$230*(((Inputs!$G$5:$G$230="moeda")+(Inputs!$G$5:$G$230="acoes"))*Inputs!$B$1+((Inputs!$G$5:$G$230&lt;&gt;"moeda")*(Inputs!$G$5:$G$230&lt;&gt;"acoes")))*INDEX(Inputs!$K$5:$AJ$230,0,MATCH(J$2,Inputs!$K$4:$AJ$4,0)))+SUMPRODUCT((Inputs!$E$5:$E$230=$B74)*Inputs!$F$5:$F$230*(((Inputs!$G$5:$G$230="moeda")+(Inputs!$G$5:$G$230="acoes"))*Inputs!$B$1+((Inputs!$G$5:$G$230&lt;&gt;"moeda")*(Inputs!$G$5:$G$230&lt;&gt;"acoes")))*INDEX(Inputs!$K$5:$AJ$230,0,MATCH(J$2,Inputs!$K$4:$AJ$4,0)))))</f>
        <v>40.373</v>
      </c>
      <c r="K74" s="6">
        <f>IF(ISNA(MATCH(K$2,Inputs!$K$4:$AJ$4,0)),NA(),IF(SUMPRODUCT((Inputs!$A$5:$A$230=$B74)*ISNUMBER(INDEX(Inputs!$K$5:$AJ$230,0,MATCH(K$2,Inputs!$K$4:$AJ$4,0))))+SUMPRODUCT((Inputs!$C$5:$C$230=$B74)*ISNUMBER(INDEX(Inputs!$K$5:$AJ$230,0,MATCH(K$2,Inputs!$K$4:$AJ$4,0))))+SUMPRODUCT((Inputs!$E$5:$E$230=$B74)*ISNUMBER(INDEX(Inputs!$K$5:$AJ$230,0,MATCH(K$2,Inputs!$K$4:$AJ$4,0))))=0,NA(),SUMPRODUCT((Inputs!$A$5:$A$230=$B74)*Inputs!$B$5:$B$230*(((Inputs!$G$5:$G$230="moeda")+(Inputs!$G$5:$G$230="acoes"))*Inputs!$B$1+((Inputs!$G$5:$G$230&lt;&gt;"moeda")*(Inputs!$G$5:$G$230&lt;&gt;"acoes")))*INDEX(Inputs!$K$5:$AJ$230,0,MATCH(K$2,Inputs!$K$4:$AJ$4,0)))+SUMPRODUCT((Inputs!$C$5:$C$230=$B74)*Inputs!$D$5:$D$230*(((Inputs!$G$5:$G$230="moeda")+(Inputs!$G$5:$G$230="acoes"))*Inputs!$B$1+((Inputs!$G$5:$G$230&lt;&gt;"moeda")*(Inputs!$G$5:$G$230&lt;&gt;"acoes")))*INDEX(Inputs!$K$5:$AJ$230,0,MATCH(K$2,Inputs!$K$4:$AJ$4,0)))+SUMPRODUCT((Inputs!$E$5:$E$230=$B74)*Inputs!$F$5:$F$230*(((Inputs!$G$5:$G$230="moeda")+(Inputs!$G$5:$G$230="acoes"))*Inputs!$B$1+((Inputs!$G$5:$G$230&lt;&gt;"moeda")*(Inputs!$G$5:$G$230&lt;&gt;"acoes")))*INDEX(Inputs!$K$5:$AJ$230,0,MATCH(K$2,Inputs!$K$4:$AJ$4,0)))))</f>
        <v>16.304</v>
      </c>
      <c r="L74" s="6">
        <f>IF(ISNA(MATCH(L$2,Inputs!$K$4:$AJ$4,0)),NA(),IF(SUMPRODUCT((Inputs!$A$5:$A$230=$B74)*ISNUMBER(INDEX(Inputs!$K$5:$AJ$230,0,MATCH(L$2,Inputs!$K$4:$AJ$4,0))))+SUMPRODUCT((Inputs!$C$5:$C$230=$B74)*ISNUMBER(INDEX(Inputs!$K$5:$AJ$230,0,MATCH(L$2,Inputs!$K$4:$AJ$4,0))))+SUMPRODUCT((Inputs!$E$5:$E$230=$B74)*ISNUMBER(INDEX(Inputs!$K$5:$AJ$230,0,MATCH(L$2,Inputs!$K$4:$AJ$4,0))))=0,NA(),SUMPRODUCT((Inputs!$A$5:$A$230=$B74)*Inputs!$B$5:$B$230*(((Inputs!$G$5:$G$230="moeda")+(Inputs!$G$5:$G$230="acoes"))*Inputs!$B$1+((Inputs!$G$5:$G$230&lt;&gt;"moeda")*(Inputs!$G$5:$G$230&lt;&gt;"acoes")))*INDEX(Inputs!$K$5:$AJ$230,0,MATCH(L$2,Inputs!$K$4:$AJ$4,0)))+SUMPRODUCT((Inputs!$C$5:$C$230=$B74)*Inputs!$D$5:$D$230*(((Inputs!$G$5:$G$230="moeda")+(Inputs!$G$5:$G$230="acoes"))*Inputs!$B$1+((Inputs!$G$5:$G$230&lt;&gt;"moeda")*(Inputs!$G$5:$G$230&lt;&gt;"acoes")))*INDEX(Inputs!$K$5:$AJ$230,0,MATCH(L$2,Inputs!$K$4:$AJ$4,0)))+SUMPRODUCT((Inputs!$E$5:$E$230=$B74)*Inputs!$F$5:$F$230*(((Inputs!$G$5:$G$230="moeda")+(Inputs!$G$5:$G$230="acoes"))*Inputs!$B$1+((Inputs!$G$5:$G$230&lt;&gt;"moeda")*(Inputs!$G$5:$G$230&lt;&gt;"acoes")))*INDEX(Inputs!$K$5:$AJ$230,0,MATCH(L$2,Inputs!$K$4:$AJ$4,0)))))</f>
        <v>23.357</v>
      </c>
      <c r="M74" s="3">
        <f>SUM(I74:L74)</f>
        <v>113.253</v>
      </c>
      <c r="N74" s="6">
        <f>IF(ISNA(MATCH(N$2,Inputs!$K$4:$AJ$4,0)),NA(),IF(SUMPRODUCT((Inputs!$A$5:$A$230=$B74)*ISNUMBER(INDEX(Inputs!$K$5:$AJ$230,0,MATCH(N$2,Inputs!$K$4:$AJ$4,0))))+SUMPRODUCT((Inputs!$C$5:$C$230=$B74)*ISNUMBER(INDEX(Inputs!$K$5:$AJ$230,0,MATCH(N$2,Inputs!$K$4:$AJ$4,0))))+SUMPRODUCT((Inputs!$E$5:$E$230=$B74)*ISNUMBER(INDEX(Inputs!$K$5:$AJ$230,0,MATCH(N$2,Inputs!$K$4:$AJ$4,0))))=0,NA(),SUMPRODUCT((Inputs!$A$5:$A$230=$B74)*Inputs!$B$5:$B$230*(((Inputs!$G$5:$G$230="moeda")+(Inputs!$G$5:$G$230="acoes"))*Inputs!$B$1+((Inputs!$G$5:$G$230&lt;&gt;"moeda")*(Inputs!$G$5:$G$230&lt;&gt;"acoes")))*INDEX(Inputs!$K$5:$AJ$230,0,MATCH(N$2,Inputs!$K$4:$AJ$4,0)))+SUMPRODUCT((Inputs!$C$5:$C$230=$B74)*Inputs!$D$5:$D$230*(((Inputs!$G$5:$G$230="moeda")+(Inputs!$G$5:$G$230="acoes"))*Inputs!$B$1+((Inputs!$G$5:$G$230&lt;&gt;"moeda")*(Inputs!$G$5:$G$230&lt;&gt;"acoes")))*INDEX(Inputs!$K$5:$AJ$230,0,MATCH(N$2,Inputs!$K$4:$AJ$4,0)))+SUMPRODUCT((Inputs!$E$5:$E$230=$B74)*Inputs!$F$5:$F$230*(((Inputs!$G$5:$G$230="moeda")+(Inputs!$G$5:$G$230="acoes"))*Inputs!$B$1+((Inputs!$G$5:$G$230&lt;&gt;"moeda")*(Inputs!$G$5:$G$230&lt;&gt;"acoes")))*INDEX(Inputs!$K$5:$AJ$230,0,MATCH(N$2,Inputs!$K$4:$AJ$4,0)))))</f>
        <v>32.372</v>
      </c>
      <c r="O74" s="6">
        <f>IF(ISNA(MATCH(O$2,Inputs!$K$4:$AJ$4,0)),NA(),IF(SUMPRODUCT((Inputs!$A$5:$A$230=$B74)*ISNUMBER(INDEX(Inputs!$K$5:$AJ$230,0,MATCH(O$2,Inputs!$K$4:$AJ$4,0))))+SUMPRODUCT((Inputs!$C$5:$C$230=$B74)*ISNUMBER(INDEX(Inputs!$K$5:$AJ$230,0,MATCH(O$2,Inputs!$K$4:$AJ$4,0))))+SUMPRODUCT((Inputs!$E$5:$E$230=$B74)*ISNUMBER(INDEX(Inputs!$K$5:$AJ$230,0,MATCH(O$2,Inputs!$K$4:$AJ$4,0))))=0,NA(),SUMPRODUCT((Inputs!$A$5:$A$230=$B74)*Inputs!$B$5:$B$230*(((Inputs!$G$5:$G$230="moeda")+(Inputs!$G$5:$G$230="acoes"))*Inputs!$B$1+((Inputs!$G$5:$G$230&lt;&gt;"moeda")*(Inputs!$G$5:$G$230&lt;&gt;"acoes")))*INDEX(Inputs!$K$5:$AJ$230,0,MATCH(O$2,Inputs!$K$4:$AJ$4,0)))+SUMPRODUCT((Inputs!$C$5:$C$230=$B74)*Inputs!$D$5:$D$230*(((Inputs!$G$5:$G$230="moeda")+(Inputs!$G$5:$G$230="acoes"))*Inputs!$B$1+((Inputs!$G$5:$G$230&lt;&gt;"moeda")*(Inputs!$G$5:$G$230&lt;&gt;"acoes")))*INDEX(Inputs!$K$5:$AJ$230,0,MATCH(O$2,Inputs!$K$4:$AJ$4,0)))+SUMPRODUCT((Inputs!$E$5:$E$230=$B74)*Inputs!$F$5:$F$230*(((Inputs!$G$5:$G$230="moeda")+(Inputs!$G$5:$G$230="acoes"))*Inputs!$B$1+((Inputs!$G$5:$G$230&lt;&gt;"moeda")*(Inputs!$G$5:$G$230&lt;&gt;"acoes")))*INDEX(Inputs!$K$5:$AJ$230,0,MATCH(O$2,Inputs!$K$4:$AJ$4,0)))))</f>
        <v>30.045</v>
      </c>
      <c r="P74" s="6">
        <f>IF(ISNA(MATCH(P$2,Inputs!$K$4:$AJ$4,0)),NA(),IF(SUMPRODUCT((Inputs!$A$5:$A$230=$B74)*ISNUMBER(INDEX(Inputs!$K$5:$AJ$230,0,MATCH(P$2,Inputs!$K$4:$AJ$4,0))))+SUMPRODUCT((Inputs!$C$5:$C$230=$B74)*ISNUMBER(INDEX(Inputs!$K$5:$AJ$230,0,MATCH(P$2,Inputs!$K$4:$AJ$4,0))))+SUMPRODUCT((Inputs!$E$5:$E$230=$B74)*ISNUMBER(INDEX(Inputs!$K$5:$AJ$230,0,MATCH(P$2,Inputs!$K$4:$AJ$4,0))))=0,NA(),SUMPRODUCT((Inputs!$A$5:$A$230=$B74)*Inputs!$B$5:$B$230*(((Inputs!$G$5:$G$230="moeda")+(Inputs!$G$5:$G$230="acoes"))*Inputs!$B$1+((Inputs!$G$5:$G$230&lt;&gt;"moeda")*(Inputs!$G$5:$G$230&lt;&gt;"acoes")))*INDEX(Inputs!$K$5:$AJ$230,0,MATCH(P$2,Inputs!$K$4:$AJ$4,0)))+SUMPRODUCT((Inputs!$C$5:$C$230=$B74)*Inputs!$D$5:$D$230*(((Inputs!$G$5:$G$230="moeda")+(Inputs!$G$5:$G$230="acoes"))*Inputs!$B$1+((Inputs!$G$5:$G$230&lt;&gt;"moeda")*(Inputs!$G$5:$G$230&lt;&gt;"acoes")))*INDEX(Inputs!$K$5:$AJ$230,0,MATCH(P$2,Inputs!$K$4:$AJ$4,0)))+SUMPRODUCT((Inputs!$E$5:$E$230=$B74)*Inputs!$F$5:$F$230*(((Inputs!$G$5:$G$230="moeda")+(Inputs!$G$5:$G$230="acoes"))*Inputs!$B$1+((Inputs!$G$5:$G$230&lt;&gt;"moeda")*(Inputs!$G$5:$G$230&lt;&gt;"acoes")))*INDEX(Inputs!$K$5:$AJ$230,0,MATCH(P$2,Inputs!$K$4:$AJ$4,0)))))</f>
        <v>21.1</v>
      </c>
      <c r="Q74" s="6">
        <f>IF(ISNA(MATCH(Q$2,Inputs!$K$4:$AJ$4,0)),NA(),IF(SUMPRODUCT((Inputs!$A$5:$A$230=$B74)*ISNUMBER(INDEX(Inputs!$K$5:$AJ$230,0,MATCH(Q$2,Inputs!$K$4:$AJ$4,0))))+SUMPRODUCT((Inputs!$C$5:$C$230=$B74)*ISNUMBER(INDEX(Inputs!$K$5:$AJ$230,0,MATCH(Q$2,Inputs!$K$4:$AJ$4,0))))+SUMPRODUCT((Inputs!$E$5:$E$230=$B74)*ISNUMBER(INDEX(Inputs!$K$5:$AJ$230,0,MATCH(Q$2,Inputs!$K$4:$AJ$4,0))))=0,NA(),SUMPRODUCT((Inputs!$A$5:$A$230=$B74)*Inputs!$B$5:$B$230*(((Inputs!$G$5:$G$230="moeda")+(Inputs!$G$5:$G$230="acoes"))*Inputs!$B$1+((Inputs!$G$5:$G$230&lt;&gt;"moeda")*(Inputs!$G$5:$G$230&lt;&gt;"acoes")))*INDEX(Inputs!$K$5:$AJ$230,0,MATCH(Q$2,Inputs!$K$4:$AJ$4,0)))+SUMPRODUCT((Inputs!$C$5:$C$230=$B74)*Inputs!$D$5:$D$230*(((Inputs!$G$5:$G$230="moeda")+(Inputs!$G$5:$G$230="acoes"))*Inputs!$B$1+((Inputs!$G$5:$G$230&lt;&gt;"moeda")*(Inputs!$G$5:$G$230&lt;&gt;"acoes")))*INDEX(Inputs!$K$5:$AJ$230,0,MATCH(Q$2,Inputs!$K$4:$AJ$4,0)))+SUMPRODUCT((Inputs!$E$5:$E$230=$B74)*Inputs!$F$5:$F$230*(((Inputs!$G$5:$G$230="moeda")+(Inputs!$G$5:$G$230="acoes"))*Inputs!$B$1+((Inputs!$G$5:$G$230&lt;&gt;"moeda")*(Inputs!$G$5:$G$230&lt;&gt;"acoes")))*INDEX(Inputs!$K$5:$AJ$230,0,MATCH(Q$2,Inputs!$K$4:$AJ$4,0)))))</f>
        <v>24.643</v>
      </c>
      <c r="R74" s="3">
        <f>SUM(N74:Q74)</f>
        <v>108.16</v>
      </c>
      <c r="S74" s="6">
        <f>IF(ISNA(MATCH(S$2,Inputs!$K$4:$AJ$4,0)),NA(),IF(SUMPRODUCT((Inputs!$A$5:$A$230=$B74)*ISNUMBER(INDEX(Inputs!$K$5:$AJ$230,0,MATCH(S$2,Inputs!$K$4:$AJ$4,0))))+SUMPRODUCT((Inputs!$C$5:$C$230=$B74)*ISNUMBER(INDEX(Inputs!$K$5:$AJ$230,0,MATCH(S$2,Inputs!$K$4:$AJ$4,0))))+SUMPRODUCT((Inputs!$E$5:$E$230=$B74)*ISNUMBER(INDEX(Inputs!$K$5:$AJ$230,0,MATCH(S$2,Inputs!$K$4:$AJ$4,0))))=0,NA(),SUMPRODUCT((Inputs!$A$5:$A$230=$B74)*Inputs!$B$5:$B$230*(((Inputs!$G$5:$G$230="moeda")+(Inputs!$G$5:$G$230="acoes"))*Inputs!$B$1+((Inputs!$G$5:$G$230&lt;&gt;"moeda")*(Inputs!$G$5:$G$230&lt;&gt;"acoes")))*INDEX(Inputs!$K$5:$AJ$230,0,MATCH(S$2,Inputs!$K$4:$AJ$4,0)))+SUMPRODUCT((Inputs!$C$5:$C$230=$B74)*Inputs!$D$5:$D$230*(((Inputs!$G$5:$G$230="moeda")+(Inputs!$G$5:$G$230="acoes"))*Inputs!$B$1+((Inputs!$G$5:$G$230&lt;&gt;"moeda")*(Inputs!$G$5:$G$230&lt;&gt;"acoes")))*INDEX(Inputs!$K$5:$AJ$230,0,MATCH(S$2,Inputs!$K$4:$AJ$4,0)))+SUMPRODUCT((Inputs!$E$5:$E$230=$B74)*Inputs!$F$5:$F$230*(((Inputs!$G$5:$G$230="moeda")+(Inputs!$G$5:$G$230="acoes"))*Inputs!$B$1+((Inputs!$G$5:$G$230&lt;&gt;"moeda")*(Inputs!$G$5:$G$230&lt;&gt;"acoes")))*INDEX(Inputs!$K$5:$AJ$230,0,MATCH(S$2,Inputs!$K$4:$AJ$4,0)))))</f>
        <v>31.622</v>
      </c>
      <c r="T74" s="6">
        <f>IF(ISNA(MATCH(T$2,Inputs!$K$4:$AJ$4,0)),NA(),IF(SUMPRODUCT((Inputs!$A$5:$A$230=$B74)*ISNUMBER(INDEX(Inputs!$K$5:$AJ$230,0,MATCH(T$2,Inputs!$K$4:$AJ$4,0))))+SUMPRODUCT((Inputs!$C$5:$C$230=$B74)*ISNUMBER(INDEX(Inputs!$K$5:$AJ$230,0,MATCH(T$2,Inputs!$K$4:$AJ$4,0))))+SUMPRODUCT((Inputs!$E$5:$E$230=$B74)*ISNUMBER(INDEX(Inputs!$K$5:$AJ$230,0,MATCH(T$2,Inputs!$K$4:$AJ$4,0))))=0,NA(),SUMPRODUCT((Inputs!$A$5:$A$230=$B74)*Inputs!$B$5:$B$230*(((Inputs!$G$5:$G$230="moeda")+(Inputs!$G$5:$G$230="acoes"))*Inputs!$B$1+((Inputs!$G$5:$G$230&lt;&gt;"moeda")*(Inputs!$G$5:$G$230&lt;&gt;"acoes")))*INDEX(Inputs!$K$5:$AJ$230,0,MATCH(T$2,Inputs!$K$4:$AJ$4,0)))+SUMPRODUCT((Inputs!$C$5:$C$230=$B74)*Inputs!$D$5:$D$230*(((Inputs!$G$5:$G$230="moeda")+(Inputs!$G$5:$G$230="acoes"))*Inputs!$B$1+((Inputs!$G$5:$G$230&lt;&gt;"moeda")*(Inputs!$G$5:$G$230&lt;&gt;"acoes")))*INDEX(Inputs!$K$5:$AJ$230,0,MATCH(T$2,Inputs!$K$4:$AJ$4,0)))+SUMPRODUCT((Inputs!$E$5:$E$230=$B74)*Inputs!$F$5:$F$230*(((Inputs!$G$5:$G$230="moeda")+(Inputs!$G$5:$G$230="acoes"))*Inputs!$B$1+((Inputs!$G$5:$G$230&lt;&gt;"moeda")*(Inputs!$G$5:$G$230&lt;&gt;"acoes")))*INDEX(Inputs!$K$5:$AJ$230,0,MATCH(T$2,Inputs!$K$4:$AJ$4,0)))))</f>
        <v>26.947</v>
      </c>
      <c r="U74" s="6">
        <f>IF(ISNA(MATCH(U$2,Inputs!$K$4:$AJ$4,0)),NA(),IF(SUMPRODUCT((Inputs!$A$5:$A$230=$B74)*ISNUMBER(INDEX(Inputs!$K$5:$AJ$230,0,MATCH(U$2,Inputs!$K$4:$AJ$4,0))))+SUMPRODUCT((Inputs!$C$5:$C$230=$B74)*ISNUMBER(INDEX(Inputs!$K$5:$AJ$230,0,MATCH(U$2,Inputs!$K$4:$AJ$4,0))))+SUMPRODUCT((Inputs!$E$5:$E$230=$B74)*ISNUMBER(INDEX(Inputs!$K$5:$AJ$230,0,MATCH(U$2,Inputs!$K$4:$AJ$4,0))))=0,NA(),SUMPRODUCT((Inputs!$A$5:$A$230=$B74)*Inputs!$B$5:$B$230*(((Inputs!$G$5:$G$230="moeda")+(Inputs!$G$5:$G$230="acoes"))*Inputs!$B$1+((Inputs!$G$5:$G$230&lt;&gt;"moeda")*(Inputs!$G$5:$G$230&lt;&gt;"acoes")))*INDEX(Inputs!$K$5:$AJ$230,0,MATCH(U$2,Inputs!$K$4:$AJ$4,0)))+SUMPRODUCT((Inputs!$C$5:$C$230=$B74)*Inputs!$D$5:$D$230*(((Inputs!$G$5:$G$230="moeda")+(Inputs!$G$5:$G$230="acoes"))*Inputs!$B$1+((Inputs!$G$5:$G$230&lt;&gt;"moeda")*(Inputs!$G$5:$G$230&lt;&gt;"acoes")))*INDEX(Inputs!$K$5:$AJ$230,0,MATCH(U$2,Inputs!$K$4:$AJ$4,0)))+SUMPRODUCT((Inputs!$E$5:$E$230=$B74)*Inputs!$F$5:$F$230*(((Inputs!$G$5:$G$230="moeda")+(Inputs!$G$5:$G$230="acoes"))*Inputs!$B$1+((Inputs!$G$5:$G$230&lt;&gt;"moeda")*(Inputs!$G$5:$G$230&lt;&gt;"acoes")))*INDEX(Inputs!$K$5:$AJ$230,0,MATCH(U$2,Inputs!$K$4:$AJ$4,0)))))</f>
        <v>23.746</v>
      </c>
      <c r="V74" s="6">
        <f>IF(ISNA(MATCH(V$2,Inputs!$K$4:$AJ$4,0)),NA(),IF(SUMPRODUCT((Inputs!$A$5:$A$230=$B74)*ISNUMBER(INDEX(Inputs!$K$5:$AJ$230,0,MATCH(V$2,Inputs!$K$4:$AJ$4,0))))+SUMPRODUCT((Inputs!$C$5:$C$230=$B74)*ISNUMBER(INDEX(Inputs!$K$5:$AJ$230,0,MATCH(V$2,Inputs!$K$4:$AJ$4,0))))+SUMPRODUCT((Inputs!$E$5:$E$230=$B74)*ISNUMBER(INDEX(Inputs!$K$5:$AJ$230,0,MATCH(V$2,Inputs!$K$4:$AJ$4,0))))=0,NA(),SUMPRODUCT((Inputs!$A$5:$A$230=$B74)*Inputs!$B$5:$B$230*(((Inputs!$G$5:$G$230="moeda")+(Inputs!$G$5:$G$230="acoes"))*Inputs!$B$1+((Inputs!$G$5:$G$230&lt;&gt;"moeda")*(Inputs!$G$5:$G$230&lt;&gt;"acoes")))*INDEX(Inputs!$K$5:$AJ$230,0,MATCH(V$2,Inputs!$K$4:$AJ$4,0)))+SUMPRODUCT((Inputs!$C$5:$C$230=$B74)*Inputs!$D$5:$D$230*(((Inputs!$G$5:$G$230="moeda")+(Inputs!$G$5:$G$230="acoes"))*Inputs!$B$1+((Inputs!$G$5:$G$230&lt;&gt;"moeda")*(Inputs!$G$5:$G$230&lt;&gt;"acoes")))*INDEX(Inputs!$K$5:$AJ$230,0,MATCH(V$2,Inputs!$K$4:$AJ$4,0)))+SUMPRODUCT((Inputs!$E$5:$E$230=$B74)*Inputs!$F$5:$F$230*(((Inputs!$G$5:$G$230="moeda")+(Inputs!$G$5:$G$230="acoes"))*Inputs!$B$1+((Inputs!$G$5:$G$230&lt;&gt;"moeda")*(Inputs!$G$5:$G$230&lt;&gt;"acoes")))*INDEX(Inputs!$K$5:$AJ$230,0,MATCH(V$2,Inputs!$K$4:$AJ$4,0)))))</f>
        <v>29.671</v>
      </c>
      <c r="W74" s="3">
        <f>SUM(S74:V74)</f>
        <v>111.986</v>
      </c>
      <c r="X74" s="6">
        <f>IF(ISNA(MATCH(X$2,Inputs!$K$4:$AJ$4,0)),NA(),IF(SUMPRODUCT((Inputs!$A$5:$A$230=$B74)*ISNUMBER(INDEX(Inputs!$K$5:$AJ$230,0,MATCH(X$2,Inputs!$K$4:$AJ$4,0))))+SUMPRODUCT((Inputs!$C$5:$C$230=$B74)*ISNUMBER(INDEX(Inputs!$K$5:$AJ$230,0,MATCH(X$2,Inputs!$K$4:$AJ$4,0))))+SUMPRODUCT((Inputs!$E$5:$E$230=$B74)*ISNUMBER(INDEX(Inputs!$K$5:$AJ$230,0,MATCH(X$2,Inputs!$K$4:$AJ$4,0))))=0,NA(),SUMPRODUCT((Inputs!$A$5:$A$230=$B74)*Inputs!$B$5:$B$230*(((Inputs!$G$5:$G$230="moeda")+(Inputs!$G$5:$G$230="acoes"))*Inputs!$B$1+((Inputs!$G$5:$G$230&lt;&gt;"moeda")*(Inputs!$G$5:$G$230&lt;&gt;"acoes")))*INDEX(Inputs!$K$5:$AJ$230,0,MATCH(X$2,Inputs!$K$4:$AJ$4,0)))+SUMPRODUCT((Inputs!$C$5:$C$230=$B74)*Inputs!$D$5:$D$230*(((Inputs!$G$5:$G$230="moeda")+(Inputs!$G$5:$G$230="acoes"))*Inputs!$B$1+((Inputs!$G$5:$G$230&lt;&gt;"moeda")*(Inputs!$G$5:$G$230&lt;&gt;"acoes")))*INDEX(Inputs!$K$5:$AJ$230,0,MATCH(X$2,Inputs!$K$4:$AJ$4,0)))+SUMPRODUCT((Inputs!$E$5:$E$230=$B74)*Inputs!$F$5:$F$230*(((Inputs!$G$5:$G$230="moeda")+(Inputs!$G$5:$G$230="acoes"))*Inputs!$B$1+((Inputs!$G$5:$G$230&lt;&gt;"moeda")*(Inputs!$G$5:$G$230&lt;&gt;"acoes")))*INDEX(Inputs!$K$5:$AJ$230,0,MATCH(X$2,Inputs!$K$4:$AJ$4,0)))))</f>
        <v>34.592</v>
      </c>
      <c r="Y74" s="6">
        <f>IF(ISNA(MATCH(Y$2,Inputs!$K$4:$AJ$4,0)),NA(),IF(SUMPRODUCT((Inputs!$A$5:$A$230=$B74)*ISNUMBER(INDEX(Inputs!$K$5:$AJ$230,0,MATCH(Y$2,Inputs!$K$4:$AJ$4,0))))+SUMPRODUCT((Inputs!$C$5:$C$230=$B74)*ISNUMBER(INDEX(Inputs!$K$5:$AJ$230,0,MATCH(Y$2,Inputs!$K$4:$AJ$4,0))))+SUMPRODUCT((Inputs!$E$5:$E$230=$B74)*ISNUMBER(INDEX(Inputs!$K$5:$AJ$230,0,MATCH(Y$2,Inputs!$K$4:$AJ$4,0))))=0,NA(),SUMPRODUCT((Inputs!$A$5:$A$230=$B74)*Inputs!$B$5:$B$230*(((Inputs!$G$5:$G$230="moeda")+(Inputs!$G$5:$G$230="acoes"))*Inputs!$B$1+((Inputs!$G$5:$G$230&lt;&gt;"moeda")*(Inputs!$G$5:$G$230&lt;&gt;"acoes")))*INDEX(Inputs!$K$5:$AJ$230,0,MATCH(Y$2,Inputs!$K$4:$AJ$4,0)))+SUMPRODUCT((Inputs!$C$5:$C$230=$B74)*Inputs!$D$5:$D$230*(((Inputs!$G$5:$G$230="moeda")+(Inputs!$G$5:$G$230="acoes"))*Inputs!$B$1+((Inputs!$G$5:$G$230&lt;&gt;"moeda")*(Inputs!$G$5:$G$230&lt;&gt;"acoes")))*INDEX(Inputs!$K$5:$AJ$230,0,MATCH(Y$2,Inputs!$K$4:$AJ$4,0)))+SUMPRODUCT((Inputs!$E$5:$E$230=$B74)*Inputs!$F$5:$F$230*(((Inputs!$G$5:$G$230="moeda")+(Inputs!$G$5:$G$230="acoes"))*Inputs!$B$1+((Inputs!$G$5:$G$230&lt;&gt;"moeda")*(Inputs!$G$5:$G$230&lt;&gt;"acoes")))*INDEX(Inputs!$K$5:$AJ$230,0,MATCH(Y$2,Inputs!$K$4:$AJ$4,0)))))</f>
        <v>29.827</v>
      </c>
      <c r="Z74" s="6">
        <f>IF(ISNA(MATCH(Z$2,Inputs!$K$4:$AJ$4,0)),NA(),IF(SUMPRODUCT((Inputs!$A$5:$A$230=$B74)*ISNUMBER(INDEX(Inputs!$K$5:$AJ$230,0,MATCH(Z$2,Inputs!$K$4:$AJ$4,0))))+SUMPRODUCT((Inputs!$C$5:$C$230=$B74)*ISNUMBER(INDEX(Inputs!$K$5:$AJ$230,0,MATCH(Z$2,Inputs!$K$4:$AJ$4,0))))+SUMPRODUCT((Inputs!$E$5:$E$230=$B74)*ISNUMBER(INDEX(Inputs!$K$5:$AJ$230,0,MATCH(Z$2,Inputs!$K$4:$AJ$4,0))))=0,NA(),SUMPRODUCT((Inputs!$A$5:$A$230=$B74)*Inputs!$B$5:$B$230*(((Inputs!$G$5:$G$230="moeda")+(Inputs!$G$5:$G$230="acoes"))*Inputs!$B$1+((Inputs!$G$5:$G$230&lt;&gt;"moeda")*(Inputs!$G$5:$G$230&lt;&gt;"acoes")))*INDEX(Inputs!$K$5:$AJ$230,0,MATCH(Z$2,Inputs!$K$4:$AJ$4,0)))+SUMPRODUCT((Inputs!$C$5:$C$230=$B74)*Inputs!$D$5:$D$230*(((Inputs!$G$5:$G$230="moeda")+(Inputs!$G$5:$G$230="acoes"))*Inputs!$B$1+((Inputs!$G$5:$G$230&lt;&gt;"moeda")*(Inputs!$G$5:$G$230&lt;&gt;"acoes")))*INDEX(Inputs!$K$5:$AJ$230,0,MATCH(Z$2,Inputs!$K$4:$AJ$4,0)))+SUMPRODUCT((Inputs!$E$5:$E$230=$B74)*Inputs!$F$5:$F$230*(((Inputs!$G$5:$G$230="moeda")+(Inputs!$G$5:$G$230="acoes"))*Inputs!$B$1+((Inputs!$G$5:$G$230&lt;&gt;"moeda")*(Inputs!$G$5:$G$230&lt;&gt;"acoes")))*INDEX(Inputs!$K$5:$AJ$230,0,MATCH(Z$2,Inputs!$K$4:$AJ$4,0)))))</f>
        <v>23.412</v>
      </c>
      <c r="AA74" s="6">
        <f>IF(ISNA(MATCH(AA$2,Inputs!$K$4:$AJ$4,0)),NA(),IF(SUMPRODUCT((Inputs!$A$5:$A$230=$B74)*ISNUMBER(INDEX(Inputs!$K$5:$AJ$230,0,MATCH(AA$2,Inputs!$K$4:$AJ$4,0))))+SUMPRODUCT((Inputs!$C$5:$C$230=$B74)*ISNUMBER(INDEX(Inputs!$K$5:$AJ$230,0,MATCH(AA$2,Inputs!$K$4:$AJ$4,0))))+SUMPRODUCT((Inputs!$E$5:$E$230=$B74)*ISNUMBER(INDEX(Inputs!$K$5:$AJ$230,0,MATCH(AA$2,Inputs!$K$4:$AJ$4,0))))=0,NA(),SUMPRODUCT((Inputs!$A$5:$A$230=$B74)*Inputs!$B$5:$B$230*(((Inputs!$G$5:$G$230="moeda")+(Inputs!$G$5:$G$230="acoes"))*Inputs!$B$1+((Inputs!$G$5:$G$230&lt;&gt;"moeda")*(Inputs!$G$5:$G$230&lt;&gt;"acoes")))*INDEX(Inputs!$K$5:$AJ$230,0,MATCH(AA$2,Inputs!$K$4:$AJ$4,0)))+SUMPRODUCT((Inputs!$C$5:$C$230=$B74)*Inputs!$D$5:$D$230*(((Inputs!$G$5:$G$230="moeda")+(Inputs!$G$5:$G$230="acoes"))*Inputs!$B$1+((Inputs!$G$5:$G$230&lt;&gt;"moeda")*(Inputs!$G$5:$G$230&lt;&gt;"acoes")))*INDEX(Inputs!$K$5:$AJ$230,0,MATCH(AA$2,Inputs!$K$4:$AJ$4,0)))+SUMPRODUCT((Inputs!$E$5:$E$230=$B74)*Inputs!$F$5:$F$230*(((Inputs!$G$5:$G$230="moeda")+(Inputs!$G$5:$G$230="acoes"))*Inputs!$B$1+((Inputs!$G$5:$G$230&lt;&gt;"moeda")*(Inputs!$G$5:$G$230&lt;&gt;"acoes")))*INDEX(Inputs!$K$5:$AJ$230,0,MATCH(AA$2,Inputs!$K$4:$AJ$4,0)))))</f>
        <v>26.109</v>
      </c>
      <c r="AB74" s="3">
        <f>SUM(X74:AA74)</f>
        <v>113.94</v>
      </c>
      <c r="AC74" s="6">
        <f>IF(ISNA(MATCH(AC$2,Inputs!$K$4:$AJ$4,0)),NA(),IF(SUMPRODUCT((Inputs!$A$5:$A$230=$B74)*ISNUMBER(INDEX(Inputs!$K$5:$AJ$230,0,MATCH(AC$2,Inputs!$K$4:$AJ$4,0))))+SUMPRODUCT((Inputs!$C$5:$C$230=$B74)*ISNUMBER(INDEX(Inputs!$K$5:$AJ$230,0,MATCH(AC$2,Inputs!$K$4:$AJ$4,0))))+SUMPRODUCT((Inputs!$E$5:$E$230=$B74)*ISNUMBER(INDEX(Inputs!$K$5:$AJ$230,0,MATCH(AC$2,Inputs!$K$4:$AJ$4,0))))=0,NA(),SUMPRODUCT((Inputs!$A$5:$A$230=$B74)*Inputs!$B$5:$B$230*(((Inputs!$G$5:$G$230="moeda")+(Inputs!$G$5:$G$230="acoes"))*Inputs!$B$1+((Inputs!$G$5:$G$230&lt;&gt;"moeda")*(Inputs!$G$5:$G$230&lt;&gt;"acoes")))*INDEX(Inputs!$K$5:$AJ$230,0,MATCH(AC$2,Inputs!$K$4:$AJ$4,0)))+SUMPRODUCT((Inputs!$C$5:$C$230=$B74)*Inputs!$D$5:$D$230*(((Inputs!$G$5:$G$230="moeda")+(Inputs!$G$5:$G$230="acoes"))*Inputs!$B$1+((Inputs!$G$5:$G$230&lt;&gt;"moeda")*(Inputs!$G$5:$G$230&lt;&gt;"acoes")))*INDEX(Inputs!$K$5:$AJ$230,0,MATCH(AC$2,Inputs!$K$4:$AJ$4,0)))+SUMPRODUCT((Inputs!$E$5:$E$230=$B74)*Inputs!$F$5:$F$230*(((Inputs!$G$5:$G$230="moeda")+(Inputs!$G$5:$G$230="acoes"))*Inputs!$B$1+((Inputs!$G$5:$G$230&lt;&gt;"moeda")*(Inputs!$G$5:$G$230&lt;&gt;"acoes")))*INDEX(Inputs!$K$5:$AJ$230,0,MATCH(AC$2,Inputs!$K$4:$AJ$4,0)))))</f>
        <v>30.917</v>
      </c>
      <c r="AD74" s="6">
        <f>IF(ISNA(MATCH(AD$2,Inputs!$K$4:$AJ$4,0)),NA(),IF(SUMPRODUCT((Inputs!$A$5:$A$230=$B74)*ISNUMBER(INDEX(Inputs!$K$5:$AJ$230,0,MATCH(AD$2,Inputs!$K$4:$AJ$4,0))))+SUMPRODUCT((Inputs!$C$5:$C$230=$B74)*ISNUMBER(INDEX(Inputs!$K$5:$AJ$230,0,MATCH(AD$2,Inputs!$K$4:$AJ$4,0))))+SUMPRODUCT((Inputs!$E$5:$E$230=$B74)*ISNUMBER(INDEX(Inputs!$K$5:$AJ$230,0,MATCH(AD$2,Inputs!$K$4:$AJ$4,0))))=0,NA(),SUMPRODUCT((Inputs!$A$5:$A$230=$B74)*Inputs!$B$5:$B$230*(((Inputs!$G$5:$G$230="moeda")+(Inputs!$G$5:$G$230="acoes"))*Inputs!$B$1+((Inputs!$G$5:$G$230&lt;&gt;"moeda")*(Inputs!$G$5:$G$230&lt;&gt;"acoes")))*INDEX(Inputs!$K$5:$AJ$230,0,MATCH(AD$2,Inputs!$K$4:$AJ$4,0)))+SUMPRODUCT((Inputs!$C$5:$C$230=$B74)*Inputs!$D$5:$D$230*(((Inputs!$G$5:$G$230="moeda")+(Inputs!$G$5:$G$230="acoes"))*Inputs!$B$1+((Inputs!$G$5:$G$230&lt;&gt;"moeda")*(Inputs!$G$5:$G$230&lt;&gt;"acoes")))*INDEX(Inputs!$K$5:$AJ$230,0,MATCH(AD$2,Inputs!$K$4:$AJ$4,0)))+SUMPRODUCT((Inputs!$E$5:$E$230=$B74)*Inputs!$F$5:$F$230*(((Inputs!$G$5:$G$230="moeda")+(Inputs!$G$5:$G$230="acoes"))*Inputs!$B$1+((Inputs!$G$5:$G$230&lt;&gt;"moeda")*(Inputs!$G$5:$G$230&lt;&gt;"acoes")))*INDEX(Inputs!$K$5:$AJ$230,0,MATCH(AD$2,Inputs!$K$4:$AJ$4,0)))))</f>
        <v>37.483</v>
      </c>
      <c r="AE74" s="6" t="e">
        <f>IF(ISNA(MATCH(AE$2,Inputs!$K$4:$AJ$4,0)),NA(),IF(SUMPRODUCT((Inputs!$A$5:$A$230=$B74)*ISNUMBER(INDEX(Inputs!$K$5:$AJ$230,0,MATCH(AE$2,Inputs!$K$4:$AJ$4,0))))+SUMPRODUCT((Inputs!$C$5:$C$230=$B74)*ISNUMBER(INDEX(Inputs!$K$5:$AJ$230,0,MATCH(AE$2,Inputs!$K$4:$AJ$4,0))))+SUMPRODUCT((Inputs!$E$5:$E$230=$B74)*ISNUMBER(INDEX(Inputs!$K$5:$AJ$230,0,MATCH(AE$2,Inputs!$K$4:$AJ$4,0))))=0,NA(),SUMPRODUCT((Inputs!$A$5:$A$230=$B74)*Inputs!$B$5:$B$230*(((Inputs!$G$5:$G$230="moeda")+(Inputs!$G$5:$G$230="acoes"))*Inputs!$B$1+((Inputs!$G$5:$G$230&lt;&gt;"moeda")*(Inputs!$G$5:$G$230&lt;&gt;"acoes")))*INDEX(Inputs!$K$5:$AJ$230,0,MATCH(AE$2,Inputs!$K$4:$AJ$4,0)))+SUMPRODUCT((Inputs!$C$5:$C$230=$B74)*Inputs!$D$5:$D$230*(((Inputs!$G$5:$G$230="moeda")+(Inputs!$G$5:$G$230="acoes"))*Inputs!$B$1+((Inputs!$G$5:$G$230&lt;&gt;"moeda")*(Inputs!$G$5:$G$230&lt;&gt;"acoes")))*INDEX(Inputs!$K$5:$AJ$230,0,MATCH(AE$2,Inputs!$K$4:$AJ$4,0)))+SUMPRODUCT((Inputs!$E$5:$E$230=$B74)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4" s="6" t="e">
        <f>IF(ISNA(MATCH(AF$2,Inputs!$K$4:$AJ$4,0)),NA(),IF(SUMPRODUCT((Inputs!$A$5:$A$230=$B74)*ISNUMBER(INDEX(Inputs!$K$5:$AJ$230,0,MATCH(AF$2,Inputs!$K$4:$AJ$4,0))))+SUMPRODUCT((Inputs!$C$5:$C$230=$B74)*ISNUMBER(INDEX(Inputs!$K$5:$AJ$230,0,MATCH(AF$2,Inputs!$K$4:$AJ$4,0))))+SUMPRODUCT((Inputs!$E$5:$E$230=$B74)*ISNUMBER(INDEX(Inputs!$K$5:$AJ$230,0,MATCH(AF$2,Inputs!$K$4:$AJ$4,0))))=0,NA(),SUMPRODUCT((Inputs!$A$5:$A$230=$B74)*Inputs!$B$5:$B$230*(((Inputs!$G$5:$G$230="moeda")+(Inputs!$G$5:$G$230="acoes"))*Inputs!$B$1+((Inputs!$G$5:$G$230&lt;&gt;"moeda")*(Inputs!$G$5:$G$230&lt;&gt;"acoes")))*INDEX(Inputs!$K$5:$AJ$230,0,MATCH(AF$2,Inputs!$K$4:$AJ$4,0)))+SUMPRODUCT((Inputs!$C$5:$C$230=$B74)*Inputs!$D$5:$D$230*(((Inputs!$G$5:$G$230="moeda")+(Inputs!$G$5:$G$230="acoes"))*Inputs!$B$1+((Inputs!$G$5:$G$230&lt;&gt;"moeda")*(Inputs!$G$5:$G$230&lt;&gt;"acoes")))*INDEX(Inputs!$K$5:$AJ$230,0,MATCH(AF$2,Inputs!$K$4:$AJ$4,0)))+SUMPRODUCT((Inputs!$E$5:$E$230=$B74)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4" s="3" t="e">
        <f>SUM(AC74:AF74)</f>
        <v>#N/A</v>
      </c>
      <c r="AH74" s="6">
        <f>IF(ISNA(MATCH(AH$2,Inputs!$K$4:$AJ$4,0)),NA(),IF(SUMPRODUCT((Inputs!$A$5:$A$230=$B74)*ISNUMBER(INDEX(Inputs!$K$5:$AJ$230,0,MATCH(AH$2,Inputs!$K$4:$AJ$4,0))))+SUMPRODUCT((Inputs!$C$5:$C$230=$B74)*ISNUMBER(INDEX(Inputs!$K$5:$AJ$230,0,MATCH(AH$2,Inputs!$K$4:$AJ$4,0))))+SUMPRODUCT((Inputs!$E$5:$E$230=$B74)*ISNUMBER(INDEX(Inputs!$K$5:$AJ$230,0,MATCH(AH$2,Inputs!$K$4:$AJ$4,0))))=0,NA(),SUMPRODUCT((Inputs!$A$5:$A$230=$B74)*Inputs!$B$5:$B$230*(((Inputs!$G$5:$G$230="moeda")+(Inputs!$G$5:$G$230="acoes"))*Inputs!$B$1+((Inputs!$G$5:$G$230&lt;&gt;"moeda")*(Inputs!$G$5:$G$230&lt;&gt;"acoes")))*INDEX(Inputs!$K$5:$AJ$230,0,MATCH(AH$2,Inputs!$K$4:$AJ$4,0)))+SUMPRODUCT((Inputs!$C$5:$C$230=$B74)*Inputs!$D$5:$D$230*(((Inputs!$G$5:$G$230="moeda")+(Inputs!$G$5:$G$230="acoes"))*Inputs!$B$1+((Inputs!$G$5:$G$230&lt;&gt;"moeda")*(Inputs!$G$5:$G$230&lt;&gt;"acoes")))*INDEX(Inputs!$K$5:$AJ$230,0,MATCH(AH$2,Inputs!$K$4:$AJ$4,0)))+SUMPRODUCT((Inputs!$E$5:$E$230=$B74)*Inputs!$F$5:$F$230*(((Inputs!$G$5:$G$230="moeda")+(Inputs!$G$5:$G$230="acoes"))*Inputs!$B$1+((Inputs!$G$5:$G$230&lt;&gt;"moeda")*(Inputs!$G$5:$G$230&lt;&gt;"acoes")))*INDEX(Inputs!$K$5:$AJ$230,0,MATCH(AH$2,Inputs!$K$4:$AJ$4,0)))))</f>
        <v>98.849</v>
      </c>
      <c r="AI74" s="6">
        <f>IF(ISNA(MATCH(AI$2,Inputs!$K$4:$AJ$4,0)),NA(),IF(SUMPRODUCT((Inputs!$A$5:$A$230=$B74)*ISNUMBER(INDEX(Inputs!$K$5:$AJ$230,0,MATCH(AI$2,Inputs!$K$4:$AJ$4,0))))+SUMPRODUCT((Inputs!$C$5:$C$230=$B74)*ISNUMBER(INDEX(Inputs!$K$5:$AJ$230,0,MATCH(AI$2,Inputs!$K$4:$AJ$4,0))))+SUMPRODUCT((Inputs!$E$5:$E$230=$B74)*ISNUMBER(INDEX(Inputs!$K$5:$AJ$230,0,MATCH(AI$2,Inputs!$K$4:$AJ$4,0))))=0,NA(),SUMPRODUCT((Inputs!$A$5:$A$230=$B74)*Inputs!$B$5:$B$230*(((Inputs!$G$5:$G$230="moeda")+(Inputs!$G$5:$G$230="acoes"))*Inputs!$B$1+((Inputs!$G$5:$G$230&lt;&gt;"moeda")*(Inputs!$G$5:$G$230&lt;&gt;"acoes")))*INDEX(Inputs!$K$5:$AJ$230,0,MATCH(AI$2,Inputs!$K$4:$AJ$4,0)))+SUMPRODUCT((Inputs!$C$5:$C$230=$B74)*Inputs!$D$5:$D$230*(((Inputs!$G$5:$G$230="moeda")+(Inputs!$G$5:$G$230="acoes"))*Inputs!$B$1+((Inputs!$G$5:$G$230&lt;&gt;"moeda")*(Inputs!$G$5:$G$230&lt;&gt;"acoes")))*INDEX(Inputs!$K$5:$AJ$230,0,MATCH(AI$2,Inputs!$K$4:$AJ$4,0)))+SUMPRODUCT((Inputs!$E$5:$E$230=$B74)*Inputs!$F$5:$F$230*(((Inputs!$G$5:$G$230="moeda")+(Inputs!$G$5:$G$230="acoes"))*Inputs!$B$1+((Inputs!$G$5:$G$230&lt;&gt;"moeda")*(Inputs!$G$5:$G$230&lt;&gt;"acoes")))*INDEX(Inputs!$K$5:$AJ$230,0,MATCH(AI$2,Inputs!$K$4:$AJ$4,0)))))</f>
        <v>12.744</v>
      </c>
      <c r="AJ74" s="6">
        <f>IF(ISNA(MATCH(AJ$2,Inputs!$K$4:$AJ$4,0)),NA(),IF(SUMPRODUCT((Inputs!$A$5:$A$230=$B74)*ISNUMBER(INDEX(Inputs!$K$5:$AJ$230,0,MATCH(AJ$2,Inputs!$K$4:$AJ$4,0))))+SUMPRODUCT((Inputs!$C$5:$C$230=$B74)*ISNUMBER(INDEX(Inputs!$K$5:$AJ$230,0,MATCH(AJ$2,Inputs!$K$4:$AJ$4,0))))+SUMPRODUCT((Inputs!$E$5:$E$230=$B74)*ISNUMBER(INDEX(Inputs!$K$5:$AJ$230,0,MATCH(AJ$2,Inputs!$K$4:$AJ$4,0))))=0,NA(),SUMPRODUCT((Inputs!$A$5:$A$230=$B74)*Inputs!$B$5:$B$230*(((Inputs!$G$5:$G$230="moeda")+(Inputs!$G$5:$G$230="acoes"))*Inputs!$B$1+((Inputs!$G$5:$G$230&lt;&gt;"moeda")*(Inputs!$G$5:$G$230&lt;&gt;"acoes")))*INDEX(Inputs!$K$5:$AJ$230,0,MATCH(AJ$2,Inputs!$K$4:$AJ$4,0)))+SUMPRODUCT((Inputs!$C$5:$C$230=$B74)*Inputs!$D$5:$D$230*(((Inputs!$G$5:$G$230="moeda")+(Inputs!$G$5:$G$230="acoes"))*Inputs!$B$1+((Inputs!$G$5:$G$230&lt;&gt;"moeda")*(Inputs!$G$5:$G$230&lt;&gt;"acoes")))*INDEX(Inputs!$K$5:$AJ$230,0,MATCH(AJ$2,Inputs!$K$4:$AJ$4,0)))+SUMPRODUCT((Inputs!$E$5:$E$230=$B74)*Inputs!$F$5:$F$230*(((Inputs!$G$5:$G$230="moeda")+(Inputs!$G$5:$G$230="acoes"))*Inputs!$B$1+((Inputs!$G$5:$G$230&lt;&gt;"moeda")*(Inputs!$G$5:$G$230&lt;&gt;"acoes")))*INDEX(Inputs!$K$5:$AJ$230,0,MATCH(AJ$2,Inputs!$K$4:$AJ$4,0)))))</f>
        <v>20.903</v>
      </c>
      <c r="AK74" s="6">
        <f>IF(ISNA(MATCH(AK$2,Inputs!$K$4:$AJ$4,0)),NA(),IF(SUMPRODUCT((Inputs!$A$5:$A$230=$B74)*ISNUMBER(INDEX(Inputs!$K$5:$AJ$230,0,MATCH(AK$2,Inputs!$K$4:$AJ$4,0))))+SUMPRODUCT((Inputs!$C$5:$C$230=$B74)*ISNUMBER(INDEX(Inputs!$K$5:$AJ$230,0,MATCH(AK$2,Inputs!$K$4:$AJ$4,0))))+SUMPRODUCT((Inputs!$E$5:$E$230=$B74)*ISNUMBER(INDEX(Inputs!$K$5:$AJ$230,0,MATCH(AK$2,Inputs!$K$4:$AJ$4,0))))=0,NA(),SUMPRODUCT((Inputs!$A$5:$A$230=$B74)*Inputs!$B$5:$B$230*(((Inputs!$G$5:$G$230="moeda")+(Inputs!$G$5:$G$230="acoes"))*Inputs!$B$1+((Inputs!$G$5:$G$230&lt;&gt;"moeda")*(Inputs!$G$5:$G$230&lt;&gt;"acoes")))*INDEX(Inputs!$K$5:$AJ$230,0,MATCH(AK$2,Inputs!$K$4:$AJ$4,0)))+SUMPRODUCT((Inputs!$C$5:$C$230=$B74)*Inputs!$D$5:$D$230*(((Inputs!$G$5:$G$230="moeda")+(Inputs!$G$5:$G$230="acoes"))*Inputs!$B$1+((Inputs!$G$5:$G$230&lt;&gt;"moeda")*(Inputs!$G$5:$G$230&lt;&gt;"acoes")))*INDEX(Inputs!$K$5:$AJ$230,0,MATCH(AK$2,Inputs!$K$4:$AJ$4,0)))+SUMPRODUCT((Inputs!$E$5:$E$230=$B74)*Inputs!$F$5:$F$230*(((Inputs!$G$5:$G$230="moeda")+(Inputs!$G$5:$G$230="acoes"))*Inputs!$B$1+((Inputs!$G$5:$G$230&lt;&gt;"moeda")*(Inputs!$G$5:$G$230&lt;&gt;"acoes")))*INDEX(Inputs!$K$5:$AJ$230,0,MATCH(AK$2,Inputs!$K$4:$AJ$4,0)))))</f>
        <v>59.509</v>
      </c>
      <c r="AL74" s="3">
        <f>SUM(AH74:AK74)</f>
        <v>192.005</v>
      </c>
    </row>
    <row r="75">
      <c r="B75" s="46" t="n">
        <v>67</v>
      </c>
      <c r="C75" s="29" t="inlineStr">
        <is>
          <t>Transmissao | ETVG</t>
        </is>
      </c>
      <c r="D75" s="6">
        <f>IF(ISNA(MATCH(D$2,Inputs!$K$4:$AJ$4,0)),NA(),IF(SUMPRODUCT((Inputs!$A$5:$A$230=$B75)*ISNUMBER(INDEX(Inputs!$K$5:$AJ$230,0,MATCH(D$2,Inputs!$K$4:$AJ$4,0))))+SUMPRODUCT((Inputs!$C$5:$C$230=$B75)*ISNUMBER(INDEX(Inputs!$K$5:$AJ$230,0,MATCH(D$2,Inputs!$K$4:$AJ$4,0))))+SUMPRODUCT((Inputs!$E$5:$E$230=$B75)*ISNUMBER(INDEX(Inputs!$K$5:$AJ$230,0,MATCH(D$2,Inputs!$K$4:$AJ$4,0))))=0,NA(),SUMPRODUCT((Inputs!$A$5:$A$230=$B75)*Inputs!$B$5:$B$230*(((Inputs!$G$5:$G$230="moeda")+(Inputs!$G$5:$G$230="acoes"))*Inputs!$B$1+((Inputs!$G$5:$G$230&lt;&gt;"moeda")*(Inputs!$G$5:$G$230&lt;&gt;"acoes")))*INDEX(Inputs!$K$5:$AJ$230,0,MATCH(D$2,Inputs!$K$4:$AJ$4,0)))+SUMPRODUCT((Inputs!$C$5:$C$230=$B75)*Inputs!$D$5:$D$230*(((Inputs!$G$5:$G$230="moeda")+(Inputs!$G$5:$G$230="acoes"))*Inputs!$B$1+((Inputs!$G$5:$G$230&lt;&gt;"moeda")*(Inputs!$G$5:$G$230&lt;&gt;"acoes")))*INDEX(Inputs!$K$5:$AJ$230,0,MATCH(D$2,Inputs!$K$4:$AJ$4,0)))+SUMPRODUCT((Inputs!$E$5:$E$230=$B75)*Inputs!$F$5:$F$230*(((Inputs!$G$5:$G$230="moeda")+(Inputs!$G$5:$G$230="acoes"))*Inputs!$B$1+((Inputs!$G$5:$G$230&lt;&gt;"moeda")*(Inputs!$G$5:$G$230&lt;&gt;"acoes")))*INDEX(Inputs!$K$5:$AJ$230,0,MATCH(D$2,Inputs!$K$4:$AJ$4,0)))))</f>
        <v>4.836</v>
      </c>
      <c r="E75" s="6">
        <f>IF(ISNA(MATCH(E$2,Inputs!$K$4:$AJ$4,0)),NA(),IF(SUMPRODUCT((Inputs!$A$5:$A$230=$B75)*ISNUMBER(INDEX(Inputs!$K$5:$AJ$230,0,MATCH(E$2,Inputs!$K$4:$AJ$4,0))))+SUMPRODUCT((Inputs!$C$5:$C$230=$B75)*ISNUMBER(INDEX(Inputs!$K$5:$AJ$230,0,MATCH(E$2,Inputs!$K$4:$AJ$4,0))))+SUMPRODUCT((Inputs!$E$5:$E$230=$B75)*ISNUMBER(INDEX(Inputs!$K$5:$AJ$230,0,MATCH(E$2,Inputs!$K$4:$AJ$4,0))))=0,NA(),SUMPRODUCT((Inputs!$A$5:$A$230=$B75)*Inputs!$B$5:$B$230*(((Inputs!$G$5:$G$230="moeda")+(Inputs!$G$5:$G$230="acoes"))*Inputs!$B$1+((Inputs!$G$5:$G$230&lt;&gt;"moeda")*(Inputs!$G$5:$G$230&lt;&gt;"acoes")))*INDEX(Inputs!$K$5:$AJ$230,0,MATCH(E$2,Inputs!$K$4:$AJ$4,0)))+SUMPRODUCT((Inputs!$C$5:$C$230=$B75)*Inputs!$D$5:$D$230*(((Inputs!$G$5:$G$230="moeda")+(Inputs!$G$5:$G$230="acoes"))*Inputs!$B$1+((Inputs!$G$5:$G$230&lt;&gt;"moeda")*(Inputs!$G$5:$G$230&lt;&gt;"acoes")))*INDEX(Inputs!$K$5:$AJ$230,0,MATCH(E$2,Inputs!$K$4:$AJ$4,0)))+SUMPRODUCT((Inputs!$E$5:$E$230=$B75)*Inputs!$F$5:$F$230*(((Inputs!$G$5:$G$230="moeda")+(Inputs!$G$5:$G$230="acoes"))*Inputs!$B$1+((Inputs!$G$5:$G$230&lt;&gt;"moeda")*(Inputs!$G$5:$G$230&lt;&gt;"acoes")))*INDEX(Inputs!$K$5:$AJ$230,0,MATCH(E$2,Inputs!$K$4:$AJ$4,0)))))</f>
        <v>4.762</v>
      </c>
      <c r="F75" s="6">
        <f>IF(ISNA(MATCH(F$2,Inputs!$K$4:$AJ$4,0)),NA(),IF(SUMPRODUCT((Inputs!$A$5:$A$230=$B75)*ISNUMBER(INDEX(Inputs!$K$5:$AJ$230,0,MATCH(F$2,Inputs!$K$4:$AJ$4,0))))+SUMPRODUCT((Inputs!$C$5:$C$230=$B75)*ISNUMBER(INDEX(Inputs!$K$5:$AJ$230,0,MATCH(F$2,Inputs!$K$4:$AJ$4,0))))+SUMPRODUCT((Inputs!$E$5:$E$230=$B75)*ISNUMBER(INDEX(Inputs!$K$5:$AJ$230,0,MATCH(F$2,Inputs!$K$4:$AJ$4,0))))=0,NA(),SUMPRODUCT((Inputs!$A$5:$A$230=$B75)*Inputs!$B$5:$B$230*(((Inputs!$G$5:$G$230="moeda")+(Inputs!$G$5:$G$230="acoes"))*Inputs!$B$1+((Inputs!$G$5:$G$230&lt;&gt;"moeda")*(Inputs!$G$5:$G$230&lt;&gt;"acoes")))*INDEX(Inputs!$K$5:$AJ$230,0,MATCH(F$2,Inputs!$K$4:$AJ$4,0)))+SUMPRODUCT((Inputs!$C$5:$C$230=$B75)*Inputs!$D$5:$D$230*(((Inputs!$G$5:$G$230="moeda")+(Inputs!$G$5:$G$230="acoes"))*Inputs!$B$1+((Inputs!$G$5:$G$230&lt;&gt;"moeda")*(Inputs!$G$5:$G$230&lt;&gt;"acoes")))*INDEX(Inputs!$K$5:$AJ$230,0,MATCH(F$2,Inputs!$K$4:$AJ$4,0)))+SUMPRODUCT((Inputs!$E$5:$E$230=$B75)*Inputs!$F$5:$F$230*(((Inputs!$G$5:$G$230="moeda")+(Inputs!$G$5:$G$230="acoes"))*Inputs!$B$1+((Inputs!$G$5:$G$230&lt;&gt;"moeda")*(Inputs!$G$5:$G$230&lt;&gt;"acoes")))*INDEX(Inputs!$K$5:$AJ$230,0,MATCH(F$2,Inputs!$K$4:$AJ$4,0)))))</f>
        <v>20.215</v>
      </c>
      <c r="G75" s="6">
        <f>IF(ISNA(MATCH(G$2,Inputs!$K$4:$AJ$4,0)),NA(),IF(SUMPRODUCT((Inputs!$A$5:$A$230=$B75)*ISNUMBER(INDEX(Inputs!$K$5:$AJ$230,0,MATCH(G$2,Inputs!$K$4:$AJ$4,0))))+SUMPRODUCT((Inputs!$C$5:$C$230=$B75)*ISNUMBER(INDEX(Inputs!$K$5:$AJ$230,0,MATCH(G$2,Inputs!$K$4:$AJ$4,0))))+SUMPRODUCT((Inputs!$E$5:$E$230=$B75)*ISNUMBER(INDEX(Inputs!$K$5:$AJ$230,0,MATCH(G$2,Inputs!$K$4:$AJ$4,0))))=0,NA(),SUMPRODUCT((Inputs!$A$5:$A$230=$B75)*Inputs!$B$5:$B$230*(((Inputs!$G$5:$G$230="moeda")+(Inputs!$G$5:$G$230="acoes"))*Inputs!$B$1+((Inputs!$G$5:$G$230&lt;&gt;"moeda")*(Inputs!$G$5:$G$230&lt;&gt;"acoes")))*INDEX(Inputs!$K$5:$AJ$230,0,MATCH(G$2,Inputs!$K$4:$AJ$4,0)))+SUMPRODUCT((Inputs!$C$5:$C$230=$B75)*Inputs!$D$5:$D$230*(((Inputs!$G$5:$G$230="moeda")+(Inputs!$G$5:$G$230="acoes"))*Inputs!$B$1+((Inputs!$G$5:$G$230&lt;&gt;"moeda")*(Inputs!$G$5:$G$230&lt;&gt;"acoes")))*INDEX(Inputs!$K$5:$AJ$230,0,MATCH(G$2,Inputs!$K$4:$AJ$4,0)))+SUMPRODUCT((Inputs!$E$5:$E$230=$B75)*Inputs!$F$5:$F$230*(((Inputs!$G$5:$G$230="moeda")+(Inputs!$G$5:$G$230="acoes"))*Inputs!$B$1+((Inputs!$G$5:$G$230&lt;&gt;"moeda")*(Inputs!$G$5:$G$230&lt;&gt;"acoes")))*INDEX(Inputs!$K$5:$AJ$230,0,MATCH(G$2,Inputs!$K$4:$AJ$4,0)))))</f>
        <v>7.364</v>
      </c>
      <c r="H75" s="3">
        <f>SUM(D75:G75)</f>
        <v>37.177</v>
      </c>
      <c r="I75" s="6">
        <f>IF(ISNA(MATCH(I$2,Inputs!$K$4:$AJ$4,0)),NA(),IF(SUMPRODUCT((Inputs!$A$5:$A$230=$B75)*ISNUMBER(INDEX(Inputs!$K$5:$AJ$230,0,MATCH(I$2,Inputs!$K$4:$AJ$4,0))))+SUMPRODUCT((Inputs!$C$5:$C$230=$B75)*ISNUMBER(INDEX(Inputs!$K$5:$AJ$230,0,MATCH(I$2,Inputs!$K$4:$AJ$4,0))))+SUMPRODUCT((Inputs!$E$5:$E$230=$B75)*ISNUMBER(INDEX(Inputs!$K$5:$AJ$230,0,MATCH(I$2,Inputs!$K$4:$AJ$4,0))))=0,NA(),SUMPRODUCT((Inputs!$A$5:$A$230=$B75)*Inputs!$B$5:$B$230*(((Inputs!$G$5:$G$230="moeda")+(Inputs!$G$5:$G$230="acoes"))*Inputs!$B$1+((Inputs!$G$5:$G$230&lt;&gt;"moeda")*(Inputs!$G$5:$G$230&lt;&gt;"acoes")))*INDEX(Inputs!$K$5:$AJ$230,0,MATCH(I$2,Inputs!$K$4:$AJ$4,0)))+SUMPRODUCT((Inputs!$C$5:$C$230=$B75)*Inputs!$D$5:$D$230*(((Inputs!$G$5:$G$230="moeda")+(Inputs!$G$5:$G$230="acoes"))*Inputs!$B$1+((Inputs!$G$5:$G$230&lt;&gt;"moeda")*(Inputs!$G$5:$G$230&lt;&gt;"acoes")))*INDEX(Inputs!$K$5:$AJ$230,0,MATCH(I$2,Inputs!$K$4:$AJ$4,0)))+SUMPRODUCT((Inputs!$E$5:$E$230=$B75)*Inputs!$F$5:$F$230*(((Inputs!$G$5:$G$230="moeda")+(Inputs!$G$5:$G$230="acoes"))*Inputs!$B$1+((Inputs!$G$5:$G$230&lt;&gt;"moeda")*(Inputs!$G$5:$G$230&lt;&gt;"acoes")))*INDEX(Inputs!$K$5:$AJ$230,0,MATCH(I$2,Inputs!$K$4:$AJ$4,0)))))</f>
        <v>7.061</v>
      </c>
      <c r="J75" s="6">
        <f>IF(ISNA(MATCH(J$2,Inputs!$K$4:$AJ$4,0)),NA(),IF(SUMPRODUCT((Inputs!$A$5:$A$230=$B75)*ISNUMBER(INDEX(Inputs!$K$5:$AJ$230,0,MATCH(J$2,Inputs!$K$4:$AJ$4,0))))+SUMPRODUCT((Inputs!$C$5:$C$230=$B75)*ISNUMBER(INDEX(Inputs!$K$5:$AJ$230,0,MATCH(J$2,Inputs!$K$4:$AJ$4,0))))+SUMPRODUCT((Inputs!$E$5:$E$230=$B75)*ISNUMBER(INDEX(Inputs!$K$5:$AJ$230,0,MATCH(J$2,Inputs!$K$4:$AJ$4,0))))=0,NA(),SUMPRODUCT((Inputs!$A$5:$A$230=$B75)*Inputs!$B$5:$B$230*(((Inputs!$G$5:$G$230="moeda")+(Inputs!$G$5:$G$230="acoes"))*Inputs!$B$1+((Inputs!$G$5:$G$230&lt;&gt;"moeda")*(Inputs!$G$5:$G$230&lt;&gt;"acoes")))*INDEX(Inputs!$K$5:$AJ$230,0,MATCH(J$2,Inputs!$K$4:$AJ$4,0)))+SUMPRODUCT((Inputs!$C$5:$C$230=$B75)*Inputs!$D$5:$D$230*(((Inputs!$G$5:$G$230="moeda")+(Inputs!$G$5:$G$230="acoes"))*Inputs!$B$1+((Inputs!$G$5:$G$230&lt;&gt;"moeda")*(Inputs!$G$5:$G$230&lt;&gt;"acoes")))*INDEX(Inputs!$K$5:$AJ$230,0,MATCH(J$2,Inputs!$K$4:$AJ$4,0)))+SUMPRODUCT((Inputs!$E$5:$E$230=$B75)*Inputs!$F$5:$F$230*(((Inputs!$G$5:$G$230="moeda")+(Inputs!$G$5:$G$230="acoes"))*Inputs!$B$1+((Inputs!$G$5:$G$230&lt;&gt;"moeda")*(Inputs!$G$5:$G$230&lt;&gt;"acoes")))*INDEX(Inputs!$K$5:$AJ$230,0,MATCH(J$2,Inputs!$K$4:$AJ$4,0)))))</f>
        <v>8.602</v>
      </c>
      <c r="K75" s="6">
        <f>IF(ISNA(MATCH(K$2,Inputs!$K$4:$AJ$4,0)),NA(),IF(SUMPRODUCT((Inputs!$A$5:$A$230=$B75)*ISNUMBER(INDEX(Inputs!$K$5:$AJ$230,0,MATCH(K$2,Inputs!$K$4:$AJ$4,0))))+SUMPRODUCT((Inputs!$C$5:$C$230=$B75)*ISNUMBER(INDEX(Inputs!$K$5:$AJ$230,0,MATCH(K$2,Inputs!$K$4:$AJ$4,0))))+SUMPRODUCT((Inputs!$E$5:$E$230=$B75)*ISNUMBER(INDEX(Inputs!$K$5:$AJ$230,0,MATCH(K$2,Inputs!$K$4:$AJ$4,0))))=0,NA(),SUMPRODUCT((Inputs!$A$5:$A$230=$B75)*Inputs!$B$5:$B$230*(((Inputs!$G$5:$G$230="moeda")+(Inputs!$G$5:$G$230="acoes"))*Inputs!$B$1+((Inputs!$G$5:$G$230&lt;&gt;"moeda")*(Inputs!$G$5:$G$230&lt;&gt;"acoes")))*INDEX(Inputs!$K$5:$AJ$230,0,MATCH(K$2,Inputs!$K$4:$AJ$4,0)))+SUMPRODUCT((Inputs!$C$5:$C$230=$B75)*Inputs!$D$5:$D$230*(((Inputs!$G$5:$G$230="moeda")+(Inputs!$G$5:$G$230="acoes"))*Inputs!$B$1+((Inputs!$G$5:$G$230&lt;&gt;"moeda")*(Inputs!$G$5:$G$230&lt;&gt;"acoes")))*INDEX(Inputs!$K$5:$AJ$230,0,MATCH(K$2,Inputs!$K$4:$AJ$4,0)))+SUMPRODUCT((Inputs!$E$5:$E$230=$B75)*Inputs!$F$5:$F$230*(((Inputs!$G$5:$G$230="moeda")+(Inputs!$G$5:$G$230="acoes"))*Inputs!$B$1+((Inputs!$G$5:$G$230&lt;&gt;"moeda")*(Inputs!$G$5:$G$230&lt;&gt;"acoes")))*INDEX(Inputs!$K$5:$AJ$230,0,MATCH(K$2,Inputs!$K$4:$AJ$4,0)))))</f>
        <v>2.4</v>
      </c>
      <c r="L75" s="6">
        <f>IF(ISNA(MATCH(L$2,Inputs!$K$4:$AJ$4,0)),NA(),IF(SUMPRODUCT((Inputs!$A$5:$A$230=$B75)*ISNUMBER(INDEX(Inputs!$K$5:$AJ$230,0,MATCH(L$2,Inputs!$K$4:$AJ$4,0))))+SUMPRODUCT((Inputs!$C$5:$C$230=$B75)*ISNUMBER(INDEX(Inputs!$K$5:$AJ$230,0,MATCH(L$2,Inputs!$K$4:$AJ$4,0))))+SUMPRODUCT((Inputs!$E$5:$E$230=$B75)*ISNUMBER(INDEX(Inputs!$K$5:$AJ$230,0,MATCH(L$2,Inputs!$K$4:$AJ$4,0))))=0,NA(),SUMPRODUCT((Inputs!$A$5:$A$230=$B75)*Inputs!$B$5:$B$230*(((Inputs!$G$5:$G$230="moeda")+(Inputs!$G$5:$G$230="acoes"))*Inputs!$B$1+((Inputs!$G$5:$G$230&lt;&gt;"moeda")*(Inputs!$G$5:$G$230&lt;&gt;"acoes")))*INDEX(Inputs!$K$5:$AJ$230,0,MATCH(L$2,Inputs!$K$4:$AJ$4,0)))+SUMPRODUCT((Inputs!$C$5:$C$230=$B75)*Inputs!$D$5:$D$230*(((Inputs!$G$5:$G$230="moeda")+(Inputs!$G$5:$G$230="acoes"))*Inputs!$B$1+((Inputs!$G$5:$G$230&lt;&gt;"moeda")*(Inputs!$G$5:$G$230&lt;&gt;"acoes")))*INDEX(Inputs!$K$5:$AJ$230,0,MATCH(L$2,Inputs!$K$4:$AJ$4,0)))+SUMPRODUCT((Inputs!$E$5:$E$230=$B75)*Inputs!$F$5:$F$230*(((Inputs!$G$5:$G$230="moeda")+(Inputs!$G$5:$G$230="acoes"))*Inputs!$B$1+((Inputs!$G$5:$G$230&lt;&gt;"moeda")*(Inputs!$G$5:$G$230&lt;&gt;"acoes")))*INDEX(Inputs!$K$5:$AJ$230,0,MATCH(L$2,Inputs!$K$4:$AJ$4,0)))))</f>
        <v>4.478</v>
      </c>
      <c r="M75" s="3">
        <f>SUM(I75:L75)</f>
        <v>22.541</v>
      </c>
      <c r="N75" s="6">
        <f>IF(ISNA(MATCH(N$2,Inputs!$K$4:$AJ$4,0)),NA(),IF(SUMPRODUCT((Inputs!$A$5:$A$230=$B75)*ISNUMBER(INDEX(Inputs!$K$5:$AJ$230,0,MATCH(N$2,Inputs!$K$4:$AJ$4,0))))+SUMPRODUCT((Inputs!$C$5:$C$230=$B75)*ISNUMBER(INDEX(Inputs!$K$5:$AJ$230,0,MATCH(N$2,Inputs!$K$4:$AJ$4,0))))+SUMPRODUCT((Inputs!$E$5:$E$230=$B75)*ISNUMBER(INDEX(Inputs!$K$5:$AJ$230,0,MATCH(N$2,Inputs!$K$4:$AJ$4,0))))=0,NA(),SUMPRODUCT((Inputs!$A$5:$A$230=$B75)*Inputs!$B$5:$B$230*(((Inputs!$G$5:$G$230="moeda")+(Inputs!$G$5:$G$230="acoes"))*Inputs!$B$1+((Inputs!$G$5:$G$230&lt;&gt;"moeda")*(Inputs!$G$5:$G$230&lt;&gt;"acoes")))*INDEX(Inputs!$K$5:$AJ$230,0,MATCH(N$2,Inputs!$K$4:$AJ$4,0)))+SUMPRODUCT((Inputs!$C$5:$C$230=$B75)*Inputs!$D$5:$D$230*(((Inputs!$G$5:$G$230="moeda")+(Inputs!$G$5:$G$230="acoes"))*Inputs!$B$1+((Inputs!$G$5:$G$230&lt;&gt;"moeda")*(Inputs!$G$5:$G$230&lt;&gt;"acoes")))*INDEX(Inputs!$K$5:$AJ$230,0,MATCH(N$2,Inputs!$K$4:$AJ$4,0)))+SUMPRODUCT((Inputs!$E$5:$E$230=$B75)*Inputs!$F$5:$F$230*(((Inputs!$G$5:$G$230="moeda")+(Inputs!$G$5:$G$230="acoes"))*Inputs!$B$1+((Inputs!$G$5:$G$230&lt;&gt;"moeda")*(Inputs!$G$5:$G$230&lt;&gt;"acoes")))*INDEX(Inputs!$K$5:$AJ$230,0,MATCH(N$2,Inputs!$K$4:$AJ$4,0)))))</f>
        <v>6.604</v>
      </c>
      <c r="O75" s="6">
        <f>IF(ISNA(MATCH(O$2,Inputs!$K$4:$AJ$4,0)),NA(),IF(SUMPRODUCT((Inputs!$A$5:$A$230=$B75)*ISNUMBER(INDEX(Inputs!$K$5:$AJ$230,0,MATCH(O$2,Inputs!$K$4:$AJ$4,0))))+SUMPRODUCT((Inputs!$C$5:$C$230=$B75)*ISNUMBER(INDEX(Inputs!$K$5:$AJ$230,0,MATCH(O$2,Inputs!$K$4:$AJ$4,0))))+SUMPRODUCT((Inputs!$E$5:$E$230=$B75)*ISNUMBER(INDEX(Inputs!$K$5:$AJ$230,0,MATCH(O$2,Inputs!$K$4:$AJ$4,0))))=0,NA(),SUMPRODUCT((Inputs!$A$5:$A$230=$B75)*Inputs!$B$5:$B$230*(((Inputs!$G$5:$G$230="moeda")+(Inputs!$G$5:$G$230="acoes"))*Inputs!$B$1+((Inputs!$G$5:$G$230&lt;&gt;"moeda")*(Inputs!$G$5:$G$230&lt;&gt;"acoes")))*INDEX(Inputs!$K$5:$AJ$230,0,MATCH(O$2,Inputs!$K$4:$AJ$4,0)))+SUMPRODUCT((Inputs!$C$5:$C$230=$B75)*Inputs!$D$5:$D$230*(((Inputs!$G$5:$G$230="moeda")+(Inputs!$G$5:$G$230="acoes"))*Inputs!$B$1+((Inputs!$G$5:$G$230&lt;&gt;"moeda")*(Inputs!$G$5:$G$230&lt;&gt;"acoes")))*INDEX(Inputs!$K$5:$AJ$230,0,MATCH(O$2,Inputs!$K$4:$AJ$4,0)))+SUMPRODUCT((Inputs!$E$5:$E$230=$B75)*Inputs!$F$5:$F$230*(((Inputs!$G$5:$G$230="moeda")+(Inputs!$G$5:$G$230="acoes"))*Inputs!$B$1+((Inputs!$G$5:$G$230&lt;&gt;"moeda")*(Inputs!$G$5:$G$230&lt;&gt;"acoes")))*INDEX(Inputs!$K$5:$AJ$230,0,MATCH(O$2,Inputs!$K$4:$AJ$4,0)))))</f>
        <v>5.994</v>
      </c>
      <c r="P75" s="6">
        <f>IF(ISNA(MATCH(P$2,Inputs!$K$4:$AJ$4,0)),NA(),IF(SUMPRODUCT((Inputs!$A$5:$A$230=$B75)*ISNUMBER(INDEX(Inputs!$K$5:$AJ$230,0,MATCH(P$2,Inputs!$K$4:$AJ$4,0))))+SUMPRODUCT((Inputs!$C$5:$C$230=$B75)*ISNUMBER(INDEX(Inputs!$K$5:$AJ$230,0,MATCH(P$2,Inputs!$K$4:$AJ$4,0))))+SUMPRODUCT((Inputs!$E$5:$E$230=$B75)*ISNUMBER(INDEX(Inputs!$K$5:$AJ$230,0,MATCH(P$2,Inputs!$K$4:$AJ$4,0))))=0,NA(),SUMPRODUCT((Inputs!$A$5:$A$230=$B75)*Inputs!$B$5:$B$230*(((Inputs!$G$5:$G$230="moeda")+(Inputs!$G$5:$G$230="acoes"))*Inputs!$B$1+((Inputs!$G$5:$G$230&lt;&gt;"moeda")*(Inputs!$G$5:$G$230&lt;&gt;"acoes")))*INDEX(Inputs!$K$5:$AJ$230,0,MATCH(P$2,Inputs!$K$4:$AJ$4,0)))+SUMPRODUCT((Inputs!$C$5:$C$230=$B75)*Inputs!$D$5:$D$230*(((Inputs!$G$5:$G$230="moeda")+(Inputs!$G$5:$G$230="acoes"))*Inputs!$B$1+((Inputs!$G$5:$G$230&lt;&gt;"moeda")*(Inputs!$G$5:$G$230&lt;&gt;"acoes")))*INDEX(Inputs!$K$5:$AJ$230,0,MATCH(P$2,Inputs!$K$4:$AJ$4,0)))+SUMPRODUCT((Inputs!$E$5:$E$230=$B75)*Inputs!$F$5:$F$230*(((Inputs!$G$5:$G$230="moeda")+(Inputs!$G$5:$G$230="acoes"))*Inputs!$B$1+((Inputs!$G$5:$G$230&lt;&gt;"moeda")*(Inputs!$G$5:$G$230&lt;&gt;"acoes")))*INDEX(Inputs!$K$5:$AJ$230,0,MATCH(P$2,Inputs!$K$4:$AJ$4,0)))))</f>
        <v>3.694</v>
      </c>
      <c r="Q75" s="6">
        <f>IF(ISNA(MATCH(Q$2,Inputs!$K$4:$AJ$4,0)),NA(),IF(SUMPRODUCT((Inputs!$A$5:$A$230=$B75)*ISNUMBER(INDEX(Inputs!$K$5:$AJ$230,0,MATCH(Q$2,Inputs!$K$4:$AJ$4,0))))+SUMPRODUCT((Inputs!$C$5:$C$230=$B75)*ISNUMBER(INDEX(Inputs!$K$5:$AJ$230,0,MATCH(Q$2,Inputs!$K$4:$AJ$4,0))))+SUMPRODUCT((Inputs!$E$5:$E$230=$B75)*ISNUMBER(INDEX(Inputs!$K$5:$AJ$230,0,MATCH(Q$2,Inputs!$K$4:$AJ$4,0))))=0,NA(),SUMPRODUCT((Inputs!$A$5:$A$230=$B75)*Inputs!$B$5:$B$230*(((Inputs!$G$5:$G$230="moeda")+(Inputs!$G$5:$G$230="acoes"))*Inputs!$B$1+((Inputs!$G$5:$G$230&lt;&gt;"moeda")*(Inputs!$G$5:$G$230&lt;&gt;"acoes")))*INDEX(Inputs!$K$5:$AJ$230,0,MATCH(Q$2,Inputs!$K$4:$AJ$4,0)))+SUMPRODUCT((Inputs!$C$5:$C$230=$B75)*Inputs!$D$5:$D$230*(((Inputs!$G$5:$G$230="moeda")+(Inputs!$G$5:$G$230="acoes"))*Inputs!$B$1+((Inputs!$G$5:$G$230&lt;&gt;"moeda")*(Inputs!$G$5:$G$230&lt;&gt;"acoes")))*INDEX(Inputs!$K$5:$AJ$230,0,MATCH(Q$2,Inputs!$K$4:$AJ$4,0)))+SUMPRODUCT((Inputs!$E$5:$E$230=$B75)*Inputs!$F$5:$F$230*(((Inputs!$G$5:$G$230="moeda")+(Inputs!$G$5:$G$230="acoes"))*Inputs!$B$1+((Inputs!$G$5:$G$230&lt;&gt;"moeda")*(Inputs!$G$5:$G$230&lt;&gt;"acoes")))*INDEX(Inputs!$K$5:$AJ$230,0,MATCH(Q$2,Inputs!$K$4:$AJ$4,0)))))</f>
        <v>4.537</v>
      </c>
      <c r="R75" s="3">
        <f>SUM(N75:Q75)</f>
        <v>20.829</v>
      </c>
      <c r="S75" s="6">
        <f>IF(ISNA(MATCH(S$2,Inputs!$K$4:$AJ$4,0)),NA(),IF(SUMPRODUCT((Inputs!$A$5:$A$230=$B75)*ISNUMBER(INDEX(Inputs!$K$5:$AJ$230,0,MATCH(S$2,Inputs!$K$4:$AJ$4,0))))+SUMPRODUCT((Inputs!$C$5:$C$230=$B75)*ISNUMBER(INDEX(Inputs!$K$5:$AJ$230,0,MATCH(S$2,Inputs!$K$4:$AJ$4,0))))+SUMPRODUCT((Inputs!$E$5:$E$230=$B75)*ISNUMBER(INDEX(Inputs!$K$5:$AJ$230,0,MATCH(S$2,Inputs!$K$4:$AJ$4,0))))=0,NA(),SUMPRODUCT((Inputs!$A$5:$A$230=$B75)*Inputs!$B$5:$B$230*(((Inputs!$G$5:$G$230="moeda")+(Inputs!$G$5:$G$230="acoes"))*Inputs!$B$1+((Inputs!$G$5:$G$230&lt;&gt;"moeda")*(Inputs!$G$5:$G$230&lt;&gt;"acoes")))*INDEX(Inputs!$K$5:$AJ$230,0,MATCH(S$2,Inputs!$K$4:$AJ$4,0)))+SUMPRODUCT((Inputs!$C$5:$C$230=$B75)*Inputs!$D$5:$D$230*(((Inputs!$G$5:$G$230="moeda")+(Inputs!$G$5:$G$230="acoes"))*Inputs!$B$1+((Inputs!$G$5:$G$230&lt;&gt;"moeda")*(Inputs!$G$5:$G$230&lt;&gt;"acoes")))*INDEX(Inputs!$K$5:$AJ$230,0,MATCH(S$2,Inputs!$K$4:$AJ$4,0)))+SUMPRODUCT((Inputs!$E$5:$E$230=$B75)*Inputs!$F$5:$F$230*(((Inputs!$G$5:$G$230="moeda")+(Inputs!$G$5:$G$230="acoes"))*Inputs!$B$1+((Inputs!$G$5:$G$230&lt;&gt;"moeda")*(Inputs!$G$5:$G$230&lt;&gt;"acoes")))*INDEX(Inputs!$K$5:$AJ$230,0,MATCH(S$2,Inputs!$K$4:$AJ$4,0)))))</f>
        <v>6.31</v>
      </c>
      <c r="T75" s="6">
        <f>IF(ISNA(MATCH(T$2,Inputs!$K$4:$AJ$4,0)),NA(),IF(SUMPRODUCT((Inputs!$A$5:$A$230=$B75)*ISNUMBER(INDEX(Inputs!$K$5:$AJ$230,0,MATCH(T$2,Inputs!$K$4:$AJ$4,0))))+SUMPRODUCT((Inputs!$C$5:$C$230=$B75)*ISNUMBER(INDEX(Inputs!$K$5:$AJ$230,0,MATCH(T$2,Inputs!$K$4:$AJ$4,0))))+SUMPRODUCT((Inputs!$E$5:$E$230=$B75)*ISNUMBER(INDEX(Inputs!$K$5:$AJ$230,0,MATCH(T$2,Inputs!$K$4:$AJ$4,0))))=0,NA(),SUMPRODUCT((Inputs!$A$5:$A$230=$B75)*Inputs!$B$5:$B$230*(((Inputs!$G$5:$G$230="moeda")+(Inputs!$G$5:$G$230="acoes"))*Inputs!$B$1+((Inputs!$G$5:$G$230&lt;&gt;"moeda")*(Inputs!$G$5:$G$230&lt;&gt;"acoes")))*INDEX(Inputs!$K$5:$AJ$230,0,MATCH(T$2,Inputs!$K$4:$AJ$4,0)))+SUMPRODUCT((Inputs!$C$5:$C$230=$B75)*Inputs!$D$5:$D$230*(((Inputs!$G$5:$G$230="moeda")+(Inputs!$G$5:$G$230="acoes"))*Inputs!$B$1+((Inputs!$G$5:$G$230&lt;&gt;"moeda")*(Inputs!$G$5:$G$230&lt;&gt;"acoes")))*INDEX(Inputs!$K$5:$AJ$230,0,MATCH(T$2,Inputs!$K$4:$AJ$4,0)))+SUMPRODUCT((Inputs!$E$5:$E$230=$B75)*Inputs!$F$5:$F$230*(((Inputs!$G$5:$G$230="moeda")+(Inputs!$G$5:$G$230="acoes"))*Inputs!$B$1+((Inputs!$G$5:$G$230&lt;&gt;"moeda")*(Inputs!$G$5:$G$230&lt;&gt;"acoes")))*INDEX(Inputs!$K$5:$AJ$230,0,MATCH(T$2,Inputs!$K$4:$AJ$4,0)))))</f>
        <v>5.071</v>
      </c>
      <c r="U75" s="6">
        <f>IF(ISNA(MATCH(U$2,Inputs!$K$4:$AJ$4,0)),NA(),IF(SUMPRODUCT((Inputs!$A$5:$A$230=$B75)*ISNUMBER(INDEX(Inputs!$K$5:$AJ$230,0,MATCH(U$2,Inputs!$K$4:$AJ$4,0))))+SUMPRODUCT((Inputs!$C$5:$C$230=$B75)*ISNUMBER(INDEX(Inputs!$K$5:$AJ$230,0,MATCH(U$2,Inputs!$K$4:$AJ$4,0))))+SUMPRODUCT((Inputs!$E$5:$E$230=$B75)*ISNUMBER(INDEX(Inputs!$K$5:$AJ$230,0,MATCH(U$2,Inputs!$K$4:$AJ$4,0))))=0,NA(),SUMPRODUCT((Inputs!$A$5:$A$230=$B75)*Inputs!$B$5:$B$230*(((Inputs!$G$5:$G$230="moeda")+(Inputs!$G$5:$G$230="acoes"))*Inputs!$B$1+((Inputs!$G$5:$G$230&lt;&gt;"moeda")*(Inputs!$G$5:$G$230&lt;&gt;"acoes")))*INDEX(Inputs!$K$5:$AJ$230,0,MATCH(U$2,Inputs!$K$4:$AJ$4,0)))+SUMPRODUCT((Inputs!$C$5:$C$230=$B75)*Inputs!$D$5:$D$230*(((Inputs!$G$5:$G$230="moeda")+(Inputs!$G$5:$G$230="acoes"))*Inputs!$B$1+((Inputs!$G$5:$G$230&lt;&gt;"moeda")*(Inputs!$G$5:$G$230&lt;&gt;"acoes")))*INDEX(Inputs!$K$5:$AJ$230,0,MATCH(U$2,Inputs!$K$4:$AJ$4,0)))+SUMPRODUCT((Inputs!$E$5:$E$230=$B75)*Inputs!$F$5:$F$230*(((Inputs!$G$5:$G$230="moeda")+(Inputs!$G$5:$G$230="acoes"))*Inputs!$B$1+((Inputs!$G$5:$G$230&lt;&gt;"moeda")*(Inputs!$G$5:$G$230&lt;&gt;"acoes")))*INDEX(Inputs!$K$5:$AJ$230,0,MATCH(U$2,Inputs!$K$4:$AJ$4,0)))))</f>
        <v>-1.538</v>
      </c>
      <c r="V75" s="6">
        <f>IF(ISNA(MATCH(V$2,Inputs!$K$4:$AJ$4,0)),NA(),IF(SUMPRODUCT((Inputs!$A$5:$A$230=$B75)*ISNUMBER(INDEX(Inputs!$K$5:$AJ$230,0,MATCH(V$2,Inputs!$K$4:$AJ$4,0))))+SUMPRODUCT((Inputs!$C$5:$C$230=$B75)*ISNUMBER(INDEX(Inputs!$K$5:$AJ$230,0,MATCH(V$2,Inputs!$K$4:$AJ$4,0))))+SUMPRODUCT((Inputs!$E$5:$E$230=$B75)*ISNUMBER(INDEX(Inputs!$K$5:$AJ$230,0,MATCH(V$2,Inputs!$K$4:$AJ$4,0))))=0,NA(),SUMPRODUCT((Inputs!$A$5:$A$230=$B75)*Inputs!$B$5:$B$230*(((Inputs!$G$5:$G$230="moeda")+(Inputs!$G$5:$G$230="acoes"))*Inputs!$B$1+((Inputs!$G$5:$G$230&lt;&gt;"moeda")*(Inputs!$G$5:$G$230&lt;&gt;"acoes")))*INDEX(Inputs!$K$5:$AJ$230,0,MATCH(V$2,Inputs!$K$4:$AJ$4,0)))+SUMPRODUCT((Inputs!$C$5:$C$230=$B75)*Inputs!$D$5:$D$230*(((Inputs!$G$5:$G$230="moeda")+(Inputs!$G$5:$G$230="acoes"))*Inputs!$B$1+((Inputs!$G$5:$G$230&lt;&gt;"moeda")*(Inputs!$G$5:$G$230&lt;&gt;"acoes")))*INDEX(Inputs!$K$5:$AJ$230,0,MATCH(V$2,Inputs!$K$4:$AJ$4,0)))+SUMPRODUCT((Inputs!$E$5:$E$230=$B75)*Inputs!$F$5:$F$230*(((Inputs!$G$5:$G$230="moeda")+(Inputs!$G$5:$G$230="acoes"))*Inputs!$B$1+((Inputs!$G$5:$G$230&lt;&gt;"moeda")*(Inputs!$G$5:$G$230&lt;&gt;"acoes")))*INDEX(Inputs!$K$5:$AJ$230,0,MATCH(V$2,Inputs!$K$4:$AJ$4,0)))))</f>
        <v>5.211</v>
      </c>
      <c r="W75" s="3">
        <f>SUM(S75:V75)</f>
        <v>15.054</v>
      </c>
      <c r="X75" s="6">
        <f>IF(ISNA(MATCH(X$2,Inputs!$K$4:$AJ$4,0)),NA(),IF(SUMPRODUCT((Inputs!$A$5:$A$230=$B75)*ISNUMBER(INDEX(Inputs!$K$5:$AJ$230,0,MATCH(X$2,Inputs!$K$4:$AJ$4,0))))+SUMPRODUCT((Inputs!$C$5:$C$230=$B75)*ISNUMBER(INDEX(Inputs!$K$5:$AJ$230,0,MATCH(X$2,Inputs!$K$4:$AJ$4,0))))+SUMPRODUCT((Inputs!$E$5:$E$230=$B75)*ISNUMBER(INDEX(Inputs!$K$5:$AJ$230,0,MATCH(X$2,Inputs!$K$4:$AJ$4,0))))=0,NA(),SUMPRODUCT((Inputs!$A$5:$A$230=$B75)*Inputs!$B$5:$B$230*(((Inputs!$G$5:$G$230="moeda")+(Inputs!$G$5:$G$230="acoes"))*Inputs!$B$1+((Inputs!$G$5:$G$230&lt;&gt;"moeda")*(Inputs!$G$5:$G$230&lt;&gt;"acoes")))*INDEX(Inputs!$K$5:$AJ$230,0,MATCH(X$2,Inputs!$K$4:$AJ$4,0)))+SUMPRODUCT((Inputs!$C$5:$C$230=$B75)*Inputs!$D$5:$D$230*(((Inputs!$G$5:$G$230="moeda")+(Inputs!$G$5:$G$230="acoes"))*Inputs!$B$1+((Inputs!$G$5:$G$230&lt;&gt;"moeda")*(Inputs!$G$5:$G$230&lt;&gt;"acoes")))*INDEX(Inputs!$K$5:$AJ$230,0,MATCH(X$2,Inputs!$K$4:$AJ$4,0)))+SUMPRODUCT((Inputs!$E$5:$E$230=$B75)*Inputs!$F$5:$F$230*(((Inputs!$G$5:$G$230="moeda")+(Inputs!$G$5:$G$230="acoes"))*Inputs!$B$1+((Inputs!$G$5:$G$230&lt;&gt;"moeda")*(Inputs!$G$5:$G$230&lt;&gt;"acoes")))*INDEX(Inputs!$K$5:$AJ$230,0,MATCH(X$2,Inputs!$K$4:$AJ$4,0)))))</f>
        <v>9.771</v>
      </c>
      <c r="Y75" s="6">
        <f>IF(ISNA(MATCH(Y$2,Inputs!$K$4:$AJ$4,0)),NA(),IF(SUMPRODUCT((Inputs!$A$5:$A$230=$B75)*ISNUMBER(INDEX(Inputs!$K$5:$AJ$230,0,MATCH(Y$2,Inputs!$K$4:$AJ$4,0))))+SUMPRODUCT((Inputs!$C$5:$C$230=$B75)*ISNUMBER(INDEX(Inputs!$K$5:$AJ$230,0,MATCH(Y$2,Inputs!$K$4:$AJ$4,0))))+SUMPRODUCT((Inputs!$E$5:$E$230=$B75)*ISNUMBER(INDEX(Inputs!$K$5:$AJ$230,0,MATCH(Y$2,Inputs!$K$4:$AJ$4,0))))=0,NA(),SUMPRODUCT((Inputs!$A$5:$A$230=$B75)*Inputs!$B$5:$B$230*(((Inputs!$G$5:$G$230="moeda")+(Inputs!$G$5:$G$230="acoes"))*Inputs!$B$1+((Inputs!$G$5:$G$230&lt;&gt;"moeda")*(Inputs!$G$5:$G$230&lt;&gt;"acoes")))*INDEX(Inputs!$K$5:$AJ$230,0,MATCH(Y$2,Inputs!$K$4:$AJ$4,0)))+SUMPRODUCT((Inputs!$C$5:$C$230=$B75)*Inputs!$D$5:$D$230*(((Inputs!$G$5:$G$230="moeda")+(Inputs!$G$5:$G$230="acoes"))*Inputs!$B$1+((Inputs!$G$5:$G$230&lt;&gt;"moeda")*(Inputs!$G$5:$G$230&lt;&gt;"acoes")))*INDEX(Inputs!$K$5:$AJ$230,0,MATCH(Y$2,Inputs!$K$4:$AJ$4,0)))+SUMPRODUCT((Inputs!$E$5:$E$230=$B75)*Inputs!$F$5:$F$230*(((Inputs!$G$5:$G$230="moeda")+(Inputs!$G$5:$G$230="acoes"))*Inputs!$B$1+((Inputs!$G$5:$G$230&lt;&gt;"moeda")*(Inputs!$G$5:$G$230&lt;&gt;"acoes")))*INDEX(Inputs!$K$5:$AJ$230,0,MATCH(Y$2,Inputs!$K$4:$AJ$4,0)))))</f>
        <v>5.181</v>
      </c>
      <c r="Z75" s="6">
        <f>IF(ISNA(MATCH(Z$2,Inputs!$K$4:$AJ$4,0)),NA(),IF(SUMPRODUCT((Inputs!$A$5:$A$230=$B75)*ISNUMBER(INDEX(Inputs!$K$5:$AJ$230,0,MATCH(Z$2,Inputs!$K$4:$AJ$4,0))))+SUMPRODUCT((Inputs!$C$5:$C$230=$B75)*ISNUMBER(INDEX(Inputs!$K$5:$AJ$230,0,MATCH(Z$2,Inputs!$K$4:$AJ$4,0))))+SUMPRODUCT((Inputs!$E$5:$E$230=$B75)*ISNUMBER(INDEX(Inputs!$K$5:$AJ$230,0,MATCH(Z$2,Inputs!$K$4:$AJ$4,0))))=0,NA(),SUMPRODUCT((Inputs!$A$5:$A$230=$B75)*Inputs!$B$5:$B$230*(((Inputs!$G$5:$G$230="moeda")+(Inputs!$G$5:$G$230="acoes"))*Inputs!$B$1+((Inputs!$G$5:$G$230&lt;&gt;"moeda")*(Inputs!$G$5:$G$230&lt;&gt;"acoes")))*INDEX(Inputs!$K$5:$AJ$230,0,MATCH(Z$2,Inputs!$K$4:$AJ$4,0)))+SUMPRODUCT((Inputs!$C$5:$C$230=$B75)*Inputs!$D$5:$D$230*(((Inputs!$G$5:$G$230="moeda")+(Inputs!$G$5:$G$230="acoes"))*Inputs!$B$1+((Inputs!$G$5:$G$230&lt;&gt;"moeda")*(Inputs!$G$5:$G$230&lt;&gt;"acoes")))*INDEX(Inputs!$K$5:$AJ$230,0,MATCH(Z$2,Inputs!$K$4:$AJ$4,0)))+SUMPRODUCT((Inputs!$E$5:$E$230=$B75)*Inputs!$F$5:$F$230*(((Inputs!$G$5:$G$230="moeda")+(Inputs!$G$5:$G$230="acoes"))*Inputs!$B$1+((Inputs!$G$5:$G$230&lt;&gt;"moeda")*(Inputs!$G$5:$G$230&lt;&gt;"acoes")))*INDEX(Inputs!$K$5:$AJ$230,0,MATCH(Z$2,Inputs!$K$4:$AJ$4,0)))))</f>
        <v>4.09</v>
      </c>
      <c r="AA75" s="6">
        <f>IF(ISNA(MATCH(AA$2,Inputs!$K$4:$AJ$4,0)),NA(),IF(SUMPRODUCT((Inputs!$A$5:$A$230=$B75)*ISNUMBER(INDEX(Inputs!$K$5:$AJ$230,0,MATCH(AA$2,Inputs!$K$4:$AJ$4,0))))+SUMPRODUCT((Inputs!$C$5:$C$230=$B75)*ISNUMBER(INDEX(Inputs!$K$5:$AJ$230,0,MATCH(AA$2,Inputs!$K$4:$AJ$4,0))))+SUMPRODUCT((Inputs!$E$5:$E$230=$B75)*ISNUMBER(INDEX(Inputs!$K$5:$AJ$230,0,MATCH(AA$2,Inputs!$K$4:$AJ$4,0))))=0,NA(),SUMPRODUCT((Inputs!$A$5:$A$230=$B75)*Inputs!$B$5:$B$230*(((Inputs!$G$5:$G$230="moeda")+(Inputs!$G$5:$G$230="acoes"))*Inputs!$B$1+((Inputs!$G$5:$G$230&lt;&gt;"moeda")*(Inputs!$G$5:$G$230&lt;&gt;"acoes")))*INDEX(Inputs!$K$5:$AJ$230,0,MATCH(AA$2,Inputs!$K$4:$AJ$4,0)))+SUMPRODUCT((Inputs!$C$5:$C$230=$B75)*Inputs!$D$5:$D$230*(((Inputs!$G$5:$G$230="moeda")+(Inputs!$G$5:$G$230="acoes"))*Inputs!$B$1+((Inputs!$G$5:$G$230&lt;&gt;"moeda")*(Inputs!$G$5:$G$230&lt;&gt;"acoes")))*INDEX(Inputs!$K$5:$AJ$230,0,MATCH(AA$2,Inputs!$K$4:$AJ$4,0)))+SUMPRODUCT((Inputs!$E$5:$E$230=$B75)*Inputs!$F$5:$F$230*(((Inputs!$G$5:$G$230="moeda")+(Inputs!$G$5:$G$230="acoes"))*Inputs!$B$1+((Inputs!$G$5:$G$230&lt;&gt;"moeda")*(Inputs!$G$5:$G$230&lt;&gt;"acoes")))*INDEX(Inputs!$K$5:$AJ$230,0,MATCH(AA$2,Inputs!$K$4:$AJ$4,0)))))</f>
        <v>4.676</v>
      </c>
      <c r="AB75" s="3">
        <f>SUM(X75:AA75)</f>
        <v>23.718</v>
      </c>
      <c r="AC75" s="6">
        <f>IF(ISNA(MATCH(AC$2,Inputs!$K$4:$AJ$4,0)),NA(),IF(SUMPRODUCT((Inputs!$A$5:$A$230=$B75)*ISNUMBER(INDEX(Inputs!$K$5:$AJ$230,0,MATCH(AC$2,Inputs!$K$4:$AJ$4,0))))+SUMPRODUCT((Inputs!$C$5:$C$230=$B75)*ISNUMBER(INDEX(Inputs!$K$5:$AJ$230,0,MATCH(AC$2,Inputs!$K$4:$AJ$4,0))))+SUMPRODUCT((Inputs!$E$5:$E$230=$B75)*ISNUMBER(INDEX(Inputs!$K$5:$AJ$230,0,MATCH(AC$2,Inputs!$K$4:$AJ$4,0))))=0,NA(),SUMPRODUCT((Inputs!$A$5:$A$230=$B75)*Inputs!$B$5:$B$230*(((Inputs!$G$5:$G$230="moeda")+(Inputs!$G$5:$G$230="acoes"))*Inputs!$B$1+((Inputs!$G$5:$G$230&lt;&gt;"moeda")*(Inputs!$G$5:$G$230&lt;&gt;"acoes")))*INDEX(Inputs!$K$5:$AJ$230,0,MATCH(AC$2,Inputs!$K$4:$AJ$4,0)))+SUMPRODUCT((Inputs!$C$5:$C$230=$B75)*Inputs!$D$5:$D$230*(((Inputs!$G$5:$G$230="moeda")+(Inputs!$G$5:$G$230="acoes"))*Inputs!$B$1+((Inputs!$G$5:$G$230&lt;&gt;"moeda")*(Inputs!$G$5:$G$230&lt;&gt;"acoes")))*INDEX(Inputs!$K$5:$AJ$230,0,MATCH(AC$2,Inputs!$K$4:$AJ$4,0)))+SUMPRODUCT((Inputs!$E$5:$E$230=$B75)*Inputs!$F$5:$F$230*(((Inputs!$G$5:$G$230="moeda")+(Inputs!$G$5:$G$230="acoes"))*Inputs!$B$1+((Inputs!$G$5:$G$230&lt;&gt;"moeda")*(Inputs!$G$5:$G$230&lt;&gt;"acoes")))*INDEX(Inputs!$K$5:$AJ$230,0,MATCH(AC$2,Inputs!$K$4:$AJ$4,0)))))</f>
        <v>5.438</v>
      </c>
      <c r="AD75" s="6">
        <f>IF(ISNA(MATCH(AD$2,Inputs!$K$4:$AJ$4,0)),NA(),IF(SUMPRODUCT((Inputs!$A$5:$A$230=$B75)*ISNUMBER(INDEX(Inputs!$K$5:$AJ$230,0,MATCH(AD$2,Inputs!$K$4:$AJ$4,0))))+SUMPRODUCT((Inputs!$C$5:$C$230=$B75)*ISNUMBER(INDEX(Inputs!$K$5:$AJ$230,0,MATCH(AD$2,Inputs!$K$4:$AJ$4,0))))+SUMPRODUCT((Inputs!$E$5:$E$230=$B75)*ISNUMBER(INDEX(Inputs!$K$5:$AJ$230,0,MATCH(AD$2,Inputs!$K$4:$AJ$4,0))))=0,NA(),SUMPRODUCT((Inputs!$A$5:$A$230=$B75)*Inputs!$B$5:$B$230*(((Inputs!$G$5:$G$230="moeda")+(Inputs!$G$5:$G$230="acoes"))*Inputs!$B$1+((Inputs!$G$5:$G$230&lt;&gt;"moeda")*(Inputs!$G$5:$G$230&lt;&gt;"acoes")))*INDEX(Inputs!$K$5:$AJ$230,0,MATCH(AD$2,Inputs!$K$4:$AJ$4,0)))+SUMPRODUCT((Inputs!$C$5:$C$230=$B75)*Inputs!$D$5:$D$230*(((Inputs!$G$5:$G$230="moeda")+(Inputs!$G$5:$G$230="acoes"))*Inputs!$B$1+((Inputs!$G$5:$G$230&lt;&gt;"moeda")*(Inputs!$G$5:$G$230&lt;&gt;"acoes")))*INDEX(Inputs!$K$5:$AJ$230,0,MATCH(AD$2,Inputs!$K$4:$AJ$4,0)))+SUMPRODUCT((Inputs!$E$5:$E$230=$B75)*Inputs!$F$5:$F$230*(((Inputs!$G$5:$G$230="moeda")+(Inputs!$G$5:$G$230="acoes"))*Inputs!$B$1+((Inputs!$G$5:$G$230&lt;&gt;"moeda")*(Inputs!$G$5:$G$230&lt;&gt;"acoes")))*INDEX(Inputs!$K$5:$AJ$230,0,MATCH(AD$2,Inputs!$K$4:$AJ$4,0)))))</f>
        <v>7.03</v>
      </c>
      <c r="AE75" s="6" t="e">
        <f>IF(ISNA(MATCH(AE$2,Inputs!$K$4:$AJ$4,0)),NA(),IF(SUMPRODUCT((Inputs!$A$5:$A$230=$B75)*ISNUMBER(INDEX(Inputs!$K$5:$AJ$230,0,MATCH(AE$2,Inputs!$K$4:$AJ$4,0))))+SUMPRODUCT((Inputs!$C$5:$C$230=$B75)*ISNUMBER(INDEX(Inputs!$K$5:$AJ$230,0,MATCH(AE$2,Inputs!$K$4:$AJ$4,0))))+SUMPRODUCT((Inputs!$E$5:$E$230=$B75)*ISNUMBER(INDEX(Inputs!$K$5:$AJ$230,0,MATCH(AE$2,Inputs!$K$4:$AJ$4,0))))=0,NA(),SUMPRODUCT((Inputs!$A$5:$A$230=$B75)*Inputs!$B$5:$B$230*(((Inputs!$G$5:$G$230="moeda")+(Inputs!$G$5:$G$230="acoes"))*Inputs!$B$1+((Inputs!$G$5:$G$230&lt;&gt;"moeda")*(Inputs!$G$5:$G$230&lt;&gt;"acoes")))*INDEX(Inputs!$K$5:$AJ$230,0,MATCH(AE$2,Inputs!$K$4:$AJ$4,0)))+SUMPRODUCT((Inputs!$C$5:$C$230=$B75)*Inputs!$D$5:$D$230*(((Inputs!$G$5:$G$230="moeda")+(Inputs!$G$5:$G$230="acoes"))*Inputs!$B$1+((Inputs!$G$5:$G$230&lt;&gt;"moeda")*(Inputs!$G$5:$G$230&lt;&gt;"acoes")))*INDEX(Inputs!$K$5:$AJ$230,0,MATCH(AE$2,Inputs!$K$4:$AJ$4,0)))+SUMPRODUCT((Inputs!$E$5:$E$230=$B75)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5" s="6" t="e">
        <f>IF(ISNA(MATCH(AF$2,Inputs!$K$4:$AJ$4,0)),NA(),IF(SUMPRODUCT((Inputs!$A$5:$A$230=$B75)*ISNUMBER(INDEX(Inputs!$K$5:$AJ$230,0,MATCH(AF$2,Inputs!$K$4:$AJ$4,0))))+SUMPRODUCT((Inputs!$C$5:$C$230=$B75)*ISNUMBER(INDEX(Inputs!$K$5:$AJ$230,0,MATCH(AF$2,Inputs!$K$4:$AJ$4,0))))+SUMPRODUCT((Inputs!$E$5:$E$230=$B75)*ISNUMBER(INDEX(Inputs!$K$5:$AJ$230,0,MATCH(AF$2,Inputs!$K$4:$AJ$4,0))))=0,NA(),SUMPRODUCT((Inputs!$A$5:$A$230=$B75)*Inputs!$B$5:$B$230*(((Inputs!$G$5:$G$230="moeda")+(Inputs!$G$5:$G$230="acoes"))*Inputs!$B$1+((Inputs!$G$5:$G$230&lt;&gt;"moeda")*(Inputs!$G$5:$G$230&lt;&gt;"acoes")))*INDEX(Inputs!$K$5:$AJ$230,0,MATCH(AF$2,Inputs!$K$4:$AJ$4,0)))+SUMPRODUCT((Inputs!$C$5:$C$230=$B75)*Inputs!$D$5:$D$230*(((Inputs!$G$5:$G$230="moeda")+(Inputs!$G$5:$G$230="acoes"))*Inputs!$B$1+((Inputs!$G$5:$G$230&lt;&gt;"moeda")*(Inputs!$G$5:$G$230&lt;&gt;"acoes")))*INDEX(Inputs!$K$5:$AJ$230,0,MATCH(AF$2,Inputs!$K$4:$AJ$4,0)))+SUMPRODUCT((Inputs!$E$5:$E$230=$B75)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5" s="3" t="e">
        <f>SUM(AC75:AF75)</f>
        <v>#N/A</v>
      </c>
      <c r="AH75" s="6">
        <f>IF(ISNA(MATCH(AH$2,Inputs!$K$4:$AJ$4,0)),NA(),IF(SUMPRODUCT((Inputs!$A$5:$A$230=$B75)*ISNUMBER(INDEX(Inputs!$K$5:$AJ$230,0,MATCH(AH$2,Inputs!$K$4:$AJ$4,0))))+SUMPRODUCT((Inputs!$C$5:$C$230=$B75)*ISNUMBER(INDEX(Inputs!$K$5:$AJ$230,0,MATCH(AH$2,Inputs!$K$4:$AJ$4,0))))+SUMPRODUCT((Inputs!$E$5:$E$230=$B75)*ISNUMBER(INDEX(Inputs!$K$5:$AJ$230,0,MATCH(AH$2,Inputs!$K$4:$AJ$4,0))))=0,NA(),SUMPRODUCT((Inputs!$A$5:$A$230=$B75)*Inputs!$B$5:$B$230*(((Inputs!$G$5:$G$230="moeda")+(Inputs!$G$5:$G$230="acoes"))*Inputs!$B$1+((Inputs!$G$5:$G$230&lt;&gt;"moeda")*(Inputs!$G$5:$G$230&lt;&gt;"acoes")))*INDEX(Inputs!$K$5:$AJ$230,0,MATCH(AH$2,Inputs!$K$4:$AJ$4,0)))+SUMPRODUCT((Inputs!$C$5:$C$230=$B75)*Inputs!$D$5:$D$230*(((Inputs!$G$5:$G$230="moeda")+(Inputs!$G$5:$G$230="acoes"))*Inputs!$B$1+((Inputs!$G$5:$G$230&lt;&gt;"moeda")*(Inputs!$G$5:$G$230&lt;&gt;"acoes")))*INDEX(Inputs!$K$5:$AJ$230,0,MATCH(AH$2,Inputs!$K$4:$AJ$4,0)))+SUMPRODUCT((Inputs!$E$5:$E$230=$B75)*Inputs!$F$5:$F$230*(((Inputs!$G$5:$G$230="moeda")+(Inputs!$G$5:$G$230="acoes"))*Inputs!$B$1+((Inputs!$G$5:$G$230&lt;&gt;"moeda")*(Inputs!$G$5:$G$230&lt;&gt;"acoes")))*INDEX(Inputs!$K$5:$AJ$230,0,MATCH(AH$2,Inputs!$K$4:$AJ$4,0)))))</f>
        <v>3.803</v>
      </c>
      <c r="AI75" s="6">
        <f>IF(ISNA(MATCH(AI$2,Inputs!$K$4:$AJ$4,0)),NA(),IF(SUMPRODUCT((Inputs!$A$5:$A$230=$B75)*ISNUMBER(INDEX(Inputs!$K$5:$AJ$230,0,MATCH(AI$2,Inputs!$K$4:$AJ$4,0))))+SUMPRODUCT((Inputs!$C$5:$C$230=$B75)*ISNUMBER(INDEX(Inputs!$K$5:$AJ$230,0,MATCH(AI$2,Inputs!$K$4:$AJ$4,0))))+SUMPRODUCT((Inputs!$E$5:$E$230=$B75)*ISNUMBER(INDEX(Inputs!$K$5:$AJ$230,0,MATCH(AI$2,Inputs!$K$4:$AJ$4,0))))=0,NA(),SUMPRODUCT((Inputs!$A$5:$A$230=$B75)*Inputs!$B$5:$B$230*(((Inputs!$G$5:$G$230="moeda")+(Inputs!$G$5:$G$230="acoes"))*Inputs!$B$1+((Inputs!$G$5:$G$230&lt;&gt;"moeda")*(Inputs!$G$5:$G$230&lt;&gt;"acoes")))*INDEX(Inputs!$K$5:$AJ$230,0,MATCH(AI$2,Inputs!$K$4:$AJ$4,0)))+SUMPRODUCT((Inputs!$C$5:$C$230=$B75)*Inputs!$D$5:$D$230*(((Inputs!$G$5:$G$230="moeda")+(Inputs!$G$5:$G$230="acoes"))*Inputs!$B$1+((Inputs!$G$5:$G$230&lt;&gt;"moeda")*(Inputs!$G$5:$G$230&lt;&gt;"acoes")))*INDEX(Inputs!$K$5:$AJ$230,0,MATCH(AI$2,Inputs!$K$4:$AJ$4,0)))+SUMPRODUCT((Inputs!$E$5:$E$230=$B75)*Inputs!$F$5:$F$230*(((Inputs!$G$5:$G$230="moeda")+(Inputs!$G$5:$G$230="acoes"))*Inputs!$B$1+((Inputs!$G$5:$G$230&lt;&gt;"moeda")*(Inputs!$G$5:$G$230&lt;&gt;"acoes")))*INDEX(Inputs!$K$5:$AJ$230,0,MATCH(AI$2,Inputs!$K$4:$AJ$4,0)))))</f>
        <v>33.171</v>
      </c>
      <c r="AJ75" s="6">
        <f>IF(ISNA(MATCH(AJ$2,Inputs!$K$4:$AJ$4,0)),NA(),IF(SUMPRODUCT((Inputs!$A$5:$A$230=$B75)*ISNUMBER(INDEX(Inputs!$K$5:$AJ$230,0,MATCH(AJ$2,Inputs!$K$4:$AJ$4,0))))+SUMPRODUCT((Inputs!$C$5:$C$230=$B75)*ISNUMBER(INDEX(Inputs!$K$5:$AJ$230,0,MATCH(AJ$2,Inputs!$K$4:$AJ$4,0))))+SUMPRODUCT((Inputs!$E$5:$E$230=$B75)*ISNUMBER(INDEX(Inputs!$K$5:$AJ$230,0,MATCH(AJ$2,Inputs!$K$4:$AJ$4,0))))=0,NA(),SUMPRODUCT((Inputs!$A$5:$A$230=$B75)*Inputs!$B$5:$B$230*(((Inputs!$G$5:$G$230="moeda")+(Inputs!$G$5:$G$230="acoes"))*Inputs!$B$1+((Inputs!$G$5:$G$230&lt;&gt;"moeda")*(Inputs!$G$5:$G$230&lt;&gt;"acoes")))*INDEX(Inputs!$K$5:$AJ$230,0,MATCH(AJ$2,Inputs!$K$4:$AJ$4,0)))+SUMPRODUCT((Inputs!$C$5:$C$230=$B75)*Inputs!$D$5:$D$230*(((Inputs!$G$5:$G$230="moeda")+(Inputs!$G$5:$G$230="acoes"))*Inputs!$B$1+((Inputs!$G$5:$G$230&lt;&gt;"moeda")*(Inputs!$G$5:$G$230&lt;&gt;"acoes")))*INDEX(Inputs!$K$5:$AJ$230,0,MATCH(AJ$2,Inputs!$K$4:$AJ$4,0)))+SUMPRODUCT((Inputs!$E$5:$E$230=$B75)*Inputs!$F$5:$F$230*(((Inputs!$G$5:$G$230="moeda")+(Inputs!$G$5:$G$230="acoes"))*Inputs!$B$1+((Inputs!$G$5:$G$230&lt;&gt;"moeda")*(Inputs!$G$5:$G$230&lt;&gt;"acoes")))*INDEX(Inputs!$K$5:$AJ$230,0,MATCH(AJ$2,Inputs!$K$4:$AJ$4,0)))))</f>
        <v>3.067</v>
      </c>
      <c r="AK75" s="6">
        <f>IF(ISNA(MATCH(AK$2,Inputs!$K$4:$AJ$4,0)),NA(),IF(SUMPRODUCT((Inputs!$A$5:$A$230=$B75)*ISNUMBER(INDEX(Inputs!$K$5:$AJ$230,0,MATCH(AK$2,Inputs!$K$4:$AJ$4,0))))+SUMPRODUCT((Inputs!$C$5:$C$230=$B75)*ISNUMBER(INDEX(Inputs!$K$5:$AJ$230,0,MATCH(AK$2,Inputs!$K$4:$AJ$4,0))))+SUMPRODUCT((Inputs!$E$5:$E$230=$B75)*ISNUMBER(INDEX(Inputs!$K$5:$AJ$230,0,MATCH(AK$2,Inputs!$K$4:$AJ$4,0))))=0,NA(),SUMPRODUCT((Inputs!$A$5:$A$230=$B75)*Inputs!$B$5:$B$230*(((Inputs!$G$5:$G$230="moeda")+(Inputs!$G$5:$G$230="acoes"))*Inputs!$B$1+((Inputs!$G$5:$G$230&lt;&gt;"moeda")*(Inputs!$G$5:$G$230&lt;&gt;"acoes")))*INDEX(Inputs!$K$5:$AJ$230,0,MATCH(AK$2,Inputs!$K$4:$AJ$4,0)))+SUMPRODUCT((Inputs!$C$5:$C$230=$B75)*Inputs!$D$5:$D$230*(((Inputs!$G$5:$G$230="moeda")+(Inputs!$G$5:$G$230="acoes"))*Inputs!$B$1+((Inputs!$G$5:$G$230&lt;&gt;"moeda")*(Inputs!$G$5:$G$230&lt;&gt;"acoes")))*INDEX(Inputs!$K$5:$AJ$230,0,MATCH(AK$2,Inputs!$K$4:$AJ$4,0)))+SUMPRODUCT((Inputs!$E$5:$E$230=$B75)*Inputs!$F$5:$F$230*(((Inputs!$G$5:$G$230="moeda")+(Inputs!$G$5:$G$230="acoes"))*Inputs!$B$1+((Inputs!$G$5:$G$230&lt;&gt;"moeda")*(Inputs!$G$5:$G$230&lt;&gt;"acoes")))*INDEX(Inputs!$K$5:$AJ$230,0,MATCH(AK$2,Inputs!$K$4:$AJ$4,0)))))</f>
        <v>4.324</v>
      </c>
      <c r="AL75" s="3">
        <f>SUM(AH75:AK75)</f>
        <v>44.365</v>
      </c>
    </row>
    <row r="76">
      <c r="B76" s="46" t="n">
        <v>68</v>
      </c>
      <c r="C76" s="29" t="inlineStr">
        <is>
          <t>Transmissao | ELTE</t>
        </is>
      </c>
      <c r="D76" s="6">
        <f>IF(ISNA(MATCH(D$2,Inputs!$K$4:$AJ$4,0)),NA(),IF(SUMPRODUCT((Inputs!$A$5:$A$230=$B76)*ISNUMBER(INDEX(Inputs!$K$5:$AJ$230,0,MATCH(D$2,Inputs!$K$4:$AJ$4,0))))+SUMPRODUCT((Inputs!$C$5:$C$230=$B76)*ISNUMBER(INDEX(Inputs!$K$5:$AJ$230,0,MATCH(D$2,Inputs!$K$4:$AJ$4,0))))+SUMPRODUCT((Inputs!$E$5:$E$230=$B76)*ISNUMBER(INDEX(Inputs!$K$5:$AJ$230,0,MATCH(D$2,Inputs!$K$4:$AJ$4,0))))=0,NA(),SUMPRODUCT((Inputs!$A$5:$A$230=$B76)*Inputs!$B$5:$B$230*(((Inputs!$G$5:$G$230="moeda")+(Inputs!$G$5:$G$230="acoes"))*Inputs!$B$1+((Inputs!$G$5:$G$230&lt;&gt;"moeda")*(Inputs!$G$5:$G$230&lt;&gt;"acoes")))*INDEX(Inputs!$K$5:$AJ$230,0,MATCH(D$2,Inputs!$K$4:$AJ$4,0)))+SUMPRODUCT((Inputs!$C$5:$C$230=$B76)*Inputs!$D$5:$D$230*(((Inputs!$G$5:$G$230="moeda")+(Inputs!$G$5:$G$230="acoes"))*Inputs!$B$1+((Inputs!$G$5:$G$230&lt;&gt;"moeda")*(Inputs!$G$5:$G$230&lt;&gt;"acoes")))*INDEX(Inputs!$K$5:$AJ$230,0,MATCH(D$2,Inputs!$K$4:$AJ$4,0)))+SUMPRODUCT((Inputs!$E$5:$E$230=$B76)*Inputs!$F$5:$F$230*(((Inputs!$G$5:$G$230="moeda")+(Inputs!$G$5:$G$230="acoes"))*Inputs!$B$1+((Inputs!$G$5:$G$230&lt;&gt;"moeda")*(Inputs!$G$5:$G$230&lt;&gt;"acoes")))*INDEX(Inputs!$K$5:$AJ$230,0,MATCH(D$2,Inputs!$K$4:$AJ$4,0)))))</f>
        <v>0.201</v>
      </c>
      <c r="E76" s="6">
        <f>IF(ISNA(MATCH(E$2,Inputs!$K$4:$AJ$4,0)),NA(),IF(SUMPRODUCT((Inputs!$A$5:$A$230=$B76)*ISNUMBER(INDEX(Inputs!$K$5:$AJ$230,0,MATCH(E$2,Inputs!$K$4:$AJ$4,0))))+SUMPRODUCT((Inputs!$C$5:$C$230=$B76)*ISNUMBER(INDEX(Inputs!$K$5:$AJ$230,0,MATCH(E$2,Inputs!$K$4:$AJ$4,0))))+SUMPRODUCT((Inputs!$E$5:$E$230=$B76)*ISNUMBER(INDEX(Inputs!$K$5:$AJ$230,0,MATCH(E$2,Inputs!$K$4:$AJ$4,0))))=0,NA(),SUMPRODUCT((Inputs!$A$5:$A$230=$B76)*Inputs!$B$5:$B$230*(((Inputs!$G$5:$G$230="moeda")+(Inputs!$G$5:$G$230="acoes"))*Inputs!$B$1+((Inputs!$G$5:$G$230&lt;&gt;"moeda")*(Inputs!$G$5:$G$230&lt;&gt;"acoes")))*INDEX(Inputs!$K$5:$AJ$230,0,MATCH(E$2,Inputs!$K$4:$AJ$4,0)))+SUMPRODUCT((Inputs!$C$5:$C$230=$B76)*Inputs!$D$5:$D$230*(((Inputs!$G$5:$G$230="moeda")+(Inputs!$G$5:$G$230="acoes"))*Inputs!$B$1+((Inputs!$G$5:$G$230&lt;&gt;"moeda")*(Inputs!$G$5:$G$230&lt;&gt;"acoes")))*INDEX(Inputs!$K$5:$AJ$230,0,MATCH(E$2,Inputs!$K$4:$AJ$4,0)))+SUMPRODUCT((Inputs!$E$5:$E$230=$B76)*Inputs!$F$5:$F$230*(((Inputs!$G$5:$G$230="moeda")+(Inputs!$G$5:$G$230="acoes"))*Inputs!$B$1+((Inputs!$G$5:$G$230&lt;&gt;"moeda")*(Inputs!$G$5:$G$230&lt;&gt;"acoes")))*INDEX(Inputs!$K$5:$AJ$230,0,MATCH(E$2,Inputs!$K$4:$AJ$4,0)))))</f>
        <v>4.371</v>
      </c>
      <c r="F76" s="6">
        <f>IF(ISNA(MATCH(F$2,Inputs!$K$4:$AJ$4,0)),NA(),IF(SUMPRODUCT((Inputs!$A$5:$A$230=$B76)*ISNUMBER(INDEX(Inputs!$K$5:$AJ$230,0,MATCH(F$2,Inputs!$K$4:$AJ$4,0))))+SUMPRODUCT((Inputs!$C$5:$C$230=$B76)*ISNUMBER(INDEX(Inputs!$K$5:$AJ$230,0,MATCH(F$2,Inputs!$K$4:$AJ$4,0))))+SUMPRODUCT((Inputs!$E$5:$E$230=$B76)*ISNUMBER(INDEX(Inputs!$K$5:$AJ$230,0,MATCH(F$2,Inputs!$K$4:$AJ$4,0))))=0,NA(),SUMPRODUCT((Inputs!$A$5:$A$230=$B76)*Inputs!$B$5:$B$230*(((Inputs!$G$5:$G$230="moeda")+(Inputs!$G$5:$G$230="acoes"))*Inputs!$B$1+((Inputs!$G$5:$G$230&lt;&gt;"moeda")*(Inputs!$G$5:$G$230&lt;&gt;"acoes")))*INDEX(Inputs!$K$5:$AJ$230,0,MATCH(F$2,Inputs!$K$4:$AJ$4,0)))+SUMPRODUCT((Inputs!$C$5:$C$230=$B76)*Inputs!$D$5:$D$230*(((Inputs!$G$5:$G$230="moeda")+(Inputs!$G$5:$G$230="acoes"))*Inputs!$B$1+((Inputs!$G$5:$G$230&lt;&gt;"moeda")*(Inputs!$G$5:$G$230&lt;&gt;"acoes")))*INDEX(Inputs!$K$5:$AJ$230,0,MATCH(F$2,Inputs!$K$4:$AJ$4,0)))+SUMPRODUCT((Inputs!$E$5:$E$230=$B76)*Inputs!$F$5:$F$230*(((Inputs!$G$5:$G$230="moeda")+(Inputs!$G$5:$G$230="acoes"))*Inputs!$B$1+((Inputs!$G$5:$G$230&lt;&gt;"moeda")*(Inputs!$G$5:$G$230&lt;&gt;"acoes")))*INDEX(Inputs!$K$5:$AJ$230,0,MATCH(F$2,Inputs!$K$4:$AJ$4,0)))))</f>
        <v>-6.612</v>
      </c>
      <c r="G76" s="6">
        <f>IF(ISNA(MATCH(G$2,Inputs!$K$4:$AJ$4,0)),NA(),IF(SUMPRODUCT((Inputs!$A$5:$A$230=$B76)*ISNUMBER(INDEX(Inputs!$K$5:$AJ$230,0,MATCH(G$2,Inputs!$K$4:$AJ$4,0))))+SUMPRODUCT((Inputs!$C$5:$C$230=$B76)*ISNUMBER(INDEX(Inputs!$K$5:$AJ$230,0,MATCH(G$2,Inputs!$K$4:$AJ$4,0))))+SUMPRODUCT((Inputs!$E$5:$E$230=$B76)*ISNUMBER(INDEX(Inputs!$K$5:$AJ$230,0,MATCH(G$2,Inputs!$K$4:$AJ$4,0))))=0,NA(),SUMPRODUCT((Inputs!$A$5:$A$230=$B76)*Inputs!$B$5:$B$230*(((Inputs!$G$5:$G$230="moeda")+(Inputs!$G$5:$G$230="acoes"))*Inputs!$B$1+((Inputs!$G$5:$G$230&lt;&gt;"moeda")*(Inputs!$G$5:$G$230&lt;&gt;"acoes")))*INDEX(Inputs!$K$5:$AJ$230,0,MATCH(G$2,Inputs!$K$4:$AJ$4,0)))+SUMPRODUCT((Inputs!$C$5:$C$230=$B76)*Inputs!$D$5:$D$230*(((Inputs!$G$5:$G$230="moeda")+(Inputs!$G$5:$G$230="acoes"))*Inputs!$B$1+((Inputs!$G$5:$G$230&lt;&gt;"moeda")*(Inputs!$G$5:$G$230&lt;&gt;"acoes")))*INDEX(Inputs!$K$5:$AJ$230,0,MATCH(G$2,Inputs!$K$4:$AJ$4,0)))+SUMPRODUCT((Inputs!$E$5:$E$230=$B76)*Inputs!$F$5:$F$230*(((Inputs!$G$5:$G$230="moeda")+(Inputs!$G$5:$G$230="acoes"))*Inputs!$B$1+((Inputs!$G$5:$G$230&lt;&gt;"moeda")*(Inputs!$G$5:$G$230&lt;&gt;"acoes")))*INDEX(Inputs!$K$5:$AJ$230,0,MATCH(G$2,Inputs!$K$4:$AJ$4,0)))))</f>
        <v>5.02</v>
      </c>
      <c r="H76" s="3">
        <f>SUM(D76:G76)</f>
        <v>2.98</v>
      </c>
      <c r="I76" s="6">
        <f>IF(ISNA(MATCH(I$2,Inputs!$K$4:$AJ$4,0)),NA(),IF(SUMPRODUCT((Inputs!$A$5:$A$230=$B76)*ISNUMBER(INDEX(Inputs!$K$5:$AJ$230,0,MATCH(I$2,Inputs!$K$4:$AJ$4,0))))+SUMPRODUCT((Inputs!$C$5:$C$230=$B76)*ISNUMBER(INDEX(Inputs!$K$5:$AJ$230,0,MATCH(I$2,Inputs!$K$4:$AJ$4,0))))+SUMPRODUCT((Inputs!$E$5:$E$230=$B76)*ISNUMBER(INDEX(Inputs!$K$5:$AJ$230,0,MATCH(I$2,Inputs!$K$4:$AJ$4,0))))=0,NA(),SUMPRODUCT((Inputs!$A$5:$A$230=$B76)*Inputs!$B$5:$B$230*(((Inputs!$G$5:$G$230="moeda")+(Inputs!$G$5:$G$230="acoes"))*Inputs!$B$1+((Inputs!$G$5:$G$230&lt;&gt;"moeda")*(Inputs!$G$5:$G$230&lt;&gt;"acoes")))*INDEX(Inputs!$K$5:$AJ$230,0,MATCH(I$2,Inputs!$K$4:$AJ$4,0)))+SUMPRODUCT((Inputs!$C$5:$C$230=$B76)*Inputs!$D$5:$D$230*(((Inputs!$G$5:$G$230="moeda")+(Inputs!$G$5:$G$230="acoes"))*Inputs!$B$1+((Inputs!$G$5:$G$230&lt;&gt;"moeda")*(Inputs!$G$5:$G$230&lt;&gt;"acoes")))*INDEX(Inputs!$K$5:$AJ$230,0,MATCH(I$2,Inputs!$K$4:$AJ$4,0)))+SUMPRODUCT((Inputs!$E$5:$E$230=$B76)*Inputs!$F$5:$F$230*(((Inputs!$G$5:$G$230="moeda")+(Inputs!$G$5:$G$230="acoes"))*Inputs!$B$1+((Inputs!$G$5:$G$230&lt;&gt;"moeda")*(Inputs!$G$5:$G$230&lt;&gt;"acoes")))*INDEX(Inputs!$K$5:$AJ$230,0,MATCH(I$2,Inputs!$K$4:$AJ$4,0)))))</f>
        <v>1.445</v>
      </c>
      <c r="J76" s="6">
        <f>IF(ISNA(MATCH(J$2,Inputs!$K$4:$AJ$4,0)),NA(),IF(SUMPRODUCT((Inputs!$A$5:$A$230=$B76)*ISNUMBER(INDEX(Inputs!$K$5:$AJ$230,0,MATCH(J$2,Inputs!$K$4:$AJ$4,0))))+SUMPRODUCT((Inputs!$C$5:$C$230=$B76)*ISNUMBER(INDEX(Inputs!$K$5:$AJ$230,0,MATCH(J$2,Inputs!$K$4:$AJ$4,0))))+SUMPRODUCT((Inputs!$E$5:$E$230=$B76)*ISNUMBER(INDEX(Inputs!$K$5:$AJ$230,0,MATCH(J$2,Inputs!$K$4:$AJ$4,0))))=0,NA(),SUMPRODUCT((Inputs!$A$5:$A$230=$B76)*Inputs!$B$5:$B$230*(((Inputs!$G$5:$G$230="moeda")+(Inputs!$G$5:$G$230="acoes"))*Inputs!$B$1+((Inputs!$G$5:$G$230&lt;&gt;"moeda")*(Inputs!$G$5:$G$230&lt;&gt;"acoes")))*INDEX(Inputs!$K$5:$AJ$230,0,MATCH(J$2,Inputs!$K$4:$AJ$4,0)))+SUMPRODUCT((Inputs!$C$5:$C$230=$B76)*Inputs!$D$5:$D$230*(((Inputs!$G$5:$G$230="moeda")+(Inputs!$G$5:$G$230="acoes"))*Inputs!$B$1+((Inputs!$G$5:$G$230&lt;&gt;"moeda")*(Inputs!$G$5:$G$230&lt;&gt;"acoes")))*INDEX(Inputs!$K$5:$AJ$230,0,MATCH(J$2,Inputs!$K$4:$AJ$4,0)))+SUMPRODUCT((Inputs!$E$5:$E$230=$B76)*Inputs!$F$5:$F$230*(((Inputs!$G$5:$G$230="moeda")+(Inputs!$G$5:$G$230="acoes"))*Inputs!$B$1+((Inputs!$G$5:$G$230&lt;&gt;"moeda")*(Inputs!$G$5:$G$230&lt;&gt;"acoes")))*INDEX(Inputs!$K$5:$AJ$230,0,MATCH(J$2,Inputs!$K$4:$AJ$4,0)))))</f>
        <v>43.586</v>
      </c>
      <c r="K76" s="6">
        <f>IF(ISNA(MATCH(K$2,Inputs!$K$4:$AJ$4,0)),NA(),IF(SUMPRODUCT((Inputs!$A$5:$A$230=$B76)*ISNUMBER(INDEX(Inputs!$K$5:$AJ$230,0,MATCH(K$2,Inputs!$K$4:$AJ$4,0))))+SUMPRODUCT((Inputs!$C$5:$C$230=$B76)*ISNUMBER(INDEX(Inputs!$K$5:$AJ$230,0,MATCH(K$2,Inputs!$K$4:$AJ$4,0))))+SUMPRODUCT((Inputs!$E$5:$E$230=$B76)*ISNUMBER(INDEX(Inputs!$K$5:$AJ$230,0,MATCH(K$2,Inputs!$K$4:$AJ$4,0))))=0,NA(),SUMPRODUCT((Inputs!$A$5:$A$230=$B76)*Inputs!$B$5:$B$230*(((Inputs!$G$5:$G$230="moeda")+(Inputs!$G$5:$G$230="acoes"))*Inputs!$B$1+((Inputs!$G$5:$G$230&lt;&gt;"moeda")*(Inputs!$G$5:$G$230&lt;&gt;"acoes")))*INDEX(Inputs!$K$5:$AJ$230,0,MATCH(K$2,Inputs!$K$4:$AJ$4,0)))+SUMPRODUCT((Inputs!$C$5:$C$230=$B76)*Inputs!$D$5:$D$230*(((Inputs!$G$5:$G$230="moeda")+(Inputs!$G$5:$G$230="acoes"))*Inputs!$B$1+((Inputs!$G$5:$G$230&lt;&gt;"moeda")*(Inputs!$G$5:$G$230&lt;&gt;"acoes")))*INDEX(Inputs!$K$5:$AJ$230,0,MATCH(K$2,Inputs!$K$4:$AJ$4,0)))+SUMPRODUCT((Inputs!$E$5:$E$230=$B76)*Inputs!$F$5:$F$230*(((Inputs!$G$5:$G$230="moeda")+(Inputs!$G$5:$G$230="acoes"))*Inputs!$B$1+((Inputs!$G$5:$G$230&lt;&gt;"moeda")*(Inputs!$G$5:$G$230&lt;&gt;"acoes")))*INDEX(Inputs!$K$5:$AJ$230,0,MATCH(K$2,Inputs!$K$4:$AJ$4,0)))))</f>
        <v>26.58</v>
      </c>
      <c r="L76" s="6">
        <f>IF(ISNA(MATCH(L$2,Inputs!$K$4:$AJ$4,0)),NA(),IF(SUMPRODUCT((Inputs!$A$5:$A$230=$B76)*ISNUMBER(INDEX(Inputs!$K$5:$AJ$230,0,MATCH(L$2,Inputs!$K$4:$AJ$4,0))))+SUMPRODUCT((Inputs!$C$5:$C$230=$B76)*ISNUMBER(INDEX(Inputs!$K$5:$AJ$230,0,MATCH(L$2,Inputs!$K$4:$AJ$4,0))))+SUMPRODUCT((Inputs!$E$5:$E$230=$B76)*ISNUMBER(INDEX(Inputs!$K$5:$AJ$230,0,MATCH(L$2,Inputs!$K$4:$AJ$4,0))))=0,NA(),SUMPRODUCT((Inputs!$A$5:$A$230=$B76)*Inputs!$B$5:$B$230*(((Inputs!$G$5:$G$230="moeda")+(Inputs!$G$5:$G$230="acoes"))*Inputs!$B$1+((Inputs!$G$5:$G$230&lt;&gt;"moeda")*(Inputs!$G$5:$G$230&lt;&gt;"acoes")))*INDEX(Inputs!$K$5:$AJ$230,0,MATCH(L$2,Inputs!$K$4:$AJ$4,0)))+SUMPRODUCT((Inputs!$C$5:$C$230=$B76)*Inputs!$D$5:$D$230*(((Inputs!$G$5:$G$230="moeda")+(Inputs!$G$5:$G$230="acoes"))*Inputs!$B$1+((Inputs!$G$5:$G$230&lt;&gt;"moeda")*(Inputs!$G$5:$G$230&lt;&gt;"acoes")))*INDEX(Inputs!$K$5:$AJ$230,0,MATCH(L$2,Inputs!$K$4:$AJ$4,0)))+SUMPRODUCT((Inputs!$E$5:$E$230=$B76)*Inputs!$F$5:$F$230*(((Inputs!$G$5:$G$230="moeda")+(Inputs!$G$5:$G$230="acoes"))*Inputs!$B$1+((Inputs!$G$5:$G$230&lt;&gt;"moeda")*(Inputs!$G$5:$G$230&lt;&gt;"acoes")))*INDEX(Inputs!$K$5:$AJ$230,0,MATCH(L$2,Inputs!$K$4:$AJ$4,0)))))</f>
        <v>52.728</v>
      </c>
      <c r="M76" s="3">
        <f>SUM(I76:L76)</f>
        <v>124.339</v>
      </c>
      <c r="N76" s="6">
        <f>IF(ISNA(MATCH(N$2,Inputs!$K$4:$AJ$4,0)),NA(),IF(SUMPRODUCT((Inputs!$A$5:$A$230=$B76)*ISNUMBER(INDEX(Inputs!$K$5:$AJ$230,0,MATCH(N$2,Inputs!$K$4:$AJ$4,0))))+SUMPRODUCT((Inputs!$C$5:$C$230=$B76)*ISNUMBER(INDEX(Inputs!$K$5:$AJ$230,0,MATCH(N$2,Inputs!$K$4:$AJ$4,0))))+SUMPRODUCT((Inputs!$E$5:$E$230=$B76)*ISNUMBER(INDEX(Inputs!$K$5:$AJ$230,0,MATCH(N$2,Inputs!$K$4:$AJ$4,0))))=0,NA(),SUMPRODUCT((Inputs!$A$5:$A$230=$B76)*Inputs!$B$5:$B$230*(((Inputs!$G$5:$G$230="moeda")+(Inputs!$G$5:$G$230="acoes"))*Inputs!$B$1+((Inputs!$G$5:$G$230&lt;&gt;"moeda")*(Inputs!$G$5:$G$230&lt;&gt;"acoes")))*INDEX(Inputs!$K$5:$AJ$230,0,MATCH(N$2,Inputs!$K$4:$AJ$4,0)))+SUMPRODUCT((Inputs!$C$5:$C$230=$B76)*Inputs!$D$5:$D$230*(((Inputs!$G$5:$G$230="moeda")+(Inputs!$G$5:$G$230="acoes"))*Inputs!$B$1+((Inputs!$G$5:$G$230&lt;&gt;"moeda")*(Inputs!$G$5:$G$230&lt;&gt;"acoes")))*INDEX(Inputs!$K$5:$AJ$230,0,MATCH(N$2,Inputs!$K$4:$AJ$4,0)))+SUMPRODUCT((Inputs!$E$5:$E$230=$B76)*Inputs!$F$5:$F$230*(((Inputs!$G$5:$G$230="moeda")+(Inputs!$G$5:$G$230="acoes"))*Inputs!$B$1+((Inputs!$G$5:$G$230&lt;&gt;"moeda")*(Inputs!$G$5:$G$230&lt;&gt;"acoes")))*INDEX(Inputs!$K$5:$AJ$230,0,MATCH(N$2,Inputs!$K$4:$AJ$4,0)))))</f>
        <v>69.339</v>
      </c>
      <c r="O76" s="6">
        <f>IF(ISNA(MATCH(O$2,Inputs!$K$4:$AJ$4,0)),NA(),IF(SUMPRODUCT((Inputs!$A$5:$A$230=$B76)*ISNUMBER(INDEX(Inputs!$K$5:$AJ$230,0,MATCH(O$2,Inputs!$K$4:$AJ$4,0))))+SUMPRODUCT((Inputs!$C$5:$C$230=$B76)*ISNUMBER(INDEX(Inputs!$K$5:$AJ$230,0,MATCH(O$2,Inputs!$K$4:$AJ$4,0))))+SUMPRODUCT((Inputs!$E$5:$E$230=$B76)*ISNUMBER(INDEX(Inputs!$K$5:$AJ$230,0,MATCH(O$2,Inputs!$K$4:$AJ$4,0))))=0,NA(),SUMPRODUCT((Inputs!$A$5:$A$230=$B76)*Inputs!$B$5:$B$230*(((Inputs!$G$5:$G$230="moeda")+(Inputs!$G$5:$G$230="acoes"))*Inputs!$B$1+((Inputs!$G$5:$G$230&lt;&gt;"moeda")*(Inputs!$G$5:$G$230&lt;&gt;"acoes")))*INDEX(Inputs!$K$5:$AJ$230,0,MATCH(O$2,Inputs!$K$4:$AJ$4,0)))+SUMPRODUCT((Inputs!$C$5:$C$230=$B76)*Inputs!$D$5:$D$230*(((Inputs!$G$5:$G$230="moeda")+(Inputs!$G$5:$G$230="acoes"))*Inputs!$B$1+((Inputs!$G$5:$G$230&lt;&gt;"moeda")*(Inputs!$G$5:$G$230&lt;&gt;"acoes")))*INDEX(Inputs!$K$5:$AJ$230,0,MATCH(O$2,Inputs!$K$4:$AJ$4,0)))+SUMPRODUCT((Inputs!$E$5:$E$230=$B76)*Inputs!$F$5:$F$230*(((Inputs!$G$5:$G$230="moeda")+(Inputs!$G$5:$G$230="acoes"))*Inputs!$B$1+((Inputs!$G$5:$G$230&lt;&gt;"moeda")*(Inputs!$G$5:$G$230&lt;&gt;"acoes")))*INDEX(Inputs!$K$5:$AJ$230,0,MATCH(O$2,Inputs!$K$4:$AJ$4,0)))))</f>
        <v>43.353</v>
      </c>
      <c r="P76" s="6">
        <f>IF(ISNA(MATCH(P$2,Inputs!$K$4:$AJ$4,0)),NA(),IF(SUMPRODUCT((Inputs!$A$5:$A$230=$B76)*ISNUMBER(INDEX(Inputs!$K$5:$AJ$230,0,MATCH(P$2,Inputs!$K$4:$AJ$4,0))))+SUMPRODUCT((Inputs!$C$5:$C$230=$B76)*ISNUMBER(INDEX(Inputs!$K$5:$AJ$230,0,MATCH(P$2,Inputs!$K$4:$AJ$4,0))))+SUMPRODUCT((Inputs!$E$5:$E$230=$B76)*ISNUMBER(INDEX(Inputs!$K$5:$AJ$230,0,MATCH(P$2,Inputs!$K$4:$AJ$4,0))))=0,NA(),SUMPRODUCT((Inputs!$A$5:$A$230=$B76)*Inputs!$B$5:$B$230*(((Inputs!$G$5:$G$230="moeda")+(Inputs!$G$5:$G$230="acoes"))*Inputs!$B$1+((Inputs!$G$5:$G$230&lt;&gt;"moeda")*(Inputs!$G$5:$G$230&lt;&gt;"acoes")))*INDEX(Inputs!$K$5:$AJ$230,0,MATCH(P$2,Inputs!$K$4:$AJ$4,0)))+SUMPRODUCT((Inputs!$C$5:$C$230=$B76)*Inputs!$D$5:$D$230*(((Inputs!$G$5:$G$230="moeda")+(Inputs!$G$5:$G$230="acoes"))*Inputs!$B$1+((Inputs!$G$5:$G$230&lt;&gt;"moeda")*(Inputs!$G$5:$G$230&lt;&gt;"acoes")))*INDEX(Inputs!$K$5:$AJ$230,0,MATCH(P$2,Inputs!$K$4:$AJ$4,0)))+SUMPRODUCT((Inputs!$E$5:$E$230=$B76)*Inputs!$F$5:$F$230*(((Inputs!$G$5:$G$230="moeda")+(Inputs!$G$5:$G$230="acoes"))*Inputs!$B$1+((Inputs!$G$5:$G$230&lt;&gt;"moeda")*(Inputs!$G$5:$G$230&lt;&gt;"acoes")))*INDEX(Inputs!$K$5:$AJ$230,0,MATCH(P$2,Inputs!$K$4:$AJ$4,0)))))</f>
        <v>34.344</v>
      </c>
      <c r="Q76" s="6">
        <f>IF(ISNA(MATCH(Q$2,Inputs!$K$4:$AJ$4,0)),NA(),IF(SUMPRODUCT((Inputs!$A$5:$A$230=$B76)*ISNUMBER(INDEX(Inputs!$K$5:$AJ$230,0,MATCH(Q$2,Inputs!$K$4:$AJ$4,0))))+SUMPRODUCT((Inputs!$C$5:$C$230=$B76)*ISNUMBER(INDEX(Inputs!$K$5:$AJ$230,0,MATCH(Q$2,Inputs!$K$4:$AJ$4,0))))+SUMPRODUCT((Inputs!$E$5:$E$230=$B76)*ISNUMBER(INDEX(Inputs!$K$5:$AJ$230,0,MATCH(Q$2,Inputs!$K$4:$AJ$4,0))))=0,NA(),SUMPRODUCT((Inputs!$A$5:$A$230=$B76)*Inputs!$B$5:$B$230*(((Inputs!$G$5:$G$230="moeda")+(Inputs!$G$5:$G$230="acoes"))*Inputs!$B$1+((Inputs!$G$5:$G$230&lt;&gt;"moeda")*(Inputs!$G$5:$G$230&lt;&gt;"acoes")))*INDEX(Inputs!$K$5:$AJ$230,0,MATCH(Q$2,Inputs!$K$4:$AJ$4,0)))+SUMPRODUCT((Inputs!$C$5:$C$230=$B76)*Inputs!$D$5:$D$230*(((Inputs!$G$5:$G$230="moeda")+(Inputs!$G$5:$G$230="acoes"))*Inputs!$B$1+((Inputs!$G$5:$G$230&lt;&gt;"moeda")*(Inputs!$G$5:$G$230&lt;&gt;"acoes")))*INDEX(Inputs!$K$5:$AJ$230,0,MATCH(Q$2,Inputs!$K$4:$AJ$4,0)))+SUMPRODUCT((Inputs!$E$5:$E$230=$B76)*Inputs!$F$5:$F$230*(((Inputs!$G$5:$G$230="moeda")+(Inputs!$G$5:$G$230="acoes"))*Inputs!$B$1+((Inputs!$G$5:$G$230&lt;&gt;"moeda")*(Inputs!$G$5:$G$230&lt;&gt;"acoes")))*INDEX(Inputs!$K$5:$AJ$230,0,MATCH(Q$2,Inputs!$K$4:$AJ$4,0)))))</f>
        <v>51.113</v>
      </c>
      <c r="R76" s="3">
        <f>SUM(N76:Q76)</f>
        <v>198.149</v>
      </c>
      <c r="S76" s="6">
        <f>IF(ISNA(MATCH(S$2,Inputs!$K$4:$AJ$4,0)),NA(),IF(SUMPRODUCT((Inputs!$A$5:$A$230=$B76)*ISNUMBER(INDEX(Inputs!$K$5:$AJ$230,0,MATCH(S$2,Inputs!$K$4:$AJ$4,0))))+SUMPRODUCT((Inputs!$C$5:$C$230=$B76)*ISNUMBER(INDEX(Inputs!$K$5:$AJ$230,0,MATCH(S$2,Inputs!$K$4:$AJ$4,0))))+SUMPRODUCT((Inputs!$E$5:$E$230=$B76)*ISNUMBER(INDEX(Inputs!$K$5:$AJ$230,0,MATCH(S$2,Inputs!$K$4:$AJ$4,0))))=0,NA(),SUMPRODUCT((Inputs!$A$5:$A$230=$B76)*Inputs!$B$5:$B$230*(((Inputs!$G$5:$G$230="moeda")+(Inputs!$G$5:$G$230="acoes"))*Inputs!$B$1+((Inputs!$G$5:$G$230&lt;&gt;"moeda")*(Inputs!$G$5:$G$230&lt;&gt;"acoes")))*INDEX(Inputs!$K$5:$AJ$230,0,MATCH(S$2,Inputs!$K$4:$AJ$4,0)))+SUMPRODUCT((Inputs!$C$5:$C$230=$B76)*Inputs!$D$5:$D$230*(((Inputs!$G$5:$G$230="moeda")+(Inputs!$G$5:$G$230="acoes"))*Inputs!$B$1+((Inputs!$G$5:$G$230&lt;&gt;"moeda")*(Inputs!$G$5:$G$230&lt;&gt;"acoes")))*INDEX(Inputs!$K$5:$AJ$230,0,MATCH(S$2,Inputs!$K$4:$AJ$4,0)))+SUMPRODUCT((Inputs!$E$5:$E$230=$B76)*Inputs!$F$5:$F$230*(((Inputs!$G$5:$G$230="moeda")+(Inputs!$G$5:$G$230="acoes"))*Inputs!$B$1+((Inputs!$G$5:$G$230&lt;&gt;"moeda")*(Inputs!$G$5:$G$230&lt;&gt;"acoes")))*INDEX(Inputs!$K$5:$AJ$230,0,MATCH(S$2,Inputs!$K$4:$AJ$4,0)))))</f>
        <v>99.704</v>
      </c>
      <c r="T76" s="6">
        <f>IF(ISNA(MATCH(T$2,Inputs!$K$4:$AJ$4,0)),NA(),IF(SUMPRODUCT((Inputs!$A$5:$A$230=$B76)*ISNUMBER(INDEX(Inputs!$K$5:$AJ$230,0,MATCH(T$2,Inputs!$K$4:$AJ$4,0))))+SUMPRODUCT((Inputs!$C$5:$C$230=$B76)*ISNUMBER(INDEX(Inputs!$K$5:$AJ$230,0,MATCH(T$2,Inputs!$K$4:$AJ$4,0))))+SUMPRODUCT((Inputs!$E$5:$E$230=$B76)*ISNUMBER(INDEX(Inputs!$K$5:$AJ$230,0,MATCH(T$2,Inputs!$K$4:$AJ$4,0))))=0,NA(),SUMPRODUCT((Inputs!$A$5:$A$230=$B76)*Inputs!$B$5:$B$230*(((Inputs!$G$5:$G$230="moeda")+(Inputs!$G$5:$G$230="acoes"))*Inputs!$B$1+((Inputs!$G$5:$G$230&lt;&gt;"moeda")*(Inputs!$G$5:$G$230&lt;&gt;"acoes")))*INDEX(Inputs!$K$5:$AJ$230,0,MATCH(T$2,Inputs!$K$4:$AJ$4,0)))+SUMPRODUCT((Inputs!$C$5:$C$230=$B76)*Inputs!$D$5:$D$230*(((Inputs!$G$5:$G$230="moeda")+(Inputs!$G$5:$G$230="acoes"))*Inputs!$B$1+((Inputs!$G$5:$G$230&lt;&gt;"moeda")*(Inputs!$G$5:$G$230&lt;&gt;"acoes")))*INDEX(Inputs!$K$5:$AJ$230,0,MATCH(T$2,Inputs!$K$4:$AJ$4,0)))+SUMPRODUCT((Inputs!$E$5:$E$230=$B76)*Inputs!$F$5:$F$230*(((Inputs!$G$5:$G$230="moeda")+(Inputs!$G$5:$G$230="acoes"))*Inputs!$B$1+((Inputs!$G$5:$G$230&lt;&gt;"moeda")*(Inputs!$G$5:$G$230&lt;&gt;"acoes")))*INDEX(Inputs!$K$5:$AJ$230,0,MATCH(T$2,Inputs!$K$4:$AJ$4,0)))))</f>
        <v>131.108</v>
      </c>
      <c r="U76" s="6">
        <f>IF(ISNA(MATCH(U$2,Inputs!$K$4:$AJ$4,0)),NA(),IF(SUMPRODUCT((Inputs!$A$5:$A$230=$B76)*ISNUMBER(INDEX(Inputs!$K$5:$AJ$230,0,MATCH(U$2,Inputs!$K$4:$AJ$4,0))))+SUMPRODUCT((Inputs!$C$5:$C$230=$B76)*ISNUMBER(INDEX(Inputs!$K$5:$AJ$230,0,MATCH(U$2,Inputs!$K$4:$AJ$4,0))))+SUMPRODUCT((Inputs!$E$5:$E$230=$B76)*ISNUMBER(INDEX(Inputs!$K$5:$AJ$230,0,MATCH(U$2,Inputs!$K$4:$AJ$4,0))))=0,NA(),SUMPRODUCT((Inputs!$A$5:$A$230=$B76)*Inputs!$B$5:$B$230*(((Inputs!$G$5:$G$230="moeda")+(Inputs!$G$5:$G$230="acoes"))*Inputs!$B$1+((Inputs!$G$5:$G$230&lt;&gt;"moeda")*(Inputs!$G$5:$G$230&lt;&gt;"acoes")))*INDEX(Inputs!$K$5:$AJ$230,0,MATCH(U$2,Inputs!$K$4:$AJ$4,0)))+SUMPRODUCT((Inputs!$C$5:$C$230=$B76)*Inputs!$D$5:$D$230*(((Inputs!$G$5:$G$230="moeda")+(Inputs!$G$5:$G$230="acoes"))*Inputs!$B$1+((Inputs!$G$5:$G$230&lt;&gt;"moeda")*(Inputs!$G$5:$G$230&lt;&gt;"acoes")))*INDEX(Inputs!$K$5:$AJ$230,0,MATCH(U$2,Inputs!$K$4:$AJ$4,0)))+SUMPRODUCT((Inputs!$E$5:$E$230=$B76)*Inputs!$F$5:$F$230*(((Inputs!$G$5:$G$230="moeda")+(Inputs!$G$5:$G$230="acoes"))*Inputs!$B$1+((Inputs!$G$5:$G$230&lt;&gt;"moeda")*(Inputs!$G$5:$G$230&lt;&gt;"acoes")))*INDEX(Inputs!$K$5:$AJ$230,0,MATCH(U$2,Inputs!$K$4:$AJ$4,0)))))</f>
        <v>124.479</v>
      </c>
      <c r="V76" s="6">
        <f>IF(ISNA(MATCH(V$2,Inputs!$K$4:$AJ$4,0)),NA(),IF(SUMPRODUCT((Inputs!$A$5:$A$230=$B76)*ISNUMBER(INDEX(Inputs!$K$5:$AJ$230,0,MATCH(V$2,Inputs!$K$4:$AJ$4,0))))+SUMPRODUCT((Inputs!$C$5:$C$230=$B76)*ISNUMBER(INDEX(Inputs!$K$5:$AJ$230,0,MATCH(V$2,Inputs!$K$4:$AJ$4,0))))+SUMPRODUCT((Inputs!$E$5:$E$230=$B76)*ISNUMBER(INDEX(Inputs!$K$5:$AJ$230,0,MATCH(V$2,Inputs!$K$4:$AJ$4,0))))=0,NA(),SUMPRODUCT((Inputs!$A$5:$A$230=$B76)*Inputs!$B$5:$B$230*(((Inputs!$G$5:$G$230="moeda")+(Inputs!$G$5:$G$230="acoes"))*Inputs!$B$1+((Inputs!$G$5:$G$230&lt;&gt;"moeda")*(Inputs!$G$5:$G$230&lt;&gt;"acoes")))*INDEX(Inputs!$K$5:$AJ$230,0,MATCH(V$2,Inputs!$K$4:$AJ$4,0)))+SUMPRODUCT((Inputs!$C$5:$C$230=$B76)*Inputs!$D$5:$D$230*(((Inputs!$G$5:$G$230="moeda")+(Inputs!$G$5:$G$230="acoes"))*Inputs!$B$1+((Inputs!$G$5:$G$230&lt;&gt;"moeda")*(Inputs!$G$5:$G$230&lt;&gt;"acoes")))*INDEX(Inputs!$K$5:$AJ$230,0,MATCH(V$2,Inputs!$K$4:$AJ$4,0)))+SUMPRODUCT((Inputs!$E$5:$E$230=$B76)*Inputs!$F$5:$F$230*(((Inputs!$G$5:$G$230="moeda")+(Inputs!$G$5:$G$230="acoes"))*Inputs!$B$1+((Inputs!$G$5:$G$230&lt;&gt;"moeda")*(Inputs!$G$5:$G$230&lt;&gt;"acoes")))*INDEX(Inputs!$K$5:$AJ$230,0,MATCH(V$2,Inputs!$K$4:$AJ$4,0)))))</f>
        <v>40.369</v>
      </c>
      <c r="W76" s="3">
        <f>SUM(S76:V76)</f>
        <v>395.66</v>
      </c>
      <c r="X76" s="6">
        <f>IF(ISNA(MATCH(X$2,Inputs!$K$4:$AJ$4,0)),NA(),IF(SUMPRODUCT((Inputs!$A$5:$A$230=$B76)*ISNUMBER(INDEX(Inputs!$K$5:$AJ$230,0,MATCH(X$2,Inputs!$K$4:$AJ$4,0))))+SUMPRODUCT((Inputs!$C$5:$C$230=$B76)*ISNUMBER(INDEX(Inputs!$K$5:$AJ$230,0,MATCH(X$2,Inputs!$K$4:$AJ$4,0))))+SUMPRODUCT((Inputs!$E$5:$E$230=$B76)*ISNUMBER(INDEX(Inputs!$K$5:$AJ$230,0,MATCH(X$2,Inputs!$K$4:$AJ$4,0))))=0,NA(),SUMPRODUCT((Inputs!$A$5:$A$230=$B76)*Inputs!$B$5:$B$230*(((Inputs!$G$5:$G$230="moeda")+(Inputs!$G$5:$G$230="acoes"))*Inputs!$B$1+((Inputs!$G$5:$G$230&lt;&gt;"moeda")*(Inputs!$G$5:$G$230&lt;&gt;"acoes")))*INDEX(Inputs!$K$5:$AJ$230,0,MATCH(X$2,Inputs!$K$4:$AJ$4,0)))+SUMPRODUCT((Inputs!$C$5:$C$230=$B76)*Inputs!$D$5:$D$230*(((Inputs!$G$5:$G$230="moeda")+(Inputs!$G$5:$G$230="acoes"))*Inputs!$B$1+((Inputs!$G$5:$G$230&lt;&gt;"moeda")*(Inputs!$G$5:$G$230&lt;&gt;"acoes")))*INDEX(Inputs!$K$5:$AJ$230,0,MATCH(X$2,Inputs!$K$4:$AJ$4,0)))+SUMPRODUCT((Inputs!$E$5:$E$230=$B76)*Inputs!$F$5:$F$230*(((Inputs!$G$5:$G$230="moeda")+(Inputs!$G$5:$G$230="acoes"))*Inputs!$B$1+((Inputs!$G$5:$G$230&lt;&gt;"moeda")*(Inputs!$G$5:$G$230&lt;&gt;"acoes")))*INDEX(Inputs!$K$5:$AJ$230,0,MATCH(X$2,Inputs!$K$4:$AJ$4,0)))))</f>
        <v>85.557</v>
      </c>
      <c r="Y76" s="6">
        <f>IF(ISNA(MATCH(Y$2,Inputs!$K$4:$AJ$4,0)),NA(),IF(SUMPRODUCT((Inputs!$A$5:$A$230=$B76)*ISNUMBER(INDEX(Inputs!$K$5:$AJ$230,0,MATCH(Y$2,Inputs!$K$4:$AJ$4,0))))+SUMPRODUCT((Inputs!$C$5:$C$230=$B76)*ISNUMBER(INDEX(Inputs!$K$5:$AJ$230,0,MATCH(Y$2,Inputs!$K$4:$AJ$4,0))))+SUMPRODUCT((Inputs!$E$5:$E$230=$B76)*ISNUMBER(INDEX(Inputs!$K$5:$AJ$230,0,MATCH(Y$2,Inputs!$K$4:$AJ$4,0))))=0,NA(),SUMPRODUCT((Inputs!$A$5:$A$230=$B76)*Inputs!$B$5:$B$230*(((Inputs!$G$5:$G$230="moeda")+(Inputs!$G$5:$G$230="acoes"))*Inputs!$B$1+((Inputs!$G$5:$G$230&lt;&gt;"moeda")*(Inputs!$G$5:$G$230&lt;&gt;"acoes")))*INDEX(Inputs!$K$5:$AJ$230,0,MATCH(Y$2,Inputs!$K$4:$AJ$4,0)))+SUMPRODUCT((Inputs!$C$5:$C$230=$B76)*Inputs!$D$5:$D$230*(((Inputs!$G$5:$G$230="moeda")+(Inputs!$G$5:$G$230="acoes"))*Inputs!$B$1+((Inputs!$G$5:$G$230&lt;&gt;"moeda")*(Inputs!$G$5:$G$230&lt;&gt;"acoes")))*INDEX(Inputs!$K$5:$AJ$230,0,MATCH(Y$2,Inputs!$K$4:$AJ$4,0)))+SUMPRODUCT((Inputs!$E$5:$E$230=$B76)*Inputs!$F$5:$F$230*(((Inputs!$G$5:$G$230="moeda")+(Inputs!$G$5:$G$230="acoes"))*Inputs!$B$1+((Inputs!$G$5:$G$230&lt;&gt;"moeda")*(Inputs!$G$5:$G$230&lt;&gt;"acoes")))*INDEX(Inputs!$K$5:$AJ$230,0,MATCH(Y$2,Inputs!$K$4:$AJ$4,0)))))</f>
        <v>114.844</v>
      </c>
      <c r="Z76" s="6">
        <f>IF(ISNA(MATCH(Z$2,Inputs!$K$4:$AJ$4,0)),NA(),IF(SUMPRODUCT((Inputs!$A$5:$A$230=$B76)*ISNUMBER(INDEX(Inputs!$K$5:$AJ$230,0,MATCH(Z$2,Inputs!$K$4:$AJ$4,0))))+SUMPRODUCT((Inputs!$C$5:$C$230=$B76)*ISNUMBER(INDEX(Inputs!$K$5:$AJ$230,0,MATCH(Z$2,Inputs!$K$4:$AJ$4,0))))+SUMPRODUCT((Inputs!$E$5:$E$230=$B76)*ISNUMBER(INDEX(Inputs!$K$5:$AJ$230,0,MATCH(Z$2,Inputs!$K$4:$AJ$4,0))))=0,NA(),SUMPRODUCT((Inputs!$A$5:$A$230=$B76)*Inputs!$B$5:$B$230*(((Inputs!$G$5:$G$230="moeda")+(Inputs!$G$5:$G$230="acoes"))*Inputs!$B$1+((Inputs!$G$5:$G$230&lt;&gt;"moeda")*(Inputs!$G$5:$G$230&lt;&gt;"acoes")))*INDEX(Inputs!$K$5:$AJ$230,0,MATCH(Z$2,Inputs!$K$4:$AJ$4,0)))+SUMPRODUCT((Inputs!$C$5:$C$230=$B76)*Inputs!$D$5:$D$230*(((Inputs!$G$5:$G$230="moeda")+(Inputs!$G$5:$G$230="acoes"))*Inputs!$B$1+((Inputs!$G$5:$G$230&lt;&gt;"moeda")*(Inputs!$G$5:$G$230&lt;&gt;"acoes")))*INDEX(Inputs!$K$5:$AJ$230,0,MATCH(Z$2,Inputs!$K$4:$AJ$4,0)))+SUMPRODUCT((Inputs!$E$5:$E$230=$B76)*Inputs!$F$5:$F$230*(((Inputs!$G$5:$G$230="moeda")+(Inputs!$G$5:$G$230="acoes"))*Inputs!$B$1+((Inputs!$G$5:$G$230&lt;&gt;"moeda")*(Inputs!$G$5:$G$230&lt;&gt;"acoes")))*INDEX(Inputs!$K$5:$AJ$230,0,MATCH(Z$2,Inputs!$K$4:$AJ$4,0)))))</f>
        <v>19.725</v>
      </c>
      <c r="AA76" s="6">
        <f>IF(ISNA(MATCH(AA$2,Inputs!$K$4:$AJ$4,0)),NA(),IF(SUMPRODUCT((Inputs!$A$5:$A$230=$B76)*ISNUMBER(INDEX(Inputs!$K$5:$AJ$230,0,MATCH(AA$2,Inputs!$K$4:$AJ$4,0))))+SUMPRODUCT((Inputs!$C$5:$C$230=$B76)*ISNUMBER(INDEX(Inputs!$K$5:$AJ$230,0,MATCH(AA$2,Inputs!$K$4:$AJ$4,0))))+SUMPRODUCT((Inputs!$E$5:$E$230=$B76)*ISNUMBER(INDEX(Inputs!$K$5:$AJ$230,0,MATCH(AA$2,Inputs!$K$4:$AJ$4,0))))=0,NA(),SUMPRODUCT((Inputs!$A$5:$A$230=$B76)*Inputs!$B$5:$B$230*(((Inputs!$G$5:$G$230="moeda")+(Inputs!$G$5:$G$230="acoes"))*Inputs!$B$1+((Inputs!$G$5:$G$230&lt;&gt;"moeda")*(Inputs!$G$5:$G$230&lt;&gt;"acoes")))*INDEX(Inputs!$K$5:$AJ$230,0,MATCH(AA$2,Inputs!$K$4:$AJ$4,0)))+SUMPRODUCT((Inputs!$C$5:$C$230=$B76)*Inputs!$D$5:$D$230*(((Inputs!$G$5:$G$230="moeda")+(Inputs!$G$5:$G$230="acoes"))*Inputs!$B$1+((Inputs!$G$5:$G$230&lt;&gt;"moeda")*(Inputs!$G$5:$G$230&lt;&gt;"acoes")))*INDEX(Inputs!$K$5:$AJ$230,0,MATCH(AA$2,Inputs!$K$4:$AJ$4,0)))+SUMPRODUCT((Inputs!$E$5:$E$230=$B76)*Inputs!$F$5:$F$230*(((Inputs!$G$5:$G$230="moeda")+(Inputs!$G$5:$G$230="acoes"))*Inputs!$B$1+((Inputs!$G$5:$G$230&lt;&gt;"moeda")*(Inputs!$G$5:$G$230&lt;&gt;"acoes")))*INDEX(Inputs!$K$5:$AJ$230,0,MATCH(AA$2,Inputs!$K$4:$AJ$4,0)))))</f>
        <v>21.78</v>
      </c>
      <c r="AB76" s="3">
        <f>SUM(X76:AA76)</f>
        <v>241.906</v>
      </c>
      <c r="AC76" s="6">
        <f>IF(ISNA(MATCH(AC$2,Inputs!$K$4:$AJ$4,0)),NA(),IF(SUMPRODUCT((Inputs!$A$5:$A$230=$B76)*ISNUMBER(INDEX(Inputs!$K$5:$AJ$230,0,MATCH(AC$2,Inputs!$K$4:$AJ$4,0))))+SUMPRODUCT((Inputs!$C$5:$C$230=$B76)*ISNUMBER(INDEX(Inputs!$K$5:$AJ$230,0,MATCH(AC$2,Inputs!$K$4:$AJ$4,0))))+SUMPRODUCT((Inputs!$E$5:$E$230=$B76)*ISNUMBER(INDEX(Inputs!$K$5:$AJ$230,0,MATCH(AC$2,Inputs!$K$4:$AJ$4,0))))=0,NA(),SUMPRODUCT((Inputs!$A$5:$A$230=$B76)*Inputs!$B$5:$B$230*(((Inputs!$G$5:$G$230="moeda")+(Inputs!$G$5:$G$230="acoes"))*Inputs!$B$1+((Inputs!$G$5:$G$230&lt;&gt;"moeda")*(Inputs!$G$5:$G$230&lt;&gt;"acoes")))*INDEX(Inputs!$K$5:$AJ$230,0,MATCH(AC$2,Inputs!$K$4:$AJ$4,0)))+SUMPRODUCT((Inputs!$C$5:$C$230=$B76)*Inputs!$D$5:$D$230*(((Inputs!$G$5:$G$230="moeda")+(Inputs!$G$5:$G$230="acoes"))*Inputs!$B$1+((Inputs!$G$5:$G$230&lt;&gt;"moeda")*(Inputs!$G$5:$G$230&lt;&gt;"acoes")))*INDEX(Inputs!$K$5:$AJ$230,0,MATCH(AC$2,Inputs!$K$4:$AJ$4,0)))+SUMPRODUCT((Inputs!$E$5:$E$230=$B76)*Inputs!$F$5:$F$230*(((Inputs!$G$5:$G$230="moeda")+(Inputs!$G$5:$G$230="acoes"))*Inputs!$B$1+((Inputs!$G$5:$G$230&lt;&gt;"moeda")*(Inputs!$G$5:$G$230&lt;&gt;"acoes")))*INDEX(Inputs!$K$5:$AJ$230,0,MATCH(AC$2,Inputs!$K$4:$AJ$4,0)))))</f>
        <v>29.72</v>
      </c>
      <c r="AD76" s="6">
        <f>IF(ISNA(MATCH(AD$2,Inputs!$K$4:$AJ$4,0)),NA(),IF(SUMPRODUCT((Inputs!$A$5:$A$230=$B76)*ISNUMBER(INDEX(Inputs!$K$5:$AJ$230,0,MATCH(AD$2,Inputs!$K$4:$AJ$4,0))))+SUMPRODUCT((Inputs!$C$5:$C$230=$B76)*ISNUMBER(INDEX(Inputs!$K$5:$AJ$230,0,MATCH(AD$2,Inputs!$K$4:$AJ$4,0))))+SUMPRODUCT((Inputs!$E$5:$E$230=$B76)*ISNUMBER(INDEX(Inputs!$K$5:$AJ$230,0,MATCH(AD$2,Inputs!$K$4:$AJ$4,0))))=0,NA(),SUMPRODUCT((Inputs!$A$5:$A$230=$B76)*Inputs!$B$5:$B$230*(((Inputs!$G$5:$G$230="moeda")+(Inputs!$G$5:$G$230="acoes"))*Inputs!$B$1+((Inputs!$G$5:$G$230&lt;&gt;"moeda")*(Inputs!$G$5:$G$230&lt;&gt;"acoes")))*INDEX(Inputs!$K$5:$AJ$230,0,MATCH(AD$2,Inputs!$K$4:$AJ$4,0)))+SUMPRODUCT((Inputs!$C$5:$C$230=$B76)*Inputs!$D$5:$D$230*(((Inputs!$G$5:$G$230="moeda")+(Inputs!$G$5:$G$230="acoes"))*Inputs!$B$1+((Inputs!$G$5:$G$230&lt;&gt;"moeda")*(Inputs!$G$5:$G$230&lt;&gt;"acoes")))*INDEX(Inputs!$K$5:$AJ$230,0,MATCH(AD$2,Inputs!$K$4:$AJ$4,0)))+SUMPRODUCT((Inputs!$E$5:$E$230=$B76)*Inputs!$F$5:$F$230*(((Inputs!$G$5:$G$230="moeda")+(Inputs!$G$5:$G$230="acoes"))*Inputs!$B$1+((Inputs!$G$5:$G$230&lt;&gt;"moeda")*(Inputs!$G$5:$G$230&lt;&gt;"acoes")))*INDEX(Inputs!$K$5:$AJ$230,0,MATCH(AD$2,Inputs!$K$4:$AJ$4,0)))))</f>
        <v>33.323</v>
      </c>
      <c r="AE76" s="6" t="e">
        <f>IF(ISNA(MATCH(AE$2,Inputs!$K$4:$AJ$4,0)),NA(),IF(SUMPRODUCT((Inputs!$A$5:$A$230=$B76)*ISNUMBER(INDEX(Inputs!$K$5:$AJ$230,0,MATCH(AE$2,Inputs!$K$4:$AJ$4,0))))+SUMPRODUCT((Inputs!$C$5:$C$230=$B76)*ISNUMBER(INDEX(Inputs!$K$5:$AJ$230,0,MATCH(AE$2,Inputs!$K$4:$AJ$4,0))))+SUMPRODUCT((Inputs!$E$5:$E$230=$B76)*ISNUMBER(INDEX(Inputs!$K$5:$AJ$230,0,MATCH(AE$2,Inputs!$K$4:$AJ$4,0))))=0,NA(),SUMPRODUCT((Inputs!$A$5:$A$230=$B76)*Inputs!$B$5:$B$230*(((Inputs!$G$5:$G$230="moeda")+(Inputs!$G$5:$G$230="acoes"))*Inputs!$B$1+((Inputs!$G$5:$G$230&lt;&gt;"moeda")*(Inputs!$G$5:$G$230&lt;&gt;"acoes")))*INDEX(Inputs!$K$5:$AJ$230,0,MATCH(AE$2,Inputs!$K$4:$AJ$4,0)))+SUMPRODUCT((Inputs!$C$5:$C$230=$B76)*Inputs!$D$5:$D$230*(((Inputs!$G$5:$G$230="moeda")+(Inputs!$G$5:$G$230="acoes"))*Inputs!$B$1+((Inputs!$G$5:$G$230&lt;&gt;"moeda")*(Inputs!$G$5:$G$230&lt;&gt;"acoes")))*INDEX(Inputs!$K$5:$AJ$230,0,MATCH(AE$2,Inputs!$K$4:$AJ$4,0)))+SUMPRODUCT((Inputs!$E$5:$E$230=$B76)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6" s="6" t="e">
        <f>IF(ISNA(MATCH(AF$2,Inputs!$K$4:$AJ$4,0)),NA(),IF(SUMPRODUCT((Inputs!$A$5:$A$230=$B76)*ISNUMBER(INDEX(Inputs!$K$5:$AJ$230,0,MATCH(AF$2,Inputs!$K$4:$AJ$4,0))))+SUMPRODUCT((Inputs!$C$5:$C$230=$B76)*ISNUMBER(INDEX(Inputs!$K$5:$AJ$230,0,MATCH(AF$2,Inputs!$K$4:$AJ$4,0))))+SUMPRODUCT((Inputs!$E$5:$E$230=$B76)*ISNUMBER(INDEX(Inputs!$K$5:$AJ$230,0,MATCH(AF$2,Inputs!$K$4:$AJ$4,0))))=0,NA(),SUMPRODUCT((Inputs!$A$5:$A$230=$B76)*Inputs!$B$5:$B$230*(((Inputs!$G$5:$G$230="moeda")+(Inputs!$G$5:$G$230="acoes"))*Inputs!$B$1+((Inputs!$G$5:$G$230&lt;&gt;"moeda")*(Inputs!$G$5:$G$230&lt;&gt;"acoes")))*INDEX(Inputs!$K$5:$AJ$230,0,MATCH(AF$2,Inputs!$K$4:$AJ$4,0)))+SUMPRODUCT((Inputs!$C$5:$C$230=$B76)*Inputs!$D$5:$D$230*(((Inputs!$G$5:$G$230="moeda")+(Inputs!$G$5:$G$230="acoes"))*Inputs!$B$1+((Inputs!$G$5:$G$230&lt;&gt;"moeda")*(Inputs!$G$5:$G$230&lt;&gt;"acoes")))*INDEX(Inputs!$K$5:$AJ$230,0,MATCH(AF$2,Inputs!$K$4:$AJ$4,0)))+SUMPRODUCT((Inputs!$E$5:$E$230=$B76)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6" s="3" t="e">
        <f>SUM(AC76:AF76)</f>
        <v>#N/A</v>
      </c>
      <c r="AH76" s="6">
        <f>IF(ISNA(MATCH(AH$2,Inputs!$K$4:$AJ$4,0)),NA(),IF(SUMPRODUCT((Inputs!$A$5:$A$230=$B76)*ISNUMBER(INDEX(Inputs!$K$5:$AJ$230,0,MATCH(AH$2,Inputs!$K$4:$AJ$4,0))))+SUMPRODUCT((Inputs!$C$5:$C$230=$B76)*ISNUMBER(INDEX(Inputs!$K$5:$AJ$230,0,MATCH(AH$2,Inputs!$K$4:$AJ$4,0))))+SUMPRODUCT((Inputs!$E$5:$E$230=$B76)*ISNUMBER(INDEX(Inputs!$K$5:$AJ$230,0,MATCH(AH$2,Inputs!$K$4:$AJ$4,0))))=0,NA(),SUMPRODUCT((Inputs!$A$5:$A$230=$B76)*Inputs!$B$5:$B$230*(((Inputs!$G$5:$G$230="moeda")+(Inputs!$G$5:$G$230="acoes"))*Inputs!$B$1+((Inputs!$G$5:$G$230&lt;&gt;"moeda")*(Inputs!$G$5:$G$230&lt;&gt;"acoes")))*INDEX(Inputs!$K$5:$AJ$230,0,MATCH(AH$2,Inputs!$K$4:$AJ$4,0)))+SUMPRODUCT((Inputs!$C$5:$C$230=$B76)*Inputs!$D$5:$D$230*(((Inputs!$G$5:$G$230="moeda")+(Inputs!$G$5:$G$230="acoes"))*Inputs!$B$1+((Inputs!$G$5:$G$230&lt;&gt;"moeda")*(Inputs!$G$5:$G$230&lt;&gt;"acoes")))*INDEX(Inputs!$K$5:$AJ$230,0,MATCH(AH$2,Inputs!$K$4:$AJ$4,0)))+SUMPRODUCT((Inputs!$E$5:$E$230=$B76)*Inputs!$F$5:$F$230*(((Inputs!$G$5:$G$230="moeda")+(Inputs!$G$5:$G$230="acoes"))*Inputs!$B$1+((Inputs!$G$5:$G$230&lt;&gt;"moeda")*(Inputs!$G$5:$G$230&lt;&gt;"acoes")))*INDEX(Inputs!$K$5:$AJ$230,0,MATCH(AH$2,Inputs!$K$4:$AJ$4,0)))))</f>
        <v>-0.091</v>
      </c>
      <c r="AI76" s="6">
        <f>IF(ISNA(MATCH(AI$2,Inputs!$K$4:$AJ$4,0)),NA(),IF(SUMPRODUCT((Inputs!$A$5:$A$230=$B76)*ISNUMBER(INDEX(Inputs!$K$5:$AJ$230,0,MATCH(AI$2,Inputs!$K$4:$AJ$4,0))))+SUMPRODUCT((Inputs!$C$5:$C$230=$B76)*ISNUMBER(INDEX(Inputs!$K$5:$AJ$230,0,MATCH(AI$2,Inputs!$K$4:$AJ$4,0))))+SUMPRODUCT((Inputs!$E$5:$E$230=$B76)*ISNUMBER(INDEX(Inputs!$K$5:$AJ$230,0,MATCH(AI$2,Inputs!$K$4:$AJ$4,0))))=0,NA(),SUMPRODUCT((Inputs!$A$5:$A$230=$B76)*Inputs!$B$5:$B$230*(((Inputs!$G$5:$G$230="moeda")+(Inputs!$G$5:$G$230="acoes"))*Inputs!$B$1+((Inputs!$G$5:$G$230&lt;&gt;"moeda")*(Inputs!$G$5:$G$230&lt;&gt;"acoes")))*INDEX(Inputs!$K$5:$AJ$230,0,MATCH(AI$2,Inputs!$K$4:$AJ$4,0)))+SUMPRODUCT((Inputs!$C$5:$C$230=$B76)*Inputs!$D$5:$D$230*(((Inputs!$G$5:$G$230="moeda")+(Inputs!$G$5:$G$230="acoes"))*Inputs!$B$1+((Inputs!$G$5:$G$230&lt;&gt;"moeda")*(Inputs!$G$5:$G$230&lt;&gt;"acoes")))*INDEX(Inputs!$K$5:$AJ$230,0,MATCH(AI$2,Inputs!$K$4:$AJ$4,0)))+SUMPRODUCT((Inputs!$E$5:$E$230=$B76)*Inputs!$F$5:$F$230*(((Inputs!$G$5:$G$230="moeda")+(Inputs!$G$5:$G$230="acoes"))*Inputs!$B$1+((Inputs!$G$5:$G$230&lt;&gt;"moeda")*(Inputs!$G$5:$G$230&lt;&gt;"acoes")))*INDEX(Inputs!$K$5:$AJ$230,0,MATCH(AI$2,Inputs!$K$4:$AJ$4,0)))))</f>
        <v>0.439</v>
      </c>
      <c r="AJ76" s="6">
        <f>IF(ISNA(MATCH(AJ$2,Inputs!$K$4:$AJ$4,0)),NA(),IF(SUMPRODUCT((Inputs!$A$5:$A$230=$B76)*ISNUMBER(INDEX(Inputs!$K$5:$AJ$230,0,MATCH(AJ$2,Inputs!$K$4:$AJ$4,0))))+SUMPRODUCT((Inputs!$C$5:$C$230=$B76)*ISNUMBER(INDEX(Inputs!$K$5:$AJ$230,0,MATCH(AJ$2,Inputs!$K$4:$AJ$4,0))))+SUMPRODUCT((Inputs!$E$5:$E$230=$B76)*ISNUMBER(INDEX(Inputs!$K$5:$AJ$230,0,MATCH(AJ$2,Inputs!$K$4:$AJ$4,0))))=0,NA(),SUMPRODUCT((Inputs!$A$5:$A$230=$B76)*Inputs!$B$5:$B$230*(((Inputs!$G$5:$G$230="moeda")+(Inputs!$G$5:$G$230="acoes"))*Inputs!$B$1+((Inputs!$G$5:$G$230&lt;&gt;"moeda")*(Inputs!$G$5:$G$230&lt;&gt;"acoes")))*INDEX(Inputs!$K$5:$AJ$230,0,MATCH(AJ$2,Inputs!$K$4:$AJ$4,0)))+SUMPRODUCT((Inputs!$C$5:$C$230=$B76)*Inputs!$D$5:$D$230*(((Inputs!$G$5:$G$230="moeda")+(Inputs!$G$5:$G$230="acoes"))*Inputs!$B$1+((Inputs!$G$5:$G$230&lt;&gt;"moeda")*(Inputs!$G$5:$G$230&lt;&gt;"acoes")))*INDEX(Inputs!$K$5:$AJ$230,0,MATCH(AJ$2,Inputs!$K$4:$AJ$4,0)))+SUMPRODUCT((Inputs!$E$5:$E$230=$B76)*Inputs!$F$5:$F$230*(((Inputs!$G$5:$G$230="moeda")+(Inputs!$G$5:$G$230="acoes"))*Inputs!$B$1+((Inputs!$G$5:$G$230&lt;&gt;"moeda")*(Inputs!$G$5:$G$230&lt;&gt;"acoes")))*INDEX(Inputs!$K$5:$AJ$230,0,MATCH(AJ$2,Inputs!$K$4:$AJ$4,0)))))</f>
        <v>1.211</v>
      </c>
      <c r="AK76" s="6">
        <f>IF(ISNA(MATCH(AK$2,Inputs!$K$4:$AJ$4,0)),NA(),IF(SUMPRODUCT((Inputs!$A$5:$A$230=$B76)*ISNUMBER(INDEX(Inputs!$K$5:$AJ$230,0,MATCH(AK$2,Inputs!$K$4:$AJ$4,0))))+SUMPRODUCT((Inputs!$C$5:$C$230=$B76)*ISNUMBER(INDEX(Inputs!$K$5:$AJ$230,0,MATCH(AK$2,Inputs!$K$4:$AJ$4,0))))+SUMPRODUCT((Inputs!$E$5:$E$230=$B76)*ISNUMBER(INDEX(Inputs!$K$5:$AJ$230,0,MATCH(AK$2,Inputs!$K$4:$AJ$4,0))))=0,NA(),SUMPRODUCT((Inputs!$A$5:$A$230=$B76)*Inputs!$B$5:$B$230*(((Inputs!$G$5:$G$230="moeda")+(Inputs!$G$5:$G$230="acoes"))*Inputs!$B$1+((Inputs!$G$5:$G$230&lt;&gt;"moeda")*(Inputs!$G$5:$G$230&lt;&gt;"acoes")))*INDEX(Inputs!$K$5:$AJ$230,0,MATCH(AK$2,Inputs!$K$4:$AJ$4,0)))+SUMPRODUCT((Inputs!$C$5:$C$230=$B76)*Inputs!$D$5:$D$230*(((Inputs!$G$5:$G$230="moeda")+(Inputs!$G$5:$G$230="acoes"))*Inputs!$B$1+((Inputs!$G$5:$G$230&lt;&gt;"moeda")*(Inputs!$G$5:$G$230&lt;&gt;"acoes")))*INDEX(Inputs!$K$5:$AJ$230,0,MATCH(AK$2,Inputs!$K$4:$AJ$4,0)))+SUMPRODUCT((Inputs!$E$5:$E$230=$B76)*Inputs!$F$5:$F$230*(((Inputs!$G$5:$G$230="moeda")+(Inputs!$G$5:$G$230="acoes"))*Inputs!$B$1+((Inputs!$G$5:$G$230&lt;&gt;"moeda")*(Inputs!$G$5:$G$230&lt;&gt;"acoes")))*INDEX(Inputs!$K$5:$AJ$230,0,MATCH(AK$2,Inputs!$K$4:$AJ$4,0)))))</f>
        <v>4.536</v>
      </c>
      <c r="AL76" s="3">
        <f>SUM(AH76:AK76)</f>
        <v>6.095</v>
      </c>
    </row>
    <row r="77">
      <c r="B77" s="46" t="n">
        <v>69</v>
      </c>
      <c r="C77" s="29" t="inlineStr">
        <is>
          <t>Transmissao | ETAP</t>
        </is>
      </c>
      <c r="D77" s="6">
        <f>IF(ISNA(MATCH(D$2,Inputs!$K$4:$AJ$4,0)),NA(),IF(SUMPRODUCT((Inputs!$A$5:$A$230=$B77)*ISNUMBER(INDEX(Inputs!$K$5:$AJ$230,0,MATCH(D$2,Inputs!$K$4:$AJ$4,0))))+SUMPRODUCT((Inputs!$C$5:$C$230=$B77)*ISNUMBER(INDEX(Inputs!$K$5:$AJ$230,0,MATCH(D$2,Inputs!$K$4:$AJ$4,0))))+SUMPRODUCT((Inputs!$E$5:$E$230=$B77)*ISNUMBER(INDEX(Inputs!$K$5:$AJ$230,0,MATCH(D$2,Inputs!$K$4:$AJ$4,0))))=0,NA(),SUMPRODUCT((Inputs!$A$5:$A$230=$B77)*Inputs!$B$5:$B$230*(((Inputs!$G$5:$G$230="moeda")+(Inputs!$G$5:$G$230="acoes"))*Inputs!$B$1+((Inputs!$G$5:$G$230&lt;&gt;"moeda")*(Inputs!$G$5:$G$230&lt;&gt;"acoes")))*INDEX(Inputs!$K$5:$AJ$230,0,MATCH(D$2,Inputs!$K$4:$AJ$4,0)))+SUMPRODUCT((Inputs!$C$5:$C$230=$B77)*Inputs!$D$5:$D$230*(((Inputs!$G$5:$G$230="moeda")+(Inputs!$G$5:$G$230="acoes"))*Inputs!$B$1+((Inputs!$G$5:$G$230&lt;&gt;"moeda")*(Inputs!$G$5:$G$230&lt;&gt;"acoes")))*INDEX(Inputs!$K$5:$AJ$230,0,MATCH(D$2,Inputs!$K$4:$AJ$4,0)))+SUMPRODUCT((Inputs!$E$5:$E$230=$B77)*Inputs!$F$5:$F$230*(((Inputs!$G$5:$G$230="moeda")+(Inputs!$G$5:$G$230="acoes"))*Inputs!$B$1+((Inputs!$G$5:$G$230&lt;&gt;"moeda")*(Inputs!$G$5:$G$230&lt;&gt;"acoes")))*INDEX(Inputs!$K$5:$AJ$230,0,MATCH(D$2,Inputs!$K$4:$AJ$4,0)))))</f>
        <v>25.157</v>
      </c>
      <c r="E77" s="6">
        <f>IF(ISNA(MATCH(E$2,Inputs!$K$4:$AJ$4,0)),NA(),IF(SUMPRODUCT((Inputs!$A$5:$A$230=$B77)*ISNUMBER(INDEX(Inputs!$K$5:$AJ$230,0,MATCH(E$2,Inputs!$K$4:$AJ$4,0))))+SUMPRODUCT((Inputs!$C$5:$C$230=$B77)*ISNUMBER(INDEX(Inputs!$K$5:$AJ$230,0,MATCH(E$2,Inputs!$K$4:$AJ$4,0))))+SUMPRODUCT((Inputs!$E$5:$E$230=$B77)*ISNUMBER(INDEX(Inputs!$K$5:$AJ$230,0,MATCH(E$2,Inputs!$K$4:$AJ$4,0))))=0,NA(),SUMPRODUCT((Inputs!$A$5:$A$230=$B77)*Inputs!$B$5:$B$230*(((Inputs!$G$5:$G$230="moeda")+(Inputs!$G$5:$G$230="acoes"))*Inputs!$B$1+((Inputs!$G$5:$G$230&lt;&gt;"moeda")*(Inputs!$G$5:$G$230&lt;&gt;"acoes")))*INDEX(Inputs!$K$5:$AJ$230,0,MATCH(E$2,Inputs!$K$4:$AJ$4,0)))+SUMPRODUCT((Inputs!$C$5:$C$230=$B77)*Inputs!$D$5:$D$230*(((Inputs!$G$5:$G$230="moeda")+(Inputs!$G$5:$G$230="acoes"))*Inputs!$B$1+((Inputs!$G$5:$G$230&lt;&gt;"moeda")*(Inputs!$G$5:$G$230&lt;&gt;"acoes")))*INDEX(Inputs!$K$5:$AJ$230,0,MATCH(E$2,Inputs!$K$4:$AJ$4,0)))+SUMPRODUCT((Inputs!$E$5:$E$230=$B77)*Inputs!$F$5:$F$230*(((Inputs!$G$5:$G$230="moeda")+(Inputs!$G$5:$G$230="acoes"))*Inputs!$B$1+((Inputs!$G$5:$G$230&lt;&gt;"moeda")*(Inputs!$G$5:$G$230&lt;&gt;"acoes")))*INDEX(Inputs!$K$5:$AJ$230,0,MATCH(E$2,Inputs!$K$4:$AJ$4,0)))))</f>
        <v>23.853</v>
      </c>
      <c r="F77" s="6">
        <f>IF(ISNA(MATCH(F$2,Inputs!$K$4:$AJ$4,0)),NA(),IF(SUMPRODUCT((Inputs!$A$5:$A$230=$B77)*ISNUMBER(INDEX(Inputs!$K$5:$AJ$230,0,MATCH(F$2,Inputs!$K$4:$AJ$4,0))))+SUMPRODUCT((Inputs!$C$5:$C$230=$B77)*ISNUMBER(INDEX(Inputs!$K$5:$AJ$230,0,MATCH(F$2,Inputs!$K$4:$AJ$4,0))))+SUMPRODUCT((Inputs!$E$5:$E$230=$B77)*ISNUMBER(INDEX(Inputs!$K$5:$AJ$230,0,MATCH(F$2,Inputs!$K$4:$AJ$4,0))))=0,NA(),SUMPRODUCT((Inputs!$A$5:$A$230=$B77)*Inputs!$B$5:$B$230*(((Inputs!$G$5:$G$230="moeda")+(Inputs!$G$5:$G$230="acoes"))*Inputs!$B$1+((Inputs!$G$5:$G$230&lt;&gt;"moeda")*(Inputs!$G$5:$G$230&lt;&gt;"acoes")))*INDEX(Inputs!$K$5:$AJ$230,0,MATCH(F$2,Inputs!$K$4:$AJ$4,0)))+SUMPRODUCT((Inputs!$C$5:$C$230=$B77)*Inputs!$D$5:$D$230*(((Inputs!$G$5:$G$230="moeda")+(Inputs!$G$5:$G$230="acoes"))*Inputs!$B$1+((Inputs!$G$5:$G$230&lt;&gt;"moeda")*(Inputs!$G$5:$G$230&lt;&gt;"acoes")))*INDEX(Inputs!$K$5:$AJ$230,0,MATCH(F$2,Inputs!$K$4:$AJ$4,0)))+SUMPRODUCT((Inputs!$E$5:$E$230=$B77)*Inputs!$F$5:$F$230*(((Inputs!$G$5:$G$230="moeda")+(Inputs!$G$5:$G$230="acoes"))*Inputs!$B$1+((Inputs!$G$5:$G$230&lt;&gt;"moeda")*(Inputs!$G$5:$G$230&lt;&gt;"acoes")))*INDEX(Inputs!$K$5:$AJ$230,0,MATCH(F$2,Inputs!$K$4:$AJ$4,0)))))</f>
        <v>25.245</v>
      </c>
      <c r="G77" s="6">
        <f>IF(ISNA(MATCH(G$2,Inputs!$K$4:$AJ$4,0)),NA(),IF(SUMPRODUCT((Inputs!$A$5:$A$230=$B77)*ISNUMBER(INDEX(Inputs!$K$5:$AJ$230,0,MATCH(G$2,Inputs!$K$4:$AJ$4,0))))+SUMPRODUCT((Inputs!$C$5:$C$230=$B77)*ISNUMBER(INDEX(Inputs!$K$5:$AJ$230,0,MATCH(G$2,Inputs!$K$4:$AJ$4,0))))+SUMPRODUCT((Inputs!$E$5:$E$230=$B77)*ISNUMBER(INDEX(Inputs!$K$5:$AJ$230,0,MATCH(G$2,Inputs!$K$4:$AJ$4,0))))=0,NA(),SUMPRODUCT((Inputs!$A$5:$A$230=$B77)*Inputs!$B$5:$B$230*(((Inputs!$G$5:$G$230="moeda")+(Inputs!$G$5:$G$230="acoes"))*Inputs!$B$1+((Inputs!$G$5:$G$230&lt;&gt;"moeda")*(Inputs!$G$5:$G$230&lt;&gt;"acoes")))*INDEX(Inputs!$K$5:$AJ$230,0,MATCH(G$2,Inputs!$K$4:$AJ$4,0)))+SUMPRODUCT((Inputs!$C$5:$C$230=$B77)*Inputs!$D$5:$D$230*(((Inputs!$G$5:$G$230="moeda")+(Inputs!$G$5:$G$230="acoes"))*Inputs!$B$1+((Inputs!$G$5:$G$230&lt;&gt;"moeda")*(Inputs!$G$5:$G$230&lt;&gt;"acoes")))*INDEX(Inputs!$K$5:$AJ$230,0,MATCH(G$2,Inputs!$K$4:$AJ$4,0)))+SUMPRODUCT((Inputs!$E$5:$E$230=$B77)*Inputs!$F$5:$F$230*(((Inputs!$G$5:$G$230="moeda")+(Inputs!$G$5:$G$230="acoes"))*Inputs!$B$1+((Inputs!$G$5:$G$230&lt;&gt;"moeda")*(Inputs!$G$5:$G$230&lt;&gt;"acoes")))*INDEX(Inputs!$K$5:$AJ$230,0,MATCH(G$2,Inputs!$K$4:$AJ$4,0)))))</f>
        <v>30.539</v>
      </c>
      <c r="H77" s="3">
        <f>SUM(D77:G77)</f>
        <v>104.794</v>
      </c>
      <c r="I77" s="6">
        <f>IF(ISNA(MATCH(I$2,Inputs!$K$4:$AJ$4,0)),NA(),IF(SUMPRODUCT((Inputs!$A$5:$A$230=$B77)*ISNUMBER(INDEX(Inputs!$K$5:$AJ$230,0,MATCH(I$2,Inputs!$K$4:$AJ$4,0))))+SUMPRODUCT((Inputs!$C$5:$C$230=$B77)*ISNUMBER(INDEX(Inputs!$K$5:$AJ$230,0,MATCH(I$2,Inputs!$K$4:$AJ$4,0))))+SUMPRODUCT((Inputs!$E$5:$E$230=$B77)*ISNUMBER(INDEX(Inputs!$K$5:$AJ$230,0,MATCH(I$2,Inputs!$K$4:$AJ$4,0))))=0,NA(),SUMPRODUCT((Inputs!$A$5:$A$230=$B77)*Inputs!$B$5:$B$230*(((Inputs!$G$5:$G$230="moeda")+(Inputs!$G$5:$G$230="acoes"))*Inputs!$B$1+((Inputs!$G$5:$G$230&lt;&gt;"moeda")*(Inputs!$G$5:$G$230&lt;&gt;"acoes")))*INDEX(Inputs!$K$5:$AJ$230,0,MATCH(I$2,Inputs!$K$4:$AJ$4,0)))+SUMPRODUCT((Inputs!$C$5:$C$230=$B77)*Inputs!$D$5:$D$230*(((Inputs!$G$5:$G$230="moeda")+(Inputs!$G$5:$G$230="acoes"))*Inputs!$B$1+((Inputs!$G$5:$G$230&lt;&gt;"moeda")*(Inputs!$G$5:$G$230&lt;&gt;"acoes")))*INDEX(Inputs!$K$5:$AJ$230,0,MATCH(I$2,Inputs!$K$4:$AJ$4,0)))+SUMPRODUCT((Inputs!$E$5:$E$230=$B77)*Inputs!$F$5:$F$230*(((Inputs!$G$5:$G$230="moeda")+(Inputs!$G$5:$G$230="acoes"))*Inputs!$B$1+((Inputs!$G$5:$G$230&lt;&gt;"moeda")*(Inputs!$G$5:$G$230&lt;&gt;"acoes")))*INDEX(Inputs!$K$5:$AJ$230,0,MATCH(I$2,Inputs!$K$4:$AJ$4,0)))))</f>
        <v>26.693</v>
      </c>
      <c r="J77" s="6">
        <f>IF(ISNA(MATCH(J$2,Inputs!$K$4:$AJ$4,0)),NA(),IF(SUMPRODUCT((Inputs!$A$5:$A$230=$B77)*ISNUMBER(INDEX(Inputs!$K$5:$AJ$230,0,MATCH(J$2,Inputs!$K$4:$AJ$4,0))))+SUMPRODUCT((Inputs!$C$5:$C$230=$B77)*ISNUMBER(INDEX(Inputs!$K$5:$AJ$230,0,MATCH(J$2,Inputs!$K$4:$AJ$4,0))))+SUMPRODUCT((Inputs!$E$5:$E$230=$B77)*ISNUMBER(INDEX(Inputs!$K$5:$AJ$230,0,MATCH(J$2,Inputs!$K$4:$AJ$4,0))))=0,NA(),SUMPRODUCT((Inputs!$A$5:$A$230=$B77)*Inputs!$B$5:$B$230*(((Inputs!$G$5:$G$230="moeda")+(Inputs!$G$5:$G$230="acoes"))*Inputs!$B$1+((Inputs!$G$5:$G$230&lt;&gt;"moeda")*(Inputs!$G$5:$G$230&lt;&gt;"acoes")))*INDEX(Inputs!$K$5:$AJ$230,0,MATCH(J$2,Inputs!$K$4:$AJ$4,0)))+SUMPRODUCT((Inputs!$C$5:$C$230=$B77)*Inputs!$D$5:$D$230*(((Inputs!$G$5:$G$230="moeda")+(Inputs!$G$5:$G$230="acoes"))*Inputs!$B$1+((Inputs!$G$5:$G$230&lt;&gt;"moeda")*(Inputs!$G$5:$G$230&lt;&gt;"acoes")))*INDEX(Inputs!$K$5:$AJ$230,0,MATCH(J$2,Inputs!$K$4:$AJ$4,0)))+SUMPRODUCT((Inputs!$E$5:$E$230=$B77)*Inputs!$F$5:$F$230*(((Inputs!$G$5:$G$230="moeda")+(Inputs!$G$5:$G$230="acoes"))*Inputs!$B$1+((Inputs!$G$5:$G$230&lt;&gt;"moeda")*(Inputs!$G$5:$G$230&lt;&gt;"acoes")))*INDEX(Inputs!$K$5:$AJ$230,0,MATCH(J$2,Inputs!$K$4:$AJ$4,0)))))</f>
        <v>32.379</v>
      </c>
      <c r="K77" s="6">
        <f>IF(ISNA(MATCH(K$2,Inputs!$K$4:$AJ$4,0)),NA(),IF(SUMPRODUCT((Inputs!$A$5:$A$230=$B77)*ISNUMBER(INDEX(Inputs!$K$5:$AJ$230,0,MATCH(K$2,Inputs!$K$4:$AJ$4,0))))+SUMPRODUCT((Inputs!$C$5:$C$230=$B77)*ISNUMBER(INDEX(Inputs!$K$5:$AJ$230,0,MATCH(K$2,Inputs!$K$4:$AJ$4,0))))+SUMPRODUCT((Inputs!$E$5:$E$230=$B77)*ISNUMBER(INDEX(Inputs!$K$5:$AJ$230,0,MATCH(K$2,Inputs!$K$4:$AJ$4,0))))=0,NA(),SUMPRODUCT((Inputs!$A$5:$A$230=$B77)*Inputs!$B$5:$B$230*(((Inputs!$G$5:$G$230="moeda")+(Inputs!$G$5:$G$230="acoes"))*Inputs!$B$1+((Inputs!$G$5:$G$230&lt;&gt;"moeda")*(Inputs!$G$5:$G$230&lt;&gt;"acoes")))*INDEX(Inputs!$K$5:$AJ$230,0,MATCH(K$2,Inputs!$K$4:$AJ$4,0)))+SUMPRODUCT((Inputs!$C$5:$C$230=$B77)*Inputs!$D$5:$D$230*(((Inputs!$G$5:$G$230="moeda")+(Inputs!$G$5:$G$230="acoes"))*Inputs!$B$1+((Inputs!$G$5:$G$230&lt;&gt;"moeda")*(Inputs!$G$5:$G$230&lt;&gt;"acoes")))*INDEX(Inputs!$K$5:$AJ$230,0,MATCH(K$2,Inputs!$K$4:$AJ$4,0)))+SUMPRODUCT((Inputs!$E$5:$E$230=$B77)*Inputs!$F$5:$F$230*(((Inputs!$G$5:$G$230="moeda")+(Inputs!$G$5:$G$230="acoes"))*Inputs!$B$1+((Inputs!$G$5:$G$230&lt;&gt;"moeda")*(Inputs!$G$5:$G$230&lt;&gt;"acoes")))*INDEX(Inputs!$K$5:$AJ$230,0,MATCH(K$2,Inputs!$K$4:$AJ$4,0)))))</f>
        <v>13.329</v>
      </c>
      <c r="L77" s="6">
        <f>IF(ISNA(MATCH(L$2,Inputs!$K$4:$AJ$4,0)),NA(),IF(SUMPRODUCT((Inputs!$A$5:$A$230=$B77)*ISNUMBER(INDEX(Inputs!$K$5:$AJ$230,0,MATCH(L$2,Inputs!$K$4:$AJ$4,0))))+SUMPRODUCT((Inputs!$C$5:$C$230=$B77)*ISNUMBER(INDEX(Inputs!$K$5:$AJ$230,0,MATCH(L$2,Inputs!$K$4:$AJ$4,0))))+SUMPRODUCT((Inputs!$E$5:$E$230=$B77)*ISNUMBER(INDEX(Inputs!$K$5:$AJ$230,0,MATCH(L$2,Inputs!$K$4:$AJ$4,0))))=0,NA(),SUMPRODUCT((Inputs!$A$5:$A$230=$B77)*Inputs!$B$5:$B$230*(((Inputs!$G$5:$G$230="moeda")+(Inputs!$G$5:$G$230="acoes"))*Inputs!$B$1+((Inputs!$G$5:$G$230&lt;&gt;"moeda")*(Inputs!$G$5:$G$230&lt;&gt;"acoes")))*INDEX(Inputs!$K$5:$AJ$230,0,MATCH(L$2,Inputs!$K$4:$AJ$4,0)))+SUMPRODUCT((Inputs!$C$5:$C$230=$B77)*Inputs!$D$5:$D$230*(((Inputs!$G$5:$G$230="moeda")+(Inputs!$G$5:$G$230="acoes"))*Inputs!$B$1+((Inputs!$G$5:$G$230&lt;&gt;"moeda")*(Inputs!$G$5:$G$230&lt;&gt;"acoes")))*INDEX(Inputs!$K$5:$AJ$230,0,MATCH(L$2,Inputs!$K$4:$AJ$4,0)))+SUMPRODUCT((Inputs!$E$5:$E$230=$B77)*Inputs!$F$5:$F$230*(((Inputs!$G$5:$G$230="moeda")+(Inputs!$G$5:$G$230="acoes"))*Inputs!$B$1+((Inputs!$G$5:$G$230&lt;&gt;"moeda")*(Inputs!$G$5:$G$230&lt;&gt;"acoes")))*INDEX(Inputs!$K$5:$AJ$230,0,MATCH(L$2,Inputs!$K$4:$AJ$4,0)))))</f>
        <v>18.901</v>
      </c>
      <c r="M77" s="3">
        <f>SUM(I77:L77)</f>
        <v>91.302</v>
      </c>
      <c r="N77" s="6">
        <f>IF(ISNA(MATCH(N$2,Inputs!$K$4:$AJ$4,0)),NA(),IF(SUMPRODUCT((Inputs!$A$5:$A$230=$B77)*ISNUMBER(INDEX(Inputs!$K$5:$AJ$230,0,MATCH(N$2,Inputs!$K$4:$AJ$4,0))))+SUMPRODUCT((Inputs!$C$5:$C$230=$B77)*ISNUMBER(INDEX(Inputs!$K$5:$AJ$230,0,MATCH(N$2,Inputs!$K$4:$AJ$4,0))))+SUMPRODUCT((Inputs!$E$5:$E$230=$B77)*ISNUMBER(INDEX(Inputs!$K$5:$AJ$230,0,MATCH(N$2,Inputs!$K$4:$AJ$4,0))))=0,NA(),SUMPRODUCT((Inputs!$A$5:$A$230=$B77)*Inputs!$B$5:$B$230*(((Inputs!$G$5:$G$230="moeda")+(Inputs!$G$5:$G$230="acoes"))*Inputs!$B$1+((Inputs!$G$5:$G$230&lt;&gt;"moeda")*(Inputs!$G$5:$G$230&lt;&gt;"acoes")))*INDEX(Inputs!$K$5:$AJ$230,0,MATCH(N$2,Inputs!$K$4:$AJ$4,0)))+SUMPRODUCT((Inputs!$C$5:$C$230=$B77)*Inputs!$D$5:$D$230*(((Inputs!$G$5:$G$230="moeda")+(Inputs!$G$5:$G$230="acoes"))*Inputs!$B$1+((Inputs!$G$5:$G$230&lt;&gt;"moeda")*(Inputs!$G$5:$G$230&lt;&gt;"acoes")))*INDEX(Inputs!$K$5:$AJ$230,0,MATCH(N$2,Inputs!$K$4:$AJ$4,0)))+SUMPRODUCT((Inputs!$E$5:$E$230=$B77)*Inputs!$F$5:$F$230*(((Inputs!$G$5:$G$230="moeda")+(Inputs!$G$5:$G$230="acoes"))*Inputs!$B$1+((Inputs!$G$5:$G$230&lt;&gt;"moeda")*(Inputs!$G$5:$G$230&lt;&gt;"acoes")))*INDEX(Inputs!$K$5:$AJ$230,0,MATCH(N$2,Inputs!$K$4:$AJ$4,0)))))</f>
        <v>26.047</v>
      </c>
      <c r="O77" s="6">
        <f>IF(ISNA(MATCH(O$2,Inputs!$K$4:$AJ$4,0)),NA(),IF(SUMPRODUCT((Inputs!$A$5:$A$230=$B77)*ISNUMBER(INDEX(Inputs!$K$5:$AJ$230,0,MATCH(O$2,Inputs!$K$4:$AJ$4,0))))+SUMPRODUCT((Inputs!$C$5:$C$230=$B77)*ISNUMBER(INDEX(Inputs!$K$5:$AJ$230,0,MATCH(O$2,Inputs!$K$4:$AJ$4,0))))+SUMPRODUCT((Inputs!$E$5:$E$230=$B77)*ISNUMBER(INDEX(Inputs!$K$5:$AJ$230,0,MATCH(O$2,Inputs!$K$4:$AJ$4,0))))=0,NA(),SUMPRODUCT((Inputs!$A$5:$A$230=$B77)*Inputs!$B$5:$B$230*(((Inputs!$G$5:$G$230="moeda")+(Inputs!$G$5:$G$230="acoes"))*Inputs!$B$1+((Inputs!$G$5:$G$230&lt;&gt;"moeda")*(Inputs!$G$5:$G$230&lt;&gt;"acoes")))*INDEX(Inputs!$K$5:$AJ$230,0,MATCH(O$2,Inputs!$K$4:$AJ$4,0)))+SUMPRODUCT((Inputs!$C$5:$C$230=$B77)*Inputs!$D$5:$D$230*(((Inputs!$G$5:$G$230="moeda")+(Inputs!$G$5:$G$230="acoes"))*Inputs!$B$1+((Inputs!$G$5:$G$230&lt;&gt;"moeda")*(Inputs!$G$5:$G$230&lt;&gt;"acoes")))*INDEX(Inputs!$K$5:$AJ$230,0,MATCH(O$2,Inputs!$K$4:$AJ$4,0)))+SUMPRODUCT((Inputs!$E$5:$E$230=$B77)*Inputs!$F$5:$F$230*(((Inputs!$G$5:$G$230="moeda")+(Inputs!$G$5:$G$230="acoes"))*Inputs!$B$1+((Inputs!$G$5:$G$230&lt;&gt;"moeda")*(Inputs!$G$5:$G$230&lt;&gt;"acoes")))*INDEX(Inputs!$K$5:$AJ$230,0,MATCH(O$2,Inputs!$K$4:$AJ$4,0)))))</f>
        <v>24.218</v>
      </c>
      <c r="P77" s="6">
        <f>IF(ISNA(MATCH(P$2,Inputs!$K$4:$AJ$4,0)),NA(),IF(SUMPRODUCT((Inputs!$A$5:$A$230=$B77)*ISNUMBER(INDEX(Inputs!$K$5:$AJ$230,0,MATCH(P$2,Inputs!$K$4:$AJ$4,0))))+SUMPRODUCT((Inputs!$C$5:$C$230=$B77)*ISNUMBER(INDEX(Inputs!$K$5:$AJ$230,0,MATCH(P$2,Inputs!$K$4:$AJ$4,0))))+SUMPRODUCT((Inputs!$E$5:$E$230=$B77)*ISNUMBER(INDEX(Inputs!$K$5:$AJ$230,0,MATCH(P$2,Inputs!$K$4:$AJ$4,0))))=0,NA(),SUMPRODUCT((Inputs!$A$5:$A$230=$B77)*Inputs!$B$5:$B$230*(((Inputs!$G$5:$G$230="moeda")+(Inputs!$G$5:$G$230="acoes"))*Inputs!$B$1+((Inputs!$G$5:$G$230&lt;&gt;"moeda")*(Inputs!$G$5:$G$230&lt;&gt;"acoes")))*INDEX(Inputs!$K$5:$AJ$230,0,MATCH(P$2,Inputs!$K$4:$AJ$4,0)))+SUMPRODUCT((Inputs!$C$5:$C$230=$B77)*Inputs!$D$5:$D$230*(((Inputs!$G$5:$G$230="moeda")+(Inputs!$G$5:$G$230="acoes"))*Inputs!$B$1+((Inputs!$G$5:$G$230&lt;&gt;"moeda")*(Inputs!$G$5:$G$230&lt;&gt;"acoes")))*INDEX(Inputs!$K$5:$AJ$230,0,MATCH(P$2,Inputs!$K$4:$AJ$4,0)))+SUMPRODUCT((Inputs!$E$5:$E$230=$B77)*Inputs!$F$5:$F$230*(((Inputs!$G$5:$G$230="moeda")+(Inputs!$G$5:$G$230="acoes"))*Inputs!$B$1+((Inputs!$G$5:$G$230&lt;&gt;"moeda")*(Inputs!$G$5:$G$230&lt;&gt;"acoes")))*INDEX(Inputs!$K$5:$AJ$230,0,MATCH(P$2,Inputs!$K$4:$AJ$4,0)))))</f>
        <v>17.13</v>
      </c>
      <c r="Q77" s="6">
        <f>IF(ISNA(MATCH(Q$2,Inputs!$K$4:$AJ$4,0)),NA(),IF(SUMPRODUCT((Inputs!$A$5:$A$230=$B77)*ISNUMBER(INDEX(Inputs!$K$5:$AJ$230,0,MATCH(Q$2,Inputs!$K$4:$AJ$4,0))))+SUMPRODUCT((Inputs!$C$5:$C$230=$B77)*ISNUMBER(INDEX(Inputs!$K$5:$AJ$230,0,MATCH(Q$2,Inputs!$K$4:$AJ$4,0))))+SUMPRODUCT((Inputs!$E$5:$E$230=$B77)*ISNUMBER(INDEX(Inputs!$K$5:$AJ$230,0,MATCH(Q$2,Inputs!$K$4:$AJ$4,0))))=0,NA(),SUMPRODUCT((Inputs!$A$5:$A$230=$B77)*Inputs!$B$5:$B$230*(((Inputs!$G$5:$G$230="moeda")+(Inputs!$G$5:$G$230="acoes"))*Inputs!$B$1+((Inputs!$G$5:$G$230&lt;&gt;"moeda")*(Inputs!$G$5:$G$230&lt;&gt;"acoes")))*INDEX(Inputs!$K$5:$AJ$230,0,MATCH(Q$2,Inputs!$K$4:$AJ$4,0)))+SUMPRODUCT((Inputs!$C$5:$C$230=$B77)*Inputs!$D$5:$D$230*(((Inputs!$G$5:$G$230="moeda")+(Inputs!$G$5:$G$230="acoes"))*Inputs!$B$1+((Inputs!$G$5:$G$230&lt;&gt;"moeda")*(Inputs!$G$5:$G$230&lt;&gt;"acoes")))*INDEX(Inputs!$K$5:$AJ$230,0,MATCH(Q$2,Inputs!$K$4:$AJ$4,0)))+SUMPRODUCT((Inputs!$E$5:$E$230=$B77)*Inputs!$F$5:$F$230*(((Inputs!$G$5:$G$230="moeda")+(Inputs!$G$5:$G$230="acoes"))*Inputs!$B$1+((Inputs!$G$5:$G$230&lt;&gt;"moeda")*(Inputs!$G$5:$G$230&lt;&gt;"acoes")))*INDEX(Inputs!$K$5:$AJ$230,0,MATCH(Q$2,Inputs!$K$4:$AJ$4,0)))))</f>
        <v>19.922</v>
      </c>
      <c r="R77" s="3">
        <f>SUM(N77:Q77)</f>
        <v>87.317</v>
      </c>
      <c r="S77" s="6">
        <f>IF(ISNA(MATCH(S$2,Inputs!$K$4:$AJ$4,0)),NA(),IF(SUMPRODUCT((Inputs!$A$5:$A$230=$B77)*ISNUMBER(INDEX(Inputs!$K$5:$AJ$230,0,MATCH(S$2,Inputs!$K$4:$AJ$4,0))))+SUMPRODUCT((Inputs!$C$5:$C$230=$B77)*ISNUMBER(INDEX(Inputs!$K$5:$AJ$230,0,MATCH(S$2,Inputs!$K$4:$AJ$4,0))))+SUMPRODUCT((Inputs!$E$5:$E$230=$B77)*ISNUMBER(INDEX(Inputs!$K$5:$AJ$230,0,MATCH(S$2,Inputs!$K$4:$AJ$4,0))))=0,NA(),SUMPRODUCT((Inputs!$A$5:$A$230=$B77)*Inputs!$B$5:$B$230*(((Inputs!$G$5:$G$230="moeda")+(Inputs!$G$5:$G$230="acoes"))*Inputs!$B$1+((Inputs!$G$5:$G$230&lt;&gt;"moeda")*(Inputs!$G$5:$G$230&lt;&gt;"acoes")))*INDEX(Inputs!$K$5:$AJ$230,0,MATCH(S$2,Inputs!$K$4:$AJ$4,0)))+SUMPRODUCT((Inputs!$C$5:$C$230=$B77)*Inputs!$D$5:$D$230*(((Inputs!$G$5:$G$230="moeda")+(Inputs!$G$5:$G$230="acoes"))*Inputs!$B$1+((Inputs!$G$5:$G$230&lt;&gt;"moeda")*(Inputs!$G$5:$G$230&lt;&gt;"acoes")))*INDEX(Inputs!$K$5:$AJ$230,0,MATCH(S$2,Inputs!$K$4:$AJ$4,0)))+SUMPRODUCT((Inputs!$E$5:$E$230=$B77)*Inputs!$F$5:$F$230*(((Inputs!$G$5:$G$230="moeda")+(Inputs!$G$5:$G$230="acoes"))*Inputs!$B$1+((Inputs!$G$5:$G$230&lt;&gt;"moeda")*(Inputs!$G$5:$G$230&lt;&gt;"acoes")))*INDEX(Inputs!$K$5:$AJ$230,0,MATCH(S$2,Inputs!$K$4:$AJ$4,0)))))</f>
        <v>25.911</v>
      </c>
      <c r="T77" s="6">
        <f>IF(ISNA(MATCH(T$2,Inputs!$K$4:$AJ$4,0)),NA(),IF(SUMPRODUCT((Inputs!$A$5:$A$230=$B77)*ISNUMBER(INDEX(Inputs!$K$5:$AJ$230,0,MATCH(T$2,Inputs!$K$4:$AJ$4,0))))+SUMPRODUCT((Inputs!$C$5:$C$230=$B77)*ISNUMBER(INDEX(Inputs!$K$5:$AJ$230,0,MATCH(T$2,Inputs!$K$4:$AJ$4,0))))+SUMPRODUCT((Inputs!$E$5:$E$230=$B77)*ISNUMBER(INDEX(Inputs!$K$5:$AJ$230,0,MATCH(T$2,Inputs!$K$4:$AJ$4,0))))=0,NA(),SUMPRODUCT((Inputs!$A$5:$A$230=$B77)*Inputs!$B$5:$B$230*(((Inputs!$G$5:$G$230="moeda")+(Inputs!$G$5:$G$230="acoes"))*Inputs!$B$1+((Inputs!$G$5:$G$230&lt;&gt;"moeda")*(Inputs!$G$5:$G$230&lt;&gt;"acoes")))*INDEX(Inputs!$K$5:$AJ$230,0,MATCH(T$2,Inputs!$K$4:$AJ$4,0)))+SUMPRODUCT((Inputs!$C$5:$C$230=$B77)*Inputs!$D$5:$D$230*(((Inputs!$G$5:$G$230="moeda")+(Inputs!$G$5:$G$230="acoes"))*Inputs!$B$1+((Inputs!$G$5:$G$230&lt;&gt;"moeda")*(Inputs!$G$5:$G$230&lt;&gt;"acoes")))*INDEX(Inputs!$K$5:$AJ$230,0,MATCH(T$2,Inputs!$K$4:$AJ$4,0)))+SUMPRODUCT((Inputs!$E$5:$E$230=$B77)*Inputs!$F$5:$F$230*(((Inputs!$G$5:$G$230="moeda")+(Inputs!$G$5:$G$230="acoes"))*Inputs!$B$1+((Inputs!$G$5:$G$230&lt;&gt;"moeda")*(Inputs!$G$5:$G$230&lt;&gt;"acoes")))*INDEX(Inputs!$K$5:$AJ$230,0,MATCH(T$2,Inputs!$K$4:$AJ$4,0)))))</f>
        <v>21.778</v>
      </c>
      <c r="U77" s="6">
        <f>IF(ISNA(MATCH(U$2,Inputs!$K$4:$AJ$4,0)),NA(),IF(SUMPRODUCT((Inputs!$A$5:$A$230=$B77)*ISNUMBER(INDEX(Inputs!$K$5:$AJ$230,0,MATCH(U$2,Inputs!$K$4:$AJ$4,0))))+SUMPRODUCT((Inputs!$C$5:$C$230=$B77)*ISNUMBER(INDEX(Inputs!$K$5:$AJ$230,0,MATCH(U$2,Inputs!$K$4:$AJ$4,0))))+SUMPRODUCT((Inputs!$E$5:$E$230=$B77)*ISNUMBER(INDEX(Inputs!$K$5:$AJ$230,0,MATCH(U$2,Inputs!$K$4:$AJ$4,0))))=0,NA(),SUMPRODUCT((Inputs!$A$5:$A$230=$B77)*Inputs!$B$5:$B$230*(((Inputs!$G$5:$G$230="moeda")+(Inputs!$G$5:$G$230="acoes"))*Inputs!$B$1+((Inputs!$G$5:$G$230&lt;&gt;"moeda")*(Inputs!$G$5:$G$230&lt;&gt;"acoes")))*INDEX(Inputs!$K$5:$AJ$230,0,MATCH(U$2,Inputs!$K$4:$AJ$4,0)))+SUMPRODUCT((Inputs!$C$5:$C$230=$B77)*Inputs!$D$5:$D$230*(((Inputs!$G$5:$G$230="moeda")+(Inputs!$G$5:$G$230="acoes"))*Inputs!$B$1+((Inputs!$G$5:$G$230&lt;&gt;"moeda")*(Inputs!$G$5:$G$230&lt;&gt;"acoes")))*INDEX(Inputs!$K$5:$AJ$230,0,MATCH(U$2,Inputs!$K$4:$AJ$4,0)))+SUMPRODUCT((Inputs!$E$5:$E$230=$B77)*Inputs!$F$5:$F$230*(((Inputs!$G$5:$G$230="moeda")+(Inputs!$G$5:$G$230="acoes"))*Inputs!$B$1+((Inputs!$G$5:$G$230&lt;&gt;"moeda")*(Inputs!$G$5:$G$230&lt;&gt;"acoes")))*INDEX(Inputs!$K$5:$AJ$230,0,MATCH(U$2,Inputs!$K$4:$AJ$4,0)))))</f>
        <v>19.232</v>
      </c>
      <c r="V77" s="6">
        <f>IF(ISNA(MATCH(V$2,Inputs!$K$4:$AJ$4,0)),NA(),IF(SUMPRODUCT((Inputs!$A$5:$A$230=$B77)*ISNUMBER(INDEX(Inputs!$K$5:$AJ$230,0,MATCH(V$2,Inputs!$K$4:$AJ$4,0))))+SUMPRODUCT((Inputs!$C$5:$C$230=$B77)*ISNUMBER(INDEX(Inputs!$K$5:$AJ$230,0,MATCH(V$2,Inputs!$K$4:$AJ$4,0))))+SUMPRODUCT((Inputs!$E$5:$E$230=$B77)*ISNUMBER(INDEX(Inputs!$K$5:$AJ$230,0,MATCH(V$2,Inputs!$K$4:$AJ$4,0))))=0,NA(),SUMPRODUCT((Inputs!$A$5:$A$230=$B77)*Inputs!$B$5:$B$230*(((Inputs!$G$5:$G$230="moeda")+(Inputs!$G$5:$G$230="acoes"))*Inputs!$B$1+((Inputs!$G$5:$G$230&lt;&gt;"moeda")*(Inputs!$G$5:$G$230&lt;&gt;"acoes")))*INDEX(Inputs!$K$5:$AJ$230,0,MATCH(V$2,Inputs!$K$4:$AJ$4,0)))+SUMPRODUCT((Inputs!$C$5:$C$230=$B77)*Inputs!$D$5:$D$230*(((Inputs!$G$5:$G$230="moeda")+(Inputs!$G$5:$G$230="acoes"))*Inputs!$B$1+((Inputs!$G$5:$G$230&lt;&gt;"moeda")*(Inputs!$G$5:$G$230&lt;&gt;"acoes")))*INDEX(Inputs!$K$5:$AJ$230,0,MATCH(V$2,Inputs!$K$4:$AJ$4,0)))+SUMPRODUCT((Inputs!$E$5:$E$230=$B77)*Inputs!$F$5:$F$230*(((Inputs!$G$5:$G$230="moeda")+(Inputs!$G$5:$G$230="acoes"))*Inputs!$B$1+((Inputs!$G$5:$G$230&lt;&gt;"moeda")*(Inputs!$G$5:$G$230&lt;&gt;"acoes")))*INDEX(Inputs!$K$5:$AJ$230,0,MATCH(V$2,Inputs!$K$4:$AJ$4,0)))))</f>
        <v>23.929</v>
      </c>
      <c r="W77" s="3">
        <f>SUM(S77:V77)</f>
        <v>90.85</v>
      </c>
      <c r="X77" s="6">
        <f>IF(ISNA(MATCH(X$2,Inputs!$K$4:$AJ$4,0)),NA(),IF(SUMPRODUCT((Inputs!$A$5:$A$230=$B77)*ISNUMBER(INDEX(Inputs!$K$5:$AJ$230,0,MATCH(X$2,Inputs!$K$4:$AJ$4,0))))+SUMPRODUCT((Inputs!$C$5:$C$230=$B77)*ISNUMBER(INDEX(Inputs!$K$5:$AJ$230,0,MATCH(X$2,Inputs!$K$4:$AJ$4,0))))+SUMPRODUCT((Inputs!$E$5:$E$230=$B77)*ISNUMBER(INDEX(Inputs!$K$5:$AJ$230,0,MATCH(X$2,Inputs!$K$4:$AJ$4,0))))=0,NA(),SUMPRODUCT((Inputs!$A$5:$A$230=$B77)*Inputs!$B$5:$B$230*(((Inputs!$G$5:$G$230="moeda")+(Inputs!$G$5:$G$230="acoes"))*Inputs!$B$1+((Inputs!$G$5:$G$230&lt;&gt;"moeda")*(Inputs!$G$5:$G$230&lt;&gt;"acoes")))*INDEX(Inputs!$K$5:$AJ$230,0,MATCH(X$2,Inputs!$K$4:$AJ$4,0)))+SUMPRODUCT((Inputs!$C$5:$C$230=$B77)*Inputs!$D$5:$D$230*(((Inputs!$G$5:$G$230="moeda")+(Inputs!$G$5:$G$230="acoes"))*Inputs!$B$1+((Inputs!$G$5:$G$230&lt;&gt;"moeda")*(Inputs!$G$5:$G$230&lt;&gt;"acoes")))*INDEX(Inputs!$K$5:$AJ$230,0,MATCH(X$2,Inputs!$K$4:$AJ$4,0)))+SUMPRODUCT((Inputs!$E$5:$E$230=$B77)*Inputs!$F$5:$F$230*(((Inputs!$G$5:$G$230="moeda")+(Inputs!$G$5:$G$230="acoes"))*Inputs!$B$1+((Inputs!$G$5:$G$230&lt;&gt;"moeda")*(Inputs!$G$5:$G$230&lt;&gt;"acoes")))*INDEX(Inputs!$K$5:$AJ$230,0,MATCH(X$2,Inputs!$K$4:$AJ$4,0)))))</f>
        <v>27.775</v>
      </c>
      <c r="Y77" s="6">
        <f>IF(ISNA(MATCH(Y$2,Inputs!$K$4:$AJ$4,0)),NA(),IF(SUMPRODUCT((Inputs!$A$5:$A$230=$B77)*ISNUMBER(INDEX(Inputs!$K$5:$AJ$230,0,MATCH(Y$2,Inputs!$K$4:$AJ$4,0))))+SUMPRODUCT((Inputs!$C$5:$C$230=$B77)*ISNUMBER(INDEX(Inputs!$K$5:$AJ$230,0,MATCH(Y$2,Inputs!$K$4:$AJ$4,0))))+SUMPRODUCT((Inputs!$E$5:$E$230=$B77)*ISNUMBER(INDEX(Inputs!$K$5:$AJ$230,0,MATCH(Y$2,Inputs!$K$4:$AJ$4,0))))=0,NA(),SUMPRODUCT((Inputs!$A$5:$A$230=$B77)*Inputs!$B$5:$B$230*(((Inputs!$G$5:$G$230="moeda")+(Inputs!$G$5:$G$230="acoes"))*Inputs!$B$1+((Inputs!$G$5:$G$230&lt;&gt;"moeda")*(Inputs!$G$5:$G$230&lt;&gt;"acoes")))*INDEX(Inputs!$K$5:$AJ$230,0,MATCH(Y$2,Inputs!$K$4:$AJ$4,0)))+SUMPRODUCT((Inputs!$C$5:$C$230=$B77)*Inputs!$D$5:$D$230*(((Inputs!$G$5:$G$230="moeda")+(Inputs!$G$5:$G$230="acoes"))*Inputs!$B$1+((Inputs!$G$5:$G$230&lt;&gt;"moeda")*(Inputs!$G$5:$G$230&lt;&gt;"acoes")))*INDEX(Inputs!$K$5:$AJ$230,0,MATCH(Y$2,Inputs!$K$4:$AJ$4,0)))+SUMPRODUCT((Inputs!$E$5:$E$230=$B77)*Inputs!$F$5:$F$230*(((Inputs!$G$5:$G$230="moeda")+(Inputs!$G$5:$G$230="acoes"))*Inputs!$B$1+((Inputs!$G$5:$G$230&lt;&gt;"moeda")*(Inputs!$G$5:$G$230&lt;&gt;"acoes")))*INDEX(Inputs!$K$5:$AJ$230,0,MATCH(Y$2,Inputs!$K$4:$AJ$4,0)))))</f>
        <v>24.054</v>
      </c>
      <c r="Z77" s="6">
        <f>IF(ISNA(MATCH(Z$2,Inputs!$K$4:$AJ$4,0)),NA(),IF(SUMPRODUCT((Inputs!$A$5:$A$230=$B77)*ISNUMBER(INDEX(Inputs!$K$5:$AJ$230,0,MATCH(Z$2,Inputs!$K$4:$AJ$4,0))))+SUMPRODUCT((Inputs!$C$5:$C$230=$B77)*ISNUMBER(INDEX(Inputs!$K$5:$AJ$230,0,MATCH(Z$2,Inputs!$K$4:$AJ$4,0))))+SUMPRODUCT((Inputs!$E$5:$E$230=$B77)*ISNUMBER(INDEX(Inputs!$K$5:$AJ$230,0,MATCH(Z$2,Inputs!$K$4:$AJ$4,0))))=0,NA(),SUMPRODUCT((Inputs!$A$5:$A$230=$B77)*Inputs!$B$5:$B$230*(((Inputs!$G$5:$G$230="moeda")+(Inputs!$G$5:$G$230="acoes"))*Inputs!$B$1+((Inputs!$G$5:$G$230&lt;&gt;"moeda")*(Inputs!$G$5:$G$230&lt;&gt;"acoes")))*INDEX(Inputs!$K$5:$AJ$230,0,MATCH(Z$2,Inputs!$K$4:$AJ$4,0)))+SUMPRODUCT((Inputs!$C$5:$C$230=$B77)*Inputs!$D$5:$D$230*(((Inputs!$G$5:$G$230="moeda")+(Inputs!$G$5:$G$230="acoes"))*Inputs!$B$1+((Inputs!$G$5:$G$230&lt;&gt;"moeda")*(Inputs!$G$5:$G$230&lt;&gt;"acoes")))*INDEX(Inputs!$K$5:$AJ$230,0,MATCH(Z$2,Inputs!$K$4:$AJ$4,0)))+SUMPRODUCT((Inputs!$E$5:$E$230=$B77)*Inputs!$F$5:$F$230*(((Inputs!$G$5:$G$230="moeda")+(Inputs!$G$5:$G$230="acoes"))*Inputs!$B$1+((Inputs!$G$5:$G$230&lt;&gt;"moeda")*(Inputs!$G$5:$G$230&lt;&gt;"acoes")))*INDEX(Inputs!$K$5:$AJ$230,0,MATCH(Z$2,Inputs!$K$4:$AJ$4,0)))))</f>
        <v>18.985</v>
      </c>
      <c r="AA77" s="6">
        <f>IF(ISNA(MATCH(AA$2,Inputs!$K$4:$AJ$4,0)),NA(),IF(SUMPRODUCT((Inputs!$A$5:$A$230=$B77)*ISNUMBER(INDEX(Inputs!$K$5:$AJ$230,0,MATCH(AA$2,Inputs!$K$4:$AJ$4,0))))+SUMPRODUCT((Inputs!$C$5:$C$230=$B77)*ISNUMBER(INDEX(Inputs!$K$5:$AJ$230,0,MATCH(AA$2,Inputs!$K$4:$AJ$4,0))))+SUMPRODUCT((Inputs!$E$5:$E$230=$B77)*ISNUMBER(INDEX(Inputs!$K$5:$AJ$230,0,MATCH(AA$2,Inputs!$K$4:$AJ$4,0))))=0,NA(),SUMPRODUCT((Inputs!$A$5:$A$230=$B77)*Inputs!$B$5:$B$230*(((Inputs!$G$5:$G$230="moeda")+(Inputs!$G$5:$G$230="acoes"))*Inputs!$B$1+((Inputs!$G$5:$G$230&lt;&gt;"moeda")*(Inputs!$G$5:$G$230&lt;&gt;"acoes")))*INDEX(Inputs!$K$5:$AJ$230,0,MATCH(AA$2,Inputs!$K$4:$AJ$4,0)))+SUMPRODUCT((Inputs!$C$5:$C$230=$B77)*Inputs!$D$5:$D$230*(((Inputs!$G$5:$G$230="moeda")+(Inputs!$G$5:$G$230="acoes"))*Inputs!$B$1+((Inputs!$G$5:$G$230&lt;&gt;"moeda")*(Inputs!$G$5:$G$230&lt;&gt;"acoes")))*INDEX(Inputs!$K$5:$AJ$230,0,MATCH(AA$2,Inputs!$K$4:$AJ$4,0)))+SUMPRODUCT((Inputs!$E$5:$E$230=$B77)*Inputs!$F$5:$F$230*(((Inputs!$G$5:$G$230="moeda")+(Inputs!$G$5:$G$230="acoes"))*Inputs!$B$1+((Inputs!$G$5:$G$230&lt;&gt;"moeda")*(Inputs!$G$5:$G$230&lt;&gt;"acoes")))*INDEX(Inputs!$K$5:$AJ$230,0,MATCH(AA$2,Inputs!$K$4:$AJ$4,0)))))</f>
        <v>21.118</v>
      </c>
      <c r="AB77" s="3">
        <f>SUM(X77:AA77)</f>
        <v>91.932</v>
      </c>
      <c r="AC77" s="6">
        <f>IF(ISNA(MATCH(AC$2,Inputs!$K$4:$AJ$4,0)),NA(),IF(SUMPRODUCT((Inputs!$A$5:$A$230=$B77)*ISNUMBER(INDEX(Inputs!$K$5:$AJ$230,0,MATCH(AC$2,Inputs!$K$4:$AJ$4,0))))+SUMPRODUCT((Inputs!$C$5:$C$230=$B77)*ISNUMBER(INDEX(Inputs!$K$5:$AJ$230,0,MATCH(AC$2,Inputs!$K$4:$AJ$4,0))))+SUMPRODUCT((Inputs!$E$5:$E$230=$B77)*ISNUMBER(INDEX(Inputs!$K$5:$AJ$230,0,MATCH(AC$2,Inputs!$K$4:$AJ$4,0))))=0,NA(),SUMPRODUCT((Inputs!$A$5:$A$230=$B77)*Inputs!$B$5:$B$230*(((Inputs!$G$5:$G$230="moeda")+(Inputs!$G$5:$G$230="acoes"))*Inputs!$B$1+((Inputs!$G$5:$G$230&lt;&gt;"moeda")*(Inputs!$G$5:$G$230&lt;&gt;"acoes")))*INDEX(Inputs!$K$5:$AJ$230,0,MATCH(AC$2,Inputs!$K$4:$AJ$4,0)))+SUMPRODUCT((Inputs!$C$5:$C$230=$B77)*Inputs!$D$5:$D$230*(((Inputs!$G$5:$G$230="moeda")+(Inputs!$G$5:$G$230="acoes"))*Inputs!$B$1+((Inputs!$G$5:$G$230&lt;&gt;"moeda")*(Inputs!$G$5:$G$230&lt;&gt;"acoes")))*INDEX(Inputs!$K$5:$AJ$230,0,MATCH(AC$2,Inputs!$K$4:$AJ$4,0)))+SUMPRODUCT((Inputs!$E$5:$E$230=$B77)*Inputs!$F$5:$F$230*(((Inputs!$G$5:$G$230="moeda")+(Inputs!$G$5:$G$230="acoes"))*Inputs!$B$1+((Inputs!$G$5:$G$230&lt;&gt;"moeda")*(Inputs!$G$5:$G$230&lt;&gt;"acoes")))*INDEX(Inputs!$K$5:$AJ$230,0,MATCH(AC$2,Inputs!$K$4:$AJ$4,0)))))</f>
        <v>24.881</v>
      </c>
      <c r="AD77" s="6">
        <f>IF(ISNA(MATCH(AD$2,Inputs!$K$4:$AJ$4,0)),NA(),IF(SUMPRODUCT((Inputs!$A$5:$A$230=$B77)*ISNUMBER(INDEX(Inputs!$K$5:$AJ$230,0,MATCH(AD$2,Inputs!$K$4:$AJ$4,0))))+SUMPRODUCT((Inputs!$C$5:$C$230=$B77)*ISNUMBER(INDEX(Inputs!$K$5:$AJ$230,0,MATCH(AD$2,Inputs!$K$4:$AJ$4,0))))+SUMPRODUCT((Inputs!$E$5:$E$230=$B77)*ISNUMBER(INDEX(Inputs!$K$5:$AJ$230,0,MATCH(AD$2,Inputs!$K$4:$AJ$4,0))))=0,NA(),SUMPRODUCT((Inputs!$A$5:$A$230=$B77)*Inputs!$B$5:$B$230*(((Inputs!$G$5:$G$230="moeda")+(Inputs!$G$5:$G$230="acoes"))*Inputs!$B$1+((Inputs!$G$5:$G$230&lt;&gt;"moeda")*(Inputs!$G$5:$G$230&lt;&gt;"acoes")))*INDEX(Inputs!$K$5:$AJ$230,0,MATCH(AD$2,Inputs!$K$4:$AJ$4,0)))+SUMPRODUCT((Inputs!$C$5:$C$230=$B77)*Inputs!$D$5:$D$230*(((Inputs!$G$5:$G$230="moeda")+(Inputs!$G$5:$G$230="acoes"))*Inputs!$B$1+((Inputs!$G$5:$G$230&lt;&gt;"moeda")*(Inputs!$G$5:$G$230&lt;&gt;"acoes")))*INDEX(Inputs!$K$5:$AJ$230,0,MATCH(AD$2,Inputs!$K$4:$AJ$4,0)))+SUMPRODUCT((Inputs!$E$5:$E$230=$B77)*Inputs!$F$5:$F$230*(((Inputs!$G$5:$G$230="moeda")+(Inputs!$G$5:$G$230="acoes"))*Inputs!$B$1+((Inputs!$G$5:$G$230&lt;&gt;"moeda")*(Inputs!$G$5:$G$230&lt;&gt;"acoes")))*INDEX(Inputs!$K$5:$AJ$230,0,MATCH(AD$2,Inputs!$K$4:$AJ$4,0)))))</f>
        <v>30.147</v>
      </c>
      <c r="AE77" s="6" t="e">
        <f>IF(ISNA(MATCH(AE$2,Inputs!$K$4:$AJ$4,0)),NA(),IF(SUMPRODUCT((Inputs!$A$5:$A$230=$B77)*ISNUMBER(INDEX(Inputs!$K$5:$AJ$230,0,MATCH(AE$2,Inputs!$K$4:$AJ$4,0))))+SUMPRODUCT((Inputs!$C$5:$C$230=$B77)*ISNUMBER(INDEX(Inputs!$K$5:$AJ$230,0,MATCH(AE$2,Inputs!$K$4:$AJ$4,0))))+SUMPRODUCT((Inputs!$E$5:$E$230=$B77)*ISNUMBER(INDEX(Inputs!$K$5:$AJ$230,0,MATCH(AE$2,Inputs!$K$4:$AJ$4,0))))=0,NA(),SUMPRODUCT((Inputs!$A$5:$A$230=$B77)*Inputs!$B$5:$B$230*(((Inputs!$G$5:$G$230="moeda")+(Inputs!$G$5:$G$230="acoes"))*Inputs!$B$1+((Inputs!$G$5:$G$230&lt;&gt;"moeda")*(Inputs!$G$5:$G$230&lt;&gt;"acoes")))*INDEX(Inputs!$K$5:$AJ$230,0,MATCH(AE$2,Inputs!$K$4:$AJ$4,0)))+SUMPRODUCT((Inputs!$C$5:$C$230=$B77)*Inputs!$D$5:$D$230*(((Inputs!$G$5:$G$230="moeda")+(Inputs!$G$5:$G$230="acoes"))*Inputs!$B$1+((Inputs!$G$5:$G$230&lt;&gt;"moeda")*(Inputs!$G$5:$G$230&lt;&gt;"acoes")))*INDEX(Inputs!$K$5:$AJ$230,0,MATCH(AE$2,Inputs!$K$4:$AJ$4,0)))+SUMPRODUCT((Inputs!$E$5:$E$230=$B77)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7" s="6" t="e">
        <f>IF(ISNA(MATCH(AF$2,Inputs!$K$4:$AJ$4,0)),NA(),IF(SUMPRODUCT((Inputs!$A$5:$A$230=$B77)*ISNUMBER(INDEX(Inputs!$K$5:$AJ$230,0,MATCH(AF$2,Inputs!$K$4:$AJ$4,0))))+SUMPRODUCT((Inputs!$C$5:$C$230=$B77)*ISNUMBER(INDEX(Inputs!$K$5:$AJ$230,0,MATCH(AF$2,Inputs!$K$4:$AJ$4,0))))+SUMPRODUCT((Inputs!$E$5:$E$230=$B77)*ISNUMBER(INDEX(Inputs!$K$5:$AJ$230,0,MATCH(AF$2,Inputs!$K$4:$AJ$4,0))))=0,NA(),SUMPRODUCT((Inputs!$A$5:$A$230=$B77)*Inputs!$B$5:$B$230*(((Inputs!$G$5:$G$230="moeda")+(Inputs!$G$5:$G$230="acoes"))*Inputs!$B$1+((Inputs!$G$5:$G$230&lt;&gt;"moeda")*(Inputs!$G$5:$G$230&lt;&gt;"acoes")))*INDEX(Inputs!$K$5:$AJ$230,0,MATCH(AF$2,Inputs!$K$4:$AJ$4,0)))+SUMPRODUCT((Inputs!$C$5:$C$230=$B77)*Inputs!$D$5:$D$230*(((Inputs!$G$5:$G$230="moeda")+(Inputs!$G$5:$G$230="acoes"))*Inputs!$B$1+((Inputs!$G$5:$G$230&lt;&gt;"moeda")*(Inputs!$G$5:$G$230&lt;&gt;"acoes")))*INDEX(Inputs!$K$5:$AJ$230,0,MATCH(AF$2,Inputs!$K$4:$AJ$4,0)))+SUMPRODUCT((Inputs!$E$5:$E$230=$B77)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7" s="3" t="e">
        <f>SUM(AC77:AF77)</f>
        <v>#N/A</v>
      </c>
      <c r="AH77" s="6">
        <f>IF(ISNA(MATCH(AH$2,Inputs!$K$4:$AJ$4,0)),NA(),IF(SUMPRODUCT((Inputs!$A$5:$A$230=$B77)*ISNUMBER(INDEX(Inputs!$K$5:$AJ$230,0,MATCH(AH$2,Inputs!$K$4:$AJ$4,0))))+SUMPRODUCT((Inputs!$C$5:$C$230=$B77)*ISNUMBER(INDEX(Inputs!$K$5:$AJ$230,0,MATCH(AH$2,Inputs!$K$4:$AJ$4,0))))+SUMPRODUCT((Inputs!$E$5:$E$230=$B77)*ISNUMBER(INDEX(Inputs!$K$5:$AJ$230,0,MATCH(AH$2,Inputs!$K$4:$AJ$4,0))))=0,NA(),SUMPRODUCT((Inputs!$A$5:$A$230=$B77)*Inputs!$B$5:$B$230*(((Inputs!$G$5:$G$230="moeda")+(Inputs!$G$5:$G$230="acoes"))*Inputs!$B$1+((Inputs!$G$5:$G$230&lt;&gt;"moeda")*(Inputs!$G$5:$G$230&lt;&gt;"acoes")))*INDEX(Inputs!$K$5:$AJ$230,0,MATCH(AH$2,Inputs!$K$4:$AJ$4,0)))+SUMPRODUCT((Inputs!$C$5:$C$230=$B77)*Inputs!$D$5:$D$230*(((Inputs!$G$5:$G$230="moeda")+(Inputs!$G$5:$G$230="acoes"))*Inputs!$B$1+((Inputs!$G$5:$G$230&lt;&gt;"moeda")*(Inputs!$G$5:$G$230&lt;&gt;"acoes")))*INDEX(Inputs!$K$5:$AJ$230,0,MATCH(AH$2,Inputs!$K$4:$AJ$4,0)))+SUMPRODUCT((Inputs!$E$5:$E$230=$B77)*Inputs!$F$5:$F$230*(((Inputs!$G$5:$G$230="moeda")+(Inputs!$G$5:$G$230="acoes"))*Inputs!$B$1+((Inputs!$G$5:$G$230&lt;&gt;"moeda")*(Inputs!$G$5:$G$230&lt;&gt;"acoes")))*INDEX(Inputs!$K$5:$AJ$230,0,MATCH(AH$2,Inputs!$K$4:$AJ$4,0)))))</f>
        <v>20.433</v>
      </c>
      <c r="AI77" s="6">
        <f>IF(ISNA(MATCH(AI$2,Inputs!$K$4:$AJ$4,0)),NA(),IF(SUMPRODUCT((Inputs!$A$5:$A$230=$B77)*ISNUMBER(INDEX(Inputs!$K$5:$AJ$230,0,MATCH(AI$2,Inputs!$K$4:$AJ$4,0))))+SUMPRODUCT((Inputs!$C$5:$C$230=$B77)*ISNUMBER(INDEX(Inputs!$K$5:$AJ$230,0,MATCH(AI$2,Inputs!$K$4:$AJ$4,0))))+SUMPRODUCT((Inputs!$E$5:$E$230=$B77)*ISNUMBER(INDEX(Inputs!$K$5:$AJ$230,0,MATCH(AI$2,Inputs!$K$4:$AJ$4,0))))=0,NA(),SUMPRODUCT((Inputs!$A$5:$A$230=$B77)*Inputs!$B$5:$B$230*(((Inputs!$G$5:$G$230="moeda")+(Inputs!$G$5:$G$230="acoes"))*Inputs!$B$1+((Inputs!$G$5:$G$230&lt;&gt;"moeda")*(Inputs!$G$5:$G$230&lt;&gt;"acoes")))*INDEX(Inputs!$K$5:$AJ$230,0,MATCH(AI$2,Inputs!$K$4:$AJ$4,0)))+SUMPRODUCT((Inputs!$C$5:$C$230=$B77)*Inputs!$D$5:$D$230*(((Inputs!$G$5:$G$230="moeda")+(Inputs!$G$5:$G$230="acoes"))*Inputs!$B$1+((Inputs!$G$5:$G$230&lt;&gt;"moeda")*(Inputs!$G$5:$G$230&lt;&gt;"acoes")))*INDEX(Inputs!$K$5:$AJ$230,0,MATCH(AI$2,Inputs!$K$4:$AJ$4,0)))+SUMPRODUCT((Inputs!$E$5:$E$230=$B77)*Inputs!$F$5:$F$230*(((Inputs!$G$5:$G$230="moeda")+(Inputs!$G$5:$G$230="acoes"))*Inputs!$B$1+((Inputs!$G$5:$G$230&lt;&gt;"moeda")*(Inputs!$G$5:$G$230&lt;&gt;"acoes")))*INDEX(Inputs!$K$5:$AJ$230,0,MATCH(AI$2,Inputs!$K$4:$AJ$4,0)))))</f>
        <v>10.224</v>
      </c>
      <c r="AJ77" s="6">
        <f>IF(ISNA(MATCH(AJ$2,Inputs!$K$4:$AJ$4,0)),NA(),IF(SUMPRODUCT((Inputs!$A$5:$A$230=$B77)*ISNUMBER(INDEX(Inputs!$K$5:$AJ$230,0,MATCH(AJ$2,Inputs!$K$4:$AJ$4,0))))+SUMPRODUCT((Inputs!$C$5:$C$230=$B77)*ISNUMBER(INDEX(Inputs!$K$5:$AJ$230,0,MATCH(AJ$2,Inputs!$K$4:$AJ$4,0))))+SUMPRODUCT((Inputs!$E$5:$E$230=$B77)*ISNUMBER(INDEX(Inputs!$K$5:$AJ$230,0,MATCH(AJ$2,Inputs!$K$4:$AJ$4,0))))=0,NA(),SUMPRODUCT((Inputs!$A$5:$A$230=$B77)*Inputs!$B$5:$B$230*(((Inputs!$G$5:$G$230="moeda")+(Inputs!$G$5:$G$230="acoes"))*Inputs!$B$1+((Inputs!$G$5:$G$230&lt;&gt;"moeda")*(Inputs!$G$5:$G$230&lt;&gt;"acoes")))*INDEX(Inputs!$K$5:$AJ$230,0,MATCH(AJ$2,Inputs!$K$4:$AJ$4,0)))+SUMPRODUCT((Inputs!$C$5:$C$230=$B77)*Inputs!$D$5:$D$230*(((Inputs!$G$5:$G$230="moeda")+(Inputs!$G$5:$G$230="acoes"))*Inputs!$B$1+((Inputs!$G$5:$G$230&lt;&gt;"moeda")*(Inputs!$G$5:$G$230&lt;&gt;"acoes")))*INDEX(Inputs!$K$5:$AJ$230,0,MATCH(AJ$2,Inputs!$K$4:$AJ$4,0)))+SUMPRODUCT((Inputs!$E$5:$E$230=$B77)*Inputs!$F$5:$F$230*(((Inputs!$G$5:$G$230="moeda")+(Inputs!$G$5:$G$230="acoes"))*Inputs!$B$1+((Inputs!$G$5:$G$230&lt;&gt;"moeda")*(Inputs!$G$5:$G$230&lt;&gt;"acoes")))*INDEX(Inputs!$K$5:$AJ$230,0,MATCH(AJ$2,Inputs!$K$4:$AJ$4,0)))))</f>
        <v>16.747</v>
      </c>
      <c r="AK77" s="6">
        <f>IF(ISNA(MATCH(AK$2,Inputs!$K$4:$AJ$4,0)),NA(),IF(SUMPRODUCT((Inputs!$A$5:$A$230=$B77)*ISNUMBER(INDEX(Inputs!$K$5:$AJ$230,0,MATCH(AK$2,Inputs!$K$4:$AJ$4,0))))+SUMPRODUCT((Inputs!$C$5:$C$230=$B77)*ISNUMBER(INDEX(Inputs!$K$5:$AJ$230,0,MATCH(AK$2,Inputs!$K$4:$AJ$4,0))))+SUMPRODUCT((Inputs!$E$5:$E$230=$B77)*ISNUMBER(INDEX(Inputs!$K$5:$AJ$230,0,MATCH(AK$2,Inputs!$K$4:$AJ$4,0))))=0,NA(),SUMPRODUCT((Inputs!$A$5:$A$230=$B77)*Inputs!$B$5:$B$230*(((Inputs!$G$5:$G$230="moeda")+(Inputs!$G$5:$G$230="acoes"))*Inputs!$B$1+((Inputs!$G$5:$G$230&lt;&gt;"moeda")*(Inputs!$G$5:$G$230&lt;&gt;"acoes")))*INDEX(Inputs!$K$5:$AJ$230,0,MATCH(AK$2,Inputs!$K$4:$AJ$4,0)))+SUMPRODUCT((Inputs!$C$5:$C$230=$B77)*Inputs!$D$5:$D$230*(((Inputs!$G$5:$G$230="moeda")+(Inputs!$G$5:$G$230="acoes"))*Inputs!$B$1+((Inputs!$G$5:$G$230&lt;&gt;"moeda")*(Inputs!$G$5:$G$230&lt;&gt;"acoes")))*INDEX(Inputs!$K$5:$AJ$230,0,MATCH(AK$2,Inputs!$K$4:$AJ$4,0)))+SUMPRODUCT((Inputs!$E$5:$E$230=$B77)*Inputs!$F$5:$F$230*(((Inputs!$G$5:$G$230="moeda")+(Inputs!$G$5:$G$230="acoes"))*Inputs!$B$1+((Inputs!$G$5:$G$230&lt;&gt;"moeda")*(Inputs!$G$5:$G$230&lt;&gt;"acoes")))*INDEX(Inputs!$K$5:$AJ$230,0,MATCH(AK$2,Inputs!$K$4:$AJ$4,0)))))</f>
        <v>31.592</v>
      </c>
      <c r="AL77" s="3">
        <f>SUM(AH77:AK77)</f>
        <v>78.996</v>
      </c>
    </row>
    <row r="78">
      <c r="B78" s="46" t="n">
        <v>70</v>
      </c>
      <c r="C78" s="29" t="inlineStr">
        <is>
          <t>Transmissao | ETC</t>
        </is>
      </c>
      <c r="D78" s="6">
        <f>IF(ISNA(MATCH(D$2,Inputs!$K$4:$AJ$4,0)),NA(),IF(SUMPRODUCT((Inputs!$A$5:$A$230=$B78)*ISNUMBER(INDEX(Inputs!$K$5:$AJ$230,0,MATCH(D$2,Inputs!$K$4:$AJ$4,0))))+SUMPRODUCT((Inputs!$C$5:$C$230=$B78)*ISNUMBER(INDEX(Inputs!$K$5:$AJ$230,0,MATCH(D$2,Inputs!$K$4:$AJ$4,0))))+SUMPRODUCT((Inputs!$E$5:$E$230=$B78)*ISNUMBER(INDEX(Inputs!$K$5:$AJ$230,0,MATCH(D$2,Inputs!$K$4:$AJ$4,0))))=0,NA(),SUMPRODUCT((Inputs!$A$5:$A$230=$B78)*Inputs!$B$5:$B$230*(((Inputs!$G$5:$G$230="moeda")+(Inputs!$G$5:$G$230="acoes"))*Inputs!$B$1+((Inputs!$G$5:$G$230&lt;&gt;"moeda")*(Inputs!$G$5:$G$230&lt;&gt;"acoes")))*INDEX(Inputs!$K$5:$AJ$230,0,MATCH(D$2,Inputs!$K$4:$AJ$4,0)))+SUMPRODUCT((Inputs!$C$5:$C$230=$B78)*Inputs!$D$5:$D$230*(((Inputs!$G$5:$G$230="moeda")+(Inputs!$G$5:$G$230="acoes"))*Inputs!$B$1+((Inputs!$G$5:$G$230&lt;&gt;"moeda")*(Inputs!$G$5:$G$230&lt;&gt;"acoes")))*INDEX(Inputs!$K$5:$AJ$230,0,MATCH(D$2,Inputs!$K$4:$AJ$4,0)))+SUMPRODUCT((Inputs!$E$5:$E$230=$B78)*Inputs!$F$5:$F$230*(((Inputs!$G$5:$G$230="moeda")+(Inputs!$G$5:$G$230="acoes"))*Inputs!$B$1+((Inputs!$G$5:$G$230&lt;&gt;"moeda")*(Inputs!$G$5:$G$230&lt;&gt;"acoes")))*INDEX(Inputs!$K$5:$AJ$230,0,MATCH(D$2,Inputs!$K$4:$AJ$4,0)))))</f>
        <v>15.148</v>
      </c>
      <c r="E78" s="6">
        <f>IF(ISNA(MATCH(E$2,Inputs!$K$4:$AJ$4,0)),NA(),IF(SUMPRODUCT((Inputs!$A$5:$A$230=$B78)*ISNUMBER(INDEX(Inputs!$K$5:$AJ$230,0,MATCH(E$2,Inputs!$K$4:$AJ$4,0))))+SUMPRODUCT((Inputs!$C$5:$C$230=$B78)*ISNUMBER(INDEX(Inputs!$K$5:$AJ$230,0,MATCH(E$2,Inputs!$K$4:$AJ$4,0))))+SUMPRODUCT((Inputs!$E$5:$E$230=$B78)*ISNUMBER(INDEX(Inputs!$K$5:$AJ$230,0,MATCH(E$2,Inputs!$K$4:$AJ$4,0))))=0,NA(),SUMPRODUCT((Inputs!$A$5:$A$230=$B78)*Inputs!$B$5:$B$230*(((Inputs!$G$5:$G$230="moeda")+(Inputs!$G$5:$G$230="acoes"))*Inputs!$B$1+((Inputs!$G$5:$G$230&lt;&gt;"moeda")*(Inputs!$G$5:$G$230&lt;&gt;"acoes")))*INDEX(Inputs!$K$5:$AJ$230,0,MATCH(E$2,Inputs!$K$4:$AJ$4,0)))+SUMPRODUCT((Inputs!$C$5:$C$230=$B78)*Inputs!$D$5:$D$230*(((Inputs!$G$5:$G$230="moeda")+(Inputs!$G$5:$G$230="acoes"))*Inputs!$B$1+((Inputs!$G$5:$G$230&lt;&gt;"moeda")*(Inputs!$G$5:$G$230&lt;&gt;"acoes")))*INDEX(Inputs!$K$5:$AJ$230,0,MATCH(E$2,Inputs!$K$4:$AJ$4,0)))+SUMPRODUCT((Inputs!$E$5:$E$230=$B78)*Inputs!$F$5:$F$230*(((Inputs!$G$5:$G$230="moeda")+(Inputs!$G$5:$G$230="acoes"))*Inputs!$B$1+((Inputs!$G$5:$G$230&lt;&gt;"moeda")*(Inputs!$G$5:$G$230&lt;&gt;"acoes")))*INDEX(Inputs!$K$5:$AJ$230,0,MATCH(E$2,Inputs!$K$4:$AJ$4,0)))))</f>
        <v>16.216</v>
      </c>
      <c r="F78" s="6">
        <f>IF(ISNA(MATCH(F$2,Inputs!$K$4:$AJ$4,0)),NA(),IF(SUMPRODUCT((Inputs!$A$5:$A$230=$B78)*ISNUMBER(INDEX(Inputs!$K$5:$AJ$230,0,MATCH(F$2,Inputs!$K$4:$AJ$4,0))))+SUMPRODUCT((Inputs!$C$5:$C$230=$B78)*ISNUMBER(INDEX(Inputs!$K$5:$AJ$230,0,MATCH(F$2,Inputs!$K$4:$AJ$4,0))))+SUMPRODUCT((Inputs!$E$5:$E$230=$B78)*ISNUMBER(INDEX(Inputs!$K$5:$AJ$230,0,MATCH(F$2,Inputs!$K$4:$AJ$4,0))))=0,NA(),SUMPRODUCT((Inputs!$A$5:$A$230=$B78)*Inputs!$B$5:$B$230*(((Inputs!$G$5:$G$230="moeda")+(Inputs!$G$5:$G$230="acoes"))*Inputs!$B$1+((Inputs!$G$5:$G$230&lt;&gt;"moeda")*(Inputs!$G$5:$G$230&lt;&gt;"acoes")))*INDEX(Inputs!$K$5:$AJ$230,0,MATCH(F$2,Inputs!$K$4:$AJ$4,0)))+SUMPRODUCT((Inputs!$C$5:$C$230=$B78)*Inputs!$D$5:$D$230*(((Inputs!$G$5:$G$230="moeda")+(Inputs!$G$5:$G$230="acoes"))*Inputs!$B$1+((Inputs!$G$5:$G$230&lt;&gt;"moeda")*(Inputs!$G$5:$G$230&lt;&gt;"acoes")))*INDEX(Inputs!$K$5:$AJ$230,0,MATCH(F$2,Inputs!$K$4:$AJ$4,0)))+SUMPRODUCT((Inputs!$E$5:$E$230=$B78)*Inputs!$F$5:$F$230*(((Inputs!$G$5:$G$230="moeda")+(Inputs!$G$5:$G$230="acoes"))*Inputs!$B$1+((Inputs!$G$5:$G$230&lt;&gt;"moeda")*(Inputs!$G$5:$G$230&lt;&gt;"acoes")))*INDEX(Inputs!$K$5:$AJ$230,0,MATCH(F$2,Inputs!$K$4:$AJ$4,0)))))</f>
        <v>14.508</v>
      </c>
      <c r="G78" s="6">
        <f>IF(ISNA(MATCH(G$2,Inputs!$K$4:$AJ$4,0)),NA(),IF(SUMPRODUCT((Inputs!$A$5:$A$230=$B78)*ISNUMBER(INDEX(Inputs!$K$5:$AJ$230,0,MATCH(G$2,Inputs!$K$4:$AJ$4,0))))+SUMPRODUCT((Inputs!$C$5:$C$230=$B78)*ISNUMBER(INDEX(Inputs!$K$5:$AJ$230,0,MATCH(G$2,Inputs!$K$4:$AJ$4,0))))+SUMPRODUCT((Inputs!$E$5:$E$230=$B78)*ISNUMBER(INDEX(Inputs!$K$5:$AJ$230,0,MATCH(G$2,Inputs!$K$4:$AJ$4,0))))=0,NA(),SUMPRODUCT((Inputs!$A$5:$A$230=$B78)*Inputs!$B$5:$B$230*(((Inputs!$G$5:$G$230="moeda")+(Inputs!$G$5:$G$230="acoes"))*Inputs!$B$1+((Inputs!$G$5:$G$230&lt;&gt;"moeda")*(Inputs!$G$5:$G$230&lt;&gt;"acoes")))*INDEX(Inputs!$K$5:$AJ$230,0,MATCH(G$2,Inputs!$K$4:$AJ$4,0)))+SUMPRODUCT((Inputs!$C$5:$C$230=$B78)*Inputs!$D$5:$D$230*(((Inputs!$G$5:$G$230="moeda")+(Inputs!$G$5:$G$230="acoes"))*Inputs!$B$1+((Inputs!$G$5:$G$230&lt;&gt;"moeda")*(Inputs!$G$5:$G$230&lt;&gt;"acoes")))*INDEX(Inputs!$K$5:$AJ$230,0,MATCH(G$2,Inputs!$K$4:$AJ$4,0)))+SUMPRODUCT((Inputs!$E$5:$E$230=$B78)*Inputs!$F$5:$F$230*(((Inputs!$G$5:$G$230="moeda")+(Inputs!$G$5:$G$230="acoes"))*Inputs!$B$1+((Inputs!$G$5:$G$230&lt;&gt;"moeda")*(Inputs!$G$5:$G$230&lt;&gt;"acoes")))*INDEX(Inputs!$K$5:$AJ$230,0,MATCH(G$2,Inputs!$K$4:$AJ$4,0)))))</f>
        <v>17.295</v>
      </c>
      <c r="H78" s="3">
        <f>SUM(D78:G78)</f>
        <v>63.167</v>
      </c>
      <c r="I78" s="6">
        <f>IF(ISNA(MATCH(I$2,Inputs!$K$4:$AJ$4,0)),NA(),IF(SUMPRODUCT((Inputs!$A$5:$A$230=$B78)*ISNUMBER(INDEX(Inputs!$K$5:$AJ$230,0,MATCH(I$2,Inputs!$K$4:$AJ$4,0))))+SUMPRODUCT((Inputs!$C$5:$C$230=$B78)*ISNUMBER(INDEX(Inputs!$K$5:$AJ$230,0,MATCH(I$2,Inputs!$K$4:$AJ$4,0))))+SUMPRODUCT((Inputs!$E$5:$E$230=$B78)*ISNUMBER(INDEX(Inputs!$K$5:$AJ$230,0,MATCH(I$2,Inputs!$K$4:$AJ$4,0))))=0,NA(),SUMPRODUCT((Inputs!$A$5:$A$230=$B78)*Inputs!$B$5:$B$230*(((Inputs!$G$5:$G$230="moeda")+(Inputs!$G$5:$G$230="acoes"))*Inputs!$B$1+((Inputs!$G$5:$G$230&lt;&gt;"moeda")*(Inputs!$G$5:$G$230&lt;&gt;"acoes")))*INDEX(Inputs!$K$5:$AJ$230,0,MATCH(I$2,Inputs!$K$4:$AJ$4,0)))+SUMPRODUCT((Inputs!$C$5:$C$230=$B78)*Inputs!$D$5:$D$230*(((Inputs!$G$5:$G$230="moeda")+(Inputs!$G$5:$G$230="acoes"))*Inputs!$B$1+((Inputs!$G$5:$G$230&lt;&gt;"moeda")*(Inputs!$G$5:$G$230&lt;&gt;"acoes")))*INDEX(Inputs!$K$5:$AJ$230,0,MATCH(I$2,Inputs!$K$4:$AJ$4,0)))+SUMPRODUCT((Inputs!$E$5:$E$230=$B78)*Inputs!$F$5:$F$230*(((Inputs!$G$5:$G$230="moeda")+(Inputs!$G$5:$G$230="acoes"))*Inputs!$B$1+((Inputs!$G$5:$G$230&lt;&gt;"moeda")*(Inputs!$G$5:$G$230&lt;&gt;"acoes")))*INDEX(Inputs!$K$5:$AJ$230,0,MATCH(I$2,Inputs!$K$4:$AJ$4,0)))))</f>
        <v>15.181</v>
      </c>
      <c r="J78" s="6">
        <f>IF(ISNA(MATCH(J$2,Inputs!$K$4:$AJ$4,0)),NA(),IF(SUMPRODUCT((Inputs!$A$5:$A$230=$B78)*ISNUMBER(INDEX(Inputs!$K$5:$AJ$230,0,MATCH(J$2,Inputs!$K$4:$AJ$4,0))))+SUMPRODUCT((Inputs!$C$5:$C$230=$B78)*ISNUMBER(INDEX(Inputs!$K$5:$AJ$230,0,MATCH(J$2,Inputs!$K$4:$AJ$4,0))))+SUMPRODUCT((Inputs!$E$5:$E$230=$B78)*ISNUMBER(INDEX(Inputs!$K$5:$AJ$230,0,MATCH(J$2,Inputs!$K$4:$AJ$4,0))))=0,NA(),SUMPRODUCT((Inputs!$A$5:$A$230=$B78)*Inputs!$B$5:$B$230*(((Inputs!$G$5:$G$230="moeda")+(Inputs!$G$5:$G$230="acoes"))*Inputs!$B$1+((Inputs!$G$5:$G$230&lt;&gt;"moeda")*(Inputs!$G$5:$G$230&lt;&gt;"acoes")))*INDEX(Inputs!$K$5:$AJ$230,0,MATCH(J$2,Inputs!$K$4:$AJ$4,0)))+SUMPRODUCT((Inputs!$C$5:$C$230=$B78)*Inputs!$D$5:$D$230*(((Inputs!$G$5:$G$230="moeda")+(Inputs!$G$5:$G$230="acoes"))*Inputs!$B$1+((Inputs!$G$5:$G$230&lt;&gt;"moeda")*(Inputs!$G$5:$G$230&lt;&gt;"acoes")))*INDEX(Inputs!$K$5:$AJ$230,0,MATCH(J$2,Inputs!$K$4:$AJ$4,0)))+SUMPRODUCT((Inputs!$E$5:$E$230=$B78)*Inputs!$F$5:$F$230*(((Inputs!$G$5:$G$230="moeda")+(Inputs!$G$5:$G$230="acoes"))*Inputs!$B$1+((Inputs!$G$5:$G$230&lt;&gt;"moeda")*(Inputs!$G$5:$G$230&lt;&gt;"acoes")))*INDEX(Inputs!$K$5:$AJ$230,0,MATCH(J$2,Inputs!$K$4:$AJ$4,0)))))</f>
        <v>18.328</v>
      </c>
      <c r="K78" s="6">
        <f>IF(ISNA(MATCH(K$2,Inputs!$K$4:$AJ$4,0)),NA(),IF(SUMPRODUCT((Inputs!$A$5:$A$230=$B78)*ISNUMBER(INDEX(Inputs!$K$5:$AJ$230,0,MATCH(K$2,Inputs!$K$4:$AJ$4,0))))+SUMPRODUCT((Inputs!$C$5:$C$230=$B78)*ISNUMBER(INDEX(Inputs!$K$5:$AJ$230,0,MATCH(K$2,Inputs!$K$4:$AJ$4,0))))+SUMPRODUCT((Inputs!$E$5:$E$230=$B78)*ISNUMBER(INDEX(Inputs!$K$5:$AJ$230,0,MATCH(K$2,Inputs!$K$4:$AJ$4,0))))=0,NA(),SUMPRODUCT((Inputs!$A$5:$A$230=$B78)*Inputs!$B$5:$B$230*(((Inputs!$G$5:$G$230="moeda")+(Inputs!$G$5:$G$230="acoes"))*Inputs!$B$1+((Inputs!$G$5:$G$230&lt;&gt;"moeda")*(Inputs!$G$5:$G$230&lt;&gt;"acoes")))*INDEX(Inputs!$K$5:$AJ$230,0,MATCH(K$2,Inputs!$K$4:$AJ$4,0)))+SUMPRODUCT((Inputs!$C$5:$C$230=$B78)*Inputs!$D$5:$D$230*(((Inputs!$G$5:$G$230="moeda")+(Inputs!$G$5:$G$230="acoes"))*Inputs!$B$1+((Inputs!$G$5:$G$230&lt;&gt;"moeda")*(Inputs!$G$5:$G$230&lt;&gt;"acoes")))*INDEX(Inputs!$K$5:$AJ$230,0,MATCH(K$2,Inputs!$K$4:$AJ$4,0)))+SUMPRODUCT((Inputs!$E$5:$E$230=$B78)*Inputs!$F$5:$F$230*(((Inputs!$G$5:$G$230="moeda")+(Inputs!$G$5:$G$230="acoes"))*Inputs!$B$1+((Inputs!$G$5:$G$230&lt;&gt;"moeda")*(Inputs!$G$5:$G$230&lt;&gt;"acoes")))*INDEX(Inputs!$K$5:$AJ$230,0,MATCH(K$2,Inputs!$K$4:$AJ$4,0)))))</f>
        <v>8.04</v>
      </c>
      <c r="L78" s="6">
        <f>IF(ISNA(MATCH(L$2,Inputs!$K$4:$AJ$4,0)),NA(),IF(SUMPRODUCT((Inputs!$A$5:$A$230=$B78)*ISNUMBER(INDEX(Inputs!$K$5:$AJ$230,0,MATCH(L$2,Inputs!$K$4:$AJ$4,0))))+SUMPRODUCT((Inputs!$C$5:$C$230=$B78)*ISNUMBER(INDEX(Inputs!$K$5:$AJ$230,0,MATCH(L$2,Inputs!$K$4:$AJ$4,0))))+SUMPRODUCT((Inputs!$E$5:$E$230=$B78)*ISNUMBER(INDEX(Inputs!$K$5:$AJ$230,0,MATCH(L$2,Inputs!$K$4:$AJ$4,0))))=0,NA(),SUMPRODUCT((Inputs!$A$5:$A$230=$B78)*Inputs!$B$5:$B$230*(((Inputs!$G$5:$G$230="moeda")+(Inputs!$G$5:$G$230="acoes"))*Inputs!$B$1+((Inputs!$G$5:$G$230&lt;&gt;"moeda")*(Inputs!$G$5:$G$230&lt;&gt;"acoes")))*INDEX(Inputs!$K$5:$AJ$230,0,MATCH(L$2,Inputs!$K$4:$AJ$4,0)))+SUMPRODUCT((Inputs!$C$5:$C$230=$B78)*Inputs!$D$5:$D$230*(((Inputs!$G$5:$G$230="moeda")+(Inputs!$G$5:$G$230="acoes"))*Inputs!$B$1+((Inputs!$G$5:$G$230&lt;&gt;"moeda")*(Inputs!$G$5:$G$230&lt;&gt;"acoes")))*INDEX(Inputs!$K$5:$AJ$230,0,MATCH(L$2,Inputs!$K$4:$AJ$4,0)))+SUMPRODUCT((Inputs!$E$5:$E$230=$B78)*Inputs!$F$5:$F$230*(((Inputs!$G$5:$G$230="moeda")+(Inputs!$G$5:$G$230="acoes"))*Inputs!$B$1+((Inputs!$G$5:$G$230&lt;&gt;"moeda")*(Inputs!$G$5:$G$230&lt;&gt;"acoes")))*INDEX(Inputs!$K$5:$AJ$230,0,MATCH(L$2,Inputs!$K$4:$AJ$4,0)))))</f>
        <v>11.115</v>
      </c>
      <c r="M78" s="3">
        <f>SUM(I78:L78)</f>
        <v>52.664</v>
      </c>
      <c r="N78" s="6">
        <f>IF(ISNA(MATCH(N$2,Inputs!$K$4:$AJ$4,0)),NA(),IF(SUMPRODUCT((Inputs!$A$5:$A$230=$B78)*ISNUMBER(INDEX(Inputs!$K$5:$AJ$230,0,MATCH(N$2,Inputs!$K$4:$AJ$4,0))))+SUMPRODUCT((Inputs!$C$5:$C$230=$B78)*ISNUMBER(INDEX(Inputs!$K$5:$AJ$230,0,MATCH(N$2,Inputs!$K$4:$AJ$4,0))))+SUMPRODUCT((Inputs!$E$5:$E$230=$B78)*ISNUMBER(INDEX(Inputs!$K$5:$AJ$230,0,MATCH(N$2,Inputs!$K$4:$AJ$4,0))))=0,NA(),SUMPRODUCT((Inputs!$A$5:$A$230=$B78)*Inputs!$B$5:$B$230*(((Inputs!$G$5:$G$230="moeda")+(Inputs!$G$5:$G$230="acoes"))*Inputs!$B$1+((Inputs!$G$5:$G$230&lt;&gt;"moeda")*(Inputs!$G$5:$G$230&lt;&gt;"acoes")))*INDEX(Inputs!$K$5:$AJ$230,0,MATCH(N$2,Inputs!$K$4:$AJ$4,0)))+SUMPRODUCT((Inputs!$C$5:$C$230=$B78)*Inputs!$D$5:$D$230*(((Inputs!$G$5:$G$230="moeda")+(Inputs!$G$5:$G$230="acoes"))*Inputs!$B$1+((Inputs!$G$5:$G$230&lt;&gt;"moeda")*(Inputs!$G$5:$G$230&lt;&gt;"acoes")))*INDEX(Inputs!$K$5:$AJ$230,0,MATCH(N$2,Inputs!$K$4:$AJ$4,0)))+SUMPRODUCT((Inputs!$E$5:$E$230=$B78)*Inputs!$F$5:$F$230*(((Inputs!$G$5:$G$230="moeda")+(Inputs!$G$5:$G$230="acoes"))*Inputs!$B$1+((Inputs!$G$5:$G$230&lt;&gt;"moeda")*(Inputs!$G$5:$G$230&lt;&gt;"acoes")))*INDEX(Inputs!$K$5:$AJ$230,0,MATCH(N$2,Inputs!$K$4:$AJ$4,0)))))</f>
        <v>15.039</v>
      </c>
      <c r="O78" s="6">
        <f>IF(ISNA(MATCH(O$2,Inputs!$K$4:$AJ$4,0)),NA(),IF(SUMPRODUCT((Inputs!$A$5:$A$230=$B78)*ISNUMBER(INDEX(Inputs!$K$5:$AJ$230,0,MATCH(O$2,Inputs!$K$4:$AJ$4,0))))+SUMPRODUCT((Inputs!$C$5:$C$230=$B78)*ISNUMBER(INDEX(Inputs!$K$5:$AJ$230,0,MATCH(O$2,Inputs!$K$4:$AJ$4,0))))+SUMPRODUCT((Inputs!$E$5:$E$230=$B78)*ISNUMBER(INDEX(Inputs!$K$5:$AJ$230,0,MATCH(O$2,Inputs!$K$4:$AJ$4,0))))=0,NA(),SUMPRODUCT((Inputs!$A$5:$A$230=$B78)*Inputs!$B$5:$B$230*(((Inputs!$G$5:$G$230="moeda")+(Inputs!$G$5:$G$230="acoes"))*Inputs!$B$1+((Inputs!$G$5:$G$230&lt;&gt;"moeda")*(Inputs!$G$5:$G$230&lt;&gt;"acoes")))*INDEX(Inputs!$K$5:$AJ$230,0,MATCH(O$2,Inputs!$K$4:$AJ$4,0)))+SUMPRODUCT((Inputs!$C$5:$C$230=$B78)*Inputs!$D$5:$D$230*(((Inputs!$G$5:$G$230="moeda")+(Inputs!$G$5:$G$230="acoes"))*Inputs!$B$1+((Inputs!$G$5:$G$230&lt;&gt;"moeda")*(Inputs!$G$5:$G$230&lt;&gt;"acoes")))*INDEX(Inputs!$K$5:$AJ$230,0,MATCH(O$2,Inputs!$K$4:$AJ$4,0)))+SUMPRODUCT((Inputs!$E$5:$E$230=$B78)*Inputs!$F$5:$F$230*(((Inputs!$G$5:$G$230="moeda")+(Inputs!$G$5:$G$230="acoes"))*Inputs!$B$1+((Inputs!$G$5:$G$230&lt;&gt;"moeda")*(Inputs!$G$5:$G$230&lt;&gt;"acoes")))*INDEX(Inputs!$K$5:$AJ$230,0,MATCH(O$2,Inputs!$K$4:$AJ$4,0)))))</f>
        <v>14.066</v>
      </c>
      <c r="P78" s="6">
        <f>IF(ISNA(MATCH(P$2,Inputs!$K$4:$AJ$4,0)),NA(),IF(SUMPRODUCT((Inputs!$A$5:$A$230=$B78)*ISNUMBER(INDEX(Inputs!$K$5:$AJ$230,0,MATCH(P$2,Inputs!$K$4:$AJ$4,0))))+SUMPRODUCT((Inputs!$C$5:$C$230=$B78)*ISNUMBER(INDEX(Inputs!$K$5:$AJ$230,0,MATCH(P$2,Inputs!$K$4:$AJ$4,0))))+SUMPRODUCT((Inputs!$E$5:$E$230=$B78)*ISNUMBER(INDEX(Inputs!$K$5:$AJ$230,0,MATCH(P$2,Inputs!$K$4:$AJ$4,0))))=0,NA(),SUMPRODUCT((Inputs!$A$5:$A$230=$B78)*Inputs!$B$5:$B$230*(((Inputs!$G$5:$G$230="moeda")+(Inputs!$G$5:$G$230="acoes"))*Inputs!$B$1+((Inputs!$G$5:$G$230&lt;&gt;"moeda")*(Inputs!$G$5:$G$230&lt;&gt;"acoes")))*INDEX(Inputs!$K$5:$AJ$230,0,MATCH(P$2,Inputs!$K$4:$AJ$4,0)))+SUMPRODUCT((Inputs!$C$5:$C$230=$B78)*Inputs!$D$5:$D$230*(((Inputs!$G$5:$G$230="moeda")+(Inputs!$G$5:$G$230="acoes"))*Inputs!$B$1+((Inputs!$G$5:$G$230&lt;&gt;"moeda")*(Inputs!$G$5:$G$230&lt;&gt;"acoes")))*INDEX(Inputs!$K$5:$AJ$230,0,MATCH(P$2,Inputs!$K$4:$AJ$4,0)))+SUMPRODUCT((Inputs!$E$5:$E$230=$B78)*Inputs!$F$5:$F$230*(((Inputs!$G$5:$G$230="moeda")+(Inputs!$G$5:$G$230="acoes"))*Inputs!$B$1+((Inputs!$G$5:$G$230&lt;&gt;"moeda")*(Inputs!$G$5:$G$230&lt;&gt;"acoes")))*INDEX(Inputs!$K$5:$AJ$230,0,MATCH(P$2,Inputs!$K$4:$AJ$4,0)))))</f>
        <v>10.166</v>
      </c>
      <c r="Q78" s="6">
        <f>IF(ISNA(MATCH(Q$2,Inputs!$K$4:$AJ$4,0)),NA(),IF(SUMPRODUCT((Inputs!$A$5:$A$230=$B78)*ISNUMBER(INDEX(Inputs!$K$5:$AJ$230,0,MATCH(Q$2,Inputs!$K$4:$AJ$4,0))))+SUMPRODUCT((Inputs!$C$5:$C$230=$B78)*ISNUMBER(INDEX(Inputs!$K$5:$AJ$230,0,MATCH(Q$2,Inputs!$K$4:$AJ$4,0))))+SUMPRODUCT((Inputs!$E$5:$E$230=$B78)*ISNUMBER(INDEX(Inputs!$K$5:$AJ$230,0,MATCH(Q$2,Inputs!$K$4:$AJ$4,0))))=0,NA(),SUMPRODUCT((Inputs!$A$5:$A$230=$B78)*Inputs!$B$5:$B$230*(((Inputs!$G$5:$G$230="moeda")+(Inputs!$G$5:$G$230="acoes"))*Inputs!$B$1+((Inputs!$G$5:$G$230&lt;&gt;"moeda")*(Inputs!$G$5:$G$230&lt;&gt;"acoes")))*INDEX(Inputs!$K$5:$AJ$230,0,MATCH(Q$2,Inputs!$K$4:$AJ$4,0)))+SUMPRODUCT((Inputs!$C$5:$C$230=$B78)*Inputs!$D$5:$D$230*(((Inputs!$G$5:$G$230="moeda")+(Inputs!$G$5:$G$230="acoes"))*Inputs!$B$1+((Inputs!$G$5:$G$230&lt;&gt;"moeda")*(Inputs!$G$5:$G$230&lt;&gt;"acoes")))*INDEX(Inputs!$K$5:$AJ$230,0,MATCH(Q$2,Inputs!$K$4:$AJ$4,0)))+SUMPRODUCT((Inputs!$E$5:$E$230=$B78)*Inputs!$F$5:$F$230*(((Inputs!$G$5:$G$230="moeda")+(Inputs!$G$5:$G$230="acoes"))*Inputs!$B$1+((Inputs!$G$5:$G$230&lt;&gt;"moeda")*(Inputs!$G$5:$G$230&lt;&gt;"acoes")))*INDEX(Inputs!$K$5:$AJ$230,0,MATCH(Q$2,Inputs!$K$4:$AJ$4,0)))))</f>
        <v>11.719</v>
      </c>
      <c r="R78" s="3">
        <f>SUM(N78:Q78)</f>
        <v>50.99</v>
      </c>
      <c r="S78" s="6">
        <f>IF(ISNA(MATCH(S$2,Inputs!$K$4:$AJ$4,0)),NA(),IF(SUMPRODUCT((Inputs!$A$5:$A$230=$B78)*ISNUMBER(INDEX(Inputs!$K$5:$AJ$230,0,MATCH(S$2,Inputs!$K$4:$AJ$4,0))))+SUMPRODUCT((Inputs!$C$5:$C$230=$B78)*ISNUMBER(INDEX(Inputs!$K$5:$AJ$230,0,MATCH(S$2,Inputs!$K$4:$AJ$4,0))))+SUMPRODUCT((Inputs!$E$5:$E$230=$B78)*ISNUMBER(INDEX(Inputs!$K$5:$AJ$230,0,MATCH(S$2,Inputs!$K$4:$AJ$4,0))))=0,NA(),SUMPRODUCT((Inputs!$A$5:$A$230=$B78)*Inputs!$B$5:$B$230*(((Inputs!$G$5:$G$230="moeda")+(Inputs!$G$5:$G$230="acoes"))*Inputs!$B$1+((Inputs!$G$5:$G$230&lt;&gt;"moeda")*(Inputs!$G$5:$G$230&lt;&gt;"acoes")))*INDEX(Inputs!$K$5:$AJ$230,0,MATCH(S$2,Inputs!$K$4:$AJ$4,0)))+SUMPRODUCT((Inputs!$C$5:$C$230=$B78)*Inputs!$D$5:$D$230*(((Inputs!$G$5:$G$230="moeda")+(Inputs!$G$5:$G$230="acoes"))*Inputs!$B$1+((Inputs!$G$5:$G$230&lt;&gt;"moeda")*(Inputs!$G$5:$G$230&lt;&gt;"acoes")))*INDEX(Inputs!$K$5:$AJ$230,0,MATCH(S$2,Inputs!$K$4:$AJ$4,0)))+SUMPRODUCT((Inputs!$E$5:$E$230=$B78)*Inputs!$F$5:$F$230*(((Inputs!$G$5:$G$230="moeda")+(Inputs!$G$5:$G$230="acoes"))*Inputs!$B$1+((Inputs!$G$5:$G$230&lt;&gt;"moeda")*(Inputs!$G$5:$G$230&lt;&gt;"acoes")))*INDEX(Inputs!$K$5:$AJ$230,0,MATCH(S$2,Inputs!$K$4:$AJ$4,0)))))</f>
        <v>15.015</v>
      </c>
      <c r="T78" s="6">
        <f>IF(ISNA(MATCH(T$2,Inputs!$K$4:$AJ$4,0)),NA(),IF(SUMPRODUCT((Inputs!$A$5:$A$230=$B78)*ISNUMBER(INDEX(Inputs!$K$5:$AJ$230,0,MATCH(T$2,Inputs!$K$4:$AJ$4,0))))+SUMPRODUCT((Inputs!$C$5:$C$230=$B78)*ISNUMBER(INDEX(Inputs!$K$5:$AJ$230,0,MATCH(T$2,Inputs!$K$4:$AJ$4,0))))+SUMPRODUCT((Inputs!$E$5:$E$230=$B78)*ISNUMBER(INDEX(Inputs!$K$5:$AJ$230,0,MATCH(T$2,Inputs!$K$4:$AJ$4,0))))=0,NA(),SUMPRODUCT((Inputs!$A$5:$A$230=$B78)*Inputs!$B$5:$B$230*(((Inputs!$G$5:$G$230="moeda")+(Inputs!$G$5:$G$230="acoes"))*Inputs!$B$1+((Inputs!$G$5:$G$230&lt;&gt;"moeda")*(Inputs!$G$5:$G$230&lt;&gt;"acoes")))*INDEX(Inputs!$K$5:$AJ$230,0,MATCH(T$2,Inputs!$K$4:$AJ$4,0)))+SUMPRODUCT((Inputs!$C$5:$C$230=$B78)*Inputs!$D$5:$D$230*(((Inputs!$G$5:$G$230="moeda")+(Inputs!$G$5:$G$230="acoes"))*Inputs!$B$1+((Inputs!$G$5:$G$230&lt;&gt;"moeda")*(Inputs!$G$5:$G$230&lt;&gt;"acoes")))*INDEX(Inputs!$K$5:$AJ$230,0,MATCH(T$2,Inputs!$K$4:$AJ$4,0)))+SUMPRODUCT((Inputs!$E$5:$E$230=$B78)*Inputs!$F$5:$F$230*(((Inputs!$G$5:$G$230="moeda")+(Inputs!$G$5:$G$230="acoes"))*Inputs!$B$1+((Inputs!$G$5:$G$230&lt;&gt;"moeda")*(Inputs!$G$5:$G$230&lt;&gt;"acoes")))*INDEX(Inputs!$K$5:$AJ$230,0,MATCH(T$2,Inputs!$K$4:$AJ$4,0)))))</f>
        <v>12.771</v>
      </c>
      <c r="U78" s="6">
        <f>IF(ISNA(MATCH(U$2,Inputs!$K$4:$AJ$4,0)),NA(),IF(SUMPRODUCT((Inputs!$A$5:$A$230=$B78)*ISNUMBER(INDEX(Inputs!$K$5:$AJ$230,0,MATCH(U$2,Inputs!$K$4:$AJ$4,0))))+SUMPRODUCT((Inputs!$C$5:$C$230=$B78)*ISNUMBER(INDEX(Inputs!$K$5:$AJ$230,0,MATCH(U$2,Inputs!$K$4:$AJ$4,0))))+SUMPRODUCT((Inputs!$E$5:$E$230=$B78)*ISNUMBER(INDEX(Inputs!$K$5:$AJ$230,0,MATCH(U$2,Inputs!$K$4:$AJ$4,0))))=0,NA(),SUMPRODUCT((Inputs!$A$5:$A$230=$B78)*Inputs!$B$5:$B$230*(((Inputs!$G$5:$G$230="moeda")+(Inputs!$G$5:$G$230="acoes"))*Inputs!$B$1+((Inputs!$G$5:$G$230&lt;&gt;"moeda")*(Inputs!$G$5:$G$230&lt;&gt;"acoes")))*INDEX(Inputs!$K$5:$AJ$230,0,MATCH(U$2,Inputs!$K$4:$AJ$4,0)))+SUMPRODUCT((Inputs!$C$5:$C$230=$B78)*Inputs!$D$5:$D$230*(((Inputs!$G$5:$G$230="moeda")+(Inputs!$G$5:$G$230="acoes"))*Inputs!$B$1+((Inputs!$G$5:$G$230&lt;&gt;"moeda")*(Inputs!$G$5:$G$230&lt;&gt;"acoes")))*INDEX(Inputs!$K$5:$AJ$230,0,MATCH(U$2,Inputs!$K$4:$AJ$4,0)))+SUMPRODUCT((Inputs!$E$5:$E$230=$B78)*Inputs!$F$5:$F$230*(((Inputs!$G$5:$G$230="moeda")+(Inputs!$G$5:$G$230="acoes"))*Inputs!$B$1+((Inputs!$G$5:$G$230&lt;&gt;"moeda")*(Inputs!$G$5:$G$230&lt;&gt;"acoes")))*INDEX(Inputs!$K$5:$AJ$230,0,MATCH(U$2,Inputs!$K$4:$AJ$4,0)))))</f>
        <v>11.358</v>
      </c>
      <c r="V78" s="6">
        <f>IF(ISNA(MATCH(V$2,Inputs!$K$4:$AJ$4,0)),NA(),IF(SUMPRODUCT((Inputs!$A$5:$A$230=$B78)*ISNUMBER(INDEX(Inputs!$K$5:$AJ$230,0,MATCH(V$2,Inputs!$K$4:$AJ$4,0))))+SUMPRODUCT((Inputs!$C$5:$C$230=$B78)*ISNUMBER(INDEX(Inputs!$K$5:$AJ$230,0,MATCH(V$2,Inputs!$K$4:$AJ$4,0))))+SUMPRODUCT((Inputs!$E$5:$E$230=$B78)*ISNUMBER(INDEX(Inputs!$K$5:$AJ$230,0,MATCH(V$2,Inputs!$K$4:$AJ$4,0))))=0,NA(),SUMPRODUCT((Inputs!$A$5:$A$230=$B78)*Inputs!$B$5:$B$230*(((Inputs!$G$5:$G$230="moeda")+(Inputs!$G$5:$G$230="acoes"))*Inputs!$B$1+((Inputs!$G$5:$G$230&lt;&gt;"moeda")*(Inputs!$G$5:$G$230&lt;&gt;"acoes")))*INDEX(Inputs!$K$5:$AJ$230,0,MATCH(V$2,Inputs!$K$4:$AJ$4,0)))+SUMPRODUCT((Inputs!$C$5:$C$230=$B78)*Inputs!$D$5:$D$230*(((Inputs!$G$5:$G$230="moeda")+(Inputs!$G$5:$G$230="acoes"))*Inputs!$B$1+((Inputs!$G$5:$G$230&lt;&gt;"moeda")*(Inputs!$G$5:$G$230&lt;&gt;"acoes")))*INDEX(Inputs!$K$5:$AJ$230,0,MATCH(V$2,Inputs!$K$4:$AJ$4,0)))+SUMPRODUCT((Inputs!$E$5:$E$230=$B78)*Inputs!$F$5:$F$230*(((Inputs!$G$5:$G$230="moeda")+(Inputs!$G$5:$G$230="acoes"))*Inputs!$B$1+((Inputs!$G$5:$G$230&lt;&gt;"moeda")*(Inputs!$G$5:$G$230&lt;&gt;"acoes")))*INDEX(Inputs!$K$5:$AJ$230,0,MATCH(V$2,Inputs!$K$4:$AJ$4,0)))))</f>
        <v>13.967</v>
      </c>
      <c r="W78" s="3">
        <f>SUM(S78:V78)</f>
        <v>53.111</v>
      </c>
      <c r="X78" s="6">
        <f>IF(ISNA(MATCH(X$2,Inputs!$K$4:$AJ$4,0)),NA(),IF(SUMPRODUCT((Inputs!$A$5:$A$230=$B78)*ISNUMBER(INDEX(Inputs!$K$5:$AJ$230,0,MATCH(X$2,Inputs!$K$4:$AJ$4,0))))+SUMPRODUCT((Inputs!$C$5:$C$230=$B78)*ISNUMBER(INDEX(Inputs!$K$5:$AJ$230,0,MATCH(X$2,Inputs!$K$4:$AJ$4,0))))+SUMPRODUCT((Inputs!$E$5:$E$230=$B78)*ISNUMBER(INDEX(Inputs!$K$5:$AJ$230,0,MATCH(X$2,Inputs!$K$4:$AJ$4,0))))=0,NA(),SUMPRODUCT((Inputs!$A$5:$A$230=$B78)*Inputs!$B$5:$B$230*(((Inputs!$G$5:$G$230="moeda")+(Inputs!$G$5:$G$230="acoes"))*Inputs!$B$1+((Inputs!$G$5:$G$230&lt;&gt;"moeda")*(Inputs!$G$5:$G$230&lt;&gt;"acoes")))*INDEX(Inputs!$K$5:$AJ$230,0,MATCH(X$2,Inputs!$K$4:$AJ$4,0)))+SUMPRODUCT((Inputs!$C$5:$C$230=$B78)*Inputs!$D$5:$D$230*(((Inputs!$G$5:$G$230="moeda")+(Inputs!$G$5:$G$230="acoes"))*Inputs!$B$1+((Inputs!$G$5:$G$230&lt;&gt;"moeda")*(Inputs!$G$5:$G$230&lt;&gt;"acoes")))*INDEX(Inputs!$K$5:$AJ$230,0,MATCH(X$2,Inputs!$K$4:$AJ$4,0)))+SUMPRODUCT((Inputs!$E$5:$E$230=$B78)*Inputs!$F$5:$F$230*(((Inputs!$G$5:$G$230="moeda")+(Inputs!$G$5:$G$230="acoes"))*Inputs!$B$1+((Inputs!$G$5:$G$230&lt;&gt;"moeda")*(Inputs!$G$5:$G$230&lt;&gt;"acoes")))*INDEX(Inputs!$K$5:$AJ$230,0,MATCH(X$2,Inputs!$K$4:$AJ$4,0)))))</f>
        <v>16.087</v>
      </c>
      <c r="Y78" s="6">
        <f>IF(ISNA(MATCH(Y$2,Inputs!$K$4:$AJ$4,0)),NA(),IF(SUMPRODUCT((Inputs!$A$5:$A$230=$B78)*ISNUMBER(INDEX(Inputs!$K$5:$AJ$230,0,MATCH(Y$2,Inputs!$K$4:$AJ$4,0))))+SUMPRODUCT((Inputs!$C$5:$C$230=$B78)*ISNUMBER(INDEX(Inputs!$K$5:$AJ$230,0,MATCH(Y$2,Inputs!$K$4:$AJ$4,0))))+SUMPRODUCT((Inputs!$E$5:$E$230=$B78)*ISNUMBER(INDEX(Inputs!$K$5:$AJ$230,0,MATCH(Y$2,Inputs!$K$4:$AJ$4,0))))=0,NA(),SUMPRODUCT((Inputs!$A$5:$A$230=$B78)*Inputs!$B$5:$B$230*(((Inputs!$G$5:$G$230="moeda")+(Inputs!$G$5:$G$230="acoes"))*Inputs!$B$1+((Inputs!$G$5:$G$230&lt;&gt;"moeda")*(Inputs!$G$5:$G$230&lt;&gt;"acoes")))*INDEX(Inputs!$K$5:$AJ$230,0,MATCH(Y$2,Inputs!$K$4:$AJ$4,0)))+SUMPRODUCT((Inputs!$C$5:$C$230=$B78)*Inputs!$D$5:$D$230*(((Inputs!$G$5:$G$230="moeda")+(Inputs!$G$5:$G$230="acoes"))*Inputs!$B$1+((Inputs!$G$5:$G$230&lt;&gt;"moeda")*(Inputs!$G$5:$G$230&lt;&gt;"acoes")))*INDEX(Inputs!$K$5:$AJ$230,0,MATCH(Y$2,Inputs!$K$4:$AJ$4,0)))+SUMPRODUCT((Inputs!$E$5:$E$230=$B78)*Inputs!$F$5:$F$230*(((Inputs!$G$5:$G$230="moeda")+(Inputs!$G$5:$G$230="acoes"))*Inputs!$B$1+((Inputs!$G$5:$G$230&lt;&gt;"moeda")*(Inputs!$G$5:$G$230&lt;&gt;"acoes")))*INDEX(Inputs!$K$5:$AJ$230,0,MATCH(Y$2,Inputs!$K$4:$AJ$4,0)))))</f>
        <v>14.092</v>
      </c>
      <c r="Z78" s="6">
        <f>IF(ISNA(MATCH(Z$2,Inputs!$K$4:$AJ$4,0)),NA(),IF(SUMPRODUCT((Inputs!$A$5:$A$230=$B78)*ISNUMBER(INDEX(Inputs!$K$5:$AJ$230,0,MATCH(Z$2,Inputs!$K$4:$AJ$4,0))))+SUMPRODUCT((Inputs!$C$5:$C$230=$B78)*ISNUMBER(INDEX(Inputs!$K$5:$AJ$230,0,MATCH(Z$2,Inputs!$K$4:$AJ$4,0))))+SUMPRODUCT((Inputs!$E$5:$E$230=$B78)*ISNUMBER(INDEX(Inputs!$K$5:$AJ$230,0,MATCH(Z$2,Inputs!$K$4:$AJ$4,0))))=0,NA(),SUMPRODUCT((Inputs!$A$5:$A$230=$B78)*Inputs!$B$5:$B$230*(((Inputs!$G$5:$G$230="moeda")+(Inputs!$G$5:$G$230="acoes"))*Inputs!$B$1+((Inputs!$G$5:$G$230&lt;&gt;"moeda")*(Inputs!$G$5:$G$230&lt;&gt;"acoes")))*INDEX(Inputs!$K$5:$AJ$230,0,MATCH(Z$2,Inputs!$K$4:$AJ$4,0)))+SUMPRODUCT((Inputs!$C$5:$C$230=$B78)*Inputs!$D$5:$D$230*(((Inputs!$G$5:$G$230="moeda")+(Inputs!$G$5:$G$230="acoes"))*Inputs!$B$1+((Inputs!$G$5:$G$230&lt;&gt;"moeda")*(Inputs!$G$5:$G$230&lt;&gt;"acoes")))*INDEX(Inputs!$K$5:$AJ$230,0,MATCH(Z$2,Inputs!$K$4:$AJ$4,0)))+SUMPRODUCT((Inputs!$E$5:$E$230=$B78)*Inputs!$F$5:$F$230*(((Inputs!$G$5:$G$230="moeda")+(Inputs!$G$5:$G$230="acoes"))*Inputs!$B$1+((Inputs!$G$5:$G$230&lt;&gt;"moeda")*(Inputs!$G$5:$G$230&lt;&gt;"acoes")))*INDEX(Inputs!$K$5:$AJ$230,0,MATCH(Z$2,Inputs!$K$4:$AJ$4,0)))))</f>
        <v>11.27</v>
      </c>
      <c r="AA78" s="6">
        <f>IF(ISNA(MATCH(AA$2,Inputs!$K$4:$AJ$4,0)),NA(),IF(SUMPRODUCT((Inputs!$A$5:$A$230=$B78)*ISNUMBER(INDEX(Inputs!$K$5:$AJ$230,0,MATCH(AA$2,Inputs!$K$4:$AJ$4,0))))+SUMPRODUCT((Inputs!$C$5:$C$230=$B78)*ISNUMBER(INDEX(Inputs!$K$5:$AJ$230,0,MATCH(AA$2,Inputs!$K$4:$AJ$4,0))))+SUMPRODUCT((Inputs!$E$5:$E$230=$B78)*ISNUMBER(INDEX(Inputs!$K$5:$AJ$230,0,MATCH(AA$2,Inputs!$K$4:$AJ$4,0))))=0,NA(),SUMPRODUCT((Inputs!$A$5:$A$230=$B78)*Inputs!$B$5:$B$230*(((Inputs!$G$5:$G$230="moeda")+(Inputs!$G$5:$G$230="acoes"))*Inputs!$B$1+((Inputs!$G$5:$G$230&lt;&gt;"moeda")*(Inputs!$G$5:$G$230&lt;&gt;"acoes")))*INDEX(Inputs!$K$5:$AJ$230,0,MATCH(AA$2,Inputs!$K$4:$AJ$4,0)))+SUMPRODUCT((Inputs!$C$5:$C$230=$B78)*Inputs!$D$5:$D$230*(((Inputs!$G$5:$G$230="moeda")+(Inputs!$G$5:$G$230="acoes"))*Inputs!$B$1+((Inputs!$G$5:$G$230&lt;&gt;"moeda")*(Inputs!$G$5:$G$230&lt;&gt;"acoes")))*INDEX(Inputs!$K$5:$AJ$230,0,MATCH(AA$2,Inputs!$K$4:$AJ$4,0)))+SUMPRODUCT((Inputs!$E$5:$E$230=$B78)*Inputs!$F$5:$F$230*(((Inputs!$G$5:$G$230="moeda")+(Inputs!$G$5:$G$230="acoes"))*Inputs!$B$1+((Inputs!$G$5:$G$230&lt;&gt;"moeda")*(Inputs!$G$5:$G$230&lt;&gt;"acoes")))*INDEX(Inputs!$K$5:$AJ$230,0,MATCH(AA$2,Inputs!$K$4:$AJ$4,0)))))</f>
        <v>12.478</v>
      </c>
      <c r="AB78" s="3">
        <f>SUM(X78:AA78)</f>
        <v>53.927</v>
      </c>
      <c r="AC78" s="6">
        <f>IF(ISNA(MATCH(AC$2,Inputs!$K$4:$AJ$4,0)),NA(),IF(SUMPRODUCT((Inputs!$A$5:$A$230=$B78)*ISNUMBER(INDEX(Inputs!$K$5:$AJ$230,0,MATCH(AC$2,Inputs!$K$4:$AJ$4,0))))+SUMPRODUCT((Inputs!$C$5:$C$230=$B78)*ISNUMBER(INDEX(Inputs!$K$5:$AJ$230,0,MATCH(AC$2,Inputs!$K$4:$AJ$4,0))))+SUMPRODUCT((Inputs!$E$5:$E$230=$B78)*ISNUMBER(INDEX(Inputs!$K$5:$AJ$230,0,MATCH(AC$2,Inputs!$K$4:$AJ$4,0))))=0,NA(),SUMPRODUCT((Inputs!$A$5:$A$230=$B78)*Inputs!$B$5:$B$230*(((Inputs!$G$5:$G$230="moeda")+(Inputs!$G$5:$G$230="acoes"))*Inputs!$B$1+((Inputs!$G$5:$G$230&lt;&gt;"moeda")*(Inputs!$G$5:$G$230&lt;&gt;"acoes")))*INDEX(Inputs!$K$5:$AJ$230,0,MATCH(AC$2,Inputs!$K$4:$AJ$4,0)))+SUMPRODUCT((Inputs!$C$5:$C$230=$B78)*Inputs!$D$5:$D$230*(((Inputs!$G$5:$G$230="moeda")+(Inputs!$G$5:$G$230="acoes"))*Inputs!$B$1+((Inputs!$G$5:$G$230&lt;&gt;"moeda")*(Inputs!$G$5:$G$230&lt;&gt;"acoes")))*INDEX(Inputs!$K$5:$AJ$230,0,MATCH(AC$2,Inputs!$K$4:$AJ$4,0)))+SUMPRODUCT((Inputs!$E$5:$E$230=$B78)*Inputs!$F$5:$F$230*(((Inputs!$G$5:$G$230="moeda")+(Inputs!$G$5:$G$230="acoes"))*Inputs!$B$1+((Inputs!$G$5:$G$230&lt;&gt;"moeda")*(Inputs!$G$5:$G$230&lt;&gt;"acoes")))*INDEX(Inputs!$K$5:$AJ$230,0,MATCH(AC$2,Inputs!$K$4:$AJ$4,0)))))</f>
        <v>14.591</v>
      </c>
      <c r="AD78" s="6">
        <f>IF(ISNA(MATCH(AD$2,Inputs!$K$4:$AJ$4,0)),NA(),IF(SUMPRODUCT((Inputs!$A$5:$A$230=$B78)*ISNUMBER(INDEX(Inputs!$K$5:$AJ$230,0,MATCH(AD$2,Inputs!$K$4:$AJ$4,0))))+SUMPRODUCT((Inputs!$C$5:$C$230=$B78)*ISNUMBER(INDEX(Inputs!$K$5:$AJ$230,0,MATCH(AD$2,Inputs!$K$4:$AJ$4,0))))+SUMPRODUCT((Inputs!$E$5:$E$230=$B78)*ISNUMBER(INDEX(Inputs!$K$5:$AJ$230,0,MATCH(AD$2,Inputs!$K$4:$AJ$4,0))))=0,NA(),SUMPRODUCT((Inputs!$A$5:$A$230=$B78)*Inputs!$B$5:$B$230*(((Inputs!$G$5:$G$230="moeda")+(Inputs!$G$5:$G$230="acoes"))*Inputs!$B$1+((Inputs!$G$5:$G$230&lt;&gt;"moeda")*(Inputs!$G$5:$G$230&lt;&gt;"acoes")))*INDEX(Inputs!$K$5:$AJ$230,0,MATCH(AD$2,Inputs!$K$4:$AJ$4,0)))+SUMPRODUCT((Inputs!$C$5:$C$230=$B78)*Inputs!$D$5:$D$230*(((Inputs!$G$5:$G$230="moeda")+(Inputs!$G$5:$G$230="acoes"))*Inputs!$B$1+((Inputs!$G$5:$G$230&lt;&gt;"moeda")*(Inputs!$G$5:$G$230&lt;&gt;"acoes")))*INDEX(Inputs!$K$5:$AJ$230,0,MATCH(AD$2,Inputs!$K$4:$AJ$4,0)))+SUMPRODUCT((Inputs!$E$5:$E$230=$B78)*Inputs!$F$5:$F$230*(((Inputs!$G$5:$G$230="moeda")+(Inputs!$G$5:$G$230="acoes"))*Inputs!$B$1+((Inputs!$G$5:$G$230&lt;&gt;"moeda")*(Inputs!$G$5:$G$230&lt;&gt;"acoes")))*INDEX(Inputs!$K$5:$AJ$230,0,MATCH(AD$2,Inputs!$K$4:$AJ$4,0)))))</f>
        <v>17.419</v>
      </c>
      <c r="AE78" s="6" t="e">
        <f>IF(ISNA(MATCH(AE$2,Inputs!$K$4:$AJ$4,0)),NA(),IF(SUMPRODUCT((Inputs!$A$5:$A$230=$B78)*ISNUMBER(INDEX(Inputs!$K$5:$AJ$230,0,MATCH(AE$2,Inputs!$K$4:$AJ$4,0))))+SUMPRODUCT((Inputs!$C$5:$C$230=$B78)*ISNUMBER(INDEX(Inputs!$K$5:$AJ$230,0,MATCH(AE$2,Inputs!$K$4:$AJ$4,0))))+SUMPRODUCT((Inputs!$E$5:$E$230=$B78)*ISNUMBER(INDEX(Inputs!$K$5:$AJ$230,0,MATCH(AE$2,Inputs!$K$4:$AJ$4,0))))=0,NA(),SUMPRODUCT((Inputs!$A$5:$A$230=$B78)*Inputs!$B$5:$B$230*(((Inputs!$G$5:$G$230="moeda")+(Inputs!$G$5:$G$230="acoes"))*Inputs!$B$1+((Inputs!$G$5:$G$230&lt;&gt;"moeda")*(Inputs!$G$5:$G$230&lt;&gt;"acoes")))*INDEX(Inputs!$K$5:$AJ$230,0,MATCH(AE$2,Inputs!$K$4:$AJ$4,0)))+SUMPRODUCT((Inputs!$C$5:$C$230=$B78)*Inputs!$D$5:$D$230*(((Inputs!$G$5:$G$230="moeda")+(Inputs!$G$5:$G$230="acoes"))*Inputs!$B$1+((Inputs!$G$5:$G$230&lt;&gt;"moeda")*(Inputs!$G$5:$G$230&lt;&gt;"acoes")))*INDEX(Inputs!$K$5:$AJ$230,0,MATCH(AE$2,Inputs!$K$4:$AJ$4,0)))+SUMPRODUCT((Inputs!$E$5:$E$230=$B78)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8" s="6" t="e">
        <f>IF(ISNA(MATCH(AF$2,Inputs!$K$4:$AJ$4,0)),NA(),IF(SUMPRODUCT((Inputs!$A$5:$A$230=$B78)*ISNUMBER(INDEX(Inputs!$K$5:$AJ$230,0,MATCH(AF$2,Inputs!$K$4:$AJ$4,0))))+SUMPRODUCT((Inputs!$C$5:$C$230=$B78)*ISNUMBER(INDEX(Inputs!$K$5:$AJ$230,0,MATCH(AF$2,Inputs!$K$4:$AJ$4,0))))+SUMPRODUCT((Inputs!$E$5:$E$230=$B78)*ISNUMBER(INDEX(Inputs!$K$5:$AJ$230,0,MATCH(AF$2,Inputs!$K$4:$AJ$4,0))))=0,NA(),SUMPRODUCT((Inputs!$A$5:$A$230=$B78)*Inputs!$B$5:$B$230*(((Inputs!$G$5:$G$230="moeda")+(Inputs!$G$5:$G$230="acoes"))*Inputs!$B$1+((Inputs!$G$5:$G$230&lt;&gt;"moeda")*(Inputs!$G$5:$G$230&lt;&gt;"acoes")))*INDEX(Inputs!$K$5:$AJ$230,0,MATCH(AF$2,Inputs!$K$4:$AJ$4,0)))+SUMPRODUCT((Inputs!$C$5:$C$230=$B78)*Inputs!$D$5:$D$230*(((Inputs!$G$5:$G$230="moeda")+(Inputs!$G$5:$G$230="acoes"))*Inputs!$B$1+((Inputs!$G$5:$G$230&lt;&gt;"moeda")*(Inputs!$G$5:$G$230&lt;&gt;"acoes")))*INDEX(Inputs!$K$5:$AJ$230,0,MATCH(AF$2,Inputs!$K$4:$AJ$4,0)))+SUMPRODUCT((Inputs!$E$5:$E$230=$B78)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8" s="3" t="e">
        <f>SUM(AC78:AF78)</f>
        <v>#N/A</v>
      </c>
      <c r="AH78" s="6">
        <f>IF(ISNA(MATCH(AH$2,Inputs!$K$4:$AJ$4,0)),NA(),IF(SUMPRODUCT((Inputs!$A$5:$A$230=$B78)*ISNUMBER(INDEX(Inputs!$K$5:$AJ$230,0,MATCH(AH$2,Inputs!$K$4:$AJ$4,0))))+SUMPRODUCT((Inputs!$C$5:$C$230=$B78)*ISNUMBER(INDEX(Inputs!$K$5:$AJ$230,0,MATCH(AH$2,Inputs!$K$4:$AJ$4,0))))+SUMPRODUCT((Inputs!$E$5:$E$230=$B78)*ISNUMBER(INDEX(Inputs!$K$5:$AJ$230,0,MATCH(AH$2,Inputs!$K$4:$AJ$4,0))))=0,NA(),SUMPRODUCT((Inputs!$A$5:$A$230=$B78)*Inputs!$B$5:$B$230*(((Inputs!$G$5:$G$230="moeda")+(Inputs!$G$5:$G$230="acoes"))*Inputs!$B$1+((Inputs!$G$5:$G$230&lt;&gt;"moeda")*(Inputs!$G$5:$G$230&lt;&gt;"acoes")))*INDEX(Inputs!$K$5:$AJ$230,0,MATCH(AH$2,Inputs!$K$4:$AJ$4,0)))+SUMPRODUCT((Inputs!$C$5:$C$230=$B78)*Inputs!$D$5:$D$230*(((Inputs!$G$5:$G$230="moeda")+(Inputs!$G$5:$G$230="acoes"))*Inputs!$B$1+((Inputs!$G$5:$G$230&lt;&gt;"moeda")*(Inputs!$G$5:$G$230&lt;&gt;"acoes")))*INDEX(Inputs!$K$5:$AJ$230,0,MATCH(AH$2,Inputs!$K$4:$AJ$4,0)))+SUMPRODUCT((Inputs!$E$5:$E$230=$B78)*Inputs!$F$5:$F$230*(((Inputs!$G$5:$G$230="moeda")+(Inputs!$G$5:$G$230="acoes"))*Inputs!$B$1+((Inputs!$G$5:$G$230&lt;&gt;"moeda")*(Inputs!$G$5:$G$230&lt;&gt;"acoes")))*INDEX(Inputs!$K$5:$AJ$230,0,MATCH(AH$2,Inputs!$K$4:$AJ$4,0)))))</f>
        <v>9.421</v>
      </c>
      <c r="AI78" s="6">
        <f>IF(ISNA(MATCH(AI$2,Inputs!$K$4:$AJ$4,0)),NA(),IF(SUMPRODUCT((Inputs!$A$5:$A$230=$B78)*ISNUMBER(INDEX(Inputs!$K$5:$AJ$230,0,MATCH(AI$2,Inputs!$K$4:$AJ$4,0))))+SUMPRODUCT((Inputs!$C$5:$C$230=$B78)*ISNUMBER(INDEX(Inputs!$K$5:$AJ$230,0,MATCH(AI$2,Inputs!$K$4:$AJ$4,0))))+SUMPRODUCT((Inputs!$E$5:$E$230=$B78)*ISNUMBER(INDEX(Inputs!$K$5:$AJ$230,0,MATCH(AI$2,Inputs!$K$4:$AJ$4,0))))=0,NA(),SUMPRODUCT((Inputs!$A$5:$A$230=$B78)*Inputs!$B$5:$B$230*(((Inputs!$G$5:$G$230="moeda")+(Inputs!$G$5:$G$230="acoes"))*Inputs!$B$1+((Inputs!$G$5:$G$230&lt;&gt;"moeda")*(Inputs!$G$5:$G$230&lt;&gt;"acoes")))*INDEX(Inputs!$K$5:$AJ$230,0,MATCH(AI$2,Inputs!$K$4:$AJ$4,0)))+SUMPRODUCT((Inputs!$C$5:$C$230=$B78)*Inputs!$D$5:$D$230*(((Inputs!$G$5:$G$230="moeda")+(Inputs!$G$5:$G$230="acoes"))*Inputs!$B$1+((Inputs!$G$5:$G$230&lt;&gt;"moeda")*(Inputs!$G$5:$G$230&lt;&gt;"acoes")))*INDEX(Inputs!$K$5:$AJ$230,0,MATCH(AI$2,Inputs!$K$4:$AJ$4,0)))+SUMPRODUCT((Inputs!$E$5:$E$230=$B78)*Inputs!$F$5:$F$230*(((Inputs!$G$5:$G$230="moeda")+(Inputs!$G$5:$G$230="acoes"))*Inputs!$B$1+((Inputs!$G$5:$G$230&lt;&gt;"moeda")*(Inputs!$G$5:$G$230&lt;&gt;"acoes")))*INDEX(Inputs!$K$5:$AJ$230,0,MATCH(AI$2,Inputs!$K$4:$AJ$4,0)))))</f>
        <v>4.198</v>
      </c>
      <c r="AJ78" s="6">
        <f>IF(ISNA(MATCH(AJ$2,Inputs!$K$4:$AJ$4,0)),NA(),IF(SUMPRODUCT((Inputs!$A$5:$A$230=$B78)*ISNUMBER(INDEX(Inputs!$K$5:$AJ$230,0,MATCH(AJ$2,Inputs!$K$4:$AJ$4,0))))+SUMPRODUCT((Inputs!$C$5:$C$230=$B78)*ISNUMBER(INDEX(Inputs!$K$5:$AJ$230,0,MATCH(AJ$2,Inputs!$K$4:$AJ$4,0))))+SUMPRODUCT((Inputs!$E$5:$E$230=$B78)*ISNUMBER(INDEX(Inputs!$K$5:$AJ$230,0,MATCH(AJ$2,Inputs!$K$4:$AJ$4,0))))=0,NA(),SUMPRODUCT((Inputs!$A$5:$A$230=$B78)*Inputs!$B$5:$B$230*(((Inputs!$G$5:$G$230="moeda")+(Inputs!$G$5:$G$230="acoes"))*Inputs!$B$1+((Inputs!$G$5:$G$230&lt;&gt;"moeda")*(Inputs!$G$5:$G$230&lt;&gt;"acoes")))*INDEX(Inputs!$K$5:$AJ$230,0,MATCH(AJ$2,Inputs!$K$4:$AJ$4,0)))+SUMPRODUCT((Inputs!$C$5:$C$230=$B78)*Inputs!$D$5:$D$230*(((Inputs!$G$5:$G$230="moeda")+(Inputs!$G$5:$G$230="acoes"))*Inputs!$B$1+((Inputs!$G$5:$G$230&lt;&gt;"moeda")*(Inputs!$G$5:$G$230&lt;&gt;"acoes")))*INDEX(Inputs!$K$5:$AJ$230,0,MATCH(AJ$2,Inputs!$K$4:$AJ$4,0)))+SUMPRODUCT((Inputs!$E$5:$E$230=$B78)*Inputs!$F$5:$F$230*(((Inputs!$G$5:$G$230="moeda")+(Inputs!$G$5:$G$230="acoes"))*Inputs!$B$1+((Inputs!$G$5:$G$230&lt;&gt;"moeda")*(Inputs!$G$5:$G$230&lt;&gt;"acoes")))*INDEX(Inputs!$K$5:$AJ$230,0,MATCH(AJ$2,Inputs!$K$4:$AJ$4,0)))))</f>
        <v>-24.977</v>
      </c>
      <c r="AK78" s="6">
        <f>IF(ISNA(MATCH(AK$2,Inputs!$K$4:$AJ$4,0)),NA(),IF(SUMPRODUCT((Inputs!$A$5:$A$230=$B78)*ISNUMBER(INDEX(Inputs!$K$5:$AJ$230,0,MATCH(AK$2,Inputs!$K$4:$AJ$4,0))))+SUMPRODUCT((Inputs!$C$5:$C$230=$B78)*ISNUMBER(INDEX(Inputs!$K$5:$AJ$230,0,MATCH(AK$2,Inputs!$K$4:$AJ$4,0))))+SUMPRODUCT((Inputs!$E$5:$E$230=$B78)*ISNUMBER(INDEX(Inputs!$K$5:$AJ$230,0,MATCH(AK$2,Inputs!$K$4:$AJ$4,0))))=0,NA(),SUMPRODUCT((Inputs!$A$5:$A$230=$B78)*Inputs!$B$5:$B$230*(((Inputs!$G$5:$G$230="moeda")+(Inputs!$G$5:$G$230="acoes"))*Inputs!$B$1+((Inputs!$G$5:$G$230&lt;&gt;"moeda")*(Inputs!$G$5:$G$230&lt;&gt;"acoes")))*INDEX(Inputs!$K$5:$AJ$230,0,MATCH(AK$2,Inputs!$K$4:$AJ$4,0)))+SUMPRODUCT((Inputs!$C$5:$C$230=$B78)*Inputs!$D$5:$D$230*(((Inputs!$G$5:$G$230="moeda")+(Inputs!$G$5:$G$230="acoes"))*Inputs!$B$1+((Inputs!$G$5:$G$230&lt;&gt;"moeda")*(Inputs!$G$5:$G$230&lt;&gt;"acoes")))*INDEX(Inputs!$K$5:$AJ$230,0,MATCH(AK$2,Inputs!$K$4:$AJ$4,0)))+SUMPRODUCT((Inputs!$E$5:$E$230=$B78)*Inputs!$F$5:$F$230*(((Inputs!$G$5:$G$230="moeda")+(Inputs!$G$5:$G$230="acoes"))*Inputs!$B$1+((Inputs!$G$5:$G$230&lt;&gt;"moeda")*(Inputs!$G$5:$G$230&lt;&gt;"acoes")))*INDEX(Inputs!$K$5:$AJ$230,0,MATCH(AK$2,Inputs!$K$4:$AJ$4,0)))))</f>
        <v>65.423</v>
      </c>
      <c r="AL78" s="3">
        <f>SUM(AH78:AK78)</f>
        <v>54.065</v>
      </c>
    </row>
    <row r="79">
      <c r="B79" s="46" t="n">
        <v>71</v>
      </c>
      <c r="C79" s="29" t="inlineStr">
        <is>
          <t>Transmissao | TCC</t>
        </is>
      </c>
      <c r="D79" s="6">
        <f>IF(ISNA(MATCH(D$2,Inputs!$K$4:$AJ$4,0)),NA(),IF(SUMPRODUCT((Inputs!$A$5:$A$230=$B79)*ISNUMBER(INDEX(Inputs!$K$5:$AJ$230,0,MATCH(D$2,Inputs!$K$4:$AJ$4,0))))+SUMPRODUCT((Inputs!$C$5:$C$230=$B79)*ISNUMBER(INDEX(Inputs!$K$5:$AJ$230,0,MATCH(D$2,Inputs!$K$4:$AJ$4,0))))+SUMPRODUCT((Inputs!$E$5:$E$230=$B79)*ISNUMBER(INDEX(Inputs!$K$5:$AJ$230,0,MATCH(D$2,Inputs!$K$4:$AJ$4,0))))=0,NA(),SUMPRODUCT((Inputs!$A$5:$A$230=$B79)*Inputs!$B$5:$B$230*(((Inputs!$G$5:$G$230="moeda")+(Inputs!$G$5:$G$230="acoes"))*Inputs!$B$1+((Inputs!$G$5:$G$230&lt;&gt;"moeda")*(Inputs!$G$5:$G$230&lt;&gt;"acoes")))*INDEX(Inputs!$K$5:$AJ$230,0,MATCH(D$2,Inputs!$K$4:$AJ$4,0)))+SUMPRODUCT((Inputs!$C$5:$C$230=$B79)*Inputs!$D$5:$D$230*(((Inputs!$G$5:$G$230="moeda")+(Inputs!$G$5:$G$230="acoes"))*Inputs!$B$1+((Inputs!$G$5:$G$230&lt;&gt;"moeda")*(Inputs!$G$5:$G$230&lt;&gt;"acoes")))*INDEX(Inputs!$K$5:$AJ$230,0,MATCH(D$2,Inputs!$K$4:$AJ$4,0)))+SUMPRODUCT((Inputs!$E$5:$E$230=$B79)*Inputs!$F$5:$F$230*(((Inputs!$G$5:$G$230="moeda")+(Inputs!$G$5:$G$230="acoes"))*Inputs!$B$1+((Inputs!$G$5:$G$230&lt;&gt;"moeda")*(Inputs!$G$5:$G$230&lt;&gt;"acoes")))*INDEX(Inputs!$K$5:$AJ$230,0,MATCH(D$2,Inputs!$K$4:$AJ$4,0)))))</f>
        <v>402.043</v>
      </c>
      <c r="E79" s="6">
        <f>IF(ISNA(MATCH(E$2,Inputs!$K$4:$AJ$4,0)),NA(),IF(SUMPRODUCT((Inputs!$A$5:$A$230=$B79)*ISNUMBER(INDEX(Inputs!$K$5:$AJ$230,0,MATCH(E$2,Inputs!$K$4:$AJ$4,0))))+SUMPRODUCT((Inputs!$C$5:$C$230=$B79)*ISNUMBER(INDEX(Inputs!$K$5:$AJ$230,0,MATCH(E$2,Inputs!$K$4:$AJ$4,0))))+SUMPRODUCT((Inputs!$E$5:$E$230=$B79)*ISNUMBER(INDEX(Inputs!$K$5:$AJ$230,0,MATCH(E$2,Inputs!$K$4:$AJ$4,0))))=0,NA(),SUMPRODUCT((Inputs!$A$5:$A$230=$B79)*Inputs!$B$5:$B$230*(((Inputs!$G$5:$G$230="moeda")+(Inputs!$G$5:$G$230="acoes"))*Inputs!$B$1+((Inputs!$G$5:$G$230&lt;&gt;"moeda")*(Inputs!$G$5:$G$230&lt;&gt;"acoes")))*INDEX(Inputs!$K$5:$AJ$230,0,MATCH(E$2,Inputs!$K$4:$AJ$4,0)))+SUMPRODUCT((Inputs!$C$5:$C$230=$B79)*Inputs!$D$5:$D$230*(((Inputs!$G$5:$G$230="moeda")+(Inputs!$G$5:$G$230="acoes"))*Inputs!$B$1+((Inputs!$G$5:$G$230&lt;&gt;"moeda")*(Inputs!$G$5:$G$230&lt;&gt;"acoes")))*INDEX(Inputs!$K$5:$AJ$230,0,MATCH(E$2,Inputs!$K$4:$AJ$4,0)))+SUMPRODUCT((Inputs!$E$5:$E$230=$B79)*Inputs!$F$5:$F$230*(((Inputs!$G$5:$G$230="moeda")+(Inputs!$G$5:$G$230="acoes"))*Inputs!$B$1+((Inputs!$G$5:$G$230&lt;&gt;"moeda")*(Inputs!$G$5:$G$230&lt;&gt;"acoes")))*INDEX(Inputs!$K$5:$AJ$230,0,MATCH(E$2,Inputs!$K$4:$AJ$4,0)))))</f>
        <v>90.586</v>
      </c>
      <c r="F79" s="6">
        <f>IF(ISNA(MATCH(F$2,Inputs!$K$4:$AJ$4,0)),NA(),IF(SUMPRODUCT((Inputs!$A$5:$A$230=$B79)*ISNUMBER(INDEX(Inputs!$K$5:$AJ$230,0,MATCH(F$2,Inputs!$K$4:$AJ$4,0))))+SUMPRODUCT((Inputs!$C$5:$C$230=$B79)*ISNUMBER(INDEX(Inputs!$K$5:$AJ$230,0,MATCH(F$2,Inputs!$K$4:$AJ$4,0))))+SUMPRODUCT((Inputs!$E$5:$E$230=$B79)*ISNUMBER(INDEX(Inputs!$K$5:$AJ$230,0,MATCH(F$2,Inputs!$K$4:$AJ$4,0))))=0,NA(),SUMPRODUCT((Inputs!$A$5:$A$230=$B79)*Inputs!$B$5:$B$230*(((Inputs!$G$5:$G$230="moeda")+(Inputs!$G$5:$G$230="acoes"))*Inputs!$B$1+((Inputs!$G$5:$G$230&lt;&gt;"moeda")*(Inputs!$G$5:$G$230&lt;&gt;"acoes")))*INDEX(Inputs!$K$5:$AJ$230,0,MATCH(F$2,Inputs!$K$4:$AJ$4,0)))+SUMPRODUCT((Inputs!$C$5:$C$230=$B79)*Inputs!$D$5:$D$230*(((Inputs!$G$5:$G$230="moeda")+(Inputs!$G$5:$G$230="acoes"))*Inputs!$B$1+((Inputs!$G$5:$G$230&lt;&gt;"moeda")*(Inputs!$G$5:$G$230&lt;&gt;"acoes")))*INDEX(Inputs!$K$5:$AJ$230,0,MATCH(F$2,Inputs!$K$4:$AJ$4,0)))+SUMPRODUCT((Inputs!$E$5:$E$230=$B79)*Inputs!$F$5:$F$230*(((Inputs!$G$5:$G$230="moeda")+(Inputs!$G$5:$G$230="acoes"))*Inputs!$B$1+((Inputs!$G$5:$G$230&lt;&gt;"moeda")*(Inputs!$G$5:$G$230&lt;&gt;"acoes")))*INDEX(Inputs!$K$5:$AJ$230,0,MATCH(F$2,Inputs!$K$4:$AJ$4,0)))))</f>
        <v>76.026</v>
      </c>
      <c r="G79" s="6">
        <f>IF(ISNA(MATCH(G$2,Inputs!$K$4:$AJ$4,0)),NA(),IF(SUMPRODUCT((Inputs!$A$5:$A$230=$B79)*ISNUMBER(INDEX(Inputs!$K$5:$AJ$230,0,MATCH(G$2,Inputs!$K$4:$AJ$4,0))))+SUMPRODUCT((Inputs!$C$5:$C$230=$B79)*ISNUMBER(INDEX(Inputs!$K$5:$AJ$230,0,MATCH(G$2,Inputs!$K$4:$AJ$4,0))))+SUMPRODUCT((Inputs!$E$5:$E$230=$B79)*ISNUMBER(INDEX(Inputs!$K$5:$AJ$230,0,MATCH(G$2,Inputs!$K$4:$AJ$4,0))))=0,NA(),SUMPRODUCT((Inputs!$A$5:$A$230=$B79)*Inputs!$B$5:$B$230*(((Inputs!$G$5:$G$230="moeda")+(Inputs!$G$5:$G$230="acoes"))*Inputs!$B$1+((Inputs!$G$5:$G$230&lt;&gt;"moeda")*(Inputs!$G$5:$G$230&lt;&gt;"acoes")))*INDEX(Inputs!$K$5:$AJ$230,0,MATCH(G$2,Inputs!$K$4:$AJ$4,0)))+SUMPRODUCT((Inputs!$C$5:$C$230=$B79)*Inputs!$D$5:$D$230*(((Inputs!$G$5:$G$230="moeda")+(Inputs!$G$5:$G$230="acoes"))*Inputs!$B$1+((Inputs!$G$5:$G$230&lt;&gt;"moeda")*(Inputs!$G$5:$G$230&lt;&gt;"acoes")))*INDEX(Inputs!$K$5:$AJ$230,0,MATCH(G$2,Inputs!$K$4:$AJ$4,0)))+SUMPRODUCT((Inputs!$E$5:$E$230=$B79)*Inputs!$F$5:$F$230*(((Inputs!$G$5:$G$230="moeda")+(Inputs!$G$5:$G$230="acoes"))*Inputs!$B$1+((Inputs!$G$5:$G$230&lt;&gt;"moeda")*(Inputs!$G$5:$G$230&lt;&gt;"acoes")))*INDEX(Inputs!$K$5:$AJ$230,0,MATCH(G$2,Inputs!$K$4:$AJ$4,0)))))</f>
        <v>94.017</v>
      </c>
      <c r="H79" s="3">
        <f>SUM(D79:G79)</f>
        <v>662.672</v>
      </c>
      <c r="I79" s="6">
        <f>IF(ISNA(MATCH(I$2,Inputs!$K$4:$AJ$4,0)),NA(),IF(SUMPRODUCT((Inputs!$A$5:$A$230=$B79)*ISNUMBER(INDEX(Inputs!$K$5:$AJ$230,0,MATCH(I$2,Inputs!$K$4:$AJ$4,0))))+SUMPRODUCT((Inputs!$C$5:$C$230=$B79)*ISNUMBER(INDEX(Inputs!$K$5:$AJ$230,0,MATCH(I$2,Inputs!$K$4:$AJ$4,0))))+SUMPRODUCT((Inputs!$E$5:$E$230=$B79)*ISNUMBER(INDEX(Inputs!$K$5:$AJ$230,0,MATCH(I$2,Inputs!$K$4:$AJ$4,0))))=0,NA(),SUMPRODUCT((Inputs!$A$5:$A$230=$B79)*Inputs!$B$5:$B$230*(((Inputs!$G$5:$G$230="moeda")+(Inputs!$G$5:$G$230="acoes"))*Inputs!$B$1+((Inputs!$G$5:$G$230&lt;&gt;"moeda")*(Inputs!$G$5:$G$230&lt;&gt;"acoes")))*INDEX(Inputs!$K$5:$AJ$230,0,MATCH(I$2,Inputs!$K$4:$AJ$4,0)))+SUMPRODUCT((Inputs!$C$5:$C$230=$B79)*Inputs!$D$5:$D$230*(((Inputs!$G$5:$G$230="moeda")+(Inputs!$G$5:$G$230="acoes"))*Inputs!$B$1+((Inputs!$G$5:$G$230&lt;&gt;"moeda")*(Inputs!$G$5:$G$230&lt;&gt;"acoes")))*INDEX(Inputs!$K$5:$AJ$230,0,MATCH(I$2,Inputs!$K$4:$AJ$4,0)))+SUMPRODUCT((Inputs!$E$5:$E$230=$B79)*Inputs!$F$5:$F$230*(((Inputs!$G$5:$G$230="moeda")+(Inputs!$G$5:$G$230="acoes"))*Inputs!$B$1+((Inputs!$G$5:$G$230&lt;&gt;"moeda")*(Inputs!$G$5:$G$230&lt;&gt;"acoes")))*INDEX(Inputs!$K$5:$AJ$230,0,MATCH(I$2,Inputs!$K$4:$AJ$4,0)))))</f>
        <v>79.901</v>
      </c>
      <c r="J79" s="6">
        <f>IF(ISNA(MATCH(J$2,Inputs!$K$4:$AJ$4,0)),NA(),IF(SUMPRODUCT((Inputs!$A$5:$A$230=$B79)*ISNUMBER(INDEX(Inputs!$K$5:$AJ$230,0,MATCH(J$2,Inputs!$K$4:$AJ$4,0))))+SUMPRODUCT((Inputs!$C$5:$C$230=$B79)*ISNUMBER(INDEX(Inputs!$K$5:$AJ$230,0,MATCH(J$2,Inputs!$K$4:$AJ$4,0))))+SUMPRODUCT((Inputs!$E$5:$E$230=$B79)*ISNUMBER(INDEX(Inputs!$K$5:$AJ$230,0,MATCH(J$2,Inputs!$K$4:$AJ$4,0))))=0,NA(),SUMPRODUCT((Inputs!$A$5:$A$230=$B79)*Inputs!$B$5:$B$230*(((Inputs!$G$5:$G$230="moeda")+(Inputs!$G$5:$G$230="acoes"))*Inputs!$B$1+((Inputs!$G$5:$G$230&lt;&gt;"moeda")*(Inputs!$G$5:$G$230&lt;&gt;"acoes")))*INDEX(Inputs!$K$5:$AJ$230,0,MATCH(J$2,Inputs!$K$4:$AJ$4,0)))+SUMPRODUCT((Inputs!$C$5:$C$230=$B79)*Inputs!$D$5:$D$230*(((Inputs!$G$5:$G$230="moeda")+(Inputs!$G$5:$G$230="acoes"))*Inputs!$B$1+((Inputs!$G$5:$G$230&lt;&gt;"moeda")*(Inputs!$G$5:$G$230&lt;&gt;"acoes")))*INDEX(Inputs!$K$5:$AJ$230,0,MATCH(J$2,Inputs!$K$4:$AJ$4,0)))+SUMPRODUCT((Inputs!$E$5:$E$230=$B79)*Inputs!$F$5:$F$230*(((Inputs!$G$5:$G$230="moeda")+(Inputs!$G$5:$G$230="acoes"))*Inputs!$B$1+((Inputs!$G$5:$G$230&lt;&gt;"moeda")*(Inputs!$G$5:$G$230&lt;&gt;"acoes")))*INDEX(Inputs!$K$5:$AJ$230,0,MATCH(J$2,Inputs!$K$4:$AJ$4,0)))))</f>
        <v>97.828</v>
      </c>
      <c r="K79" s="6">
        <f>IF(ISNA(MATCH(K$2,Inputs!$K$4:$AJ$4,0)),NA(),IF(SUMPRODUCT((Inputs!$A$5:$A$230=$B79)*ISNUMBER(INDEX(Inputs!$K$5:$AJ$230,0,MATCH(K$2,Inputs!$K$4:$AJ$4,0))))+SUMPRODUCT((Inputs!$C$5:$C$230=$B79)*ISNUMBER(INDEX(Inputs!$K$5:$AJ$230,0,MATCH(K$2,Inputs!$K$4:$AJ$4,0))))+SUMPRODUCT((Inputs!$E$5:$E$230=$B79)*ISNUMBER(INDEX(Inputs!$K$5:$AJ$230,0,MATCH(K$2,Inputs!$K$4:$AJ$4,0))))=0,NA(),SUMPRODUCT((Inputs!$A$5:$A$230=$B79)*Inputs!$B$5:$B$230*(((Inputs!$G$5:$G$230="moeda")+(Inputs!$G$5:$G$230="acoes"))*Inputs!$B$1+((Inputs!$G$5:$G$230&lt;&gt;"moeda")*(Inputs!$G$5:$G$230&lt;&gt;"acoes")))*INDEX(Inputs!$K$5:$AJ$230,0,MATCH(K$2,Inputs!$K$4:$AJ$4,0)))+SUMPRODUCT((Inputs!$C$5:$C$230=$B79)*Inputs!$D$5:$D$230*(((Inputs!$G$5:$G$230="moeda")+(Inputs!$G$5:$G$230="acoes"))*Inputs!$B$1+((Inputs!$G$5:$G$230&lt;&gt;"moeda")*(Inputs!$G$5:$G$230&lt;&gt;"acoes")))*INDEX(Inputs!$K$5:$AJ$230,0,MATCH(K$2,Inputs!$K$4:$AJ$4,0)))+SUMPRODUCT((Inputs!$E$5:$E$230=$B79)*Inputs!$F$5:$F$230*(((Inputs!$G$5:$G$230="moeda")+(Inputs!$G$5:$G$230="acoes"))*Inputs!$B$1+((Inputs!$G$5:$G$230&lt;&gt;"moeda")*(Inputs!$G$5:$G$230&lt;&gt;"acoes")))*INDEX(Inputs!$K$5:$AJ$230,0,MATCH(K$2,Inputs!$K$4:$AJ$4,0)))))</f>
        <v>36.629</v>
      </c>
      <c r="L79" s="6">
        <f>IF(ISNA(MATCH(L$2,Inputs!$K$4:$AJ$4,0)),NA(),IF(SUMPRODUCT((Inputs!$A$5:$A$230=$B79)*ISNUMBER(INDEX(Inputs!$K$5:$AJ$230,0,MATCH(L$2,Inputs!$K$4:$AJ$4,0))))+SUMPRODUCT((Inputs!$C$5:$C$230=$B79)*ISNUMBER(INDEX(Inputs!$K$5:$AJ$230,0,MATCH(L$2,Inputs!$K$4:$AJ$4,0))))+SUMPRODUCT((Inputs!$E$5:$E$230=$B79)*ISNUMBER(INDEX(Inputs!$K$5:$AJ$230,0,MATCH(L$2,Inputs!$K$4:$AJ$4,0))))=0,NA(),SUMPRODUCT((Inputs!$A$5:$A$230=$B79)*Inputs!$B$5:$B$230*(((Inputs!$G$5:$G$230="moeda")+(Inputs!$G$5:$G$230="acoes"))*Inputs!$B$1+((Inputs!$G$5:$G$230&lt;&gt;"moeda")*(Inputs!$G$5:$G$230&lt;&gt;"acoes")))*INDEX(Inputs!$K$5:$AJ$230,0,MATCH(L$2,Inputs!$K$4:$AJ$4,0)))+SUMPRODUCT((Inputs!$C$5:$C$230=$B79)*Inputs!$D$5:$D$230*(((Inputs!$G$5:$G$230="moeda")+(Inputs!$G$5:$G$230="acoes"))*Inputs!$B$1+((Inputs!$G$5:$G$230&lt;&gt;"moeda")*(Inputs!$G$5:$G$230&lt;&gt;"acoes")))*INDEX(Inputs!$K$5:$AJ$230,0,MATCH(L$2,Inputs!$K$4:$AJ$4,0)))+SUMPRODUCT((Inputs!$E$5:$E$230=$B79)*Inputs!$F$5:$F$230*(((Inputs!$G$5:$G$230="moeda")+(Inputs!$G$5:$G$230="acoes"))*Inputs!$B$1+((Inputs!$G$5:$G$230&lt;&gt;"moeda")*(Inputs!$G$5:$G$230&lt;&gt;"acoes")))*INDEX(Inputs!$K$5:$AJ$230,0,MATCH(L$2,Inputs!$K$4:$AJ$4,0)))))</f>
        <v>54.471</v>
      </c>
      <c r="M79" s="3">
        <f>SUM(I79:L79)</f>
        <v>268.829</v>
      </c>
      <c r="N79" s="6">
        <f>IF(ISNA(MATCH(N$2,Inputs!$K$4:$AJ$4,0)),NA(),IF(SUMPRODUCT((Inputs!$A$5:$A$230=$B79)*ISNUMBER(INDEX(Inputs!$K$5:$AJ$230,0,MATCH(N$2,Inputs!$K$4:$AJ$4,0))))+SUMPRODUCT((Inputs!$C$5:$C$230=$B79)*ISNUMBER(INDEX(Inputs!$K$5:$AJ$230,0,MATCH(N$2,Inputs!$K$4:$AJ$4,0))))+SUMPRODUCT((Inputs!$E$5:$E$230=$B79)*ISNUMBER(INDEX(Inputs!$K$5:$AJ$230,0,MATCH(N$2,Inputs!$K$4:$AJ$4,0))))=0,NA(),SUMPRODUCT((Inputs!$A$5:$A$230=$B79)*Inputs!$B$5:$B$230*(((Inputs!$G$5:$G$230="moeda")+(Inputs!$G$5:$G$230="acoes"))*Inputs!$B$1+((Inputs!$G$5:$G$230&lt;&gt;"moeda")*(Inputs!$G$5:$G$230&lt;&gt;"acoes")))*INDEX(Inputs!$K$5:$AJ$230,0,MATCH(N$2,Inputs!$K$4:$AJ$4,0)))+SUMPRODUCT((Inputs!$C$5:$C$230=$B79)*Inputs!$D$5:$D$230*(((Inputs!$G$5:$G$230="moeda")+(Inputs!$G$5:$G$230="acoes"))*Inputs!$B$1+((Inputs!$G$5:$G$230&lt;&gt;"moeda")*(Inputs!$G$5:$G$230&lt;&gt;"acoes")))*INDEX(Inputs!$K$5:$AJ$230,0,MATCH(N$2,Inputs!$K$4:$AJ$4,0)))+SUMPRODUCT((Inputs!$E$5:$E$230=$B79)*Inputs!$F$5:$F$230*(((Inputs!$G$5:$G$230="moeda")+(Inputs!$G$5:$G$230="acoes"))*Inputs!$B$1+((Inputs!$G$5:$G$230&lt;&gt;"moeda")*(Inputs!$G$5:$G$230&lt;&gt;"acoes")))*INDEX(Inputs!$K$5:$AJ$230,0,MATCH(N$2,Inputs!$K$4:$AJ$4,0)))))</f>
        <v>76.929</v>
      </c>
      <c r="O79" s="6">
        <f>IF(ISNA(MATCH(O$2,Inputs!$K$4:$AJ$4,0)),NA(),IF(SUMPRODUCT((Inputs!$A$5:$A$230=$B79)*ISNUMBER(INDEX(Inputs!$K$5:$AJ$230,0,MATCH(O$2,Inputs!$K$4:$AJ$4,0))))+SUMPRODUCT((Inputs!$C$5:$C$230=$B79)*ISNUMBER(INDEX(Inputs!$K$5:$AJ$230,0,MATCH(O$2,Inputs!$K$4:$AJ$4,0))))+SUMPRODUCT((Inputs!$E$5:$E$230=$B79)*ISNUMBER(INDEX(Inputs!$K$5:$AJ$230,0,MATCH(O$2,Inputs!$K$4:$AJ$4,0))))=0,NA(),SUMPRODUCT((Inputs!$A$5:$A$230=$B79)*Inputs!$B$5:$B$230*(((Inputs!$G$5:$G$230="moeda")+(Inputs!$G$5:$G$230="acoes"))*Inputs!$B$1+((Inputs!$G$5:$G$230&lt;&gt;"moeda")*(Inputs!$G$5:$G$230&lt;&gt;"acoes")))*INDEX(Inputs!$K$5:$AJ$230,0,MATCH(O$2,Inputs!$K$4:$AJ$4,0)))+SUMPRODUCT((Inputs!$C$5:$C$230=$B79)*Inputs!$D$5:$D$230*(((Inputs!$G$5:$G$230="moeda")+(Inputs!$G$5:$G$230="acoes"))*Inputs!$B$1+((Inputs!$G$5:$G$230&lt;&gt;"moeda")*(Inputs!$G$5:$G$230&lt;&gt;"acoes")))*INDEX(Inputs!$K$5:$AJ$230,0,MATCH(O$2,Inputs!$K$4:$AJ$4,0)))+SUMPRODUCT((Inputs!$E$5:$E$230=$B79)*Inputs!$F$5:$F$230*(((Inputs!$G$5:$G$230="moeda")+(Inputs!$G$5:$G$230="acoes"))*Inputs!$B$1+((Inputs!$G$5:$G$230&lt;&gt;"moeda")*(Inputs!$G$5:$G$230&lt;&gt;"acoes")))*INDEX(Inputs!$K$5:$AJ$230,0,MATCH(O$2,Inputs!$K$4:$AJ$4,0)))))</f>
        <v>71.15</v>
      </c>
      <c r="P79" s="6">
        <f>IF(ISNA(MATCH(P$2,Inputs!$K$4:$AJ$4,0)),NA(),IF(SUMPRODUCT((Inputs!$A$5:$A$230=$B79)*ISNUMBER(INDEX(Inputs!$K$5:$AJ$230,0,MATCH(P$2,Inputs!$K$4:$AJ$4,0))))+SUMPRODUCT((Inputs!$C$5:$C$230=$B79)*ISNUMBER(INDEX(Inputs!$K$5:$AJ$230,0,MATCH(P$2,Inputs!$K$4:$AJ$4,0))))+SUMPRODUCT((Inputs!$E$5:$E$230=$B79)*ISNUMBER(INDEX(Inputs!$K$5:$AJ$230,0,MATCH(P$2,Inputs!$K$4:$AJ$4,0))))=0,NA(),SUMPRODUCT((Inputs!$A$5:$A$230=$B79)*Inputs!$B$5:$B$230*(((Inputs!$G$5:$G$230="moeda")+(Inputs!$G$5:$G$230="acoes"))*Inputs!$B$1+((Inputs!$G$5:$G$230&lt;&gt;"moeda")*(Inputs!$G$5:$G$230&lt;&gt;"acoes")))*INDEX(Inputs!$K$5:$AJ$230,0,MATCH(P$2,Inputs!$K$4:$AJ$4,0)))+SUMPRODUCT((Inputs!$C$5:$C$230=$B79)*Inputs!$D$5:$D$230*(((Inputs!$G$5:$G$230="moeda")+(Inputs!$G$5:$G$230="acoes"))*Inputs!$B$1+((Inputs!$G$5:$G$230&lt;&gt;"moeda")*(Inputs!$G$5:$G$230&lt;&gt;"acoes")))*INDEX(Inputs!$K$5:$AJ$230,0,MATCH(P$2,Inputs!$K$4:$AJ$4,0)))+SUMPRODUCT((Inputs!$E$5:$E$230=$B79)*Inputs!$F$5:$F$230*(((Inputs!$G$5:$G$230="moeda")+(Inputs!$G$5:$G$230="acoes"))*Inputs!$B$1+((Inputs!$G$5:$G$230&lt;&gt;"moeda")*(Inputs!$G$5:$G$230&lt;&gt;"acoes")))*INDEX(Inputs!$K$5:$AJ$230,0,MATCH(P$2,Inputs!$K$4:$AJ$4,0)))))</f>
        <v>48.567</v>
      </c>
      <c r="Q79" s="6">
        <f>IF(ISNA(MATCH(Q$2,Inputs!$K$4:$AJ$4,0)),NA(),IF(SUMPRODUCT((Inputs!$A$5:$A$230=$B79)*ISNUMBER(INDEX(Inputs!$K$5:$AJ$230,0,MATCH(Q$2,Inputs!$K$4:$AJ$4,0))))+SUMPRODUCT((Inputs!$C$5:$C$230=$B79)*ISNUMBER(INDEX(Inputs!$K$5:$AJ$230,0,MATCH(Q$2,Inputs!$K$4:$AJ$4,0))))+SUMPRODUCT((Inputs!$E$5:$E$230=$B79)*ISNUMBER(INDEX(Inputs!$K$5:$AJ$230,0,MATCH(Q$2,Inputs!$K$4:$AJ$4,0))))=0,NA(),SUMPRODUCT((Inputs!$A$5:$A$230=$B79)*Inputs!$B$5:$B$230*(((Inputs!$G$5:$G$230="moeda")+(Inputs!$G$5:$G$230="acoes"))*Inputs!$B$1+((Inputs!$G$5:$G$230&lt;&gt;"moeda")*(Inputs!$G$5:$G$230&lt;&gt;"acoes")))*INDEX(Inputs!$K$5:$AJ$230,0,MATCH(Q$2,Inputs!$K$4:$AJ$4,0)))+SUMPRODUCT((Inputs!$C$5:$C$230=$B79)*Inputs!$D$5:$D$230*(((Inputs!$G$5:$G$230="moeda")+(Inputs!$G$5:$G$230="acoes"))*Inputs!$B$1+((Inputs!$G$5:$G$230&lt;&gt;"moeda")*(Inputs!$G$5:$G$230&lt;&gt;"acoes")))*INDEX(Inputs!$K$5:$AJ$230,0,MATCH(Q$2,Inputs!$K$4:$AJ$4,0)))+SUMPRODUCT((Inputs!$E$5:$E$230=$B79)*Inputs!$F$5:$F$230*(((Inputs!$G$5:$G$230="moeda")+(Inputs!$G$5:$G$230="acoes"))*Inputs!$B$1+((Inputs!$G$5:$G$230&lt;&gt;"moeda")*(Inputs!$G$5:$G$230&lt;&gt;"acoes")))*INDEX(Inputs!$K$5:$AJ$230,0,MATCH(Q$2,Inputs!$K$4:$AJ$4,0)))))</f>
        <v>57.24</v>
      </c>
      <c r="R79" s="3">
        <f>SUM(N79:Q79)</f>
        <v>253.886</v>
      </c>
      <c r="S79" s="6">
        <f>IF(ISNA(MATCH(S$2,Inputs!$K$4:$AJ$4,0)),NA(),IF(SUMPRODUCT((Inputs!$A$5:$A$230=$B79)*ISNUMBER(INDEX(Inputs!$K$5:$AJ$230,0,MATCH(S$2,Inputs!$K$4:$AJ$4,0))))+SUMPRODUCT((Inputs!$C$5:$C$230=$B79)*ISNUMBER(INDEX(Inputs!$K$5:$AJ$230,0,MATCH(S$2,Inputs!$K$4:$AJ$4,0))))+SUMPRODUCT((Inputs!$E$5:$E$230=$B79)*ISNUMBER(INDEX(Inputs!$K$5:$AJ$230,0,MATCH(S$2,Inputs!$K$4:$AJ$4,0))))=0,NA(),SUMPRODUCT((Inputs!$A$5:$A$230=$B79)*Inputs!$B$5:$B$230*(((Inputs!$G$5:$G$230="moeda")+(Inputs!$G$5:$G$230="acoes"))*Inputs!$B$1+((Inputs!$G$5:$G$230&lt;&gt;"moeda")*(Inputs!$G$5:$G$230&lt;&gt;"acoes")))*INDEX(Inputs!$K$5:$AJ$230,0,MATCH(S$2,Inputs!$K$4:$AJ$4,0)))+SUMPRODUCT((Inputs!$C$5:$C$230=$B79)*Inputs!$D$5:$D$230*(((Inputs!$G$5:$G$230="moeda")+(Inputs!$G$5:$G$230="acoes"))*Inputs!$B$1+((Inputs!$G$5:$G$230&lt;&gt;"moeda")*(Inputs!$G$5:$G$230&lt;&gt;"acoes")))*INDEX(Inputs!$K$5:$AJ$230,0,MATCH(S$2,Inputs!$K$4:$AJ$4,0)))+SUMPRODUCT((Inputs!$E$5:$E$230=$B79)*Inputs!$F$5:$F$230*(((Inputs!$G$5:$G$230="moeda")+(Inputs!$G$5:$G$230="acoes"))*Inputs!$B$1+((Inputs!$G$5:$G$230&lt;&gt;"moeda")*(Inputs!$G$5:$G$230&lt;&gt;"acoes")))*INDEX(Inputs!$K$5:$AJ$230,0,MATCH(S$2,Inputs!$K$4:$AJ$4,0)))))</f>
        <v>76.335</v>
      </c>
      <c r="T79" s="6">
        <f>IF(ISNA(MATCH(T$2,Inputs!$K$4:$AJ$4,0)),NA(),IF(SUMPRODUCT((Inputs!$A$5:$A$230=$B79)*ISNUMBER(INDEX(Inputs!$K$5:$AJ$230,0,MATCH(T$2,Inputs!$K$4:$AJ$4,0))))+SUMPRODUCT((Inputs!$C$5:$C$230=$B79)*ISNUMBER(INDEX(Inputs!$K$5:$AJ$230,0,MATCH(T$2,Inputs!$K$4:$AJ$4,0))))+SUMPRODUCT((Inputs!$E$5:$E$230=$B79)*ISNUMBER(INDEX(Inputs!$K$5:$AJ$230,0,MATCH(T$2,Inputs!$K$4:$AJ$4,0))))=0,NA(),SUMPRODUCT((Inputs!$A$5:$A$230=$B79)*Inputs!$B$5:$B$230*(((Inputs!$G$5:$G$230="moeda")+(Inputs!$G$5:$G$230="acoes"))*Inputs!$B$1+((Inputs!$G$5:$G$230&lt;&gt;"moeda")*(Inputs!$G$5:$G$230&lt;&gt;"acoes")))*INDEX(Inputs!$K$5:$AJ$230,0,MATCH(T$2,Inputs!$K$4:$AJ$4,0)))+SUMPRODUCT((Inputs!$C$5:$C$230=$B79)*Inputs!$D$5:$D$230*(((Inputs!$G$5:$G$230="moeda")+(Inputs!$G$5:$G$230="acoes"))*Inputs!$B$1+((Inputs!$G$5:$G$230&lt;&gt;"moeda")*(Inputs!$G$5:$G$230&lt;&gt;"acoes")))*INDEX(Inputs!$K$5:$AJ$230,0,MATCH(T$2,Inputs!$K$4:$AJ$4,0)))+SUMPRODUCT((Inputs!$E$5:$E$230=$B79)*Inputs!$F$5:$F$230*(((Inputs!$G$5:$G$230="moeda")+(Inputs!$G$5:$G$230="acoes"))*Inputs!$B$1+((Inputs!$G$5:$G$230&lt;&gt;"moeda")*(Inputs!$G$5:$G$230&lt;&gt;"acoes")))*INDEX(Inputs!$K$5:$AJ$230,0,MATCH(T$2,Inputs!$K$4:$AJ$4,0)))))</f>
        <v>62.868</v>
      </c>
      <c r="U79" s="6">
        <f>IF(ISNA(MATCH(U$2,Inputs!$K$4:$AJ$4,0)),NA(),IF(SUMPRODUCT((Inputs!$A$5:$A$230=$B79)*ISNUMBER(INDEX(Inputs!$K$5:$AJ$230,0,MATCH(U$2,Inputs!$K$4:$AJ$4,0))))+SUMPRODUCT((Inputs!$C$5:$C$230=$B79)*ISNUMBER(INDEX(Inputs!$K$5:$AJ$230,0,MATCH(U$2,Inputs!$K$4:$AJ$4,0))))+SUMPRODUCT((Inputs!$E$5:$E$230=$B79)*ISNUMBER(INDEX(Inputs!$K$5:$AJ$230,0,MATCH(U$2,Inputs!$K$4:$AJ$4,0))))=0,NA(),SUMPRODUCT((Inputs!$A$5:$A$230=$B79)*Inputs!$B$5:$B$230*(((Inputs!$G$5:$G$230="moeda")+(Inputs!$G$5:$G$230="acoes"))*Inputs!$B$1+((Inputs!$G$5:$G$230&lt;&gt;"moeda")*(Inputs!$G$5:$G$230&lt;&gt;"acoes")))*INDEX(Inputs!$K$5:$AJ$230,0,MATCH(U$2,Inputs!$K$4:$AJ$4,0)))+SUMPRODUCT((Inputs!$C$5:$C$230=$B79)*Inputs!$D$5:$D$230*(((Inputs!$G$5:$G$230="moeda")+(Inputs!$G$5:$G$230="acoes"))*Inputs!$B$1+((Inputs!$G$5:$G$230&lt;&gt;"moeda")*(Inputs!$G$5:$G$230&lt;&gt;"acoes")))*INDEX(Inputs!$K$5:$AJ$230,0,MATCH(U$2,Inputs!$K$4:$AJ$4,0)))+SUMPRODUCT((Inputs!$E$5:$E$230=$B79)*Inputs!$F$5:$F$230*(((Inputs!$G$5:$G$230="moeda")+(Inputs!$G$5:$G$230="acoes"))*Inputs!$B$1+((Inputs!$G$5:$G$230&lt;&gt;"moeda")*(Inputs!$G$5:$G$230&lt;&gt;"acoes")))*INDEX(Inputs!$K$5:$AJ$230,0,MATCH(U$2,Inputs!$K$4:$AJ$4,0)))))</f>
        <v>54.841</v>
      </c>
      <c r="V79" s="6">
        <f>IF(ISNA(MATCH(V$2,Inputs!$K$4:$AJ$4,0)),NA(),IF(SUMPRODUCT((Inputs!$A$5:$A$230=$B79)*ISNUMBER(INDEX(Inputs!$K$5:$AJ$230,0,MATCH(V$2,Inputs!$K$4:$AJ$4,0))))+SUMPRODUCT((Inputs!$C$5:$C$230=$B79)*ISNUMBER(INDEX(Inputs!$K$5:$AJ$230,0,MATCH(V$2,Inputs!$K$4:$AJ$4,0))))+SUMPRODUCT((Inputs!$E$5:$E$230=$B79)*ISNUMBER(INDEX(Inputs!$K$5:$AJ$230,0,MATCH(V$2,Inputs!$K$4:$AJ$4,0))))=0,NA(),SUMPRODUCT((Inputs!$A$5:$A$230=$B79)*Inputs!$B$5:$B$230*(((Inputs!$G$5:$G$230="moeda")+(Inputs!$G$5:$G$230="acoes"))*Inputs!$B$1+((Inputs!$G$5:$G$230&lt;&gt;"moeda")*(Inputs!$G$5:$G$230&lt;&gt;"acoes")))*INDEX(Inputs!$K$5:$AJ$230,0,MATCH(V$2,Inputs!$K$4:$AJ$4,0)))+SUMPRODUCT((Inputs!$C$5:$C$230=$B79)*Inputs!$D$5:$D$230*(((Inputs!$G$5:$G$230="moeda")+(Inputs!$G$5:$G$230="acoes"))*Inputs!$B$1+((Inputs!$G$5:$G$230&lt;&gt;"moeda")*(Inputs!$G$5:$G$230&lt;&gt;"acoes")))*INDEX(Inputs!$K$5:$AJ$230,0,MATCH(V$2,Inputs!$K$4:$AJ$4,0)))+SUMPRODUCT((Inputs!$E$5:$E$230=$B79)*Inputs!$F$5:$F$230*(((Inputs!$G$5:$G$230="moeda")+(Inputs!$G$5:$G$230="acoes"))*Inputs!$B$1+((Inputs!$G$5:$G$230&lt;&gt;"moeda")*(Inputs!$G$5:$G$230&lt;&gt;"acoes")))*INDEX(Inputs!$K$5:$AJ$230,0,MATCH(V$2,Inputs!$K$4:$AJ$4,0)))))</f>
        <v>69.307</v>
      </c>
      <c r="W79" s="3">
        <f>SUM(S79:V79)</f>
        <v>263.351</v>
      </c>
      <c r="X79" s="6">
        <f>IF(ISNA(MATCH(X$2,Inputs!$K$4:$AJ$4,0)),NA(),IF(SUMPRODUCT((Inputs!$A$5:$A$230=$B79)*ISNUMBER(INDEX(Inputs!$K$5:$AJ$230,0,MATCH(X$2,Inputs!$K$4:$AJ$4,0))))+SUMPRODUCT((Inputs!$C$5:$C$230=$B79)*ISNUMBER(INDEX(Inputs!$K$5:$AJ$230,0,MATCH(X$2,Inputs!$K$4:$AJ$4,0))))+SUMPRODUCT((Inputs!$E$5:$E$230=$B79)*ISNUMBER(INDEX(Inputs!$K$5:$AJ$230,0,MATCH(X$2,Inputs!$K$4:$AJ$4,0))))=0,NA(),SUMPRODUCT((Inputs!$A$5:$A$230=$B79)*Inputs!$B$5:$B$230*(((Inputs!$G$5:$G$230="moeda")+(Inputs!$G$5:$G$230="acoes"))*Inputs!$B$1+((Inputs!$G$5:$G$230&lt;&gt;"moeda")*(Inputs!$G$5:$G$230&lt;&gt;"acoes")))*INDEX(Inputs!$K$5:$AJ$230,0,MATCH(X$2,Inputs!$K$4:$AJ$4,0)))+SUMPRODUCT((Inputs!$C$5:$C$230=$B79)*Inputs!$D$5:$D$230*(((Inputs!$G$5:$G$230="moeda")+(Inputs!$G$5:$G$230="acoes"))*Inputs!$B$1+((Inputs!$G$5:$G$230&lt;&gt;"moeda")*(Inputs!$G$5:$G$230&lt;&gt;"acoes")))*INDEX(Inputs!$K$5:$AJ$230,0,MATCH(X$2,Inputs!$K$4:$AJ$4,0)))+SUMPRODUCT((Inputs!$E$5:$E$230=$B79)*Inputs!$F$5:$F$230*(((Inputs!$G$5:$G$230="moeda")+(Inputs!$G$5:$G$230="acoes"))*Inputs!$B$1+((Inputs!$G$5:$G$230&lt;&gt;"moeda")*(Inputs!$G$5:$G$230&lt;&gt;"acoes")))*INDEX(Inputs!$K$5:$AJ$230,0,MATCH(X$2,Inputs!$K$4:$AJ$4,0)))))</f>
        <v>82.13</v>
      </c>
      <c r="Y79" s="6">
        <f>IF(ISNA(MATCH(Y$2,Inputs!$K$4:$AJ$4,0)),NA(),IF(SUMPRODUCT((Inputs!$A$5:$A$230=$B79)*ISNUMBER(INDEX(Inputs!$K$5:$AJ$230,0,MATCH(Y$2,Inputs!$K$4:$AJ$4,0))))+SUMPRODUCT((Inputs!$C$5:$C$230=$B79)*ISNUMBER(INDEX(Inputs!$K$5:$AJ$230,0,MATCH(Y$2,Inputs!$K$4:$AJ$4,0))))+SUMPRODUCT((Inputs!$E$5:$E$230=$B79)*ISNUMBER(INDEX(Inputs!$K$5:$AJ$230,0,MATCH(Y$2,Inputs!$K$4:$AJ$4,0))))=0,NA(),SUMPRODUCT((Inputs!$A$5:$A$230=$B79)*Inputs!$B$5:$B$230*(((Inputs!$G$5:$G$230="moeda")+(Inputs!$G$5:$G$230="acoes"))*Inputs!$B$1+((Inputs!$G$5:$G$230&lt;&gt;"moeda")*(Inputs!$G$5:$G$230&lt;&gt;"acoes")))*INDEX(Inputs!$K$5:$AJ$230,0,MATCH(Y$2,Inputs!$K$4:$AJ$4,0)))+SUMPRODUCT((Inputs!$C$5:$C$230=$B79)*Inputs!$D$5:$D$230*(((Inputs!$G$5:$G$230="moeda")+(Inputs!$G$5:$G$230="acoes"))*Inputs!$B$1+((Inputs!$G$5:$G$230&lt;&gt;"moeda")*(Inputs!$G$5:$G$230&lt;&gt;"acoes")))*INDEX(Inputs!$K$5:$AJ$230,0,MATCH(Y$2,Inputs!$K$4:$AJ$4,0)))+SUMPRODUCT((Inputs!$E$5:$E$230=$B79)*Inputs!$F$5:$F$230*(((Inputs!$G$5:$G$230="moeda")+(Inputs!$G$5:$G$230="acoes"))*Inputs!$B$1+((Inputs!$G$5:$G$230&lt;&gt;"moeda")*(Inputs!$G$5:$G$230&lt;&gt;"acoes")))*INDEX(Inputs!$K$5:$AJ$230,0,MATCH(Y$2,Inputs!$K$4:$AJ$4,0)))))</f>
        <v>69.951</v>
      </c>
      <c r="Z79" s="6">
        <f>IF(ISNA(MATCH(Z$2,Inputs!$K$4:$AJ$4,0)),NA(),IF(SUMPRODUCT((Inputs!$A$5:$A$230=$B79)*ISNUMBER(INDEX(Inputs!$K$5:$AJ$230,0,MATCH(Z$2,Inputs!$K$4:$AJ$4,0))))+SUMPRODUCT((Inputs!$C$5:$C$230=$B79)*ISNUMBER(INDEX(Inputs!$K$5:$AJ$230,0,MATCH(Z$2,Inputs!$K$4:$AJ$4,0))))+SUMPRODUCT((Inputs!$E$5:$E$230=$B79)*ISNUMBER(INDEX(Inputs!$K$5:$AJ$230,0,MATCH(Z$2,Inputs!$K$4:$AJ$4,0))))=0,NA(),SUMPRODUCT((Inputs!$A$5:$A$230=$B79)*Inputs!$B$5:$B$230*(((Inputs!$G$5:$G$230="moeda")+(Inputs!$G$5:$G$230="acoes"))*Inputs!$B$1+((Inputs!$G$5:$G$230&lt;&gt;"moeda")*(Inputs!$G$5:$G$230&lt;&gt;"acoes")))*INDEX(Inputs!$K$5:$AJ$230,0,MATCH(Z$2,Inputs!$K$4:$AJ$4,0)))+SUMPRODUCT((Inputs!$C$5:$C$230=$B79)*Inputs!$D$5:$D$230*(((Inputs!$G$5:$G$230="moeda")+(Inputs!$G$5:$G$230="acoes"))*Inputs!$B$1+((Inputs!$G$5:$G$230&lt;&gt;"moeda")*(Inputs!$G$5:$G$230&lt;&gt;"acoes")))*INDEX(Inputs!$K$5:$AJ$230,0,MATCH(Z$2,Inputs!$K$4:$AJ$4,0)))+SUMPRODUCT((Inputs!$E$5:$E$230=$B79)*Inputs!$F$5:$F$230*(((Inputs!$G$5:$G$230="moeda")+(Inputs!$G$5:$G$230="acoes"))*Inputs!$B$1+((Inputs!$G$5:$G$230&lt;&gt;"moeda")*(Inputs!$G$5:$G$230&lt;&gt;"acoes")))*INDEX(Inputs!$K$5:$AJ$230,0,MATCH(Z$2,Inputs!$K$4:$AJ$4,0)))))</f>
        <v>54</v>
      </c>
      <c r="AA79" s="6">
        <f>IF(ISNA(MATCH(AA$2,Inputs!$K$4:$AJ$4,0)),NA(),IF(SUMPRODUCT((Inputs!$A$5:$A$230=$B79)*ISNUMBER(INDEX(Inputs!$K$5:$AJ$230,0,MATCH(AA$2,Inputs!$K$4:$AJ$4,0))))+SUMPRODUCT((Inputs!$C$5:$C$230=$B79)*ISNUMBER(INDEX(Inputs!$K$5:$AJ$230,0,MATCH(AA$2,Inputs!$K$4:$AJ$4,0))))+SUMPRODUCT((Inputs!$E$5:$E$230=$B79)*ISNUMBER(INDEX(Inputs!$K$5:$AJ$230,0,MATCH(AA$2,Inputs!$K$4:$AJ$4,0))))=0,NA(),SUMPRODUCT((Inputs!$A$5:$A$230=$B79)*Inputs!$B$5:$B$230*(((Inputs!$G$5:$G$230="moeda")+(Inputs!$G$5:$G$230="acoes"))*Inputs!$B$1+((Inputs!$G$5:$G$230&lt;&gt;"moeda")*(Inputs!$G$5:$G$230&lt;&gt;"acoes")))*INDEX(Inputs!$K$5:$AJ$230,0,MATCH(AA$2,Inputs!$K$4:$AJ$4,0)))+SUMPRODUCT((Inputs!$C$5:$C$230=$B79)*Inputs!$D$5:$D$230*(((Inputs!$G$5:$G$230="moeda")+(Inputs!$G$5:$G$230="acoes"))*Inputs!$B$1+((Inputs!$G$5:$G$230&lt;&gt;"moeda")*(Inputs!$G$5:$G$230&lt;&gt;"acoes")))*INDEX(Inputs!$K$5:$AJ$230,0,MATCH(AA$2,Inputs!$K$4:$AJ$4,0)))+SUMPRODUCT((Inputs!$E$5:$E$230=$B79)*Inputs!$F$5:$F$230*(((Inputs!$G$5:$G$230="moeda")+(Inputs!$G$5:$G$230="acoes"))*Inputs!$B$1+((Inputs!$G$5:$G$230&lt;&gt;"moeda")*(Inputs!$G$5:$G$230&lt;&gt;"acoes")))*INDEX(Inputs!$K$5:$AJ$230,0,MATCH(AA$2,Inputs!$K$4:$AJ$4,0)))))</f>
        <v>60.687</v>
      </c>
      <c r="AB79" s="3">
        <f>SUM(X79:AA79)</f>
        <v>266.768</v>
      </c>
      <c r="AC79" s="6">
        <f>IF(ISNA(MATCH(AC$2,Inputs!$K$4:$AJ$4,0)),NA(),IF(SUMPRODUCT((Inputs!$A$5:$A$230=$B79)*ISNUMBER(INDEX(Inputs!$K$5:$AJ$230,0,MATCH(AC$2,Inputs!$K$4:$AJ$4,0))))+SUMPRODUCT((Inputs!$C$5:$C$230=$B79)*ISNUMBER(INDEX(Inputs!$K$5:$AJ$230,0,MATCH(AC$2,Inputs!$K$4:$AJ$4,0))))+SUMPRODUCT((Inputs!$E$5:$E$230=$B79)*ISNUMBER(INDEX(Inputs!$K$5:$AJ$230,0,MATCH(AC$2,Inputs!$K$4:$AJ$4,0))))=0,NA(),SUMPRODUCT((Inputs!$A$5:$A$230=$B79)*Inputs!$B$5:$B$230*(((Inputs!$G$5:$G$230="moeda")+(Inputs!$G$5:$G$230="acoes"))*Inputs!$B$1+((Inputs!$G$5:$G$230&lt;&gt;"moeda")*(Inputs!$G$5:$G$230&lt;&gt;"acoes")))*INDEX(Inputs!$K$5:$AJ$230,0,MATCH(AC$2,Inputs!$K$4:$AJ$4,0)))+SUMPRODUCT((Inputs!$C$5:$C$230=$B79)*Inputs!$D$5:$D$230*(((Inputs!$G$5:$G$230="moeda")+(Inputs!$G$5:$G$230="acoes"))*Inputs!$B$1+((Inputs!$G$5:$G$230&lt;&gt;"moeda")*(Inputs!$G$5:$G$230&lt;&gt;"acoes")))*INDEX(Inputs!$K$5:$AJ$230,0,MATCH(AC$2,Inputs!$K$4:$AJ$4,0)))+SUMPRODUCT((Inputs!$E$5:$E$230=$B79)*Inputs!$F$5:$F$230*(((Inputs!$G$5:$G$230="moeda")+(Inputs!$G$5:$G$230="acoes"))*Inputs!$B$1+((Inputs!$G$5:$G$230&lt;&gt;"moeda")*(Inputs!$G$5:$G$230&lt;&gt;"acoes")))*INDEX(Inputs!$K$5:$AJ$230,0,MATCH(AC$2,Inputs!$K$4:$AJ$4,0)))))</f>
        <v>72.656</v>
      </c>
      <c r="AD79" s="6">
        <f>IF(ISNA(MATCH(AD$2,Inputs!$K$4:$AJ$4,0)),NA(),IF(SUMPRODUCT((Inputs!$A$5:$A$230=$B79)*ISNUMBER(INDEX(Inputs!$K$5:$AJ$230,0,MATCH(AD$2,Inputs!$K$4:$AJ$4,0))))+SUMPRODUCT((Inputs!$C$5:$C$230=$B79)*ISNUMBER(INDEX(Inputs!$K$5:$AJ$230,0,MATCH(AD$2,Inputs!$K$4:$AJ$4,0))))+SUMPRODUCT((Inputs!$E$5:$E$230=$B79)*ISNUMBER(INDEX(Inputs!$K$5:$AJ$230,0,MATCH(AD$2,Inputs!$K$4:$AJ$4,0))))=0,NA(),SUMPRODUCT((Inputs!$A$5:$A$230=$B79)*Inputs!$B$5:$B$230*(((Inputs!$G$5:$G$230="moeda")+(Inputs!$G$5:$G$230="acoes"))*Inputs!$B$1+((Inputs!$G$5:$G$230&lt;&gt;"moeda")*(Inputs!$G$5:$G$230&lt;&gt;"acoes")))*INDEX(Inputs!$K$5:$AJ$230,0,MATCH(AD$2,Inputs!$K$4:$AJ$4,0)))+SUMPRODUCT((Inputs!$C$5:$C$230=$B79)*Inputs!$D$5:$D$230*(((Inputs!$G$5:$G$230="moeda")+(Inputs!$G$5:$G$230="acoes"))*Inputs!$B$1+((Inputs!$G$5:$G$230&lt;&gt;"moeda")*(Inputs!$G$5:$G$230&lt;&gt;"acoes")))*INDEX(Inputs!$K$5:$AJ$230,0,MATCH(AD$2,Inputs!$K$4:$AJ$4,0)))+SUMPRODUCT((Inputs!$E$5:$E$230=$B79)*Inputs!$F$5:$F$230*(((Inputs!$G$5:$G$230="moeda")+(Inputs!$G$5:$G$230="acoes"))*Inputs!$B$1+((Inputs!$G$5:$G$230&lt;&gt;"moeda")*(Inputs!$G$5:$G$230&lt;&gt;"acoes")))*INDEX(Inputs!$K$5:$AJ$230,0,MATCH(AD$2,Inputs!$K$4:$AJ$4,0)))))</f>
        <v>88.941</v>
      </c>
      <c r="AE79" s="6" t="e">
        <f>IF(ISNA(MATCH(AE$2,Inputs!$K$4:$AJ$4,0)),NA(),IF(SUMPRODUCT((Inputs!$A$5:$A$230=$B79)*ISNUMBER(INDEX(Inputs!$K$5:$AJ$230,0,MATCH(AE$2,Inputs!$K$4:$AJ$4,0))))+SUMPRODUCT((Inputs!$C$5:$C$230=$B79)*ISNUMBER(INDEX(Inputs!$K$5:$AJ$230,0,MATCH(AE$2,Inputs!$K$4:$AJ$4,0))))+SUMPRODUCT((Inputs!$E$5:$E$230=$B79)*ISNUMBER(INDEX(Inputs!$K$5:$AJ$230,0,MATCH(AE$2,Inputs!$K$4:$AJ$4,0))))=0,NA(),SUMPRODUCT((Inputs!$A$5:$A$230=$B79)*Inputs!$B$5:$B$230*(((Inputs!$G$5:$G$230="moeda")+(Inputs!$G$5:$G$230="acoes"))*Inputs!$B$1+((Inputs!$G$5:$G$230&lt;&gt;"moeda")*(Inputs!$G$5:$G$230&lt;&gt;"acoes")))*INDEX(Inputs!$K$5:$AJ$230,0,MATCH(AE$2,Inputs!$K$4:$AJ$4,0)))+SUMPRODUCT((Inputs!$C$5:$C$230=$B79)*Inputs!$D$5:$D$230*(((Inputs!$G$5:$G$230="moeda")+(Inputs!$G$5:$G$230="acoes"))*Inputs!$B$1+((Inputs!$G$5:$G$230&lt;&gt;"moeda")*(Inputs!$G$5:$G$230&lt;&gt;"acoes")))*INDEX(Inputs!$K$5:$AJ$230,0,MATCH(AE$2,Inputs!$K$4:$AJ$4,0)))+SUMPRODUCT((Inputs!$E$5:$E$230=$B79)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79" s="6" t="e">
        <f>IF(ISNA(MATCH(AF$2,Inputs!$K$4:$AJ$4,0)),NA(),IF(SUMPRODUCT((Inputs!$A$5:$A$230=$B79)*ISNUMBER(INDEX(Inputs!$K$5:$AJ$230,0,MATCH(AF$2,Inputs!$K$4:$AJ$4,0))))+SUMPRODUCT((Inputs!$C$5:$C$230=$B79)*ISNUMBER(INDEX(Inputs!$K$5:$AJ$230,0,MATCH(AF$2,Inputs!$K$4:$AJ$4,0))))+SUMPRODUCT((Inputs!$E$5:$E$230=$B79)*ISNUMBER(INDEX(Inputs!$K$5:$AJ$230,0,MATCH(AF$2,Inputs!$K$4:$AJ$4,0))))=0,NA(),SUMPRODUCT((Inputs!$A$5:$A$230=$B79)*Inputs!$B$5:$B$230*(((Inputs!$G$5:$G$230="moeda")+(Inputs!$G$5:$G$230="acoes"))*Inputs!$B$1+((Inputs!$G$5:$G$230&lt;&gt;"moeda")*(Inputs!$G$5:$G$230&lt;&gt;"acoes")))*INDEX(Inputs!$K$5:$AJ$230,0,MATCH(AF$2,Inputs!$K$4:$AJ$4,0)))+SUMPRODUCT((Inputs!$C$5:$C$230=$B79)*Inputs!$D$5:$D$230*(((Inputs!$G$5:$G$230="moeda")+(Inputs!$G$5:$G$230="acoes"))*Inputs!$B$1+((Inputs!$G$5:$G$230&lt;&gt;"moeda")*(Inputs!$G$5:$G$230&lt;&gt;"acoes")))*INDEX(Inputs!$K$5:$AJ$230,0,MATCH(AF$2,Inputs!$K$4:$AJ$4,0)))+SUMPRODUCT((Inputs!$E$5:$E$230=$B79)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79" s="3" t="e">
        <f>SUM(AC79:AF79)</f>
        <v>#N/A</v>
      </c>
      <c r="AH79" s="6">
        <f>IF(ISNA(MATCH(AH$2,Inputs!$K$4:$AJ$4,0)),NA(),IF(SUMPRODUCT((Inputs!$A$5:$A$230=$B79)*ISNUMBER(INDEX(Inputs!$K$5:$AJ$230,0,MATCH(AH$2,Inputs!$K$4:$AJ$4,0))))+SUMPRODUCT((Inputs!$C$5:$C$230=$B79)*ISNUMBER(INDEX(Inputs!$K$5:$AJ$230,0,MATCH(AH$2,Inputs!$K$4:$AJ$4,0))))+SUMPRODUCT((Inputs!$E$5:$E$230=$B79)*ISNUMBER(INDEX(Inputs!$K$5:$AJ$230,0,MATCH(AH$2,Inputs!$K$4:$AJ$4,0))))=0,NA(),SUMPRODUCT((Inputs!$A$5:$A$230=$B79)*Inputs!$B$5:$B$230*(((Inputs!$G$5:$G$230="moeda")+(Inputs!$G$5:$G$230="acoes"))*Inputs!$B$1+((Inputs!$G$5:$G$230&lt;&gt;"moeda")*(Inputs!$G$5:$G$230&lt;&gt;"acoes")))*INDEX(Inputs!$K$5:$AJ$230,0,MATCH(AH$2,Inputs!$K$4:$AJ$4,0)))+SUMPRODUCT((Inputs!$C$5:$C$230=$B79)*Inputs!$D$5:$D$230*(((Inputs!$G$5:$G$230="moeda")+(Inputs!$G$5:$G$230="acoes"))*Inputs!$B$1+((Inputs!$G$5:$G$230&lt;&gt;"moeda")*(Inputs!$G$5:$G$230&lt;&gt;"acoes")))*INDEX(Inputs!$K$5:$AJ$230,0,MATCH(AH$2,Inputs!$K$4:$AJ$4,0)))+SUMPRODUCT((Inputs!$E$5:$E$230=$B79)*Inputs!$F$5:$F$230*(((Inputs!$G$5:$G$230="moeda")+(Inputs!$G$5:$G$230="acoes"))*Inputs!$B$1+((Inputs!$G$5:$G$230&lt;&gt;"moeda")*(Inputs!$G$5:$G$230&lt;&gt;"acoes")))*INDEX(Inputs!$K$5:$AJ$230,0,MATCH(AH$2,Inputs!$K$4:$AJ$4,0)))))</f>
        <v>130.898</v>
      </c>
      <c r="AI79" s="6">
        <f>IF(ISNA(MATCH(AI$2,Inputs!$K$4:$AJ$4,0)),NA(),IF(SUMPRODUCT((Inputs!$A$5:$A$230=$B79)*ISNUMBER(INDEX(Inputs!$K$5:$AJ$230,0,MATCH(AI$2,Inputs!$K$4:$AJ$4,0))))+SUMPRODUCT((Inputs!$C$5:$C$230=$B79)*ISNUMBER(INDEX(Inputs!$K$5:$AJ$230,0,MATCH(AI$2,Inputs!$K$4:$AJ$4,0))))+SUMPRODUCT((Inputs!$E$5:$E$230=$B79)*ISNUMBER(INDEX(Inputs!$K$5:$AJ$230,0,MATCH(AI$2,Inputs!$K$4:$AJ$4,0))))=0,NA(),SUMPRODUCT((Inputs!$A$5:$A$230=$B79)*Inputs!$B$5:$B$230*(((Inputs!$G$5:$G$230="moeda")+(Inputs!$G$5:$G$230="acoes"))*Inputs!$B$1+((Inputs!$G$5:$G$230&lt;&gt;"moeda")*(Inputs!$G$5:$G$230&lt;&gt;"acoes")))*INDEX(Inputs!$K$5:$AJ$230,0,MATCH(AI$2,Inputs!$K$4:$AJ$4,0)))+SUMPRODUCT((Inputs!$C$5:$C$230=$B79)*Inputs!$D$5:$D$230*(((Inputs!$G$5:$G$230="moeda")+(Inputs!$G$5:$G$230="acoes"))*Inputs!$B$1+((Inputs!$G$5:$G$230&lt;&gt;"moeda")*(Inputs!$G$5:$G$230&lt;&gt;"acoes")))*INDEX(Inputs!$K$5:$AJ$230,0,MATCH(AI$2,Inputs!$K$4:$AJ$4,0)))+SUMPRODUCT((Inputs!$E$5:$E$230=$B79)*Inputs!$F$5:$F$230*(((Inputs!$G$5:$G$230="moeda")+(Inputs!$G$5:$G$230="acoes"))*Inputs!$B$1+((Inputs!$G$5:$G$230&lt;&gt;"moeda")*(Inputs!$G$5:$G$230&lt;&gt;"acoes")))*INDEX(Inputs!$K$5:$AJ$230,0,MATCH(AI$2,Inputs!$K$4:$AJ$4,0)))))</f>
        <v>125.845</v>
      </c>
      <c r="AJ79" s="6">
        <f>IF(ISNA(MATCH(AJ$2,Inputs!$K$4:$AJ$4,0)),NA(),IF(SUMPRODUCT((Inputs!$A$5:$A$230=$B79)*ISNUMBER(INDEX(Inputs!$K$5:$AJ$230,0,MATCH(AJ$2,Inputs!$K$4:$AJ$4,0))))+SUMPRODUCT((Inputs!$C$5:$C$230=$B79)*ISNUMBER(INDEX(Inputs!$K$5:$AJ$230,0,MATCH(AJ$2,Inputs!$K$4:$AJ$4,0))))+SUMPRODUCT((Inputs!$E$5:$E$230=$B79)*ISNUMBER(INDEX(Inputs!$K$5:$AJ$230,0,MATCH(AJ$2,Inputs!$K$4:$AJ$4,0))))=0,NA(),SUMPRODUCT((Inputs!$A$5:$A$230=$B79)*Inputs!$B$5:$B$230*(((Inputs!$G$5:$G$230="moeda")+(Inputs!$G$5:$G$230="acoes"))*Inputs!$B$1+((Inputs!$G$5:$G$230&lt;&gt;"moeda")*(Inputs!$G$5:$G$230&lt;&gt;"acoes")))*INDEX(Inputs!$K$5:$AJ$230,0,MATCH(AJ$2,Inputs!$K$4:$AJ$4,0)))+SUMPRODUCT((Inputs!$C$5:$C$230=$B79)*Inputs!$D$5:$D$230*(((Inputs!$G$5:$G$230="moeda")+(Inputs!$G$5:$G$230="acoes"))*Inputs!$B$1+((Inputs!$G$5:$G$230&lt;&gt;"moeda")*(Inputs!$G$5:$G$230&lt;&gt;"acoes")))*INDEX(Inputs!$K$5:$AJ$230,0,MATCH(AJ$2,Inputs!$K$4:$AJ$4,0)))+SUMPRODUCT((Inputs!$E$5:$E$230=$B79)*Inputs!$F$5:$F$230*(((Inputs!$G$5:$G$230="moeda")+(Inputs!$G$5:$G$230="acoes"))*Inputs!$B$1+((Inputs!$G$5:$G$230&lt;&gt;"moeda")*(Inputs!$G$5:$G$230&lt;&gt;"acoes")))*INDEX(Inputs!$K$5:$AJ$230,0,MATCH(AJ$2,Inputs!$K$4:$AJ$4,0)))))</f>
        <v>206.472</v>
      </c>
      <c r="AK79" s="6">
        <f>IF(ISNA(MATCH(AK$2,Inputs!$K$4:$AJ$4,0)),NA(),IF(SUMPRODUCT((Inputs!$A$5:$A$230=$B79)*ISNUMBER(INDEX(Inputs!$K$5:$AJ$230,0,MATCH(AK$2,Inputs!$K$4:$AJ$4,0))))+SUMPRODUCT((Inputs!$C$5:$C$230=$B79)*ISNUMBER(INDEX(Inputs!$K$5:$AJ$230,0,MATCH(AK$2,Inputs!$K$4:$AJ$4,0))))+SUMPRODUCT((Inputs!$E$5:$E$230=$B79)*ISNUMBER(INDEX(Inputs!$K$5:$AJ$230,0,MATCH(AK$2,Inputs!$K$4:$AJ$4,0))))=0,NA(),SUMPRODUCT((Inputs!$A$5:$A$230=$B79)*Inputs!$B$5:$B$230*(((Inputs!$G$5:$G$230="moeda")+(Inputs!$G$5:$G$230="acoes"))*Inputs!$B$1+((Inputs!$G$5:$G$230&lt;&gt;"moeda")*(Inputs!$G$5:$G$230&lt;&gt;"acoes")))*INDEX(Inputs!$K$5:$AJ$230,0,MATCH(AK$2,Inputs!$K$4:$AJ$4,0)))+SUMPRODUCT((Inputs!$C$5:$C$230=$B79)*Inputs!$D$5:$D$230*(((Inputs!$G$5:$G$230="moeda")+(Inputs!$G$5:$G$230="acoes"))*Inputs!$B$1+((Inputs!$G$5:$G$230&lt;&gt;"moeda")*(Inputs!$G$5:$G$230&lt;&gt;"acoes")))*INDEX(Inputs!$K$5:$AJ$230,0,MATCH(AK$2,Inputs!$K$4:$AJ$4,0)))+SUMPRODUCT((Inputs!$E$5:$E$230=$B79)*Inputs!$F$5:$F$230*(((Inputs!$G$5:$G$230="moeda")+(Inputs!$G$5:$G$230="acoes"))*Inputs!$B$1+((Inputs!$G$5:$G$230&lt;&gt;"moeda")*(Inputs!$G$5:$G$230&lt;&gt;"acoes")))*INDEX(Inputs!$K$5:$AJ$230,0,MATCH(AK$2,Inputs!$K$4:$AJ$4,0)))))</f>
        <v>192.204</v>
      </c>
      <c r="AL79" s="3">
        <f>SUM(AH79:AK79)</f>
        <v>655.419</v>
      </c>
    </row>
    <row r="80">
      <c r="B80" s="46" t="n">
        <v>72</v>
      </c>
      <c r="C80" s="29" t="inlineStr">
        <is>
          <t>Transmissao | ESTE</t>
        </is>
      </c>
      <c r="D80" s="6">
        <f>IF(ISNA(MATCH(D$2,Inputs!$K$4:$AJ$4,0)),NA(),IF(SUMPRODUCT((Inputs!$A$5:$A$230=$B80)*ISNUMBER(INDEX(Inputs!$K$5:$AJ$230,0,MATCH(D$2,Inputs!$K$4:$AJ$4,0))))+SUMPRODUCT((Inputs!$C$5:$C$230=$B80)*ISNUMBER(INDEX(Inputs!$K$5:$AJ$230,0,MATCH(D$2,Inputs!$K$4:$AJ$4,0))))+SUMPRODUCT((Inputs!$E$5:$E$230=$B80)*ISNUMBER(INDEX(Inputs!$K$5:$AJ$230,0,MATCH(D$2,Inputs!$K$4:$AJ$4,0))))=0,NA(),SUMPRODUCT((Inputs!$A$5:$A$230=$B80)*Inputs!$B$5:$B$230*(((Inputs!$G$5:$G$230="moeda")+(Inputs!$G$5:$G$230="acoes"))*Inputs!$B$1+((Inputs!$G$5:$G$230&lt;&gt;"moeda")*(Inputs!$G$5:$G$230&lt;&gt;"acoes")))*INDEX(Inputs!$K$5:$AJ$230,0,MATCH(D$2,Inputs!$K$4:$AJ$4,0)))+SUMPRODUCT((Inputs!$C$5:$C$230=$B80)*Inputs!$D$5:$D$230*(((Inputs!$G$5:$G$230="moeda")+(Inputs!$G$5:$G$230="acoes"))*Inputs!$B$1+((Inputs!$G$5:$G$230&lt;&gt;"moeda")*(Inputs!$G$5:$G$230&lt;&gt;"acoes")))*INDEX(Inputs!$K$5:$AJ$230,0,MATCH(D$2,Inputs!$K$4:$AJ$4,0)))+SUMPRODUCT((Inputs!$E$5:$E$230=$B80)*Inputs!$F$5:$F$230*(((Inputs!$G$5:$G$230="moeda")+(Inputs!$G$5:$G$230="acoes"))*Inputs!$B$1+((Inputs!$G$5:$G$230&lt;&gt;"moeda")*(Inputs!$G$5:$G$230&lt;&gt;"acoes")))*INDEX(Inputs!$K$5:$AJ$230,0,MATCH(D$2,Inputs!$K$4:$AJ$4,0)))))</f>
        <v>146.612</v>
      </c>
      <c r="E80" s="6">
        <f>IF(ISNA(MATCH(E$2,Inputs!$K$4:$AJ$4,0)),NA(),IF(SUMPRODUCT((Inputs!$A$5:$A$230=$B80)*ISNUMBER(INDEX(Inputs!$K$5:$AJ$230,0,MATCH(E$2,Inputs!$K$4:$AJ$4,0))))+SUMPRODUCT((Inputs!$C$5:$C$230=$B80)*ISNUMBER(INDEX(Inputs!$K$5:$AJ$230,0,MATCH(E$2,Inputs!$K$4:$AJ$4,0))))+SUMPRODUCT((Inputs!$E$5:$E$230=$B80)*ISNUMBER(INDEX(Inputs!$K$5:$AJ$230,0,MATCH(E$2,Inputs!$K$4:$AJ$4,0))))=0,NA(),SUMPRODUCT((Inputs!$A$5:$A$230=$B80)*Inputs!$B$5:$B$230*(((Inputs!$G$5:$G$230="moeda")+(Inputs!$G$5:$G$230="acoes"))*Inputs!$B$1+((Inputs!$G$5:$G$230&lt;&gt;"moeda")*(Inputs!$G$5:$G$230&lt;&gt;"acoes")))*INDEX(Inputs!$K$5:$AJ$230,0,MATCH(E$2,Inputs!$K$4:$AJ$4,0)))+SUMPRODUCT((Inputs!$C$5:$C$230=$B80)*Inputs!$D$5:$D$230*(((Inputs!$G$5:$G$230="moeda")+(Inputs!$G$5:$G$230="acoes"))*Inputs!$B$1+((Inputs!$G$5:$G$230&lt;&gt;"moeda")*(Inputs!$G$5:$G$230&lt;&gt;"acoes")))*INDEX(Inputs!$K$5:$AJ$230,0,MATCH(E$2,Inputs!$K$4:$AJ$4,0)))+SUMPRODUCT((Inputs!$E$5:$E$230=$B80)*Inputs!$F$5:$F$230*(((Inputs!$G$5:$G$230="moeda")+(Inputs!$G$5:$G$230="acoes"))*Inputs!$B$1+((Inputs!$G$5:$G$230&lt;&gt;"moeda")*(Inputs!$G$5:$G$230&lt;&gt;"acoes")))*INDEX(Inputs!$K$5:$AJ$230,0,MATCH(E$2,Inputs!$K$4:$AJ$4,0)))))</f>
        <v>163.481</v>
      </c>
      <c r="F80" s="6">
        <f>IF(ISNA(MATCH(F$2,Inputs!$K$4:$AJ$4,0)),NA(),IF(SUMPRODUCT((Inputs!$A$5:$A$230=$B80)*ISNUMBER(INDEX(Inputs!$K$5:$AJ$230,0,MATCH(F$2,Inputs!$K$4:$AJ$4,0))))+SUMPRODUCT((Inputs!$C$5:$C$230=$B80)*ISNUMBER(INDEX(Inputs!$K$5:$AJ$230,0,MATCH(F$2,Inputs!$K$4:$AJ$4,0))))+SUMPRODUCT((Inputs!$E$5:$E$230=$B80)*ISNUMBER(INDEX(Inputs!$K$5:$AJ$230,0,MATCH(F$2,Inputs!$K$4:$AJ$4,0))))=0,NA(),SUMPRODUCT((Inputs!$A$5:$A$230=$B80)*Inputs!$B$5:$B$230*(((Inputs!$G$5:$G$230="moeda")+(Inputs!$G$5:$G$230="acoes"))*Inputs!$B$1+((Inputs!$G$5:$G$230&lt;&gt;"moeda")*(Inputs!$G$5:$G$230&lt;&gt;"acoes")))*INDEX(Inputs!$K$5:$AJ$230,0,MATCH(F$2,Inputs!$K$4:$AJ$4,0)))+SUMPRODUCT((Inputs!$C$5:$C$230=$B80)*Inputs!$D$5:$D$230*(((Inputs!$G$5:$G$230="moeda")+(Inputs!$G$5:$G$230="acoes"))*Inputs!$B$1+((Inputs!$G$5:$G$230&lt;&gt;"moeda")*(Inputs!$G$5:$G$230&lt;&gt;"acoes")))*INDEX(Inputs!$K$5:$AJ$230,0,MATCH(F$2,Inputs!$K$4:$AJ$4,0)))+SUMPRODUCT((Inputs!$E$5:$E$230=$B80)*Inputs!$F$5:$F$230*(((Inputs!$G$5:$G$230="moeda")+(Inputs!$G$5:$G$230="acoes"))*Inputs!$B$1+((Inputs!$G$5:$G$230&lt;&gt;"moeda")*(Inputs!$G$5:$G$230&lt;&gt;"acoes")))*INDEX(Inputs!$K$5:$AJ$230,0,MATCH(F$2,Inputs!$K$4:$AJ$4,0)))))</f>
        <v>145.105</v>
      </c>
      <c r="G80" s="6">
        <f>IF(ISNA(MATCH(G$2,Inputs!$K$4:$AJ$4,0)),NA(),IF(SUMPRODUCT((Inputs!$A$5:$A$230=$B80)*ISNUMBER(INDEX(Inputs!$K$5:$AJ$230,0,MATCH(G$2,Inputs!$K$4:$AJ$4,0))))+SUMPRODUCT((Inputs!$C$5:$C$230=$B80)*ISNUMBER(INDEX(Inputs!$K$5:$AJ$230,0,MATCH(G$2,Inputs!$K$4:$AJ$4,0))))+SUMPRODUCT((Inputs!$E$5:$E$230=$B80)*ISNUMBER(INDEX(Inputs!$K$5:$AJ$230,0,MATCH(G$2,Inputs!$K$4:$AJ$4,0))))=0,NA(),SUMPRODUCT((Inputs!$A$5:$A$230=$B80)*Inputs!$B$5:$B$230*(((Inputs!$G$5:$G$230="moeda")+(Inputs!$G$5:$G$230="acoes"))*Inputs!$B$1+((Inputs!$G$5:$G$230&lt;&gt;"moeda")*(Inputs!$G$5:$G$230&lt;&gt;"acoes")))*INDEX(Inputs!$K$5:$AJ$230,0,MATCH(G$2,Inputs!$K$4:$AJ$4,0)))+SUMPRODUCT((Inputs!$C$5:$C$230=$B80)*Inputs!$D$5:$D$230*(((Inputs!$G$5:$G$230="moeda")+(Inputs!$G$5:$G$230="acoes"))*Inputs!$B$1+((Inputs!$G$5:$G$230&lt;&gt;"moeda")*(Inputs!$G$5:$G$230&lt;&gt;"acoes")))*INDEX(Inputs!$K$5:$AJ$230,0,MATCH(G$2,Inputs!$K$4:$AJ$4,0)))+SUMPRODUCT((Inputs!$E$5:$E$230=$B80)*Inputs!$F$5:$F$230*(((Inputs!$G$5:$G$230="moeda")+(Inputs!$G$5:$G$230="acoes"))*Inputs!$B$1+((Inputs!$G$5:$G$230&lt;&gt;"moeda")*(Inputs!$G$5:$G$230&lt;&gt;"acoes")))*INDEX(Inputs!$K$5:$AJ$230,0,MATCH(G$2,Inputs!$K$4:$AJ$4,0)))))</f>
        <v>21.244</v>
      </c>
      <c r="H80" s="3">
        <f>SUM(D80:G80)</f>
        <v>476.442</v>
      </c>
      <c r="I80" s="6">
        <f>IF(ISNA(MATCH(I$2,Inputs!$K$4:$AJ$4,0)),NA(),IF(SUMPRODUCT((Inputs!$A$5:$A$230=$B80)*ISNUMBER(INDEX(Inputs!$K$5:$AJ$230,0,MATCH(I$2,Inputs!$K$4:$AJ$4,0))))+SUMPRODUCT((Inputs!$C$5:$C$230=$B80)*ISNUMBER(INDEX(Inputs!$K$5:$AJ$230,0,MATCH(I$2,Inputs!$K$4:$AJ$4,0))))+SUMPRODUCT((Inputs!$E$5:$E$230=$B80)*ISNUMBER(INDEX(Inputs!$K$5:$AJ$230,0,MATCH(I$2,Inputs!$K$4:$AJ$4,0))))=0,NA(),SUMPRODUCT((Inputs!$A$5:$A$230=$B80)*Inputs!$B$5:$B$230*(((Inputs!$G$5:$G$230="moeda")+(Inputs!$G$5:$G$230="acoes"))*Inputs!$B$1+((Inputs!$G$5:$G$230&lt;&gt;"moeda")*(Inputs!$G$5:$G$230&lt;&gt;"acoes")))*INDEX(Inputs!$K$5:$AJ$230,0,MATCH(I$2,Inputs!$K$4:$AJ$4,0)))+SUMPRODUCT((Inputs!$C$5:$C$230=$B80)*Inputs!$D$5:$D$230*(((Inputs!$G$5:$G$230="moeda")+(Inputs!$G$5:$G$230="acoes"))*Inputs!$B$1+((Inputs!$G$5:$G$230&lt;&gt;"moeda")*(Inputs!$G$5:$G$230&lt;&gt;"acoes")))*INDEX(Inputs!$K$5:$AJ$230,0,MATCH(I$2,Inputs!$K$4:$AJ$4,0)))+SUMPRODUCT((Inputs!$E$5:$E$230=$B80)*Inputs!$F$5:$F$230*(((Inputs!$G$5:$G$230="moeda")+(Inputs!$G$5:$G$230="acoes"))*Inputs!$B$1+((Inputs!$G$5:$G$230&lt;&gt;"moeda")*(Inputs!$G$5:$G$230&lt;&gt;"acoes")))*INDEX(Inputs!$K$5:$AJ$230,0,MATCH(I$2,Inputs!$K$4:$AJ$4,0)))))</f>
        <v>250.784</v>
      </c>
      <c r="J80" s="6">
        <f>IF(ISNA(MATCH(J$2,Inputs!$K$4:$AJ$4,0)),NA(),IF(SUMPRODUCT((Inputs!$A$5:$A$230=$B80)*ISNUMBER(INDEX(Inputs!$K$5:$AJ$230,0,MATCH(J$2,Inputs!$K$4:$AJ$4,0))))+SUMPRODUCT((Inputs!$C$5:$C$230=$B80)*ISNUMBER(INDEX(Inputs!$K$5:$AJ$230,0,MATCH(J$2,Inputs!$K$4:$AJ$4,0))))+SUMPRODUCT((Inputs!$E$5:$E$230=$B80)*ISNUMBER(INDEX(Inputs!$K$5:$AJ$230,0,MATCH(J$2,Inputs!$K$4:$AJ$4,0))))=0,NA(),SUMPRODUCT((Inputs!$A$5:$A$230=$B80)*Inputs!$B$5:$B$230*(((Inputs!$G$5:$G$230="moeda")+(Inputs!$G$5:$G$230="acoes"))*Inputs!$B$1+((Inputs!$G$5:$G$230&lt;&gt;"moeda")*(Inputs!$G$5:$G$230&lt;&gt;"acoes")))*INDEX(Inputs!$K$5:$AJ$230,0,MATCH(J$2,Inputs!$K$4:$AJ$4,0)))+SUMPRODUCT((Inputs!$C$5:$C$230=$B80)*Inputs!$D$5:$D$230*(((Inputs!$G$5:$G$230="moeda")+(Inputs!$G$5:$G$230="acoes"))*Inputs!$B$1+((Inputs!$G$5:$G$230&lt;&gt;"moeda")*(Inputs!$G$5:$G$230&lt;&gt;"acoes")))*INDEX(Inputs!$K$5:$AJ$230,0,MATCH(J$2,Inputs!$K$4:$AJ$4,0)))+SUMPRODUCT((Inputs!$E$5:$E$230=$B80)*Inputs!$F$5:$F$230*(((Inputs!$G$5:$G$230="moeda")+(Inputs!$G$5:$G$230="acoes"))*Inputs!$B$1+((Inputs!$G$5:$G$230&lt;&gt;"moeda")*(Inputs!$G$5:$G$230&lt;&gt;"acoes")))*INDEX(Inputs!$K$5:$AJ$230,0,MATCH(J$2,Inputs!$K$4:$AJ$4,0)))))</f>
        <v>67.122</v>
      </c>
      <c r="K80" s="6">
        <f>IF(ISNA(MATCH(K$2,Inputs!$K$4:$AJ$4,0)),NA(),IF(SUMPRODUCT((Inputs!$A$5:$A$230=$B80)*ISNUMBER(INDEX(Inputs!$K$5:$AJ$230,0,MATCH(K$2,Inputs!$K$4:$AJ$4,0))))+SUMPRODUCT((Inputs!$C$5:$C$230=$B80)*ISNUMBER(INDEX(Inputs!$K$5:$AJ$230,0,MATCH(K$2,Inputs!$K$4:$AJ$4,0))))+SUMPRODUCT((Inputs!$E$5:$E$230=$B80)*ISNUMBER(INDEX(Inputs!$K$5:$AJ$230,0,MATCH(K$2,Inputs!$K$4:$AJ$4,0))))=0,NA(),SUMPRODUCT((Inputs!$A$5:$A$230=$B80)*Inputs!$B$5:$B$230*(((Inputs!$G$5:$G$230="moeda")+(Inputs!$G$5:$G$230="acoes"))*Inputs!$B$1+((Inputs!$G$5:$G$230&lt;&gt;"moeda")*(Inputs!$G$5:$G$230&lt;&gt;"acoes")))*INDEX(Inputs!$K$5:$AJ$230,0,MATCH(K$2,Inputs!$K$4:$AJ$4,0)))+SUMPRODUCT((Inputs!$C$5:$C$230=$B80)*Inputs!$D$5:$D$230*(((Inputs!$G$5:$G$230="moeda")+(Inputs!$G$5:$G$230="acoes"))*Inputs!$B$1+((Inputs!$G$5:$G$230&lt;&gt;"moeda")*(Inputs!$G$5:$G$230&lt;&gt;"acoes")))*INDEX(Inputs!$K$5:$AJ$230,0,MATCH(K$2,Inputs!$K$4:$AJ$4,0)))+SUMPRODUCT((Inputs!$E$5:$E$230=$B80)*Inputs!$F$5:$F$230*(((Inputs!$G$5:$G$230="moeda")+(Inputs!$G$5:$G$230="acoes"))*Inputs!$B$1+((Inputs!$G$5:$G$230&lt;&gt;"moeda")*(Inputs!$G$5:$G$230&lt;&gt;"acoes")))*INDEX(Inputs!$K$5:$AJ$230,0,MATCH(K$2,Inputs!$K$4:$AJ$4,0)))))</f>
        <v>24.899</v>
      </c>
      <c r="L80" s="6">
        <f>IF(ISNA(MATCH(L$2,Inputs!$K$4:$AJ$4,0)),NA(),IF(SUMPRODUCT((Inputs!$A$5:$A$230=$B80)*ISNUMBER(INDEX(Inputs!$K$5:$AJ$230,0,MATCH(L$2,Inputs!$K$4:$AJ$4,0))))+SUMPRODUCT((Inputs!$C$5:$C$230=$B80)*ISNUMBER(INDEX(Inputs!$K$5:$AJ$230,0,MATCH(L$2,Inputs!$K$4:$AJ$4,0))))+SUMPRODUCT((Inputs!$E$5:$E$230=$B80)*ISNUMBER(INDEX(Inputs!$K$5:$AJ$230,0,MATCH(L$2,Inputs!$K$4:$AJ$4,0))))=0,NA(),SUMPRODUCT((Inputs!$A$5:$A$230=$B80)*Inputs!$B$5:$B$230*(((Inputs!$G$5:$G$230="moeda")+(Inputs!$G$5:$G$230="acoes"))*Inputs!$B$1+((Inputs!$G$5:$G$230&lt;&gt;"moeda")*(Inputs!$G$5:$G$230&lt;&gt;"acoes")))*INDEX(Inputs!$K$5:$AJ$230,0,MATCH(L$2,Inputs!$K$4:$AJ$4,0)))+SUMPRODUCT((Inputs!$C$5:$C$230=$B80)*Inputs!$D$5:$D$230*(((Inputs!$G$5:$G$230="moeda")+(Inputs!$G$5:$G$230="acoes"))*Inputs!$B$1+((Inputs!$G$5:$G$230&lt;&gt;"moeda")*(Inputs!$G$5:$G$230&lt;&gt;"acoes")))*INDEX(Inputs!$K$5:$AJ$230,0,MATCH(L$2,Inputs!$K$4:$AJ$4,0)))+SUMPRODUCT((Inputs!$E$5:$E$230=$B80)*Inputs!$F$5:$F$230*(((Inputs!$G$5:$G$230="moeda")+(Inputs!$G$5:$G$230="acoes"))*Inputs!$B$1+((Inputs!$G$5:$G$230&lt;&gt;"moeda")*(Inputs!$G$5:$G$230&lt;&gt;"acoes")))*INDEX(Inputs!$K$5:$AJ$230,0,MATCH(L$2,Inputs!$K$4:$AJ$4,0)))))</f>
        <v>63.86</v>
      </c>
      <c r="M80" s="3">
        <f>SUM(I80:L80)</f>
        <v>406.665</v>
      </c>
      <c r="N80" s="6">
        <f>IF(ISNA(MATCH(N$2,Inputs!$K$4:$AJ$4,0)),NA(),IF(SUMPRODUCT((Inputs!$A$5:$A$230=$B80)*ISNUMBER(INDEX(Inputs!$K$5:$AJ$230,0,MATCH(N$2,Inputs!$K$4:$AJ$4,0))))+SUMPRODUCT((Inputs!$C$5:$C$230=$B80)*ISNUMBER(INDEX(Inputs!$K$5:$AJ$230,0,MATCH(N$2,Inputs!$K$4:$AJ$4,0))))+SUMPRODUCT((Inputs!$E$5:$E$230=$B80)*ISNUMBER(INDEX(Inputs!$K$5:$AJ$230,0,MATCH(N$2,Inputs!$K$4:$AJ$4,0))))=0,NA(),SUMPRODUCT((Inputs!$A$5:$A$230=$B80)*Inputs!$B$5:$B$230*(((Inputs!$G$5:$G$230="moeda")+(Inputs!$G$5:$G$230="acoes"))*Inputs!$B$1+((Inputs!$G$5:$G$230&lt;&gt;"moeda")*(Inputs!$G$5:$G$230&lt;&gt;"acoes")))*INDEX(Inputs!$K$5:$AJ$230,0,MATCH(N$2,Inputs!$K$4:$AJ$4,0)))+SUMPRODUCT((Inputs!$C$5:$C$230=$B80)*Inputs!$D$5:$D$230*(((Inputs!$G$5:$G$230="moeda")+(Inputs!$G$5:$G$230="acoes"))*Inputs!$B$1+((Inputs!$G$5:$G$230&lt;&gt;"moeda")*(Inputs!$G$5:$G$230&lt;&gt;"acoes")))*INDEX(Inputs!$K$5:$AJ$230,0,MATCH(N$2,Inputs!$K$4:$AJ$4,0)))+SUMPRODUCT((Inputs!$E$5:$E$230=$B80)*Inputs!$F$5:$F$230*(((Inputs!$G$5:$G$230="moeda")+(Inputs!$G$5:$G$230="acoes"))*Inputs!$B$1+((Inputs!$G$5:$G$230&lt;&gt;"moeda")*(Inputs!$G$5:$G$230&lt;&gt;"acoes")))*INDEX(Inputs!$K$5:$AJ$230,0,MATCH(N$2,Inputs!$K$4:$AJ$4,0)))))</f>
        <v>53.342</v>
      </c>
      <c r="O80" s="6">
        <f>IF(ISNA(MATCH(O$2,Inputs!$K$4:$AJ$4,0)),NA(),IF(SUMPRODUCT((Inputs!$A$5:$A$230=$B80)*ISNUMBER(INDEX(Inputs!$K$5:$AJ$230,0,MATCH(O$2,Inputs!$K$4:$AJ$4,0))))+SUMPRODUCT((Inputs!$C$5:$C$230=$B80)*ISNUMBER(INDEX(Inputs!$K$5:$AJ$230,0,MATCH(O$2,Inputs!$K$4:$AJ$4,0))))+SUMPRODUCT((Inputs!$E$5:$E$230=$B80)*ISNUMBER(INDEX(Inputs!$K$5:$AJ$230,0,MATCH(O$2,Inputs!$K$4:$AJ$4,0))))=0,NA(),SUMPRODUCT((Inputs!$A$5:$A$230=$B80)*Inputs!$B$5:$B$230*(((Inputs!$G$5:$G$230="moeda")+(Inputs!$G$5:$G$230="acoes"))*Inputs!$B$1+((Inputs!$G$5:$G$230&lt;&gt;"moeda")*(Inputs!$G$5:$G$230&lt;&gt;"acoes")))*INDEX(Inputs!$K$5:$AJ$230,0,MATCH(O$2,Inputs!$K$4:$AJ$4,0)))+SUMPRODUCT((Inputs!$C$5:$C$230=$B80)*Inputs!$D$5:$D$230*(((Inputs!$G$5:$G$230="moeda")+(Inputs!$G$5:$G$230="acoes"))*Inputs!$B$1+((Inputs!$G$5:$G$230&lt;&gt;"moeda")*(Inputs!$G$5:$G$230&lt;&gt;"acoes")))*INDEX(Inputs!$K$5:$AJ$230,0,MATCH(O$2,Inputs!$K$4:$AJ$4,0)))+SUMPRODUCT((Inputs!$E$5:$E$230=$B80)*Inputs!$F$5:$F$230*(((Inputs!$G$5:$G$230="moeda")+(Inputs!$G$5:$G$230="acoes"))*Inputs!$B$1+((Inputs!$G$5:$G$230&lt;&gt;"moeda")*(Inputs!$G$5:$G$230&lt;&gt;"acoes")))*INDEX(Inputs!$K$5:$AJ$230,0,MATCH(O$2,Inputs!$K$4:$AJ$4,0)))))</f>
        <v>49.181</v>
      </c>
      <c r="P80" s="6">
        <f>IF(ISNA(MATCH(P$2,Inputs!$K$4:$AJ$4,0)),NA(),IF(SUMPRODUCT((Inputs!$A$5:$A$230=$B80)*ISNUMBER(INDEX(Inputs!$K$5:$AJ$230,0,MATCH(P$2,Inputs!$K$4:$AJ$4,0))))+SUMPRODUCT((Inputs!$C$5:$C$230=$B80)*ISNUMBER(INDEX(Inputs!$K$5:$AJ$230,0,MATCH(P$2,Inputs!$K$4:$AJ$4,0))))+SUMPRODUCT((Inputs!$E$5:$E$230=$B80)*ISNUMBER(INDEX(Inputs!$K$5:$AJ$230,0,MATCH(P$2,Inputs!$K$4:$AJ$4,0))))=0,NA(),SUMPRODUCT((Inputs!$A$5:$A$230=$B80)*Inputs!$B$5:$B$230*(((Inputs!$G$5:$G$230="moeda")+(Inputs!$G$5:$G$230="acoes"))*Inputs!$B$1+((Inputs!$G$5:$G$230&lt;&gt;"moeda")*(Inputs!$G$5:$G$230&lt;&gt;"acoes")))*INDEX(Inputs!$K$5:$AJ$230,0,MATCH(P$2,Inputs!$K$4:$AJ$4,0)))+SUMPRODUCT((Inputs!$C$5:$C$230=$B80)*Inputs!$D$5:$D$230*(((Inputs!$G$5:$G$230="moeda")+(Inputs!$G$5:$G$230="acoes"))*Inputs!$B$1+((Inputs!$G$5:$G$230&lt;&gt;"moeda")*(Inputs!$G$5:$G$230&lt;&gt;"acoes")))*INDEX(Inputs!$K$5:$AJ$230,0,MATCH(P$2,Inputs!$K$4:$AJ$4,0)))+SUMPRODUCT((Inputs!$E$5:$E$230=$B80)*Inputs!$F$5:$F$230*(((Inputs!$G$5:$G$230="moeda")+(Inputs!$G$5:$G$230="acoes"))*Inputs!$B$1+((Inputs!$G$5:$G$230&lt;&gt;"moeda")*(Inputs!$G$5:$G$230&lt;&gt;"acoes")))*INDEX(Inputs!$K$5:$AJ$230,0,MATCH(P$2,Inputs!$K$4:$AJ$4,0)))))</f>
        <v>33.948</v>
      </c>
      <c r="Q80" s="6">
        <f>IF(ISNA(MATCH(Q$2,Inputs!$K$4:$AJ$4,0)),NA(),IF(SUMPRODUCT((Inputs!$A$5:$A$230=$B80)*ISNUMBER(INDEX(Inputs!$K$5:$AJ$230,0,MATCH(Q$2,Inputs!$K$4:$AJ$4,0))))+SUMPRODUCT((Inputs!$C$5:$C$230=$B80)*ISNUMBER(INDEX(Inputs!$K$5:$AJ$230,0,MATCH(Q$2,Inputs!$K$4:$AJ$4,0))))+SUMPRODUCT((Inputs!$E$5:$E$230=$B80)*ISNUMBER(INDEX(Inputs!$K$5:$AJ$230,0,MATCH(Q$2,Inputs!$K$4:$AJ$4,0))))=0,NA(),SUMPRODUCT((Inputs!$A$5:$A$230=$B80)*Inputs!$B$5:$B$230*(((Inputs!$G$5:$G$230="moeda")+(Inputs!$G$5:$G$230="acoes"))*Inputs!$B$1+((Inputs!$G$5:$G$230&lt;&gt;"moeda")*(Inputs!$G$5:$G$230&lt;&gt;"acoes")))*INDEX(Inputs!$K$5:$AJ$230,0,MATCH(Q$2,Inputs!$K$4:$AJ$4,0)))+SUMPRODUCT((Inputs!$C$5:$C$230=$B80)*Inputs!$D$5:$D$230*(((Inputs!$G$5:$G$230="moeda")+(Inputs!$G$5:$G$230="acoes"))*Inputs!$B$1+((Inputs!$G$5:$G$230&lt;&gt;"moeda")*(Inputs!$G$5:$G$230&lt;&gt;"acoes")))*INDEX(Inputs!$K$5:$AJ$230,0,MATCH(Q$2,Inputs!$K$4:$AJ$4,0)))+SUMPRODUCT((Inputs!$E$5:$E$230=$B80)*Inputs!$F$5:$F$230*(((Inputs!$G$5:$G$230="moeda")+(Inputs!$G$5:$G$230="acoes"))*Inputs!$B$1+((Inputs!$G$5:$G$230&lt;&gt;"moeda")*(Inputs!$G$5:$G$230&lt;&gt;"acoes")))*INDEX(Inputs!$K$5:$AJ$230,0,MATCH(Q$2,Inputs!$K$4:$AJ$4,0)))))</f>
        <v>40.03</v>
      </c>
      <c r="R80" s="3">
        <f>SUM(N80:Q80)</f>
        <v>176.501</v>
      </c>
      <c r="S80" s="6">
        <f>IF(ISNA(MATCH(S$2,Inputs!$K$4:$AJ$4,0)),NA(),IF(SUMPRODUCT((Inputs!$A$5:$A$230=$B80)*ISNUMBER(INDEX(Inputs!$K$5:$AJ$230,0,MATCH(S$2,Inputs!$K$4:$AJ$4,0))))+SUMPRODUCT((Inputs!$C$5:$C$230=$B80)*ISNUMBER(INDEX(Inputs!$K$5:$AJ$230,0,MATCH(S$2,Inputs!$K$4:$AJ$4,0))))+SUMPRODUCT((Inputs!$E$5:$E$230=$B80)*ISNUMBER(INDEX(Inputs!$K$5:$AJ$230,0,MATCH(S$2,Inputs!$K$4:$AJ$4,0))))=0,NA(),SUMPRODUCT((Inputs!$A$5:$A$230=$B80)*Inputs!$B$5:$B$230*(((Inputs!$G$5:$G$230="moeda")+(Inputs!$G$5:$G$230="acoes"))*Inputs!$B$1+((Inputs!$G$5:$G$230&lt;&gt;"moeda")*(Inputs!$G$5:$G$230&lt;&gt;"acoes")))*INDEX(Inputs!$K$5:$AJ$230,0,MATCH(S$2,Inputs!$K$4:$AJ$4,0)))+SUMPRODUCT((Inputs!$C$5:$C$230=$B80)*Inputs!$D$5:$D$230*(((Inputs!$G$5:$G$230="moeda")+(Inputs!$G$5:$G$230="acoes"))*Inputs!$B$1+((Inputs!$G$5:$G$230&lt;&gt;"moeda")*(Inputs!$G$5:$G$230&lt;&gt;"acoes")))*INDEX(Inputs!$K$5:$AJ$230,0,MATCH(S$2,Inputs!$K$4:$AJ$4,0)))+SUMPRODUCT((Inputs!$E$5:$E$230=$B80)*Inputs!$F$5:$F$230*(((Inputs!$G$5:$G$230="moeda")+(Inputs!$G$5:$G$230="acoes"))*Inputs!$B$1+((Inputs!$G$5:$G$230&lt;&gt;"moeda")*(Inputs!$G$5:$G$230&lt;&gt;"acoes")))*INDEX(Inputs!$K$5:$AJ$230,0,MATCH(S$2,Inputs!$K$4:$AJ$4,0)))))</f>
        <v>52.969</v>
      </c>
      <c r="T80" s="6">
        <f>IF(ISNA(MATCH(T$2,Inputs!$K$4:$AJ$4,0)),NA(),IF(SUMPRODUCT((Inputs!$A$5:$A$230=$B80)*ISNUMBER(INDEX(Inputs!$K$5:$AJ$230,0,MATCH(T$2,Inputs!$K$4:$AJ$4,0))))+SUMPRODUCT((Inputs!$C$5:$C$230=$B80)*ISNUMBER(INDEX(Inputs!$K$5:$AJ$230,0,MATCH(T$2,Inputs!$K$4:$AJ$4,0))))+SUMPRODUCT((Inputs!$E$5:$E$230=$B80)*ISNUMBER(INDEX(Inputs!$K$5:$AJ$230,0,MATCH(T$2,Inputs!$K$4:$AJ$4,0))))=0,NA(),SUMPRODUCT((Inputs!$A$5:$A$230=$B80)*Inputs!$B$5:$B$230*(((Inputs!$G$5:$G$230="moeda")+(Inputs!$G$5:$G$230="acoes"))*Inputs!$B$1+((Inputs!$G$5:$G$230&lt;&gt;"moeda")*(Inputs!$G$5:$G$230&lt;&gt;"acoes")))*INDEX(Inputs!$K$5:$AJ$230,0,MATCH(T$2,Inputs!$K$4:$AJ$4,0)))+SUMPRODUCT((Inputs!$C$5:$C$230=$B80)*Inputs!$D$5:$D$230*(((Inputs!$G$5:$G$230="moeda")+(Inputs!$G$5:$G$230="acoes"))*Inputs!$B$1+((Inputs!$G$5:$G$230&lt;&gt;"moeda")*(Inputs!$G$5:$G$230&lt;&gt;"acoes")))*INDEX(Inputs!$K$5:$AJ$230,0,MATCH(T$2,Inputs!$K$4:$AJ$4,0)))+SUMPRODUCT((Inputs!$E$5:$E$230=$B80)*Inputs!$F$5:$F$230*(((Inputs!$G$5:$G$230="moeda")+(Inputs!$G$5:$G$230="acoes"))*Inputs!$B$1+((Inputs!$G$5:$G$230&lt;&gt;"moeda")*(Inputs!$G$5:$G$230&lt;&gt;"acoes")))*INDEX(Inputs!$K$5:$AJ$230,0,MATCH(T$2,Inputs!$K$4:$AJ$4,0)))))</f>
        <v>43.964</v>
      </c>
      <c r="U80" s="6">
        <f>IF(ISNA(MATCH(U$2,Inputs!$K$4:$AJ$4,0)),NA(),IF(SUMPRODUCT((Inputs!$A$5:$A$230=$B80)*ISNUMBER(INDEX(Inputs!$K$5:$AJ$230,0,MATCH(U$2,Inputs!$K$4:$AJ$4,0))))+SUMPRODUCT((Inputs!$C$5:$C$230=$B80)*ISNUMBER(INDEX(Inputs!$K$5:$AJ$230,0,MATCH(U$2,Inputs!$K$4:$AJ$4,0))))+SUMPRODUCT((Inputs!$E$5:$E$230=$B80)*ISNUMBER(INDEX(Inputs!$K$5:$AJ$230,0,MATCH(U$2,Inputs!$K$4:$AJ$4,0))))=0,NA(),SUMPRODUCT((Inputs!$A$5:$A$230=$B80)*Inputs!$B$5:$B$230*(((Inputs!$G$5:$G$230="moeda")+(Inputs!$G$5:$G$230="acoes"))*Inputs!$B$1+((Inputs!$G$5:$G$230&lt;&gt;"moeda")*(Inputs!$G$5:$G$230&lt;&gt;"acoes")))*INDEX(Inputs!$K$5:$AJ$230,0,MATCH(U$2,Inputs!$K$4:$AJ$4,0)))+SUMPRODUCT((Inputs!$C$5:$C$230=$B80)*Inputs!$D$5:$D$230*(((Inputs!$G$5:$G$230="moeda")+(Inputs!$G$5:$G$230="acoes"))*Inputs!$B$1+((Inputs!$G$5:$G$230&lt;&gt;"moeda")*(Inputs!$G$5:$G$230&lt;&gt;"acoes")))*INDEX(Inputs!$K$5:$AJ$230,0,MATCH(U$2,Inputs!$K$4:$AJ$4,0)))+SUMPRODUCT((Inputs!$E$5:$E$230=$B80)*Inputs!$F$5:$F$230*(((Inputs!$G$5:$G$230="moeda")+(Inputs!$G$5:$G$230="acoes"))*Inputs!$B$1+((Inputs!$G$5:$G$230&lt;&gt;"moeda")*(Inputs!$G$5:$G$230&lt;&gt;"acoes")))*INDEX(Inputs!$K$5:$AJ$230,0,MATCH(U$2,Inputs!$K$4:$AJ$4,0)))))</f>
        <v>37.722</v>
      </c>
      <c r="V80" s="6">
        <f>IF(ISNA(MATCH(V$2,Inputs!$K$4:$AJ$4,0)),NA(),IF(SUMPRODUCT((Inputs!$A$5:$A$230=$B80)*ISNUMBER(INDEX(Inputs!$K$5:$AJ$230,0,MATCH(V$2,Inputs!$K$4:$AJ$4,0))))+SUMPRODUCT((Inputs!$C$5:$C$230=$B80)*ISNUMBER(INDEX(Inputs!$K$5:$AJ$230,0,MATCH(V$2,Inputs!$K$4:$AJ$4,0))))+SUMPRODUCT((Inputs!$E$5:$E$230=$B80)*ISNUMBER(INDEX(Inputs!$K$5:$AJ$230,0,MATCH(V$2,Inputs!$K$4:$AJ$4,0))))=0,NA(),SUMPRODUCT((Inputs!$A$5:$A$230=$B80)*Inputs!$B$5:$B$230*(((Inputs!$G$5:$G$230="moeda")+(Inputs!$G$5:$G$230="acoes"))*Inputs!$B$1+((Inputs!$G$5:$G$230&lt;&gt;"moeda")*(Inputs!$G$5:$G$230&lt;&gt;"acoes")))*INDEX(Inputs!$K$5:$AJ$230,0,MATCH(V$2,Inputs!$K$4:$AJ$4,0)))+SUMPRODUCT((Inputs!$C$5:$C$230=$B80)*Inputs!$D$5:$D$230*(((Inputs!$G$5:$G$230="moeda")+(Inputs!$G$5:$G$230="acoes"))*Inputs!$B$1+((Inputs!$G$5:$G$230&lt;&gt;"moeda")*(Inputs!$G$5:$G$230&lt;&gt;"acoes")))*INDEX(Inputs!$K$5:$AJ$230,0,MATCH(V$2,Inputs!$K$4:$AJ$4,0)))+SUMPRODUCT((Inputs!$E$5:$E$230=$B80)*Inputs!$F$5:$F$230*(((Inputs!$G$5:$G$230="moeda")+(Inputs!$G$5:$G$230="acoes"))*Inputs!$B$1+((Inputs!$G$5:$G$230&lt;&gt;"moeda")*(Inputs!$G$5:$G$230&lt;&gt;"acoes")))*INDEX(Inputs!$K$5:$AJ$230,0,MATCH(V$2,Inputs!$K$4:$AJ$4,0)))))</f>
        <v>48.386</v>
      </c>
      <c r="W80" s="3">
        <f>SUM(S80:V80)</f>
        <v>183.041</v>
      </c>
      <c r="X80" s="6">
        <f>IF(ISNA(MATCH(X$2,Inputs!$K$4:$AJ$4,0)),NA(),IF(SUMPRODUCT((Inputs!$A$5:$A$230=$B80)*ISNUMBER(INDEX(Inputs!$K$5:$AJ$230,0,MATCH(X$2,Inputs!$K$4:$AJ$4,0))))+SUMPRODUCT((Inputs!$C$5:$C$230=$B80)*ISNUMBER(INDEX(Inputs!$K$5:$AJ$230,0,MATCH(X$2,Inputs!$K$4:$AJ$4,0))))+SUMPRODUCT((Inputs!$E$5:$E$230=$B80)*ISNUMBER(INDEX(Inputs!$K$5:$AJ$230,0,MATCH(X$2,Inputs!$K$4:$AJ$4,0))))=0,NA(),SUMPRODUCT((Inputs!$A$5:$A$230=$B80)*Inputs!$B$5:$B$230*(((Inputs!$G$5:$G$230="moeda")+(Inputs!$G$5:$G$230="acoes"))*Inputs!$B$1+((Inputs!$G$5:$G$230&lt;&gt;"moeda")*(Inputs!$G$5:$G$230&lt;&gt;"acoes")))*INDEX(Inputs!$K$5:$AJ$230,0,MATCH(X$2,Inputs!$K$4:$AJ$4,0)))+SUMPRODUCT((Inputs!$C$5:$C$230=$B80)*Inputs!$D$5:$D$230*(((Inputs!$G$5:$G$230="moeda")+(Inputs!$G$5:$G$230="acoes"))*Inputs!$B$1+((Inputs!$G$5:$G$230&lt;&gt;"moeda")*(Inputs!$G$5:$G$230&lt;&gt;"acoes")))*INDEX(Inputs!$K$5:$AJ$230,0,MATCH(X$2,Inputs!$K$4:$AJ$4,0)))+SUMPRODUCT((Inputs!$E$5:$E$230=$B80)*Inputs!$F$5:$F$230*(((Inputs!$G$5:$G$230="moeda")+(Inputs!$G$5:$G$230="acoes"))*Inputs!$B$1+((Inputs!$G$5:$G$230&lt;&gt;"moeda")*(Inputs!$G$5:$G$230&lt;&gt;"acoes")))*INDEX(Inputs!$K$5:$AJ$230,0,MATCH(X$2,Inputs!$K$4:$AJ$4,0)))))</f>
        <v>56.8</v>
      </c>
      <c r="Y80" s="6">
        <f>IF(ISNA(MATCH(Y$2,Inputs!$K$4:$AJ$4,0)),NA(),IF(SUMPRODUCT((Inputs!$A$5:$A$230=$B80)*ISNUMBER(INDEX(Inputs!$K$5:$AJ$230,0,MATCH(Y$2,Inputs!$K$4:$AJ$4,0))))+SUMPRODUCT((Inputs!$C$5:$C$230=$B80)*ISNUMBER(INDEX(Inputs!$K$5:$AJ$230,0,MATCH(Y$2,Inputs!$K$4:$AJ$4,0))))+SUMPRODUCT((Inputs!$E$5:$E$230=$B80)*ISNUMBER(INDEX(Inputs!$K$5:$AJ$230,0,MATCH(Y$2,Inputs!$K$4:$AJ$4,0))))=0,NA(),SUMPRODUCT((Inputs!$A$5:$A$230=$B80)*Inputs!$B$5:$B$230*(((Inputs!$G$5:$G$230="moeda")+(Inputs!$G$5:$G$230="acoes"))*Inputs!$B$1+((Inputs!$G$5:$G$230&lt;&gt;"moeda")*(Inputs!$G$5:$G$230&lt;&gt;"acoes")))*INDEX(Inputs!$K$5:$AJ$230,0,MATCH(Y$2,Inputs!$K$4:$AJ$4,0)))+SUMPRODUCT((Inputs!$C$5:$C$230=$B80)*Inputs!$D$5:$D$230*(((Inputs!$G$5:$G$230="moeda")+(Inputs!$G$5:$G$230="acoes"))*Inputs!$B$1+((Inputs!$G$5:$G$230&lt;&gt;"moeda")*(Inputs!$G$5:$G$230&lt;&gt;"acoes")))*INDEX(Inputs!$K$5:$AJ$230,0,MATCH(Y$2,Inputs!$K$4:$AJ$4,0)))+SUMPRODUCT((Inputs!$E$5:$E$230=$B80)*Inputs!$F$5:$F$230*(((Inputs!$G$5:$G$230="moeda")+(Inputs!$G$5:$G$230="acoes"))*Inputs!$B$1+((Inputs!$G$5:$G$230&lt;&gt;"moeda")*(Inputs!$G$5:$G$230&lt;&gt;"acoes")))*INDEX(Inputs!$K$5:$AJ$230,0,MATCH(Y$2,Inputs!$K$4:$AJ$4,0)))))</f>
        <v>48.453</v>
      </c>
      <c r="Z80" s="6">
        <f>IF(ISNA(MATCH(Z$2,Inputs!$K$4:$AJ$4,0)),NA(),IF(SUMPRODUCT((Inputs!$A$5:$A$230=$B80)*ISNUMBER(INDEX(Inputs!$K$5:$AJ$230,0,MATCH(Z$2,Inputs!$K$4:$AJ$4,0))))+SUMPRODUCT((Inputs!$C$5:$C$230=$B80)*ISNUMBER(INDEX(Inputs!$K$5:$AJ$230,0,MATCH(Z$2,Inputs!$K$4:$AJ$4,0))))+SUMPRODUCT((Inputs!$E$5:$E$230=$B80)*ISNUMBER(INDEX(Inputs!$K$5:$AJ$230,0,MATCH(Z$2,Inputs!$K$4:$AJ$4,0))))=0,NA(),SUMPRODUCT((Inputs!$A$5:$A$230=$B80)*Inputs!$B$5:$B$230*(((Inputs!$G$5:$G$230="moeda")+(Inputs!$G$5:$G$230="acoes"))*Inputs!$B$1+((Inputs!$G$5:$G$230&lt;&gt;"moeda")*(Inputs!$G$5:$G$230&lt;&gt;"acoes")))*INDEX(Inputs!$K$5:$AJ$230,0,MATCH(Z$2,Inputs!$K$4:$AJ$4,0)))+SUMPRODUCT((Inputs!$C$5:$C$230=$B80)*Inputs!$D$5:$D$230*(((Inputs!$G$5:$G$230="moeda")+(Inputs!$G$5:$G$230="acoes"))*Inputs!$B$1+((Inputs!$G$5:$G$230&lt;&gt;"moeda")*(Inputs!$G$5:$G$230&lt;&gt;"acoes")))*INDEX(Inputs!$K$5:$AJ$230,0,MATCH(Z$2,Inputs!$K$4:$AJ$4,0)))+SUMPRODUCT((Inputs!$E$5:$E$230=$B80)*Inputs!$F$5:$F$230*(((Inputs!$G$5:$G$230="moeda")+(Inputs!$G$5:$G$230="acoes"))*Inputs!$B$1+((Inputs!$G$5:$G$230&lt;&gt;"moeda")*(Inputs!$G$5:$G$230&lt;&gt;"acoes")))*INDEX(Inputs!$K$5:$AJ$230,0,MATCH(Z$2,Inputs!$K$4:$AJ$4,0)))))</f>
        <v>37.351</v>
      </c>
      <c r="AA80" s="6">
        <f>IF(ISNA(MATCH(AA$2,Inputs!$K$4:$AJ$4,0)),NA(),IF(SUMPRODUCT((Inputs!$A$5:$A$230=$B80)*ISNUMBER(INDEX(Inputs!$K$5:$AJ$230,0,MATCH(AA$2,Inputs!$K$4:$AJ$4,0))))+SUMPRODUCT((Inputs!$C$5:$C$230=$B80)*ISNUMBER(INDEX(Inputs!$K$5:$AJ$230,0,MATCH(AA$2,Inputs!$K$4:$AJ$4,0))))+SUMPRODUCT((Inputs!$E$5:$E$230=$B80)*ISNUMBER(INDEX(Inputs!$K$5:$AJ$230,0,MATCH(AA$2,Inputs!$K$4:$AJ$4,0))))=0,NA(),SUMPRODUCT((Inputs!$A$5:$A$230=$B80)*Inputs!$B$5:$B$230*(((Inputs!$G$5:$G$230="moeda")+(Inputs!$G$5:$G$230="acoes"))*Inputs!$B$1+((Inputs!$G$5:$G$230&lt;&gt;"moeda")*(Inputs!$G$5:$G$230&lt;&gt;"acoes")))*INDEX(Inputs!$K$5:$AJ$230,0,MATCH(AA$2,Inputs!$K$4:$AJ$4,0)))+SUMPRODUCT((Inputs!$C$5:$C$230=$B80)*Inputs!$D$5:$D$230*(((Inputs!$G$5:$G$230="moeda")+(Inputs!$G$5:$G$230="acoes"))*Inputs!$B$1+((Inputs!$G$5:$G$230&lt;&gt;"moeda")*(Inputs!$G$5:$G$230&lt;&gt;"acoes")))*INDEX(Inputs!$K$5:$AJ$230,0,MATCH(AA$2,Inputs!$K$4:$AJ$4,0)))+SUMPRODUCT((Inputs!$E$5:$E$230=$B80)*Inputs!$F$5:$F$230*(((Inputs!$G$5:$G$230="moeda")+(Inputs!$G$5:$G$230="acoes"))*Inputs!$B$1+((Inputs!$G$5:$G$230&lt;&gt;"moeda")*(Inputs!$G$5:$G$230&lt;&gt;"acoes")))*INDEX(Inputs!$K$5:$AJ$230,0,MATCH(AA$2,Inputs!$K$4:$AJ$4,0)))))</f>
        <v>41.421</v>
      </c>
      <c r="AB80" s="3">
        <f>SUM(X80:AA80)</f>
        <v>184.025</v>
      </c>
      <c r="AC80" s="6">
        <f>IF(ISNA(MATCH(AC$2,Inputs!$K$4:$AJ$4,0)),NA(),IF(SUMPRODUCT((Inputs!$A$5:$A$230=$B80)*ISNUMBER(INDEX(Inputs!$K$5:$AJ$230,0,MATCH(AC$2,Inputs!$K$4:$AJ$4,0))))+SUMPRODUCT((Inputs!$C$5:$C$230=$B80)*ISNUMBER(INDEX(Inputs!$K$5:$AJ$230,0,MATCH(AC$2,Inputs!$K$4:$AJ$4,0))))+SUMPRODUCT((Inputs!$E$5:$E$230=$B80)*ISNUMBER(INDEX(Inputs!$K$5:$AJ$230,0,MATCH(AC$2,Inputs!$K$4:$AJ$4,0))))=0,NA(),SUMPRODUCT((Inputs!$A$5:$A$230=$B80)*Inputs!$B$5:$B$230*(((Inputs!$G$5:$G$230="moeda")+(Inputs!$G$5:$G$230="acoes"))*Inputs!$B$1+((Inputs!$G$5:$G$230&lt;&gt;"moeda")*(Inputs!$G$5:$G$230&lt;&gt;"acoes")))*INDEX(Inputs!$K$5:$AJ$230,0,MATCH(AC$2,Inputs!$K$4:$AJ$4,0)))+SUMPRODUCT((Inputs!$C$5:$C$230=$B80)*Inputs!$D$5:$D$230*(((Inputs!$G$5:$G$230="moeda")+(Inputs!$G$5:$G$230="acoes"))*Inputs!$B$1+((Inputs!$G$5:$G$230&lt;&gt;"moeda")*(Inputs!$G$5:$G$230&lt;&gt;"acoes")))*INDEX(Inputs!$K$5:$AJ$230,0,MATCH(AC$2,Inputs!$K$4:$AJ$4,0)))+SUMPRODUCT((Inputs!$E$5:$E$230=$B80)*Inputs!$F$5:$F$230*(((Inputs!$G$5:$G$230="moeda")+(Inputs!$G$5:$G$230="acoes"))*Inputs!$B$1+((Inputs!$G$5:$G$230&lt;&gt;"moeda")*(Inputs!$G$5:$G$230&lt;&gt;"acoes")))*INDEX(Inputs!$K$5:$AJ$230,0,MATCH(AC$2,Inputs!$K$4:$AJ$4,0)))))</f>
        <v>50.266</v>
      </c>
      <c r="AD80" s="6">
        <f>IF(ISNA(MATCH(AD$2,Inputs!$K$4:$AJ$4,0)),NA(),IF(SUMPRODUCT((Inputs!$A$5:$A$230=$B80)*ISNUMBER(INDEX(Inputs!$K$5:$AJ$230,0,MATCH(AD$2,Inputs!$K$4:$AJ$4,0))))+SUMPRODUCT((Inputs!$C$5:$C$230=$B80)*ISNUMBER(INDEX(Inputs!$K$5:$AJ$230,0,MATCH(AD$2,Inputs!$K$4:$AJ$4,0))))+SUMPRODUCT((Inputs!$E$5:$E$230=$B80)*ISNUMBER(INDEX(Inputs!$K$5:$AJ$230,0,MATCH(AD$2,Inputs!$K$4:$AJ$4,0))))=0,NA(),SUMPRODUCT((Inputs!$A$5:$A$230=$B80)*Inputs!$B$5:$B$230*(((Inputs!$G$5:$G$230="moeda")+(Inputs!$G$5:$G$230="acoes"))*Inputs!$B$1+((Inputs!$G$5:$G$230&lt;&gt;"moeda")*(Inputs!$G$5:$G$230&lt;&gt;"acoes")))*INDEX(Inputs!$K$5:$AJ$230,0,MATCH(AD$2,Inputs!$K$4:$AJ$4,0)))+SUMPRODUCT((Inputs!$C$5:$C$230=$B80)*Inputs!$D$5:$D$230*(((Inputs!$G$5:$G$230="moeda")+(Inputs!$G$5:$G$230="acoes"))*Inputs!$B$1+((Inputs!$G$5:$G$230&lt;&gt;"moeda")*(Inputs!$G$5:$G$230&lt;&gt;"acoes")))*INDEX(Inputs!$K$5:$AJ$230,0,MATCH(AD$2,Inputs!$K$4:$AJ$4,0)))+SUMPRODUCT((Inputs!$E$5:$E$230=$B80)*Inputs!$F$5:$F$230*(((Inputs!$G$5:$G$230="moeda")+(Inputs!$G$5:$G$230="acoes"))*Inputs!$B$1+((Inputs!$G$5:$G$230&lt;&gt;"moeda")*(Inputs!$G$5:$G$230&lt;&gt;"acoes")))*INDEX(Inputs!$K$5:$AJ$230,0,MATCH(AD$2,Inputs!$K$4:$AJ$4,0)))))</f>
        <v>61.497</v>
      </c>
      <c r="AE80" s="6" t="e">
        <f>IF(ISNA(MATCH(AE$2,Inputs!$K$4:$AJ$4,0)),NA(),IF(SUMPRODUCT((Inputs!$A$5:$A$230=$B80)*ISNUMBER(INDEX(Inputs!$K$5:$AJ$230,0,MATCH(AE$2,Inputs!$K$4:$AJ$4,0))))+SUMPRODUCT((Inputs!$C$5:$C$230=$B80)*ISNUMBER(INDEX(Inputs!$K$5:$AJ$230,0,MATCH(AE$2,Inputs!$K$4:$AJ$4,0))))+SUMPRODUCT((Inputs!$E$5:$E$230=$B80)*ISNUMBER(INDEX(Inputs!$K$5:$AJ$230,0,MATCH(AE$2,Inputs!$K$4:$AJ$4,0))))=0,NA(),SUMPRODUCT((Inputs!$A$5:$A$230=$B80)*Inputs!$B$5:$B$230*(((Inputs!$G$5:$G$230="moeda")+(Inputs!$G$5:$G$230="acoes"))*Inputs!$B$1+((Inputs!$G$5:$G$230&lt;&gt;"moeda")*(Inputs!$G$5:$G$230&lt;&gt;"acoes")))*INDEX(Inputs!$K$5:$AJ$230,0,MATCH(AE$2,Inputs!$K$4:$AJ$4,0)))+SUMPRODUCT((Inputs!$C$5:$C$230=$B80)*Inputs!$D$5:$D$230*(((Inputs!$G$5:$G$230="moeda")+(Inputs!$G$5:$G$230="acoes"))*Inputs!$B$1+((Inputs!$G$5:$G$230&lt;&gt;"moeda")*(Inputs!$G$5:$G$230&lt;&gt;"acoes")))*INDEX(Inputs!$K$5:$AJ$230,0,MATCH(AE$2,Inputs!$K$4:$AJ$4,0)))+SUMPRODUCT((Inputs!$E$5:$E$230=$B80)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0" s="6" t="e">
        <f>IF(ISNA(MATCH(AF$2,Inputs!$K$4:$AJ$4,0)),NA(),IF(SUMPRODUCT((Inputs!$A$5:$A$230=$B80)*ISNUMBER(INDEX(Inputs!$K$5:$AJ$230,0,MATCH(AF$2,Inputs!$K$4:$AJ$4,0))))+SUMPRODUCT((Inputs!$C$5:$C$230=$B80)*ISNUMBER(INDEX(Inputs!$K$5:$AJ$230,0,MATCH(AF$2,Inputs!$K$4:$AJ$4,0))))+SUMPRODUCT((Inputs!$E$5:$E$230=$B80)*ISNUMBER(INDEX(Inputs!$K$5:$AJ$230,0,MATCH(AF$2,Inputs!$K$4:$AJ$4,0))))=0,NA(),SUMPRODUCT((Inputs!$A$5:$A$230=$B80)*Inputs!$B$5:$B$230*(((Inputs!$G$5:$G$230="moeda")+(Inputs!$G$5:$G$230="acoes"))*Inputs!$B$1+((Inputs!$G$5:$G$230&lt;&gt;"moeda")*(Inputs!$G$5:$G$230&lt;&gt;"acoes")))*INDEX(Inputs!$K$5:$AJ$230,0,MATCH(AF$2,Inputs!$K$4:$AJ$4,0)))+SUMPRODUCT((Inputs!$C$5:$C$230=$B80)*Inputs!$D$5:$D$230*(((Inputs!$G$5:$G$230="moeda")+(Inputs!$G$5:$G$230="acoes"))*Inputs!$B$1+((Inputs!$G$5:$G$230&lt;&gt;"moeda")*(Inputs!$G$5:$G$230&lt;&gt;"acoes")))*INDEX(Inputs!$K$5:$AJ$230,0,MATCH(AF$2,Inputs!$K$4:$AJ$4,0)))+SUMPRODUCT((Inputs!$E$5:$E$230=$B80)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0" s="3" t="e">
        <f>SUM(AC80:AF80)</f>
        <v>#N/A</v>
      </c>
      <c r="AH80" s="6">
        <f>IF(ISNA(MATCH(AH$2,Inputs!$K$4:$AJ$4,0)),NA(),IF(SUMPRODUCT((Inputs!$A$5:$A$230=$B80)*ISNUMBER(INDEX(Inputs!$K$5:$AJ$230,0,MATCH(AH$2,Inputs!$K$4:$AJ$4,0))))+SUMPRODUCT((Inputs!$C$5:$C$230=$B80)*ISNUMBER(INDEX(Inputs!$K$5:$AJ$230,0,MATCH(AH$2,Inputs!$K$4:$AJ$4,0))))+SUMPRODUCT((Inputs!$E$5:$E$230=$B80)*ISNUMBER(INDEX(Inputs!$K$5:$AJ$230,0,MATCH(AH$2,Inputs!$K$4:$AJ$4,0))))=0,NA(),SUMPRODUCT((Inputs!$A$5:$A$230=$B80)*Inputs!$B$5:$B$230*(((Inputs!$G$5:$G$230="moeda")+(Inputs!$G$5:$G$230="acoes"))*Inputs!$B$1+((Inputs!$G$5:$G$230&lt;&gt;"moeda")*(Inputs!$G$5:$G$230&lt;&gt;"acoes")))*INDEX(Inputs!$K$5:$AJ$230,0,MATCH(AH$2,Inputs!$K$4:$AJ$4,0)))+SUMPRODUCT((Inputs!$C$5:$C$230=$B80)*Inputs!$D$5:$D$230*(((Inputs!$G$5:$G$230="moeda")+(Inputs!$G$5:$G$230="acoes"))*Inputs!$B$1+((Inputs!$G$5:$G$230&lt;&gt;"moeda")*(Inputs!$G$5:$G$230&lt;&gt;"acoes")))*INDEX(Inputs!$K$5:$AJ$230,0,MATCH(AH$2,Inputs!$K$4:$AJ$4,0)))+SUMPRODUCT((Inputs!$E$5:$E$230=$B80)*Inputs!$F$5:$F$230*(((Inputs!$G$5:$G$230="moeda")+(Inputs!$G$5:$G$230="acoes"))*Inputs!$B$1+((Inputs!$G$5:$G$230&lt;&gt;"moeda")*(Inputs!$G$5:$G$230&lt;&gt;"acoes")))*INDEX(Inputs!$K$5:$AJ$230,0,MATCH(AH$2,Inputs!$K$4:$AJ$4,0)))))</f>
        <v>84.668</v>
      </c>
      <c r="AI80" s="6">
        <f>IF(ISNA(MATCH(AI$2,Inputs!$K$4:$AJ$4,0)),NA(),IF(SUMPRODUCT((Inputs!$A$5:$A$230=$B80)*ISNUMBER(INDEX(Inputs!$K$5:$AJ$230,0,MATCH(AI$2,Inputs!$K$4:$AJ$4,0))))+SUMPRODUCT((Inputs!$C$5:$C$230=$B80)*ISNUMBER(INDEX(Inputs!$K$5:$AJ$230,0,MATCH(AI$2,Inputs!$K$4:$AJ$4,0))))+SUMPRODUCT((Inputs!$E$5:$E$230=$B80)*ISNUMBER(INDEX(Inputs!$K$5:$AJ$230,0,MATCH(AI$2,Inputs!$K$4:$AJ$4,0))))=0,NA(),SUMPRODUCT((Inputs!$A$5:$A$230=$B80)*Inputs!$B$5:$B$230*(((Inputs!$G$5:$G$230="moeda")+(Inputs!$G$5:$G$230="acoes"))*Inputs!$B$1+((Inputs!$G$5:$G$230&lt;&gt;"moeda")*(Inputs!$G$5:$G$230&lt;&gt;"acoes")))*INDEX(Inputs!$K$5:$AJ$230,0,MATCH(AI$2,Inputs!$K$4:$AJ$4,0)))+SUMPRODUCT((Inputs!$C$5:$C$230=$B80)*Inputs!$D$5:$D$230*(((Inputs!$G$5:$G$230="moeda")+(Inputs!$G$5:$G$230="acoes"))*Inputs!$B$1+((Inputs!$G$5:$G$230&lt;&gt;"moeda")*(Inputs!$G$5:$G$230&lt;&gt;"acoes")))*INDEX(Inputs!$K$5:$AJ$230,0,MATCH(AI$2,Inputs!$K$4:$AJ$4,0)))+SUMPRODUCT((Inputs!$E$5:$E$230=$B80)*Inputs!$F$5:$F$230*(((Inputs!$G$5:$G$230="moeda")+(Inputs!$G$5:$G$230="acoes"))*Inputs!$B$1+((Inputs!$G$5:$G$230&lt;&gt;"moeda")*(Inputs!$G$5:$G$230&lt;&gt;"acoes")))*INDEX(Inputs!$K$5:$AJ$230,0,MATCH(AI$2,Inputs!$K$4:$AJ$4,0)))))</f>
        <v>109.389</v>
      </c>
      <c r="AJ80" s="6">
        <f>IF(ISNA(MATCH(AJ$2,Inputs!$K$4:$AJ$4,0)),NA(),IF(SUMPRODUCT((Inputs!$A$5:$A$230=$B80)*ISNUMBER(INDEX(Inputs!$K$5:$AJ$230,0,MATCH(AJ$2,Inputs!$K$4:$AJ$4,0))))+SUMPRODUCT((Inputs!$C$5:$C$230=$B80)*ISNUMBER(INDEX(Inputs!$K$5:$AJ$230,0,MATCH(AJ$2,Inputs!$K$4:$AJ$4,0))))+SUMPRODUCT((Inputs!$E$5:$E$230=$B80)*ISNUMBER(INDEX(Inputs!$K$5:$AJ$230,0,MATCH(AJ$2,Inputs!$K$4:$AJ$4,0))))=0,NA(),SUMPRODUCT((Inputs!$A$5:$A$230=$B80)*Inputs!$B$5:$B$230*(((Inputs!$G$5:$G$230="moeda")+(Inputs!$G$5:$G$230="acoes"))*Inputs!$B$1+((Inputs!$G$5:$G$230&lt;&gt;"moeda")*(Inputs!$G$5:$G$230&lt;&gt;"acoes")))*INDEX(Inputs!$K$5:$AJ$230,0,MATCH(AJ$2,Inputs!$K$4:$AJ$4,0)))+SUMPRODUCT((Inputs!$C$5:$C$230=$B80)*Inputs!$D$5:$D$230*(((Inputs!$G$5:$G$230="moeda")+(Inputs!$G$5:$G$230="acoes"))*Inputs!$B$1+((Inputs!$G$5:$G$230&lt;&gt;"moeda")*(Inputs!$G$5:$G$230&lt;&gt;"acoes")))*INDEX(Inputs!$K$5:$AJ$230,0,MATCH(AJ$2,Inputs!$K$4:$AJ$4,0)))+SUMPRODUCT((Inputs!$E$5:$E$230=$B80)*Inputs!$F$5:$F$230*(((Inputs!$G$5:$G$230="moeda")+(Inputs!$G$5:$G$230="acoes"))*Inputs!$B$1+((Inputs!$G$5:$G$230&lt;&gt;"moeda")*(Inputs!$G$5:$G$230&lt;&gt;"acoes")))*INDEX(Inputs!$K$5:$AJ$230,0,MATCH(AJ$2,Inputs!$K$4:$AJ$4,0)))))</f>
        <v>119.065</v>
      </c>
      <c r="AK80" s="6">
        <f>IF(ISNA(MATCH(AK$2,Inputs!$K$4:$AJ$4,0)),NA(),IF(SUMPRODUCT((Inputs!$A$5:$A$230=$B80)*ISNUMBER(INDEX(Inputs!$K$5:$AJ$230,0,MATCH(AK$2,Inputs!$K$4:$AJ$4,0))))+SUMPRODUCT((Inputs!$C$5:$C$230=$B80)*ISNUMBER(INDEX(Inputs!$K$5:$AJ$230,0,MATCH(AK$2,Inputs!$K$4:$AJ$4,0))))+SUMPRODUCT((Inputs!$E$5:$E$230=$B80)*ISNUMBER(INDEX(Inputs!$K$5:$AJ$230,0,MATCH(AK$2,Inputs!$K$4:$AJ$4,0))))=0,NA(),SUMPRODUCT((Inputs!$A$5:$A$230=$B80)*Inputs!$B$5:$B$230*(((Inputs!$G$5:$G$230="moeda")+(Inputs!$G$5:$G$230="acoes"))*Inputs!$B$1+((Inputs!$G$5:$G$230&lt;&gt;"moeda")*(Inputs!$G$5:$G$230&lt;&gt;"acoes")))*INDEX(Inputs!$K$5:$AJ$230,0,MATCH(AK$2,Inputs!$K$4:$AJ$4,0)))+SUMPRODUCT((Inputs!$C$5:$C$230=$B80)*Inputs!$D$5:$D$230*(((Inputs!$G$5:$G$230="moeda")+(Inputs!$G$5:$G$230="acoes"))*Inputs!$B$1+((Inputs!$G$5:$G$230&lt;&gt;"moeda")*(Inputs!$G$5:$G$230&lt;&gt;"acoes")))*INDEX(Inputs!$K$5:$AJ$230,0,MATCH(AK$2,Inputs!$K$4:$AJ$4,0)))+SUMPRODUCT((Inputs!$E$5:$E$230=$B80)*Inputs!$F$5:$F$230*(((Inputs!$G$5:$G$230="moeda")+(Inputs!$G$5:$G$230="acoes"))*Inputs!$B$1+((Inputs!$G$5:$G$230&lt;&gt;"moeda")*(Inputs!$G$5:$G$230&lt;&gt;"acoes")))*INDEX(Inputs!$K$5:$AJ$230,0,MATCH(AK$2,Inputs!$K$4:$AJ$4,0)))))</f>
        <v>150.888</v>
      </c>
      <c r="AL80" s="3">
        <f>SUM(AH80:AK80)</f>
        <v>464.01</v>
      </c>
    </row>
    <row r="81">
      <c r="B81" s="46" t="n">
        <v>73</v>
      </c>
      <c r="C81" s="29" t="inlineStr">
        <is>
          <t>Transmissao | TCE</t>
        </is>
      </c>
      <c r="D81" s="6">
        <f>IF(ISNA(MATCH(D$2,Inputs!$K$4:$AJ$4,0)),NA(),IF(SUMPRODUCT((Inputs!$A$5:$A$230=$B81)*ISNUMBER(INDEX(Inputs!$K$5:$AJ$230,0,MATCH(D$2,Inputs!$K$4:$AJ$4,0))))+SUMPRODUCT((Inputs!$C$5:$C$230=$B81)*ISNUMBER(INDEX(Inputs!$K$5:$AJ$230,0,MATCH(D$2,Inputs!$K$4:$AJ$4,0))))+SUMPRODUCT((Inputs!$E$5:$E$230=$B81)*ISNUMBER(INDEX(Inputs!$K$5:$AJ$230,0,MATCH(D$2,Inputs!$K$4:$AJ$4,0))))=0,NA(),SUMPRODUCT((Inputs!$A$5:$A$230=$B81)*Inputs!$B$5:$B$230*(((Inputs!$G$5:$G$230="moeda")+(Inputs!$G$5:$G$230="acoes"))*Inputs!$B$1+((Inputs!$G$5:$G$230&lt;&gt;"moeda")*(Inputs!$G$5:$G$230&lt;&gt;"acoes")))*INDEX(Inputs!$K$5:$AJ$230,0,MATCH(D$2,Inputs!$K$4:$AJ$4,0)))+SUMPRODUCT((Inputs!$C$5:$C$230=$B81)*Inputs!$D$5:$D$230*(((Inputs!$G$5:$G$230="moeda")+(Inputs!$G$5:$G$230="acoes"))*Inputs!$B$1+((Inputs!$G$5:$G$230&lt;&gt;"moeda")*(Inputs!$G$5:$G$230&lt;&gt;"acoes")))*INDEX(Inputs!$K$5:$AJ$230,0,MATCH(D$2,Inputs!$K$4:$AJ$4,0)))+SUMPRODUCT((Inputs!$E$5:$E$230=$B81)*Inputs!$F$5:$F$230*(((Inputs!$G$5:$G$230="moeda")+(Inputs!$G$5:$G$230="acoes"))*Inputs!$B$1+((Inputs!$G$5:$G$230&lt;&gt;"moeda")*(Inputs!$G$5:$G$230&lt;&gt;"acoes")))*INDEX(Inputs!$K$5:$AJ$230,0,MATCH(D$2,Inputs!$K$4:$AJ$4,0)))))</f>
        <v>0</v>
      </c>
      <c r="E81" s="6">
        <f>IF(ISNA(MATCH(E$2,Inputs!$K$4:$AJ$4,0)),NA(),IF(SUMPRODUCT((Inputs!$A$5:$A$230=$B81)*ISNUMBER(INDEX(Inputs!$K$5:$AJ$230,0,MATCH(E$2,Inputs!$K$4:$AJ$4,0))))+SUMPRODUCT((Inputs!$C$5:$C$230=$B81)*ISNUMBER(INDEX(Inputs!$K$5:$AJ$230,0,MATCH(E$2,Inputs!$K$4:$AJ$4,0))))+SUMPRODUCT((Inputs!$E$5:$E$230=$B81)*ISNUMBER(INDEX(Inputs!$K$5:$AJ$230,0,MATCH(E$2,Inputs!$K$4:$AJ$4,0))))=0,NA(),SUMPRODUCT((Inputs!$A$5:$A$230=$B81)*Inputs!$B$5:$B$230*(((Inputs!$G$5:$G$230="moeda")+(Inputs!$G$5:$G$230="acoes"))*Inputs!$B$1+((Inputs!$G$5:$G$230&lt;&gt;"moeda")*(Inputs!$G$5:$G$230&lt;&gt;"acoes")))*INDEX(Inputs!$K$5:$AJ$230,0,MATCH(E$2,Inputs!$K$4:$AJ$4,0)))+SUMPRODUCT((Inputs!$C$5:$C$230=$B81)*Inputs!$D$5:$D$230*(((Inputs!$G$5:$G$230="moeda")+(Inputs!$G$5:$G$230="acoes"))*Inputs!$B$1+((Inputs!$G$5:$G$230&lt;&gt;"moeda")*(Inputs!$G$5:$G$230&lt;&gt;"acoes")))*INDEX(Inputs!$K$5:$AJ$230,0,MATCH(E$2,Inputs!$K$4:$AJ$4,0)))+SUMPRODUCT((Inputs!$E$5:$E$230=$B81)*Inputs!$F$5:$F$230*(((Inputs!$G$5:$G$230="moeda")+(Inputs!$G$5:$G$230="acoes"))*Inputs!$B$1+((Inputs!$G$5:$G$230&lt;&gt;"moeda")*(Inputs!$G$5:$G$230&lt;&gt;"acoes")))*INDEX(Inputs!$K$5:$AJ$230,0,MATCH(E$2,Inputs!$K$4:$AJ$4,0)))))</f>
        <v>0</v>
      </c>
      <c r="F81" s="6">
        <f>IF(ISNA(MATCH(F$2,Inputs!$K$4:$AJ$4,0)),NA(),IF(SUMPRODUCT((Inputs!$A$5:$A$230=$B81)*ISNUMBER(INDEX(Inputs!$K$5:$AJ$230,0,MATCH(F$2,Inputs!$K$4:$AJ$4,0))))+SUMPRODUCT((Inputs!$C$5:$C$230=$B81)*ISNUMBER(INDEX(Inputs!$K$5:$AJ$230,0,MATCH(F$2,Inputs!$K$4:$AJ$4,0))))+SUMPRODUCT((Inputs!$E$5:$E$230=$B81)*ISNUMBER(INDEX(Inputs!$K$5:$AJ$230,0,MATCH(F$2,Inputs!$K$4:$AJ$4,0))))=0,NA(),SUMPRODUCT((Inputs!$A$5:$A$230=$B81)*Inputs!$B$5:$B$230*(((Inputs!$G$5:$G$230="moeda")+(Inputs!$G$5:$G$230="acoes"))*Inputs!$B$1+((Inputs!$G$5:$G$230&lt;&gt;"moeda")*(Inputs!$G$5:$G$230&lt;&gt;"acoes")))*INDEX(Inputs!$K$5:$AJ$230,0,MATCH(F$2,Inputs!$K$4:$AJ$4,0)))+SUMPRODUCT((Inputs!$C$5:$C$230=$B81)*Inputs!$D$5:$D$230*(((Inputs!$G$5:$G$230="moeda")+(Inputs!$G$5:$G$230="acoes"))*Inputs!$B$1+((Inputs!$G$5:$G$230&lt;&gt;"moeda")*(Inputs!$G$5:$G$230&lt;&gt;"acoes")))*INDEX(Inputs!$K$5:$AJ$230,0,MATCH(F$2,Inputs!$K$4:$AJ$4,0)))+SUMPRODUCT((Inputs!$E$5:$E$230=$B81)*Inputs!$F$5:$F$230*(((Inputs!$G$5:$G$230="moeda")+(Inputs!$G$5:$G$230="acoes"))*Inputs!$B$1+((Inputs!$G$5:$G$230&lt;&gt;"moeda")*(Inputs!$G$5:$G$230&lt;&gt;"acoes")))*INDEX(Inputs!$K$5:$AJ$230,0,MATCH(F$2,Inputs!$K$4:$AJ$4,0)))))</f>
        <v>0</v>
      </c>
      <c r="G81" s="6">
        <f>IF(ISNA(MATCH(G$2,Inputs!$K$4:$AJ$4,0)),NA(),IF(SUMPRODUCT((Inputs!$A$5:$A$230=$B81)*ISNUMBER(INDEX(Inputs!$K$5:$AJ$230,0,MATCH(G$2,Inputs!$K$4:$AJ$4,0))))+SUMPRODUCT((Inputs!$C$5:$C$230=$B81)*ISNUMBER(INDEX(Inputs!$K$5:$AJ$230,0,MATCH(G$2,Inputs!$K$4:$AJ$4,0))))+SUMPRODUCT((Inputs!$E$5:$E$230=$B81)*ISNUMBER(INDEX(Inputs!$K$5:$AJ$230,0,MATCH(G$2,Inputs!$K$4:$AJ$4,0))))=0,NA(),SUMPRODUCT((Inputs!$A$5:$A$230=$B81)*Inputs!$B$5:$B$230*(((Inputs!$G$5:$G$230="moeda")+(Inputs!$G$5:$G$230="acoes"))*Inputs!$B$1+((Inputs!$G$5:$G$230&lt;&gt;"moeda")*(Inputs!$G$5:$G$230&lt;&gt;"acoes")))*INDEX(Inputs!$K$5:$AJ$230,0,MATCH(G$2,Inputs!$K$4:$AJ$4,0)))+SUMPRODUCT((Inputs!$C$5:$C$230=$B81)*Inputs!$D$5:$D$230*(((Inputs!$G$5:$G$230="moeda")+(Inputs!$G$5:$G$230="acoes"))*Inputs!$B$1+((Inputs!$G$5:$G$230&lt;&gt;"moeda")*(Inputs!$G$5:$G$230&lt;&gt;"acoes")))*INDEX(Inputs!$K$5:$AJ$230,0,MATCH(G$2,Inputs!$K$4:$AJ$4,0)))+SUMPRODUCT((Inputs!$E$5:$E$230=$B81)*Inputs!$F$5:$F$230*(((Inputs!$G$5:$G$230="moeda")+(Inputs!$G$5:$G$230="acoes"))*Inputs!$B$1+((Inputs!$G$5:$G$230&lt;&gt;"moeda")*(Inputs!$G$5:$G$230&lt;&gt;"acoes")))*INDEX(Inputs!$K$5:$AJ$230,0,MATCH(G$2,Inputs!$K$4:$AJ$4,0)))))</f>
        <v>0</v>
      </c>
      <c r="H81" s="3">
        <f>SUM(D81:G81)</f>
        <v>0</v>
      </c>
      <c r="I81" s="6">
        <f>IF(ISNA(MATCH(I$2,Inputs!$K$4:$AJ$4,0)),NA(),IF(SUMPRODUCT((Inputs!$A$5:$A$230=$B81)*ISNUMBER(INDEX(Inputs!$K$5:$AJ$230,0,MATCH(I$2,Inputs!$K$4:$AJ$4,0))))+SUMPRODUCT((Inputs!$C$5:$C$230=$B81)*ISNUMBER(INDEX(Inputs!$K$5:$AJ$230,0,MATCH(I$2,Inputs!$K$4:$AJ$4,0))))+SUMPRODUCT((Inputs!$E$5:$E$230=$B81)*ISNUMBER(INDEX(Inputs!$K$5:$AJ$230,0,MATCH(I$2,Inputs!$K$4:$AJ$4,0))))=0,NA(),SUMPRODUCT((Inputs!$A$5:$A$230=$B81)*Inputs!$B$5:$B$230*(((Inputs!$G$5:$G$230="moeda")+(Inputs!$G$5:$G$230="acoes"))*Inputs!$B$1+((Inputs!$G$5:$G$230&lt;&gt;"moeda")*(Inputs!$G$5:$G$230&lt;&gt;"acoes")))*INDEX(Inputs!$K$5:$AJ$230,0,MATCH(I$2,Inputs!$K$4:$AJ$4,0)))+SUMPRODUCT((Inputs!$C$5:$C$230=$B81)*Inputs!$D$5:$D$230*(((Inputs!$G$5:$G$230="moeda")+(Inputs!$G$5:$G$230="acoes"))*Inputs!$B$1+((Inputs!$G$5:$G$230&lt;&gt;"moeda")*(Inputs!$G$5:$G$230&lt;&gt;"acoes")))*INDEX(Inputs!$K$5:$AJ$230,0,MATCH(I$2,Inputs!$K$4:$AJ$4,0)))+SUMPRODUCT((Inputs!$E$5:$E$230=$B81)*Inputs!$F$5:$F$230*(((Inputs!$G$5:$G$230="moeda")+(Inputs!$G$5:$G$230="acoes"))*Inputs!$B$1+((Inputs!$G$5:$G$230&lt;&gt;"moeda")*(Inputs!$G$5:$G$230&lt;&gt;"acoes")))*INDEX(Inputs!$K$5:$AJ$230,0,MATCH(I$2,Inputs!$K$4:$AJ$4,0)))))</f>
        <v>0</v>
      </c>
      <c r="J81" s="6">
        <f>IF(ISNA(MATCH(J$2,Inputs!$K$4:$AJ$4,0)),NA(),IF(SUMPRODUCT((Inputs!$A$5:$A$230=$B81)*ISNUMBER(INDEX(Inputs!$K$5:$AJ$230,0,MATCH(J$2,Inputs!$K$4:$AJ$4,0))))+SUMPRODUCT((Inputs!$C$5:$C$230=$B81)*ISNUMBER(INDEX(Inputs!$K$5:$AJ$230,0,MATCH(J$2,Inputs!$K$4:$AJ$4,0))))+SUMPRODUCT((Inputs!$E$5:$E$230=$B81)*ISNUMBER(INDEX(Inputs!$K$5:$AJ$230,0,MATCH(J$2,Inputs!$K$4:$AJ$4,0))))=0,NA(),SUMPRODUCT((Inputs!$A$5:$A$230=$B81)*Inputs!$B$5:$B$230*(((Inputs!$G$5:$G$230="moeda")+(Inputs!$G$5:$G$230="acoes"))*Inputs!$B$1+((Inputs!$G$5:$G$230&lt;&gt;"moeda")*(Inputs!$G$5:$G$230&lt;&gt;"acoes")))*INDEX(Inputs!$K$5:$AJ$230,0,MATCH(J$2,Inputs!$K$4:$AJ$4,0)))+SUMPRODUCT((Inputs!$C$5:$C$230=$B81)*Inputs!$D$5:$D$230*(((Inputs!$G$5:$G$230="moeda")+(Inputs!$G$5:$G$230="acoes"))*Inputs!$B$1+((Inputs!$G$5:$G$230&lt;&gt;"moeda")*(Inputs!$G$5:$G$230&lt;&gt;"acoes")))*INDEX(Inputs!$K$5:$AJ$230,0,MATCH(J$2,Inputs!$K$4:$AJ$4,0)))+SUMPRODUCT((Inputs!$E$5:$E$230=$B81)*Inputs!$F$5:$F$230*(((Inputs!$G$5:$G$230="moeda")+(Inputs!$G$5:$G$230="acoes"))*Inputs!$B$1+((Inputs!$G$5:$G$230&lt;&gt;"moeda")*(Inputs!$G$5:$G$230&lt;&gt;"acoes")))*INDEX(Inputs!$K$5:$AJ$230,0,MATCH(J$2,Inputs!$K$4:$AJ$4,0)))))</f>
        <v>0</v>
      </c>
      <c r="K81" s="6">
        <f>IF(ISNA(MATCH(K$2,Inputs!$K$4:$AJ$4,0)),NA(),IF(SUMPRODUCT((Inputs!$A$5:$A$230=$B81)*ISNUMBER(INDEX(Inputs!$K$5:$AJ$230,0,MATCH(K$2,Inputs!$K$4:$AJ$4,0))))+SUMPRODUCT((Inputs!$C$5:$C$230=$B81)*ISNUMBER(INDEX(Inputs!$K$5:$AJ$230,0,MATCH(K$2,Inputs!$K$4:$AJ$4,0))))+SUMPRODUCT((Inputs!$E$5:$E$230=$B81)*ISNUMBER(INDEX(Inputs!$K$5:$AJ$230,0,MATCH(K$2,Inputs!$K$4:$AJ$4,0))))=0,NA(),SUMPRODUCT((Inputs!$A$5:$A$230=$B81)*Inputs!$B$5:$B$230*(((Inputs!$G$5:$G$230="moeda")+(Inputs!$G$5:$G$230="acoes"))*Inputs!$B$1+((Inputs!$G$5:$G$230&lt;&gt;"moeda")*(Inputs!$G$5:$G$230&lt;&gt;"acoes")))*INDEX(Inputs!$K$5:$AJ$230,0,MATCH(K$2,Inputs!$K$4:$AJ$4,0)))+SUMPRODUCT((Inputs!$C$5:$C$230=$B81)*Inputs!$D$5:$D$230*(((Inputs!$G$5:$G$230="moeda")+(Inputs!$G$5:$G$230="acoes"))*Inputs!$B$1+((Inputs!$G$5:$G$230&lt;&gt;"moeda")*(Inputs!$G$5:$G$230&lt;&gt;"acoes")))*INDEX(Inputs!$K$5:$AJ$230,0,MATCH(K$2,Inputs!$K$4:$AJ$4,0)))+SUMPRODUCT((Inputs!$E$5:$E$230=$B81)*Inputs!$F$5:$F$230*(((Inputs!$G$5:$G$230="moeda")+(Inputs!$G$5:$G$230="acoes"))*Inputs!$B$1+((Inputs!$G$5:$G$230&lt;&gt;"moeda")*(Inputs!$G$5:$G$230&lt;&gt;"acoes")))*INDEX(Inputs!$K$5:$AJ$230,0,MATCH(K$2,Inputs!$K$4:$AJ$4,0)))))</f>
        <v>0</v>
      </c>
      <c r="L81" s="6">
        <f>IF(ISNA(MATCH(L$2,Inputs!$K$4:$AJ$4,0)),NA(),IF(SUMPRODUCT((Inputs!$A$5:$A$230=$B81)*ISNUMBER(INDEX(Inputs!$K$5:$AJ$230,0,MATCH(L$2,Inputs!$K$4:$AJ$4,0))))+SUMPRODUCT((Inputs!$C$5:$C$230=$B81)*ISNUMBER(INDEX(Inputs!$K$5:$AJ$230,0,MATCH(L$2,Inputs!$K$4:$AJ$4,0))))+SUMPRODUCT((Inputs!$E$5:$E$230=$B81)*ISNUMBER(INDEX(Inputs!$K$5:$AJ$230,0,MATCH(L$2,Inputs!$K$4:$AJ$4,0))))=0,NA(),SUMPRODUCT((Inputs!$A$5:$A$230=$B81)*Inputs!$B$5:$B$230*(((Inputs!$G$5:$G$230="moeda")+(Inputs!$G$5:$G$230="acoes"))*Inputs!$B$1+((Inputs!$G$5:$G$230&lt;&gt;"moeda")*(Inputs!$G$5:$G$230&lt;&gt;"acoes")))*INDEX(Inputs!$K$5:$AJ$230,0,MATCH(L$2,Inputs!$K$4:$AJ$4,0)))+SUMPRODUCT((Inputs!$C$5:$C$230=$B81)*Inputs!$D$5:$D$230*(((Inputs!$G$5:$G$230="moeda")+(Inputs!$G$5:$G$230="acoes"))*Inputs!$B$1+((Inputs!$G$5:$G$230&lt;&gt;"moeda")*(Inputs!$G$5:$G$230&lt;&gt;"acoes")))*INDEX(Inputs!$K$5:$AJ$230,0,MATCH(L$2,Inputs!$K$4:$AJ$4,0)))+SUMPRODUCT((Inputs!$E$5:$E$230=$B81)*Inputs!$F$5:$F$230*(((Inputs!$G$5:$G$230="moeda")+(Inputs!$G$5:$G$230="acoes"))*Inputs!$B$1+((Inputs!$G$5:$G$230&lt;&gt;"moeda")*(Inputs!$G$5:$G$230&lt;&gt;"acoes")))*INDEX(Inputs!$K$5:$AJ$230,0,MATCH(L$2,Inputs!$K$4:$AJ$4,0)))))</f>
        <v>0</v>
      </c>
      <c r="M81" s="3">
        <f>SUM(I81:L81)</f>
        <v>0</v>
      </c>
      <c r="N81" s="6">
        <f>IF(ISNA(MATCH(N$2,Inputs!$K$4:$AJ$4,0)),NA(),IF(SUMPRODUCT((Inputs!$A$5:$A$230=$B81)*ISNUMBER(INDEX(Inputs!$K$5:$AJ$230,0,MATCH(N$2,Inputs!$K$4:$AJ$4,0))))+SUMPRODUCT((Inputs!$C$5:$C$230=$B81)*ISNUMBER(INDEX(Inputs!$K$5:$AJ$230,0,MATCH(N$2,Inputs!$K$4:$AJ$4,0))))+SUMPRODUCT((Inputs!$E$5:$E$230=$B81)*ISNUMBER(INDEX(Inputs!$K$5:$AJ$230,0,MATCH(N$2,Inputs!$K$4:$AJ$4,0))))=0,NA(),SUMPRODUCT((Inputs!$A$5:$A$230=$B81)*Inputs!$B$5:$B$230*(((Inputs!$G$5:$G$230="moeda")+(Inputs!$G$5:$G$230="acoes"))*Inputs!$B$1+((Inputs!$G$5:$G$230&lt;&gt;"moeda")*(Inputs!$G$5:$G$230&lt;&gt;"acoes")))*INDEX(Inputs!$K$5:$AJ$230,0,MATCH(N$2,Inputs!$K$4:$AJ$4,0)))+SUMPRODUCT((Inputs!$C$5:$C$230=$B81)*Inputs!$D$5:$D$230*(((Inputs!$G$5:$G$230="moeda")+(Inputs!$G$5:$G$230="acoes"))*Inputs!$B$1+((Inputs!$G$5:$G$230&lt;&gt;"moeda")*(Inputs!$G$5:$G$230&lt;&gt;"acoes")))*INDEX(Inputs!$K$5:$AJ$230,0,MATCH(N$2,Inputs!$K$4:$AJ$4,0)))+SUMPRODUCT((Inputs!$E$5:$E$230=$B81)*Inputs!$F$5:$F$230*(((Inputs!$G$5:$G$230="moeda")+(Inputs!$G$5:$G$230="acoes"))*Inputs!$B$1+((Inputs!$G$5:$G$230&lt;&gt;"moeda")*(Inputs!$G$5:$G$230&lt;&gt;"acoes")))*INDEX(Inputs!$K$5:$AJ$230,0,MATCH(N$2,Inputs!$K$4:$AJ$4,0)))))</f>
        <v>0</v>
      </c>
      <c r="O81" s="6">
        <f>IF(ISNA(MATCH(O$2,Inputs!$K$4:$AJ$4,0)),NA(),IF(SUMPRODUCT((Inputs!$A$5:$A$230=$B81)*ISNUMBER(INDEX(Inputs!$K$5:$AJ$230,0,MATCH(O$2,Inputs!$K$4:$AJ$4,0))))+SUMPRODUCT((Inputs!$C$5:$C$230=$B81)*ISNUMBER(INDEX(Inputs!$K$5:$AJ$230,0,MATCH(O$2,Inputs!$K$4:$AJ$4,0))))+SUMPRODUCT((Inputs!$E$5:$E$230=$B81)*ISNUMBER(INDEX(Inputs!$K$5:$AJ$230,0,MATCH(O$2,Inputs!$K$4:$AJ$4,0))))=0,NA(),SUMPRODUCT((Inputs!$A$5:$A$230=$B81)*Inputs!$B$5:$B$230*(((Inputs!$G$5:$G$230="moeda")+(Inputs!$G$5:$G$230="acoes"))*Inputs!$B$1+((Inputs!$G$5:$G$230&lt;&gt;"moeda")*(Inputs!$G$5:$G$230&lt;&gt;"acoes")))*INDEX(Inputs!$K$5:$AJ$230,0,MATCH(O$2,Inputs!$K$4:$AJ$4,0)))+SUMPRODUCT((Inputs!$C$5:$C$230=$B81)*Inputs!$D$5:$D$230*(((Inputs!$G$5:$G$230="moeda")+(Inputs!$G$5:$G$230="acoes"))*Inputs!$B$1+((Inputs!$G$5:$G$230&lt;&gt;"moeda")*(Inputs!$G$5:$G$230&lt;&gt;"acoes")))*INDEX(Inputs!$K$5:$AJ$230,0,MATCH(O$2,Inputs!$K$4:$AJ$4,0)))+SUMPRODUCT((Inputs!$E$5:$E$230=$B81)*Inputs!$F$5:$F$230*(((Inputs!$G$5:$G$230="moeda")+(Inputs!$G$5:$G$230="acoes"))*Inputs!$B$1+((Inputs!$G$5:$G$230&lt;&gt;"moeda")*(Inputs!$G$5:$G$230&lt;&gt;"acoes")))*INDEX(Inputs!$K$5:$AJ$230,0,MATCH(O$2,Inputs!$K$4:$AJ$4,0)))))</f>
        <v>0</v>
      </c>
      <c r="P81" s="6">
        <f>IF(ISNA(MATCH(P$2,Inputs!$K$4:$AJ$4,0)),NA(),IF(SUMPRODUCT((Inputs!$A$5:$A$230=$B81)*ISNUMBER(INDEX(Inputs!$K$5:$AJ$230,0,MATCH(P$2,Inputs!$K$4:$AJ$4,0))))+SUMPRODUCT((Inputs!$C$5:$C$230=$B81)*ISNUMBER(INDEX(Inputs!$K$5:$AJ$230,0,MATCH(P$2,Inputs!$K$4:$AJ$4,0))))+SUMPRODUCT((Inputs!$E$5:$E$230=$B81)*ISNUMBER(INDEX(Inputs!$K$5:$AJ$230,0,MATCH(P$2,Inputs!$K$4:$AJ$4,0))))=0,NA(),SUMPRODUCT((Inputs!$A$5:$A$230=$B81)*Inputs!$B$5:$B$230*(((Inputs!$G$5:$G$230="moeda")+(Inputs!$G$5:$G$230="acoes"))*Inputs!$B$1+((Inputs!$G$5:$G$230&lt;&gt;"moeda")*(Inputs!$G$5:$G$230&lt;&gt;"acoes")))*INDEX(Inputs!$K$5:$AJ$230,0,MATCH(P$2,Inputs!$K$4:$AJ$4,0)))+SUMPRODUCT((Inputs!$C$5:$C$230=$B81)*Inputs!$D$5:$D$230*(((Inputs!$G$5:$G$230="moeda")+(Inputs!$G$5:$G$230="acoes"))*Inputs!$B$1+((Inputs!$G$5:$G$230&lt;&gt;"moeda")*(Inputs!$G$5:$G$230&lt;&gt;"acoes")))*INDEX(Inputs!$K$5:$AJ$230,0,MATCH(P$2,Inputs!$K$4:$AJ$4,0)))+SUMPRODUCT((Inputs!$E$5:$E$230=$B81)*Inputs!$F$5:$F$230*(((Inputs!$G$5:$G$230="moeda")+(Inputs!$G$5:$G$230="acoes"))*Inputs!$B$1+((Inputs!$G$5:$G$230&lt;&gt;"moeda")*(Inputs!$G$5:$G$230&lt;&gt;"acoes")))*INDEX(Inputs!$K$5:$AJ$230,0,MATCH(P$2,Inputs!$K$4:$AJ$4,0)))))</f>
        <v>0</v>
      </c>
      <c r="Q81" s="6">
        <f>IF(ISNA(MATCH(Q$2,Inputs!$K$4:$AJ$4,0)),NA(),IF(SUMPRODUCT((Inputs!$A$5:$A$230=$B81)*ISNUMBER(INDEX(Inputs!$K$5:$AJ$230,0,MATCH(Q$2,Inputs!$K$4:$AJ$4,0))))+SUMPRODUCT((Inputs!$C$5:$C$230=$B81)*ISNUMBER(INDEX(Inputs!$K$5:$AJ$230,0,MATCH(Q$2,Inputs!$K$4:$AJ$4,0))))+SUMPRODUCT((Inputs!$E$5:$E$230=$B81)*ISNUMBER(INDEX(Inputs!$K$5:$AJ$230,0,MATCH(Q$2,Inputs!$K$4:$AJ$4,0))))=0,NA(),SUMPRODUCT((Inputs!$A$5:$A$230=$B81)*Inputs!$B$5:$B$230*(((Inputs!$G$5:$G$230="moeda")+(Inputs!$G$5:$G$230="acoes"))*Inputs!$B$1+((Inputs!$G$5:$G$230&lt;&gt;"moeda")*(Inputs!$G$5:$G$230&lt;&gt;"acoes")))*INDEX(Inputs!$K$5:$AJ$230,0,MATCH(Q$2,Inputs!$K$4:$AJ$4,0)))+SUMPRODUCT((Inputs!$C$5:$C$230=$B81)*Inputs!$D$5:$D$230*(((Inputs!$G$5:$G$230="moeda")+(Inputs!$G$5:$G$230="acoes"))*Inputs!$B$1+((Inputs!$G$5:$G$230&lt;&gt;"moeda")*(Inputs!$G$5:$G$230&lt;&gt;"acoes")))*INDEX(Inputs!$K$5:$AJ$230,0,MATCH(Q$2,Inputs!$K$4:$AJ$4,0)))+SUMPRODUCT((Inputs!$E$5:$E$230=$B81)*Inputs!$F$5:$F$230*(((Inputs!$G$5:$G$230="moeda")+(Inputs!$G$5:$G$230="acoes"))*Inputs!$B$1+((Inputs!$G$5:$G$230&lt;&gt;"moeda")*(Inputs!$G$5:$G$230&lt;&gt;"acoes")))*INDEX(Inputs!$K$5:$AJ$230,0,MATCH(Q$2,Inputs!$K$4:$AJ$4,0)))))</f>
        <v>0</v>
      </c>
      <c r="R81" s="3">
        <f>SUM(N81:Q81)</f>
        <v>0</v>
      </c>
      <c r="S81" s="6">
        <f>IF(ISNA(MATCH(S$2,Inputs!$K$4:$AJ$4,0)),NA(),IF(SUMPRODUCT((Inputs!$A$5:$A$230=$B81)*ISNUMBER(INDEX(Inputs!$K$5:$AJ$230,0,MATCH(S$2,Inputs!$K$4:$AJ$4,0))))+SUMPRODUCT((Inputs!$C$5:$C$230=$B81)*ISNUMBER(INDEX(Inputs!$K$5:$AJ$230,0,MATCH(S$2,Inputs!$K$4:$AJ$4,0))))+SUMPRODUCT((Inputs!$E$5:$E$230=$B81)*ISNUMBER(INDEX(Inputs!$K$5:$AJ$230,0,MATCH(S$2,Inputs!$K$4:$AJ$4,0))))=0,NA(),SUMPRODUCT((Inputs!$A$5:$A$230=$B81)*Inputs!$B$5:$B$230*(((Inputs!$G$5:$G$230="moeda")+(Inputs!$G$5:$G$230="acoes"))*Inputs!$B$1+((Inputs!$G$5:$G$230&lt;&gt;"moeda")*(Inputs!$G$5:$G$230&lt;&gt;"acoes")))*INDEX(Inputs!$K$5:$AJ$230,0,MATCH(S$2,Inputs!$K$4:$AJ$4,0)))+SUMPRODUCT((Inputs!$C$5:$C$230=$B81)*Inputs!$D$5:$D$230*(((Inputs!$G$5:$G$230="moeda")+(Inputs!$G$5:$G$230="acoes"))*Inputs!$B$1+((Inputs!$G$5:$G$230&lt;&gt;"moeda")*(Inputs!$G$5:$G$230&lt;&gt;"acoes")))*INDEX(Inputs!$K$5:$AJ$230,0,MATCH(S$2,Inputs!$K$4:$AJ$4,0)))+SUMPRODUCT((Inputs!$E$5:$E$230=$B81)*Inputs!$F$5:$F$230*(((Inputs!$G$5:$G$230="moeda")+(Inputs!$G$5:$G$230="acoes"))*Inputs!$B$1+((Inputs!$G$5:$G$230&lt;&gt;"moeda")*(Inputs!$G$5:$G$230&lt;&gt;"acoes")))*INDEX(Inputs!$K$5:$AJ$230,0,MATCH(S$2,Inputs!$K$4:$AJ$4,0)))))</f>
        <v>0</v>
      </c>
      <c r="T81" s="6">
        <f>IF(ISNA(MATCH(T$2,Inputs!$K$4:$AJ$4,0)),NA(),IF(SUMPRODUCT((Inputs!$A$5:$A$230=$B81)*ISNUMBER(INDEX(Inputs!$K$5:$AJ$230,0,MATCH(T$2,Inputs!$K$4:$AJ$4,0))))+SUMPRODUCT((Inputs!$C$5:$C$230=$B81)*ISNUMBER(INDEX(Inputs!$K$5:$AJ$230,0,MATCH(T$2,Inputs!$K$4:$AJ$4,0))))+SUMPRODUCT((Inputs!$E$5:$E$230=$B81)*ISNUMBER(INDEX(Inputs!$K$5:$AJ$230,0,MATCH(T$2,Inputs!$K$4:$AJ$4,0))))=0,NA(),SUMPRODUCT((Inputs!$A$5:$A$230=$B81)*Inputs!$B$5:$B$230*(((Inputs!$G$5:$G$230="moeda")+(Inputs!$G$5:$G$230="acoes"))*Inputs!$B$1+((Inputs!$G$5:$G$230&lt;&gt;"moeda")*(Inputs!$G$5:$G$230&lt;&gt;"acoes")))*INDEX(Inputs!$K$5:$AJ$230,0,MATCH(T$2,Inputs!$K$4:$AJ$4,0)))+SUMPRODUCT((Inputs!$C$5:$C$230=$B81)*Inputs!$D$5:$D$230*(((Inputs!$G$5:$G$230="moeda")+(Inputs!$G$5:$G$230="acoes"))*Inputs!$B$1+((Inputs!$G$5:$G$230&lt;&gt;"moeda")*(Inputs!$G$5:$G$230&lt;&gt;"acoes")))*INDEX(Inputs!$K$5:$AJ$230,0,MATCH(T$2,Inputs!$K$4:$AJ$4,0)))+SUMPRODUCT((Inputs!$E$5:$E$230=$B81)*Inputs!$F$5:$F$230*(((Inputs!$G$5:$G$230="moeda")+(Inputs!$G$5:$G$230="acoes"))*Inputs!$B$1+((Inputs!$G$5:$G$230&lt;&gt;"moeda")*(Inputs!$G$5:$G$230&lt;&gt;"acoes")))*INDEX(Inputs!$K$5:$AJ$230,0,MATCH(T$2,Inputs!$K$4:$AJ$4,0)))))</f>
        <v>0</v>
      </c>
      <c r="U81" s="6">
        <f>IF(ISNA(MATCH(U$2,Inputs!$K$4:$AJ$4,0)),NA(),IF(SUMPRODUCT((Inputs!$A$5:$A$230=$B81)*ISNUMBER(INDEX(Inputs!$K$5:$AJ$230,0,MATCH(U$2,Inputs!$K$4:$AJ$4,0))))+SUMPRODUCT((Inputs!$C$5:$C$230=$B81)*ISNUMBER(INDEX(Inputs!$K$5:$AJ$230,0,MATCH(U$2,Inputs!$K$4:$AJ$4,0))))+SUMPRODUCT((Inputs!$E$5:$E$230=$B81)*ISNUMBER(INDEX(Inputs!$K$5:$AJ$230,0,MATCH(U$2,Inputs!$K$4:$AJ$4,0))))=0,NA(),SUMPRODUCT((Inputs!$A$5:$A$230=$B81)*Inputs!$B$5:$B$230*(((Inputs!$G$5:$G$230="moeda")+(Inputs!$G$5:$G$230="acoes"))*Inputs!$B$1+((Inputs!$G$5:$G$230&lt;&gt;"moeda")*(Inputs!$G$5:$G$230&lt;&gt;"acoes")))*INDEX(Inputs!$K$5:$AJ$230,0,MATCH(U$2,Inputs!$K$4:$AJ$4,0)))+SUMPRODUCT((Inputs!$C$5:$C$230=$B81)*Inputs!$D$5:$D$230*(((Inputs!$G$5:$G$230="moeda")+(Inputs!$G$5:$G$230="acoes"))*Inputs!$B$1+((Inputs!$G$5:$G$230&lt;&gt;"moeda")*(Inputs!$G$5:$G$230&lt;&gt;"acoes")))*INDEX(Inputs!$K$5:$AJ$230,0,MATCH(U$2,Inputs!$K$4:$AJ$4,0)))+SUMPRODUCT((Inputs!$E$5:$E$230=$B81)*Inputs!$F$5:$F$230*(((Inputs!$G$5:$G$230="moeda")+(Inputs!$G$5:$G$230="acoes"))*Inputs!$B$1+((Inputs!$G$5:$G$230&lt;&gt;"moeda")*(Inputs!$G$5:$G$230&lt;&gt;"acoes")))*INDEX(Inputs!$K$5:$AJ$230,0,MATCH(U$2,Inputs!$K$4:$AJ$4,0)))))</f>
        <v>0</v>
      </c>
      <c r="V81" s="6">
        <f>IF(ISNA(MATCH(V$2,Inputs!$K$4:$AJ$4,0)),NA(),IF(SUMPRODUCT((Inputs!$A$5:$A$230=$B81)*ISNUMBER(INDEX(Inputs!$K$5:$AJ$230,0,MATCH(V$2,Inputs!$K$4:$AJ$4,0))))+SUMPRODUCT((Inputs!$C$5:$C$230=$B81)*ISNUMBER(INDEX(Inputs!$K$5:$AJ$230,0,MATCH(V$2,Inputs!$K$4:$AJ$4,0))))+SUMPRODUCT((Inputs!$E$5:$E$230=$B81)*ISNUMBER(INDEX(Inputs!$K$5:$AJ$230,0,MATCH(V$2,Inputs!$K$4:$AJ$4,0))))=0,NA(),SUMPRODUCT((Inputs!$A$5:$A$230=$B81)*Inputs!$B$5:$B$230*(((Inputs!$G$5:$G$230="moeda")+(Inputs!$G$5:$G$230="acoes"))*Inputs!$B$1+((Inputs!$G$5:$G$230&lt;&gt;"moeda")*(Inputs!$G$5:$G$230&lt;&gt;"acoes")))*INDEX(Inputs!$K$5:$AJ$230,0,MATCH(V$2,Inputs!$K$4:$AJ$4,0)))+SUMPRODUCT((Inputs!$C$5:$C$230=$B81)*Inputs!$D$5:$D$230*(((Inputs!$G$5:$G$230="moeda")+(Inputs!$G$5:$G$230="acoes"))*Inputs!$B$1+((Inputs!$G$5:$G$230&lt;&gt;"moeda")*(Inputs!$G$5:$G$230&lt;&gt;"acoes")))*INDEX(Inputs!$K$5:$AJ$230,0,MATCH(V$2,Inputs!$K$4:$AJ$4,0)))+SUMPRODUCT((Inputs!$E$5:$E$230=$B81)*Inputs!$F$5:$F$230*(((Inputs!$G$5:$G$230="moeda")+(Inputs!$G$5:$G$230="acoes"))*Inputs!$B$1+((Inputs!$G$5:$G$230&lt;&gt;"moeda")*(Inputs!$G$5:$G$230&lt;&gt;"acoes")))*INDEX(Inputs!$K$5:$AJ$230,0,MATCH(V$2,Inputs!$K$4:$AJ$4,0)))))</f>
        <v>0</v>
      </c>
      <c r="W81" s="3">
        <f>SUM(S81:V81)</f>
        <v>0</v>
      </c>
      <c r="X81" s="6">
        <f>IF(ISNA(MATCH(X$2,Inputs!$K$4:$AJ$4,0)),NA(),IF(SUMPRODUCT((Inputs!$A$5:$A$230=$B81)*ISNUMBER(INDEX(Inputs!$K$5:$AJ$230,0,MATCH(X$2,Inputs!$K$4:$AJ$4,0))))+SUMPRODUCT((Inputs!$C$5:$C$230=$B81)*ISNUMBER(INDEX(Inputs!$K$5:$AJ$230,0,MATCH(X$2,Inputs!$K$4:$AJ$4,0))))+SUMPRODUCT((Inputs!$E$5:$E$230=$B81)*ISNUMBER(INDEX(Inputs!$K$5:$AJ$230,0,MATCH(X$2,Inputs!$K$4:$AJ$4,0))))=0,NA(),SUMPRODUCT((Inputs!$A$5:$A$230=$B81)*Inputs!$B$5:$B$230*(((Inputs!$G$5:$G$230="moeda")+(Inputs!$G$5:$G$230="acoes"))*Inputs!$B$1+((Inputs!$G$5:$G$230&lt;&gt;"moeda")*(Inputs!$G$5:$G$230&lt;&gt;"acoes")))*INDEX(Inputs!$K$5:$AJ$230,0,MATCH(X$2,Inputs!$K$4:$AJ$4,0)))+SUMPRODUCT((Inputs!$C$5:$C$230=$B81)*Inputs!$D$5:$D$230*(((Inputs!$G$5:$G$230="moeda")+(Inputs!$G$5:$G$230="acoes"))*Inputs!$B$1+((Inputs!$G$5:$G$230&lt;&gt;"moeda")*(Inputs!$G$5:$G$230&lt;&gt;"acoes")))*INDEX(Inputs!$K$5:$AJ$230,0,MATCH(X$2,Inputs!$K$4:$AJ$4,0)))+SUMPRODUCT((Inputs!$E$5:$E$230=$B81)*Inputs!$F$5:$F$230*(((Inputs!$G$5:$G$230="moeda")+(Inputs!$G$5:$G$230="acoes"))*Inputs!$B$1+((Inputs!$G$5:$G$230&lt;&gt;"moeda")*(Inputs!$G$5:$G$230&lt;&gt;"acoes")))*INDEX(Inputs!$K$5:$AJ$230,0,MATCH(X$2,Inputs!$K$4:$AJ$4,0)))))</f>
        <v>0</v>
      </c>
      <c r="Y81" s="6">
        <f>IF(ISNA(MATCH(Y$2,Inputs!$K$4:$AJ$4,0)),NA(),IF(SUMPRODUCT((Inputs!$A$5:$A$230=$B81)*ISNUMBER(INDEX(Inputs!$K$5:$AJ$230,0,MATCH(Y$2,Inputs!$K$4:$AJ$4,0))))+SUMPRODUCT((Inputs!$C$5:$C$230=$B81)*ISNUMBER(INDEX(Inputs!$K$5:$AJ$230,0,MATCH(Y$2,Inputs!$K$4:$AJ$4,0))))+SUMPRODUCT((Inputs!$E$5:$E$230=$B81)*ISNUMBER(INDEX(Inputs!$K$5:$AJ$230,0,MATCH(Y$2,Inputs!$K$4:$AJ$4,0))))=0,NA(),SUMPRODUCT((Inputs!$A$5:$A$230=$B81)*Inputs!$B$5:$B$230*(((Inputs!$G$5:$G$230="moeda")+(Inputs!$G$5:$G$230="acoes"))*Inputs!$B$1+((Inputs!$G$5:$G$230&lt;&gt;"moeda")*(Inputs!$G$5:$G$230&lt;&gt;"acoes")))*INDEX(Inputs!$K$5:$AJ$230,0,MATCH(Y$2,Inputs!$K$4:$AJ$4,0)))+SUMPRODUCT((Inputs!$C$5:$C$230=$B81)*Inputs!$D$5:$D$230*(((Inputs!$G$5:$G$230="moeda")+(Inputs!$G$5:$G$230="acoes"))*Inputs!$B$1+((Inputs!$G$5:$G$230&lt;&gt;"moeda")*(Inputs!$G$5:$G$230&lt;&gt;"acoes")))*INDEX(Inputs!$K$5:$AJ$230,0,MATCH(Y$2,Inputs!$K$4:$AJ$4,0)))+SUMPRODUCT((Inputs!$E$5:$E$230=$B81)*Inputs!$F$5:$F$230*(((Inputs!$G$5:$G$230="moeda")+(Inputs!$G$5:$G$230="acoes"))*Inputs!$B$1+((Inputs!$G$5:$G$230&lt;&gt;"moeda")*(Inputs!$G$5:$G$230&lt;&gt;"acoes")))*INDEX(Inputs!$K$5:$AJ$230,0,MATCH(Y$2,Inputs!$K$4:$AJ$4,0)))))</f>
        <v>0</v>
      </c>
      <c r="Z81" s="6">
        <f>IF(ISNA(MATCH(Z$2,Inputs!$K$4:$AJ$4,0)),NA(),IF(SUMPRODUCT((Inputs!$A$5:$A$230=$B81)*ISNUMBER(INDEX(Inputs!$K$5:$AJ$230,0,MATCH(Z$2,Inputs!$K$4:$AJ$4,0))))+SUMPRODUCT((Inputs!$C$5:$C$230=$B81)*ISNUMBER(INDEX(Inputs!$K$5:$AJ$230,0,MATCH(Z$2,Inputs!$K$4:$AJ$4,0))))+SUMPRODUCT((Inputs!$E$5:$E$230=$B81)*ISNUMBER(INDEX(Inputs!$K$5:$AJ$230,0,MATCH(Z$2,Inputs!$K$4:$AJ$4,0))))=0,NA(),SUMPRODUCT((Inputs!$A$5:$A$230=$B81)*Inputs!$B$5:$B$230*(((Inputs!$G$5:$G$230="moeda")+(Inputs!$G$5:$G$230="acoes"))*Inputs!$B$1+((Inputs!$G$5:$G$230&lt;&gt;"moeda")*(Inputs!$G$5:$G$230&lt;&gt;"acoes")))*INDEX(Inputs!$K$5:$AJ$230,0,MATCH(Z$2,Inputs!$K$4:$AJ$4,0)))+SUMPRODUCT((Inputs!$C$5:$C$230=$B81)*Inputs!$D$5:$D$230*(((Inputs!$G$5:$G$230="moeda")+(Inputs!$G$5:$G$230="acoes"))*Inputs!$B$1+((Inputs!$G$5:$G$230&lt;&gt;"moeda")*(Inputs!$G$5:$G$230&lt;&gt;"acoes")))*INDEX(Inputs!$K$5:$AJ$230,0,MATCH(Z$2,Inputs!$K$4:$AJ$4,0)))+SUMPRODUCT((Inputs!$E$5:$E$230=$B81)*Inputs!$F$5:$F$230*(((Inputs!$G$5:$G$230="moeda")+(Inputs!$G$5:$G$230="acoes"))*Inputs!$B$1+((Inputs!$G$5:$G$230&lt;&gt;"moeda")*(Inputs!$G$5:$G$230&lt;&gt;"acoes")))*INDEX(Inputs!$K$5:$AJ$230,0,MATCH(Z$2,Inputs!$K$4:$AJ$4,0)))))</f>
        <v>0</v>
      </c>
      <c r="AA81" s="6">
        <f>IF(ISNA(MATCH(AA$2,Inputs!$K$4:$AJ$4,0)),NA(),IF(SUMPRODUCT((Inputs!$A$5:$A$230=$B81)*ISNUMBER(INDEX(Inputs!$K$5:$AJ$230,0,MATCH(AA$2,Inputs!$K$4:$AJ$4,0))))+SUMPRODUCT((Inputs!$C$5:$C$230=$B81)*ISNUMBER(INDEX(Inputs!$K$5:$AJ$230,0,MATCH(AA$2,Inputs!$K$4:$AJ$4,0))))+SUMPRODUCT((Inputs!$E$5:$E$230=$B81)*ISNUMBER(INDEX(Inputs!$K$5:$AJ$230,0,MATCH(AA$2,Inputs!$K$4:$AJ$4,0))))=0,NA(),SUMPRODUCT((Inputs!$A$5:$A$230=$B81)*Inputs!$B$5:$B$230*(((Inputs!$G$5:$G$230="moeda")+(Inputs!$G$5:$G$230="acoes"))*Inputs!$B$1+((Inputs!$G$5:$G$230&lt;&gt;"moeda")*(Inputs!$G$5:$G$230&lt;&gt;"acoes")))*INDEX(Inputs!$K$5:$AJ$230,0,MATCH(AA$2,Inputs!$K$4:$AJ$4,0)))+SUMPRODUCT((Inputs!$C$5:$C$230=$B81)*Inputs!$D$5:$D$230*(((Inputs!$G$5:$G$230="moeda")+(Inputs!$G$5:$G$230="acoes"))*Inputs!$B$1+((Inputs!$G$5:$G$230&lt;&gt;"moeda")*(Inputs!$G$5:$G$230&lt;&gt;"acoes")))*INDEX(Inputs!$K$5:$AJ$230,0,MATCH(AA$2,Inputs!$K$4:$AJ$4,0)))+SUMPRODUCT((Inputs!$E$5:$E$230=$B81)*Inputs!$F$5:$F$230*(((Inputs!$G$5:$G$230="moeda")+(Inputs!$G$5:$G$230="acoes"))*Inputs!$B$1+((Inputs!$G$5:$G$230&lt;&gt;"moeda")*(Inputs!$G$5:$G$230&lt;&gt;"acoes")))*INDEX(Inputs!$K$5:$AJ$230,0,MATCH(AA$2,Inputs!$K$4:$AJ$4,0)))))</f>
        <v>34.587</v>
      </c>
      <c r="AB81" s="3">
        <f>SUM(X81:AA81)</f>
        <v>34.587</v>
      </c>
      <c r="AC81" s="6">
        <f>IF(ISNA(MATCH(AC$2,Inputs!$K$4:$AJ$4,0)),NA(),IF(SUMPRODUCT((Inputs!$A$5:$A$230=$B81)*ISNUMBER(INDEX(Inputs!$K$5:$AJ$230,0,MATCH(AC$2,Inputs!$K$4:$AJ$4,0))))+SUMPRODUCT((Inputs!$C$5:$C$230=$B81)*ISNUMBER(INDEX(Inputs!$K$5:$AJ$230,0,MATCH(AC$2,Inputs!$K$4:$AJ$4,0))))+SUMPRODUCT((Inputs!$E$5:$E$230=$B81)*ISNUMBER(INDEX(Inputs!$K$5:$AJ$230,0,MATCH(AC$2,Inputs!$K$4:$AJ$4,0))))=0,NA(),SUMPRODUCT((Inputs!$A$5:$A$230=$B81)*Inputs!$B$5:$B$230*(((Inputs!$G$5:$G$230="moeda")+(Inputs!$G$5:$G$230="acoes"))*Inputs!$B$1+((Inputs!$G$5:$G$230&lt;&gt;"moeda")*(Inputs!$G$5:$G$230&lt;&gt;"acoes")))*INDEX(Inputs!$K$5:$AJ$230,0,MATCH(AC$2,Inputs!$K$4:$AJ$4,0)))+SUMPRODUCT((Inputs!$C$5:$C$230=$B81)*Inputs!$D$5:$D$230*(((Inputs!$G$5:$G$230="moeda")+(Inputs!$G$5:$G$230="acoes"))*Inputs!$B$1+((Inputs!$G$5:$G$230&lt;&gt;"moeda")*(Inputs!$G$5:$G$230&lt;&gt;"acoes")))*INDEX(Inputs!$K$5:$AJ$230,0,MATCH(AC$2,Inputs!$K$4:$AJ$4,0)))+SUMPRODUCT((Inputs!$E$5:$E$230=$B81)*Inputs!$F$5:$F$230*(((Inputs!$G$5:$G$230="moeda")+(Inputs!$G$5:$G$230="acoes"))*Inputs!$B$1+((Inputs!$G$5:$G$230&lt;&gt;"moeda")*(Inputs!$G$5:$G$230&lt;&gt;"acoes")))*INDEX(Inputs!$K$5:$AJ$230,0,MATCH(AC$2,Inputs!$K$4:$AJ$4,0)))))</f>
        <v>45.445</v>
      </c>
      <c r="AD81" s="6">
        <f>IF(ISNA(MATCH(AD$2,Inputs!$K$4:$AJ$4,0)),NA(),IF(SUMPRODUCT((Inputs!$A$5:$A$230=$B81)*ISNUMBER(INDEX(Inputs!$K$5:$AJ$230,0,MATCH(AD$2,Inputs!$K$4:$AJ$4,0))))+SUMPRODUCT((Inputs!$C$5:$C$230=$B81)*ISNUMBER(INDEX(Inputs!$K$5:$AJ$230,0,MATCH(AD$2,Inputs!$K$4:$AJ$4,0))))+SUMPRODUCT((Inputs!$E$5:$E$230=$B81)*ISNUMBER(INDEX(Inputs!$K$5:$AJ$230,0,MATCH(AD$2,Inputs!$K$4:$AJ$4,0))))=0,NA(),SUMPRODUCT((Inputs!$A$5:$A$230=$B81)*Inputs!$B$5:$B$230*(((Inputs!$G$5:$G$230="moeda")+(Inputs!$G$5:$G$230="acoes"))*Inputs!$B$1+((Inputs!$G$5:$G$230&lt;&gt;"moeda")*(Inputs!$G$5:$G$230&lt;&gt;"acoes")))*INDEX(Inputs!$K$5:$AJ$230,0,MATCH(AD$2,Inputs!$K$4:$AJ$4,0)))+SUMPRODUCT((Inputs!$C$5:$C$230=$B81)*Inputs!$D$5:$D$230*(((Inputs!$G$5:$G$230="moeda")+(Inputs!$G$5:$G$230="acoes"))*Inputs!$B$1+((Inputs!$G$5:$G$230&lt;&gt;"moeda")*(Inputs!$G$5:$G$230&lt;&gt;"acoes")))*INDEX(Inputs!$K$5:$AJ$230,0,MATCH(AD$2,Inputs!$K$4:$AJ$4,0)))+SUMPRODUCT((Inputs!$E$5:$E$230=$B81)*Inputs!$F$5:$F$230*(((Inputs!$G$5:$G$230="moeda")+(Inputs!$G$5:$G$230="acoes"))*Inputs!$B$1+((Inputs!$G$5:$G$230&lt;&gt;"moeda")*(Inputs!$G$5:$G$230&lt;&gt;"acoes")))*INDEX(Inputs!$K$5:$AJ$230,0,MATCH(AD$2,Inputs!$K$4:$AJ$4,0)))))</f>
        <v>43.448</v>
      </c>
      <c r="AE81" s="6" t="e">
        <f>IF(ISNA(MATCH(AE$2,Inputs!$K$4:$AJ$4,0)),NA(),IF(SUMPRODUCT((Inputs!$A$5:$A$230=$B81)*ISNUMBER(INDEX(Inputs!$K$5:$AJ$230,0,MATCH(AE$2,Inputs!$K$4:$AJ$4,0))))+SUMPRODUCT((Inputs!$C$5:$C$230=$B81)*ISNUMBER(INDEX(Inputs!$K$5:$AJ$230,0,MATCH(AE$2,Inputs!$K$4:$AJ$4,0))))+SUMPRODUCT((Inputs!$E$5:$E$230=$B81)*ISNUMBER(INDEX(Inputs!$K$5:$AJ$230,0,MATCH(AE$2,Inputs!$K$4:$AJ$4,0))))=0,NA(),SUMPRODUCT((Inputs!$A$5:$A$230=$B81)*Inputs!$B$5:$B$230*(((Inputs!$G$5:$G$230="moeda")+(Inputs!$G$5:$G$230="acoes"))*Inputs!$B$1+((Inputs!$G$5:$G$230&lt;&gt;"moeda")*(Inputs!$G$5:$G$230&lt;&gt;"acoes")))*INDEX(Inputs!$K$5:$AJ$230,0,MATCH(AE$2,Inputs!$K$4:$AJ$4,0)))+SUMPRODUCT((Inputs!$C$5:$C$230=$B81)*Inputs!$D$5:$D$230*(((Inputs!$G$5:$G$230="moeda")+(Inputs!$G$5:$G$230="acoes"))*Inputs!$B$1+((Inputs!$G$5:$G$230&lt;&gt;"moeda")*(Inputs!$G$5:$G$230&lt;&gt;"acoes")))*INDEX(Inputs!$K$5:$AJ$230,0,MATCH(AE$2,Inputs!$K$4:$AJ$4,0)))+SUMPRODUCT((Inputs!$E$5:$E$230=$B81)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1" s="6" t="e">
        <f>IF(ISNA(MATCH(AF$2,Inputs!$K$4:$AJ$4,0)),NA(),IF(SUMPRODUCT((Inputs!$A$5:$A$230=$B81)*ISNUMBER(INDEX(Inputs!$K$5:$AJ$230,0,MATCH(AF$2,Inputs!$K$4:$AJ$4,0))))+SUMPRODUCT((Inputs!$C$5:$C$230=$B81)*ISNUMBER(INDEX(Inputs!$K$5:$AJ$230,0,MATCH(AF$2,Inputs!$K$4:$AJ$4,0))))+SUMPRODUCT((Inputs!$E$5:$E$230=$B81)*ISNUMBER(INDEX(Inputs!$K$5:$AJ$230,0,MATCH(AF$2,Inputs!$K$4:$AJ$4,0))))=0,NA(),SUMPRODUCT((Inputs!$A$5:$A$230=$B81)*Inputs!$B$5:$B$230*(((Inputs!$G$5:$G$230="moeda")+(Inputs!$G$5:$G$230="acoes"))*Inputs!$B$1+((Inputs!$G$5:$G$230&lt;&gt;"moeda")*(Inputs!$G$5:$G$230&lt;&gt;"acoes")))*INDEX(Inputs!$K$5:$AJ$230,0,MATCH(AF$2,Inputs!$K$4:$AJ$4,0)))+SUMPRODUCT((Inputs!$C$5:$C$230=$B81)*Inputs!$D$5:$D$230*(((Inputs!$G$5:$G$230="moeda")+(Inputs!$G$5:$G$230="acoes"))*Inputs!$B$1+((Inputs!$G$5:$G$230&lt;&gt;"moeda")*(Inputs!$G$5:$G$230&lt;&gt;"acoes")))*INDEX(Inputs!$K$5:$AJ$230,0,MATCH(AF$2,Inputs!$K$4:$AJ$4,0)))+SUMPRODUCT((Inputs!$E$5:$E$230=$B81)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1" s="3" t="e">
        <f>SUM(AC81:AF81)</f>
        <v>#N/A</v>
      </c>
      <c r="AH81" s="6">
        <f>IF(ISNA(MATCH(AH$2,Inputs!$K$4:$AJ$4,0)),NA(),IF(SUMPRODUCT((Inputs!$A$5:$A$230=$B81)*ISNUMBER(INDEX(Inputs!$K$5:$AJ$230,0,MATCH(AH$2,Inputs!$K$4:$AJ$4,0))))+SUMPRODUCT((Inputs!$C$5:$C$230=$B81)*ISNUMBER(INDEX(Inputs!$K$5:$AJ$230,0,MATCH(AH$2,Inputs!$K$4:$AJ$4,0))))+SUMPRODUCT((Inputs!$E$5:$E$230=$B81)*ISNUMBER(INDEX(Inputs!$K$5:$AJ$230,0,MATCH(AH$2,Inputs!$K$4:$AJ$4,0))))=0,NA(),SUMPRODUCT((Inputs!$A$5:$A$230=$B81)*Inputs!$B$5:$B$230*(((Inputs!$G$5:$G$230="moeda")+(Inputs!$G$5:$G$230="acoes"))*Inputs!$B$1+((Inputs!$G$5:$G$230&lt;&gt;"moeda")*(Inputs!$G$5:$G$230&lt;&gt;"acoes")))*INDEX(Inputs!$K$5:$AJ$230,0,MATCH(AH$2,Inputs!$K$4:$AJ$4,0)))+SUMPRODUCT((Inputs!$C$5:$C$230=$B81)*Inputs!$D$5:$D$230*(((Inputs!$G$5:$G$230="moeda")+(Inputs!$G$5:$G$230="acoes"))*Inputs!$B$1+((Inputs!$G$5:$G$230&lt;&gt;"moeda")*(Inputs!$G$5:$G$230&lt;&gt;"acoes")))*INDEX(Inputs!$K$5:$AJ$230,0,MATCH(AH$2,Inputs!$K$4:$AJ$4,0)))+SUMPRODUCT((Inputs!$E$5:$E$230=$B81)*Inputs!$F$5:$F$230*(((Inputs!$G$5:$G$230="moeda")+(Inputs!$G$5:$G$230="acoes"))*Inputs!$B$1+((Inputs!$G$5:$G$230&lt;&gt;"moeda")*(Inputs!$G$5:$G$230&lt;&gt;"acoes")))*INDEX(Inputs!$K$5:$AJ$230,0,MATCH(AH$2,Inputs!$K$4:$AJ$4,0)))))</f>
        <v>0</v>
      </c>
      <c r="AI81" s="6">
        <f>IF(ISNA(MATCH(AI$2,Inputs!$K$4:$AJ$4,0)),NA(),IF(SUMPRODUCT((Inputs!$A$5:$A$230=$B81)*ISNUMBER(INDEX(Inputs!$K$5:$AJ$230,0,MATCH(AI$2,Inputs!$K$4:$AJ$4,0))))+SUMPRODUCT((Inputs!$C$5:$C$230=$B81)*ISNUMBER(INDEX(Inputs!$K$5:$AJ$230,0,MATCH(AI$2,Inputs!$K$4:$AJ$4,0))))+SUMPRODUCT((Inputs!$E$5:$E$230=$B81)*ISNUMBER(INDEX(Inputs!$K$5:$AJ$230,0,MATCH(AI$2,Inputs!$K$4:$AJ$4,0))))=0,NA(),SUMPRODUCT((Inputs!$A$5:$A$230=$B81)*Inputs!$B$5:$B$230*(((Inputs!$G$5:$G$230="moeda")+(Inputs!$G$5:$G$230="acoes"))*Inputs!$B$1+((Inputs!$G$5:$G$230&lt;&gt;"moeda")*(Inputs!$G$5:$G$230&lt;&gt;"acoes")))*INDEX(Inputs!$K$5:$AJ$230,0,MATCH(AI$2,Inputs!$K$4:$AJ$4,0)))+SUMPRODUCT((Inputs!$C$5:$C$230=$B81)*Inputs!$D$5:$D$230*(((Inputs!$G$5:$G$230="moeda")+(Inputs!$G$5:$G$230="acoes"))*Inputs!$B$1+((Inputs!$G$5:$G$230&lt;&gt;"moeda")*(Inputs!$G$5:$G$230&lt;&gt;"acoes")))*INDEX(Inputs!$K$5:$AJ$230,0,MATCH(AI$2,Inputs!$K$4:$AJ$4,0)))+SUMPRODUCT((Inputs!$E$5:$E$230=$B81)*Inputs!$F$5:$F$230*(((Inputs!$G$5:$G$230="moeda")+(Inputs!$G$5:$G$230="acoes"))*Inputs!$B$1+((Inputs!$G$5:$G$230&lt;&gt;"moeda")*(Inputs!$G$5:$G$230&lt;&gt;"acoes")))*INDEX(Inputs!$K$5:$AJ$230,0,MATCH(AI$2,Inputs!$K$4:$AJ$4,0)))))</f>
        <v>0</v>
      </c>
      <c r="AJ81" s="6">
        <f>IF(ISNA(MATCH(AJ$2,Inputs!$K$4:$AJ$4,0)),NA(),IF(SUMPRODUCT((Inputs!$A$5:$A$230=$B81)*ISNUMBER(INDEX(Inputs!$K$5:$AJ$230,0,MATCH(AJ$2,Inputs!$K$4:$AJ$4,0))))+SUMPRODUCT((Inputs!$C$5:$C$230=$B81)*ISNUMBER(INDEX(Inputs!$K$5:$AJ$230,0,MATCH(AJ$2,Inputs!$K$4:$AJ$4,0))))+SUMPRODUCT((Inputs!$E$5:$E$230=$B81)*ISNUMBER(INDEX(Inputs!$K$5:$AJ$230,0,MATCH(AJ$2,Inputs!$K$4:$AJ$4,0))))=0,NA(),SUMPRODUCT((Inputs!$A$5:$A$230=$B81)*Inputs!$B$5:$B$230*(((Inputs!$G$5:$G$230="moeda")+(Inputs!$G$5:$G$230="acoes"))*Inputs!$B$1+((Inputs!$G$5:$G$230&lt;&gt;"moeda")*(Inputs!$G$5:$G$230&lt;&gt;"acoes")))*INDEX(Inputs!$K$5:$AJ$230,0,MATCH(AJ$2,Inputs!$K$4:$AJ$4,0)))+SUMPRODUCT((Inputs!$C$5:$C$230=$B81)*Inputs!$D$5:$D$230*(((Inputs!$G$5:$G$230="moeda")+(Inputs!$G$5:$G$230="acoes"))*Inputs!$B$1+((Inputs!$G$5:$G$230&lt;&gt;"moeda")*(Inputs!$G$5:$G$230&lt;&gt;"acoes")))*INDEX(Inputs!$K$5:$AJ$230,0,MATCH(AJ$2,Inputs!$K$4:$AJ$4,0)))+SUMPRODUCT((Inputs!$E$5:$E$230=$B81)*Inputs!$F$5:$F$230*(((Inputs!$G$5:$G$230="moeda")+(Inputs!$G$5:$G$230="acoes"))*Inputs!$B$1+((Inputs!$G$5:$G$230&lt;&gt;"moeda")*(Inputs!$G$5:$G$230&lt;&gt;"acoes")))*INDEX(Inputs!$K$5:$AJ$230,0,MATCH(AJ$2,Inputs!$K$4:$AJ$4,0)))))</f>
        <v>0</v>
      </c>
      <c r="AK81" s="6">
        <f>IF(ISNA(MATCH(AK$2,Inputs!$K$4:$AJ$4,0)),NA(),IF(SUMPRODUCT((Inputs!$A$5:$A$230=$B81)*ISNUMBER(INDEX(Inputs!$K$5:$AJ$230,0,MATCH(AK$2,Inputs!$K$4:$AJ$4,0))))+SUMPRODUCT((Inputs!$C$5:$C$230=$B81)*ISNUMBER(INDEX(Inputs!$K$5:$AJ$230,0,MATCH(AK$2,Inputs!$K$4:$AJ$4,0))))+SUMPRODUCT((Inputs!$E$5:$E$230=$B81)*ISNUMBER(INDEX(Inputs!$K$5:$AJ$230,0,MATCH(AK$2,Inputs!$K$4:$AJ$4,0))))=0,NA(),SUMPRODUCT((Inputs!$A$5:$A$230=$B81)*Inputs!$B$5:$B$230*(((Inputs!$G$5:$G$230="moeda")+(Inputs!$G$5:$G$230="acoes"))*Inputs!$B$1+((Inputs!$G$5:$G$230&lt;&gt;"moeda")*(Inputs!$G$5:$G$230&lt;&gt;"acoes")))*INDEX(Inputs!$K$5:$AJ$230,0,MATCH(AK$2,Inputs!$K$4:$AJ$4,0)))+SUMPRODUCT((Inputs!$C$5:$C$230=$B81)*Inputs!$D$5:$D$230*(((Inputs!$G$5:$G$230="moeda")+(Inputs!$G$5:$G$230="acoes"))*Inputs!$B$1+((Inputs!$G$5:$G$230&lt;&gt;"moeda")*(Inputs!$G$5:$G$230&lt;&gt;"acoes")))*INDEX(Inputs!$K$5:$AJ$230,0,MATCH(AK$2,Inputs!$K$4:$AJ$4,0)))+SUMPRODUCT((Inputs!$E$5:$E$230=$B81)*Inputs!$F$5:$F$230*(((Inputs!$G$5:$G$230="moeda")+(Inputs!$G$5:$G$230="acoes"))*Inputs!$B$1+((Inputs!$G$5:$G$230&lt;&gt;"moeda")*(Inputs!$G$5:$G$230&lt;&gt;"acoes")))*INDEX(Inputs!$K$5:$AJ$230,0,MATCH(AK$2,Inputs!$K$4:$AJ$4,0)))))</f>
        <v>0</v>
      </c>
      <c r="AL81" s="3">
        <f>SUM(AH81:AK81)</f>
        <v>0</v>
      </c>
    </row>
    <row r="82">
      <c r="B82" s="46" t="n">
        <v>74</v>
      </c>
      <c r="C82" s="29" t="inlineStr">
        <is>
          <t>Transmissao | TSM</t>
        </is>
      </c>
      <c r="D82" s="6">
        <f>IF(ISNA(MATCH(D$2,Inputs!$K$4:$AJ$4,0)),NA(),IF(SUMPRODUCT((Inputs!$A$5:$A$230=$B82)*ISNUMBER(INDEX(Inputs!$K$5:$AJ$230,0,MATCH(D$2,Inputs!$K$4:$AJ$4,0))))+SUMPRODUCT((Inputs!$C$5:$C$230=$B82)*ISNUMBER(INDEX(Inputs!$K$5:$AJ$230,0,MATCH(D$2,Inputs!$K$4:$AJ$4,0))))+SUMPRODUCT((Inputs!$E$5:$E$230=$B82)*ISNUMBER(INDEX(Inputs!$K$5:$AJ$230,0,MATCH(D$2,Inputs!$K$4:$AJ$4,0))))=0,NA(),SUMPRODUCT((Inputs!$A$5:$A$230=$B82)*Inputs!$B$5:$B$230*(((Inputs!$G$5:$G$230="moeda")+(Inputs!$G$5:$G$230="acoes"))*Inputs!$B$1+((Inputs!$G$5:$G$230&lt;&gt;"moeda")*(Inputs!$G$5:$G$230&lt;&gt;"acoes")))*INDEX(Inputs!$K$5:$AJ$230,0,MATCH(D$2,Inputs!$K$4:$AJ$4,0)))+SUMPRODUCT((Inputs!$C$5:$C$230=$B82)*Inputs!$D$5:$D$230*(((Inputs!$G$5:$G$230="moeda")+(Inputs!$G$5:$G$230="acoes"))*Inputs!$B$1+((Inputs!$G$5:$G$230&lt;&gt;"moeda")*(Inputs!$G$5:$G$230&lt;&gt;"acoes")))*INDEX(Inputs!$K$5:$AJ$230,0,MATCH(D$2,Inputs!$K$4:$AJ$4,0)))+SUMPRODUCT((Inputs!$E$5:$E$230=$B82)*Inputs!$F$5:$F$230*(((Inputs!$G$5:$G$230="moeda")+(Inputs!$G$5:$G$230="acoes"))*Inputs!$B$1+((Inputs!$G$5:$G$230&lt;&gt;"moeda")*(Inputs!$G$5:$G$230&lt;&gt;"acoes")))*INDEX(Inputs!$K$5:$AJ$230,0,MATCH(D$2,Inputs!$K$4:$AJ$4,0)))))</f>
        <v>159.77</v>
      </c>
      <c r="E82" s="6">
        <f>IF(ISNA(MATCH(E$2,Inputs!$K$4:$AJ$4,0)),NA(),IF(SUMPRODUCT((Inputs!$A$5:$A$230=$B82)*ISNUMBER(INDEX(Inputs!$K$5:$AJ$230,0,MATCH(E$2,Inputs!$K$4:$AJ$4,0))))+SUMPRODUCT((Inputs!$C$5:$C$230=$B82)*ISNUMBER(INDEX(Inputs!$K$5:$AJ$230,0,MATCH(E$2,Inputs!$K$4:$AJ$4,0))))+SUMPRODUCT((Inputs!$E$5:$E$230=$B82)*ISNUMBER(INDEX(Inputs!$K$5:$AJ$230,0,MATCH(E$2,Inputs!$K$4:$AJ$4,0))))=0,NA(),SUMPRODUCT((Inputs!$A$5:$A$230=$B82)*Inputs!$B$5:$B$230*(((Inputs!$G$5:$G$230="moeda")+(Inputs!$G$5:$G$230="acoes"))*Inputs!$B$1+((Inputs!$G$5:$G$230&lt;&gt;"moeda")*(Inputs!$G$5:$G$230&lt;&gt;"acoes")))*INDEX(Inputs!$K$5:$AJ$230,0,MATCH(E$2,Inputs!$K$4:$AJ$4,0)))+SUMPRODUCT((Inputs!$C$5:$C$230=$B82)*Inputs!$D$5:$D$230*(((Inputs!$G$5:$G$230="moeda")+(Inputs!$G$5:$G$230="acoes"))*Inputs!$B$1+((Inputs!$G$5:$G$230&lt;&gt;"moeda")*(Inputs!$G$5:$G$230&lt;&gt;"acoes")))*INDEX(Inputs!$K$5:$AJ$230,0,MATCH(E$2,Inputs!$K$4:$AJ$4,0)))+SUMPRODUCT((Inputs!$E$5:$E$230=$B82)*Inputs!$F$5:$F$230*(((Inputs!$G$5:$G$230="moeda")+(Inputs!$G$5:$G$230="acoes"))*Inputs!$B$1+((Inputs!$G$5:$G$230&lt;&gt;"moeda")*(Inputs!$G$5:$G$230&lt;&gt;"acoes")))*INDEX(Inputs!$K$5:$AJ$230,0,MATCH(E$2,Inputs!$K$4:$AJ$4,0)))))</f>
        <v>32.08</v>
      </c>
      <c r="F82" s="6">
        <f>IF(ISNA(MATCH(F$2,Inputs!$K$4:$AJ$4,0)),NA(),IF(SUMPRODUCT((Inputs!$A$5:$A$230=$B82)*ISNUMBER(INDEX(Inputs!$K$5:$AJ$230,0,MATCH(F$2,Inputs!$K$4:$AJ$4,0))))+SUMPRODUCT((Inputs!$C$5:$C$230=$B82)*ISNUMBER(INDEX(Inputs!$K$5:$AJ$230,0,MATCH(F$2,Inputs!$K$4:$AJ$4,0))))+SUMPRODUCT((Inputs!$E$5:$E$230=$B82)*ISNUMBER(INDEX(Inputs!$K$5:$AJ$230,0,MATCH(F$2,Inputs!$K$4:$AJ$4,0))))=0,NA(),SUMPRODUCT((Inputs!$A$5:$A$230=$B82)*Inputs!$B$5:$B$230*(((Inputs!$G$5:$G$230="moeda")+(Inputs!$G$5:$G$230="acoes"))*Inputs!$B$1+((Inputs!$G$5:$G$230&lt;&gt;"moeda")*(Inputs!$G$5:$G$230&lt;&gt;"acoes")))*INDEX(Inputs!$K$5:$AJ$230,0,MATCH(F$2,Inputs!$K$4:$AJ$4,0)))+SUMPRODUCT((Inputs!$C$5:$C$230=$B82)*Inputs!$D$5:$D$230*(((Inputs!$G$5:$G$230="moeda")+(Inputs!$G$5:$G$230="acoes"))*Inputs!$B$1+((Inputs!$G$5:$G$230&lt;&gt;"moeda")*(Inputs!$G$5:$G$230&lt;&gt;"acoes")))*INDEX(Inputs!$K$5:$AJ$230,0,MATCH(F$2,Inputs!$K$4:$AJ$4,0)))+SUMPRODUCT((Inputs!$E$5:$E$230=$B82)*Inputs!$F$5:$F$230*(((Inputs!$G$5:$G$230="moeda")+(Inputs!$G$5:$G$230="acoes"))*Inputs!$B$1+((Inputs!$G$5:$G$230&lt;&gt;"moeda")*(Inputs!$G$5:$G$230&lt;&gt;"acoes")))*INDEX(Inputs!$K$5:$AJ$230,0,MATCH(F$2,Inputs!$K$4:$AJ$4,0)))))</f>
        <v>117.475</v>
      </c>
      <c r="G82" s="6">
        <f>IF(ISNA(MATCH(G$2,Inputs!$K$4:$AJ$4,0)),NA(),IF(SUMPRODUCT((Inputs!$A$5:$A$230=$B82)*ISNUMBER(INDEX(Inputs!$K$5:$AJ$230,0,MATCH(G$2,Inputs!$K$4:$AJ$4,0))))+SUMPRODUCT((Inputs!$C$5:$C$230=$B82)*ISNUMBER(INDEX(Inputs!$K$5:$AJ$230,0,MATCH(G$2,Inputs!$K$4:$AJ$4,0))))+SUMPRODUCT((Inputs!$E$5:$E$230=$B82)*ISNUMBER(INDEX(Inputs!$K$5:$AJ$230,0,MATCH(G$2,Inputs!$K$4:$AJ$4,0))))=0,NA(),SUMPRODUCT((Inputs!$A$5:$A$230=$B82)*Inputs!$B$5:$B$230*(((Inputs!$G$5:$G$230="moeda")+(Inputs!$G$5:$G$230="acoes"))*Inputs!$B$1+((Inputs!$G$5:$G$230&lt;&gt;"moeda")*(Inputs!$G$5:$G$230&lt;&gt;"acoes")))*INDEX(Inputs!$K$5:$AJ$230,0,MATCH(G$2,Inputs!$K$4:$AJ$4,0)))+SUMPRODUCT((Inputs!$C$5:$C$230=$B82)*Inputs!$D$5:$D$230*(((Inputs!$G$5:$G$230="moeda")+(Inputs!$G$5:$G$230="acoes"))*Inputs!$B$1+((Inputs!$G$5:$G$230&lt;&gt;"moeda")*(Inputs!$G$5:$G$230&lt;&gt;"acoes")))*INDEX(Inputs!$K$5:$AJ$230,0,MATCH(G$2,Inputs!$K$4:$AJ$4,0)))+SUMPRODUCT((Inputs!$E$5:$E$230=$B82)*Inputs!$F$5:$F$230*(((Inputs!$G$5:$G$230="moeda")+(Inputs!$G$5:$G$230="acoes"))*Inputs!$B$1+((Inputs!$G$5:$G$230&lt;&gt;"moeda")*(Inputs!$G$5:$G$230&lt;&gt;"acoes")))*INDEX(Inputs!$K$5:$AJ$230,0,MATCH(G$2,Inputs!$K$4:$AJ$4,0)))))</f>
        <v>275.684</v>
      </c>
      <c r="H82" s="3">
        <f>SUM(D82:G82)</f>
        <v>585.009</v>
      </c>
      <c r="I82" s="6">
        <f>IF(ISNA(MATCH(I$2,Inputs!$K$4:$AJ$4,0)),NA(),IF(SUMPRODUCT((Inputs!$A$5:$A$230=$B82)*ISNUMBER(INDEX(Inputs!$K$5:$AJ$230,0,MATCH(I$2,Inputs!$K$4:$AJ$4,0))))+SUMPRODUCT((Inputs!$C$5:$C$230=$B82)*ISNUMBER(INDEX(Inputs!$K$5:$AJ$230,0,MATCH(I$2,Inputs!$K$4:$AJ$4,0))))+SUMPRODUCT((Inputs!$E$5:$E$230=$B82)*ISNUMBER(INDEX(Inputs!$K$5:$AJ$230,0,MATCH(I$2,Inputs!$K$4:$AJ$4,0))))=0,NA(),SUMPRODUCT((Inputs!$A$5:$A$230=$B82)*Inputs!$B$5:$B$230*(((Inputs!$G$5:$G$230="moeda")+(Inputs!$G$5:$G$230="acoes"))*Inputs!$B$1+((Inputs!$G$5:$G$230&lt;&gt;"moeda")*(Inputs!$G$5:$G$230&lt;&gt;"acoes")))*INDEX(Inputs!$K$5:$AJ$230,0,MATCH(I$2,Inputs!$K$4:$AJ$4,0)))+SUMPRODUCT((Inputs!$C$5:$C$230=$B82)*Inputs!$D$5:$D$230*(((Inputs!$G$5:$G$230="moeda")+(Inputs!$G$5:$G$230="acoes"))*Inputs!$B$1+((Inputs!$G$5:$G$230&lt;&gt;"moeda")*(Inputs!$G$5:$G$230&lt;&gt;"acoes")))*INDEX(Inputs!$K$5:$AJ$230,0,MATCH(I$2,Inputs!$K$4:$AJ$4,0)))+SUMPRODUCT((Inputs!$E$5:$E$230=$B82)*Inputs!$F$5:$F$230*(((Inputs!$G$5:$G$230="moeda")+(Inputs!$G$5:$G$230="acoes"))*Inputs!$B$1+((Inputs!$G$5:$G$230&lt;&gt;"moeda")*(Inputs!$G$5:$G$230&lt;&gt;"acoes")))*INDEX(Inputs!$K$5:$AJ$230,0,MATCH(I$2,Inputs!$K$4:$AJ$4,0)))))</f>
        <v>54.936</v>
      </c>
      <c r="J82" s="6">
        <f>IF(ISNA(MATCH(J$2,Inputs!$K$4:$AJ$4,0)),NA(),IF(SUMPRODUCT((Inputs!$A$5:$A$230=$B82)*ISNUMBER(INDEX(Inputs!$K$5:$AJ$230,0,MATCH(J$2,Inputs!$K$4:$AJ$4,0))))+SUMPRODUCT((Inputs!$C$5:$C$230=$B82)*ISNUMBER(INDEX(Inputs!$K$5:$AJ$230,0,MATCH(J$2,Inputs!$K$4:$AJ$4,0))))+SUMPRODUCT((Inputs!$E$5:$E$230=$B82)*ISNUMBER(INDEX(Inputs!$K$5:$AJ$230,0,MATCH(J$2,Inputs!$K$4:$AJ$4,0))))=0,NA(),SUMPRODUCT((Inputs!$A$5:$A$230=$B82)*Inputs!$B$5:$B$230*(((Inputs!$G$5:$G$230="moeda")+(Inputs!$G$5:$G$230="acoes"))*Inputs!$B$1+((Inputs!$G$5:$G$230&lt;&gt;"moeda")*(Inputs!$G$5:$G$230&lt;&gt;"acoes")))*INDEX(Inputs!$K$5:$AJ$230,0,MATCH(J$2,Inputs!$K$4:$AJ$4,0)))+SUMPRODUCT((Inputs!$C$5:$C$230=$B82)*Inputs!$D$5:$D$230*(((Inputs!$G$5:$G$230="moeda")+(Inputs!$G$5:$G$230="acoes"))*Inputs!$B$1+((Inputs!$G$5:$G$230&lt;&gt;"moeda")*(Inputs!$G$5:$G$230&lt;&gt;"acoes")))*INDEX(Inputs!$K$5:$AJ$230,0,MATCH(J$2,Inputs!$K$4:$AJ$4,0)))+SUMPRODUCT((Inputs!$E$5:$E$230=$B82)*Inputs!$F$5:$F$230*(((Inputs!$G$5:$G$230="moeda")+(Inputs!$G$5:$G$230="acoes"))*Inputs!$B$1+((Inputs!$G$5:$G$230&lt;&gt;"moeda")*(Inputs!$G$5:$G$230&lt;&gt;"acoes")))*INDEX(Inputs!$K$5:$AJ$230,0,MATCH(J$2,Inputs!$K$4:$AJ$4,0)))))</f>
        <v>45.102</v>
      </c>
      <c r="K82" s="6">
        <f>IF(ISNA(MATCH(K$2,Inputs!$K$4:$AJ$4,0)),NA(),IF(SUMPRODUCT((Inputs!$A$5:$A$230=$B82)*ISNUMBER(INDEX(Inputs!$K$5:$AJ$230,0,MATCH(K$2,Inputs!$K$4:$AJ$4,0))))+SUMPRODUCT((Inputs!$C$5:$C$230=$B82)*ISNUMBER(INDEX(Inputs!$K$5:$AJ$230,0,MATCH(K$2,Inputs!$K$4:$AJ$4,0))))+SUMPRODUCT((Inputs!$E$5:$E$230=$B82)*ISNUMBER(INDEX(Inputs!$K$5:$AJ$230,0,MATCH(K$2,Inputs!$K$4:$AJ$4,0))))=0,NA(),SUMPRODUCT((Inputs!$A$5:$A$230=$B82)*Inputs!$B$5:$B$230*(((Inputs!$G$5:$G$230="moeda")+(Inputs!$G$5:$G$230="acoes"))*Inputs!$B$1+((Inputs!$G$5:$G$230&lt;&gt;"moeda")*(Inputs!$G$5:$G$230&lt;&gt;"acoes")))*INDEX(Inputs!$K$5:$AJ$230,0,MATCH(K$2,Inputs!$K$4:$AJ$4,0)))+SUMPRODUCT((Inputs!$C$5:$C$230=$B82)*Inputs!$D$5:$D$230*(((Inputs!$G$5:$G$230="moeda")+(Inputs!$G$5:$G$230="acoes"))*Inputs!$B$1+((Inputs!$G$5:$G$230&lt;&gt;"moeda")*(Inputs!$G$5:$G$230&lt;&gt;"acoes")))*INDEX(Inputs!$K$5:$AJ$230,0,MATCH(K$2,Inputs!$K$4:$AJ$4,0)))+SUMPRODUCT((Inputs!$E$5:$E$230=$B82)*Inputs!$F$5:$F$230*(((Inputs!$G$5:$G$230="moeda")+(Inputs!$G$5:$G$230="acoes"))*Inputs!$B$1+((Inputs!$G$5:$G$230&lt;&gt;"moeda")*(Inputs!$G$5:$G$230&lt;&gt;"acoes")))*INDEX(Inputs!$K$5:$AJ$230,0,MATCH(K$2,Inputs!$K$4:$AJ$4,0)))))</f>
        <v>25.421</v>
      </c>
      <c r="L82" s="6">
        <f>IF(ISNA(MATCH(L$2,Inputs!$K$4:$AJ$4,0)),NA(),IF(SUMPRODUCT((Inputs!$A$5:$A$230=$B82)*ISNUMBER(INDEX(Inputs!$K$5:$AJ$230,0,MATCH(L$2,Inputs!$K$4:$AJ$4,0))))+SUMPRODUCT((Inputs!$C$5:$C$230=$B82)*ISNUMBER(INDEX(Inputs!$K$5:$AJ$230,0,MATCH(L$2,Inputs!$K$4:$AJ$4,0))))+SUMPRODUCT((Inputs!$E$5:$E$230=$B82)*ISNUMBER(INDEX(Inputs!$K$5:$AJ$230,0,MATCH(L$2,Inputs!$K$4:$AJ$4,0))))=0,NA(),SUMPRODUCT((Inputs!$A$5:$A$230=$B82)*Inputs!$B$5:$B$230*(((Inputs!$G$5:$G$230="moeda")+(Inputs!$G$5:$G$230="acoes"))*Inputs!$B$1+((Inputs!$G$5:$G$230&lt;&gt;"moeda")*(Inputs!$G$5:$G$230&lt;&gt;"acoes")))*INDEX(Inputs!$K$5:$AJ$230,0,MATCH(L$2,Inputs!$K$4:$AJ$4,0)))+SUMPRODUCT((Inputs!$C$5:$C$230=$B82)*Inputs!$D$5:$D$230*(((Inputs!$G$5:$G$230="moeda")+(Inputs!$G$5:$G$230="acoes"))*Inputs!$B$1+((Inputs!$G$5:$G$230&lt;&gt;"moeda")*(Inputs!$G$5:$G$230&lt;&gt;"acoes")))*INDEX(Inputs!$K$5:$AJ$230,0,MATCH(L$2,Inputs!$K$4:$AJ$4,0)))+SUMPRODUCT((Inputs!$E$5:$E$230=$B82)*Inputs!$F$5:$F$230*(((Inputs!$G$5:$G$230="moeda")+(Inputs!$G$5:$G$230="acoes"))*Inputs!$B$1+((Inputs!$G$5:$G$230&lt;&gt;"moeda")*(Inputs!$G$5:$G$230&lt;&gt;"acoes")))*INDEX(Inputs!$K$5:$AJ$230,0,MATCH(L$2,Inputs!$K$4:$AJ$4,0)))))</f>
        <v>37.953</v>
      </c>
      <c r="M82" s="3">
        <f>SUM(I82:L82)</f>
        <v>163.412</v>
      </c>
      <c r="N82" s="6">
        <f>IF(ISNA(MATCH(N$2,Inputs!$K$4:$AJ$4,0)),NA(),IF(SUMPRODUCT((Inputs!$A$5:$A$230=$B82)*ISNUMBER(INDEX(Inputs!$K$5:$AJ$230,0,MATCH(N$2,Inputs!$K$4:$AJ$4,0))))+SUMPRODUCT((Inputs!$C$5:$C$230=$B82)*ISNUMBER(INDEX(Inputs!$K$5:$AJ$230,0,MATCH(N$2,Inputs!$K$4:$AJ$4,0))))+SUMPRODUCT((Inputs!$E$5:$E$230=$B82)*ISNUMBER(INDEX(Inputs!$K$5:$AJ$230,0,MATCH(N$2,Inputs!$K$4:$AJ$4,0))))=0,NA(),SUMPRODUCT((Inputs!$A$5:$A$230=$B82)*Inputs!$B$5:$B$230*(((Inputs!$G$5:$G$230="moeda")+(Inputs!$G$5:$G$230="acoes"))*Inputs!$B$1+((Inputs!$G$5:$G$230&lt;&gt;"moeda")*(Inputs!$G$5:$G$230&lt;&gt;"acoes")))*INDEX(Inputs!$K$5:$AJ$230,0,MATCH(N$2,Inputs!$K$4:$AJ$4,0)))+SUMPRODUCT((Inputs!$C$5:$C$230=$B82)*Inputs!$D$5:$D$230*(((Inputs!$G$5:$G$230="moeda")+(Inputs!$G$5:$G$230="acoes"))*Inputs!$B$1+((Inputs!$G$5:$G$230&lt;&gt;"moeda")*(Inputs!$G$5:$G$230&lt;&gt;"acoes")))*INDEX(Inputs!$K$5:$AJ$230,0,MATCH(N$2,Inputs!$K$4:$AJ$4,0)))+SUMPRODUCT((Inputs!$E$5:$E$230=$B82)*Inputs!$F$5:$F$230*(((Inputs!$G$5:$G$230="moeda")+(Inputs!$G$5:$G$230="acoes"))*Inputs!$B$1+((Inputs!$G$5:$G$230&lt;&gt;"moeda")*(Inputs!$G$5:$G$230&lt;&gt;"acoes")))*INDEX(Inputs!$K$5:$AJ$230,0,MATCH(N$2,Inputs!$K$4:$AJ$4,0)))))</f>
        <v>53.831</v>
      </c>
      <c r="O82" s="6">
        <f>IF(ISNA(MATCH(O$2,Inputs!$K$4:$AJ$4,0)),NA(),IF(SUMPRODUCT((Inputs!$A$5:$A$230=$B82)*ISNUMBER(INDEX(Inputs!$K$5:$AJ$230,0,MATCH(O$2,Inputs!$K$4:$AJ$4,0))))+SUMPRODUCT((Inputs!$C$5:$C$230=$B82)*ISNUMBER(INDEX(Inputs!$K$5:$AJ$230,0,MATCH(O$2,Inputs!$K$4:$AJ$4,0))))+SUMPRODUCT((Inputs!$E$5:$E$230=$B82)*ISNUMBER(INDEX(Inputs!$K$5:$AJ$230,0,MATCH(O$2,Inputs!$K$4:$AJ$4,0))))=0,NA(),SUMPRODUCT((Inputs!$A$5:$A$230=$B82)*Inputs!$B$5:$B$230*(((Inputs!$G$5:$G$230="moeda")+(Inputs!$G$5:$G$230="acoes"))*Inputs!$B$1+((Inputs!$G$5:$G$230&lt;&gt;"moeda")*(Inputs!$G$5:$G$230&lt;&gt;"acoes")))*INDEX(Inputs!$K$5:$AJ$230,0,MATCH(O$2,Inputs!$K$4:$AJ$4,0)))+SUMPRODUCT((Inputs!$C$5:$C$230=$B82)*Inputs!$D$5:$D$230*(((Inputs!$G$5:$G$230="moeda")+(Inputs!$G$5:$G$230="acoes"))*Inputs!$B$1+((Inputs!$G$5:$G$230&lt;&gt;"moeda")*(Inputs!$G$5:$G$230&lt;&gt;"acoes")))*INDEX(Inputs!$K$5:$AJ$230,0,MATCH(O$2,Inputs!$K$4:$AJ$4,0)))+SUMPRODUCT((Inputs!$E$5:$E$230=$B82)*Inputs!$F$5:$F$230*(((Inputs!$G$5:$G$230="moeda")+(Inputs!$G$5:$G$230="acoes"))*Inputs!$B$1+((Inputs!$G$5:$G$230&lt;&gt;"moeda")*(Inputs!$G$5:$G$230&lt;&gt;"acoes")))*INDEX(Inputs!$K$5:$AJ$230,0,MATCH(O$2,Inputs!$K$4:$AJ$4,0)))))</f>
        <v>49.666</v>
      </c>
      <c r="P82" s="6">
        <f>IF(ISNA(MATCH(P$2,Inputs!$K$4:$AJ$4,0)),NA(),IF(SUMPRODUCT((Inputs!$A$5:$A$230=$B82)*ISNUMBER(INDEX(Inputs!$K$5:$AJ$230,0,MATCH(P$2,Inputs!$K$4:$AJ$4,0))))+SUMPRODUCT((Inputs!$C$5:$C$230=$B82)*ISNUMBER(INDEX(Inputs!$K$5:$AJ$230,0,MATCH(P$2,Inputs!$K$4:$AJ$4,0))))+SUMPRODUCT((Inputs!$E$5:$E$230=$B82)*ISNUMBER(INDEX(Inputs!$K$5:$AJ$230,0,MATCH(P$2,Inputs!$K$4:$AJ$4,0))))=0,NA(),SUMPRODUCT((Inputs!$A$5:$A$230=$B82)*Inputs!$B$5:$B$230*(((Inputs!$G$5:$G$230="moeda")+(Inputs!$G$5:$G$230="acoes"))*Inputs!$B$1+((Inputs!$G$5:$G$230&lt;&gt;"moeda")*(Inputs!$G$5:$G$230&lt;&gt;"acoes")))*INDEX(Inputs!$K$5:$AJ$230,0,MATCH(P$2,Inputs!$K$4:$AJ$4,0)))+SUMPRODUCT((Inputs!$C$5:$C$230=$B82)*Inputs!$D$5:$D$230*(((Inputs!$G$5:$G$230="moeda")+(Inputs!$G$5:$G$230="acoes"))*Inputs!$B$1+((Inputs!$G$5:$G$230&lt;&gt;"moeda")*(Inputs!$G$5:$G$230&lt;&gt;"acoes")))*INDEX(Inputs!$K$5:$AJ$230,0,MATCH(P$2,Inputs!$K$4:$AJ$4,0)))+SUMPRODUCT((Inputs!$E$5:$E$230=$B82)*Inputs!$F$5:$F$230*(((Inputs!$G$5:$G$230="moeda")+(Inputs!$G$5:$G$230="acoes"))*Inputs!$B$1+((Inputs!$G$5:$G$230&lt;&gt;"moeda")*(Inputs!$G$5:$G$230&lt;&gt;"acoes")))*INDEX(Inputs!$K$5:$AJ$230,0,MATCH(P$2,Inputs!$K$4:$AJ$4,0)))))</f>
        <v>33.104</v>
      </c>
      <c r="Q82" s="6">
        <f>IF(ISNA(MATCH(Q$2,Inputs!$K$4:$AJ$4,0)),NA(),IF(SUMPRODUCT((Inputs!$A$5:$A$230=$B82)*ISNUMBER(INDEX(Inputs!$K$5:$AJ$230,0,MATCH(Q$2,Inputs!$K$4:$AJ$4,0))))+SUMPRODUCT((Inputs!$C$5:$C$230=$B82)*ISNUMBER(INDEX(Inputs!$K$5:$AJ$230,0,MATCH(Q$2,Inputs!$K$4:$AJ$4,0))))+SUMPRODUCT((Inputs!$E$5:$E$230=$B82)*ISNUMBER(INDEX(Inputs!$K$5:$AJ$230,0,MATCH(Q$2,Inputs!$K$4:$AJ$4,0))))=0,NA(),SUMPRODUCT((Inputs!$A$5:$A$230=$B82)*Inputs!$B$5:$B$230*(((Inputs!$G$5:$G$230="moeda")+(Inputs!$G$5:$G$230="acoes"))*Inputs!$B$1+((Inputs!$G$5:$G$230&lt;&gt;"moeda")*(Inputs!$G$5:$G$230&lt;&gt;"acoes")))*INDEX(Inputs!$K$5:$AJ$230,0,MATCH(Q$2,Inputs!$K$4:$AJ$4,0)))+SUMPRODUCT((Inputs!$C$5:$C$230=$B82)*Inputs!$D$5:$D$230*(((Inputs!$G$5:$G$230="moeda")+(Inputs!$G$5:$G$230="acoes"))*Inputs!$B$1+((Inputs!$G$5:$G$230&lt;&gt;"moeda")*(Inputs!$G$5:$G$230&lt;&gt;"acoes")))*INDEX(Inputs!$K$5:$AJ$230,0,MATCH(Q$2,Inputs!$K$4:$AJ$4,0)))+SUMPRODUCT((Inputs!$E$5:$E$230=$B82)*Inputs!$F$5:$F$230*(((Inputs!$G$5:$G$230="moeda")+(Inputs!$G$5:$G$230="acoes"))*Inputs!$B$1+((Inputs!$G$5:$G$230&lt;&gt;"moeda")*(Inputs!$G$5:$G$230&lt;&gt;"acoes")))*INDEX(Inputs!$K$5:$AJ$230,0,MATCH(Q$2,Inputs!$K$4:$AJ$4,0)))))</f>
        <v>39.112</v>
      </c>
      <c r="R82" s="3">
        <f>SUM(N82:Q82)</f>
        <v>175.713</v>
      </c>
      <c r="S82" s="6">
        <f>IF(ISNA(MATCH(S$2,Inputs!$K$4:$AJ$4,0)),NA(),IF(SUMPRODUCT((Inputs!$A$5:$A$230=$B82)*ISNUMBER(INDEX(Inputs!$K$5:$AJ$230,0,MATCH(S$2,Inputs!$K$4:$AJ$4,0))))+SUMPRODUCT((Inputs!$C$5:$C$230=$B82)*ISNUMBER(INDEX(Inputs!$K$5:$AJ$230,0,MATCH(S$2,Inputs!$K$4:$AJ$4,0))))+SUMPRODUCT((Inputs!$E$5:$E$230=$B82)*ISNUMBER(INDEX(Inputs!$K$5:$AJ$230,0,MATCH(S$2,Inputs!$K$4:$AJ$4,0))))=0,NA(),SUMPRODUCT((Inputs!$A$5:$A$230=$B82)*Inputs!$B$5:$B$230*(((Inputs!$G$5:$G$230="moeda")+(Inputs!$G$5:$G$230="acoes"))*Inputs!$B$1+((Inputs!$G$5:$G$230&lt;&gt;"moeda")*(Inputs!$G$5:$G$230&lt;&gt;"acoes")))*INDEX(Inputs!$K$5:$AJ$230,0,MATCH(S$2,Inputs!$K$4:$AJ$4,0)))+SUMPRODUCT((Inputs!$C$5:$C$230=$B82)*Inputs!$D$5:$D$230*(((Inputs!$G$5:$G$230="moeda")+(Inputs!$G$5:$G$230="acoes"))*Inputs!$B$1+((Inputs!$G$5:$G$230&lt;&gt;"moeda")*(Inputs!$G$5:$G$230&lt;&gt;"acoes")))*INDEX(Inputs!$K$5:$AJ$230,0,MATCH(S$2,Inputs!$K$4:$AJ$4,0)))+SUMPRODUCT((Inputs!$E$5:$E$230=$B82)*Inputs!$F$5:$F$230*(((Inputs!$G$5:$G$230="moeda")+(Inputs!$G$5:$G$230="acoes"))*Inputs!$B$1+((Inputs!$G$5:$G$230&lt;&gt;"moeda")*(Inputs!$G$5:$G$230&lt;&gt;"acoes")))*INDEX(Inputs!$K$5:$AJ$230,0,MATCH(S$2,Inputs!$K$4:$AJ$4,0)))))</f>
        <v>52.096</v>
      </c>
      <c r="T82" s="6">
        <f>IF(ISNA(MATCH(T$2,Inputs!$K$4:$AJ$4,0)),NA(),IF(SUMPRODUCT((Inputs!$A$5:$A$230=$B82)*ISNUMBER(INDEX(Inputs!$K$5:$AJ$230,0,MATCH(T$2,Inputs!$K$4:$AJ$4,0))))+SUMPRODUCT((Inputs!$C$5:$C$230=$B82)*ISNUMBER(INDEX(Inputs!$K$5:$AJ$230,0,MATCH(T$2,Inputs!$K$4:$AJ$4,0))))+SUMPRODUCT((Inputs!$E$5:$E$230=$B82)*ISNUMBER(INDEX(Inputs!$K$5:$AJ$230,0,MATCH(T$2,Inputs!$K$4:$AJ$4,0))))=0,NA(),SUMPRODUCT((Inputs!$A$5:$A$230=$B82)*Inputs!$B$5:$B$230*(((Inputs!$G$5:$G$230="moeda")+(Inputs!$G$5:$G$230="acoes"))*Inputs!$B$1+((Inputs!$G$5:$G$230&lt;&gt;"moeda")*(Inputs!$G$5:$G$230&lt;&gt;"acoes")))*INDEX(Inputs!$K$5:$AJ$230,0,MATCH(T$2,Inputs!$K$4:$AJ$4,0)))+SUMPRODUCT((Inputs!$C$5:$C$230=$B82)*Inputs!$D$5:$D$230*(((Inputs!$G$5:$G$230="moeda")+(Inputs!$G$5:$G$230="acoes"))*Inputs!$B$1+((Inputs!$G$5:$G$230&lt;&gt;"moeda")*(Inputs!$G$5:$G$230&lt;&gt;"acoes")))*INDEX(Inputs!$K$5:$AJ$230,0,MATCH(T$2,Inputs!$K$4:$AJ$4,0)))+SUMPRODUCT((Inputs!$E$5:$E$230=$B82)*Inputs!$F$5:$F$230*(((Inputs!$G$5:$G$230="moeda")+(Inputs!$G$5:$G$230="acoes"))*Inputs!$B$1+((Inputs!$G$5:$G$230&lt;&gt;"moeda")*(Inputs!$G$5:$G$230&lt;&gt;"acoes")))*INDEX(Inputs!$K$5:$AJ$230,0,MATCH(T$2,Inputs!$K$4:$AJ$4,0)))))</f>
        <v>43.057</v>
      </c>
      <c r="U82" s="6">
        <f>IF(ISNA(MATCH(U$2,Inputs!$K$4:$AJ$4,0)),NA(),IF(SUMPRODUCT((Inputs!$A$5:$A$230=$B82)*ISNUMBER(INDEX(Inputs!$K$5:$AJ$230,0,MATCH(U$2,Inputs!$K$4:$AJ$4,0))))+SUMPRODUCT((Inputs!$C$5:$C$230=$B82)*ISNUMBER(INDEX(Inputs!$K$5:$AJ$230,0,MATCH(U$2,Inputs!$K$4:$AJ$4,0))))+SUMPRODUCT((Inputs!$E$5:$E$230=$B82)*ISNUMBER(INDEX(Inputs!$K$5:$AJ$230,0,MATCH(U$2,Inputs!$K$4:$AJ$4,0))))=0,NA(),SUMPRODUCT((Inputs!$A$5:$A$230=$B82)*Inputs!$B$5:$B$230*(((Inputs!$G$5:$G$230="moeda")+(Inputs!$G$5:$G$230="acoes"))*Inputs!$B$1+((Inputs!$G$5:$G$230&lt;&gt;"moeda")*(Inputs!$G$5:$G$230&lt;&gt;"acoes")))*INDEX(Inputs!$K$5:$AJ$230,0,MATCH(U$2,Inputs!$K$4:$AJ$4,0)))+SUMPRODUCT((Inputs!$C$5:$C$230=$B82)*Inputs!$D$5:$D$230*(((Inputs!$G$5:$G$230="moeda")+(Inputs!$G$5:$G$230="acoes"))*Inputs!$B$1+((Inputs!$G$5:$G$230&lt;&gt;"moeda")*(Inputs!$G$5:$G$230&lt;&gt;"acoes")))*INDEX(Inputs!$K$5:$AJ$230,0,MATCH(U$2,Inputs!$K$4:$AJ$4,0)))+SUMPRODUCT((Inputs!$E$5:$E$230=$B82)*Inputs!$F$5:$F$230*(((Inputs!$G$5:$G$230="moeda")+(Inputs!$G$5:$G$230="acoes"))*Inputs!$B$1+((Inputs!$G$5:$G$230&lt;&gt;"moeda")*(Inputs!$G$5:$G$230&lt;&gt;"acoes")))*INDEX(Inputs!$K$5:$AJ$230,0,MATCH(U$2,Inputs!$K$4:$AJ$4,0)))))</f>
        <v>37.548</v>
      </c>
      <c r="V82" s="6">
        <f>IF(ISNA(MATCH(V$2,Inputs!$K$4:$AJ$4,0)),NA(),IF(SUMPRODUCT((Inputs!$A$5:$A$230=$B82)*ISNUMBER(INDEX(Inputs!$K$5:$AJ$230,0,MATCH(V$2,Inputs!$K$4:$AJ$4,0))))+SUMPRODUCT((Inputs!$C$5:$C$230=$B82)*ISNUMBER(INDEX(Inputs!$K$5:$AJ$230,0,MATCH(V$2,Inputs!$K$4:$AJ$4,0))))+SUMPRODUCT((Inputs!$E$5:$E$230=$B82)*ISNUMBER(INDEX(Inputs!$K$5:$AJ$230,0,MATCH(V$2,Inputs!$K$4:$AJ$4,0))))=0,NA(),SUMPRODUCT((Inputs!$A$5:$A$230=$B82)*Inputs!$B$5:$B$230*(((Inputs!$G$5:$G$230="moeda")+(Inputs!$G$5:$G$230="acoes"))*Inputs!$B$1+((Inputs!$G$5:$G$230&lt;&gt;"moeda")*(Inputs!$G$5:$G$230&lt;&gt;"acoes")))*INDEX(Inputs!$K$5:$AJ$230,0,MATCH(V$2,Inputs!$K$4:$AJ$4,0)))+SUMPRODUCT((Inputs!$C$5:$C$230=$B82)*Inputs!$D$5:$D$230*(((Inputs!$G$5:$G$230="moeda")+(Inputs!$G$5:$G$230="acoes"))*Inputs!$B$1+((Inputs!$G$5:$G$230&lt;&gt;"moeda")*(Inputs!$G$5:$G$230&lt;&gt;"acoes")))*INDEX(Inputs!$K$5:$AJ$230,0,MATCH(V$2,Inputs!$K$4:$AJ$4,0)))+SUMPRODUCT((Inputs!$E$5:$E$230=$B82)*Inputs!$F$5:$F$230*(((Inputs!$G$5:$G$230="moeda")+(Inputs!$G$5:$G$230="acoes"))*Inputs!$B$1+((Inputs!$G$5:$G$230&lt;&gt;"moeda")*(Inputs!$G$5:$G$230&lt;&gt;"acoes")))*INDEX(Inputs!$K$5:$AJ$230,0,MATCH(V$2,Inputs!$K$4:$AJ$4,0)))))</f>
        <v>47.726</v>
      </c>
      <c r="W82" s="3">
        <f>SUM(S82:V82)</f>
        <v>180.427</v>
      </c>
      <c r="X82" s="6">
        <f>IF(ISNA(MATCH(X$2,Inputs!$K$4:$AJ$4,0)),NA(),IF(SUMPRODUCT((Inputs!$A$5:$A$230=$B82)*ISNUMBER(INDEX(Inputs!$K$5:$AJ$230,0,MATCH(X$2,Inputs!$K$4:$AJ$4,0))))+SUMPRODUCT((Inputs!$C$5:$C$230=$B82)*ISNUMBER(INDEX(Inputs!$K$5:$AJ$230,0,MATCH(X$2,Inputs!$K$4:$AJ$4,0))))+SUMPRODUCT((Inputs!$E$5:$E$230=$B82)*ISNUMBER(INDEX(Inputs!$K$5:$AJ$230,0,MATCH(X$2,Inputs!$K$4:$AJ$4,0))))=0,NA(),SUMPRODUCT((Inputs!$A$5:$A$230=$B82)*Inputs!$B$5:$B$230*(((Inputs!$G$5:$G$230="moeda")+(Inputs!$G$5:$G$230="acoes"))*Inputs!$B$1+((Inputs!$G$5:$G$230&lt;&gt;"moeda")*(Inputs!$G$5:$G$230&lt;&gt;"acoes")))*INDEX(Inputs!$K$5:$AJ$230,0,MATCH(X$2,Inputs!$K$4:$AJ$4,0)))+SUMPRODUCT((Inputs!$C$5:$C$230=$B82)*Inputs!$D$5:$D$230*(((Inputs!$G$5:$G$230="moeda")+(Inputs!$G$5:$G$230="acoes"))*Inputs!$B$1+((Inputs!$G$5:$G$230&lt;&gt;"moeda")*(Inputs!$G$5:$G$230&lt;&gt;"acoes")))*INDEX(Inputs!$K$5:$AJ$230,0,MATCH(X$2,Inputs!$K$4:$AJ$4,0)))+SUMPRODUCT((Inputs!$E$5:$E$230=$B82)*Inputs!$F$5:$F$230*(((Inputs!$G$5:$G$230="moeda")+(Inputs!$G$5:$G$230="acoes"))*Inputs!$B$1+((Inputs!$G$5:$G$230&lt;&gt;"moeda")*(Inputs!$G$5:$G$230&lt;&gt;"acoes")))*INDEX(Inputs!$K$5:$AJ$230,0,MATCH(X$2,Inputs!$K$4:$AJ$4,0)))))</f>
        <v>56.082</v>
      </c>
      <c r="Y82" s="6">
        <f>IF(ISNA(MATCH(Y$2,Inputs!$K$4:$AJ$4,0)),NA(),IF(SUMPRODUCT((Inputs!$A$5:$A$230=$B82)*ISNUMBER(INDEX(Inputs!$K$5:$AJ$230,0,MATCH(Y$2,Inputs!$K$4:$AJ$4,0))))+SUMPRODUCT((Inputs!$C$5:$C$230=$B82)*ISNUMBER(INDEX(Inputs!$K$5:$AJ$230,0,MATCH(Y$2,Inputs!$K$4:$AJ$4,0))))+SUMPRODUCT((Inputs!$E$5:$E$230=$B82)*ISNUMBER(INDEX(Inputs!$K$5:$AJ$230,0,MATCH(Y$2,Inputs!$K$4:$AJ$4,0))))=0,NA(),SUMPRODUCT((Inputs!$A$5:$A$230=$B82)*Inputs!$B$5:$B$230*(((Inputs!$G$5:$G$230="moeda")+(Inputs!$G$5:$G$230="acoes"))*Inputs!$B$1+((Inputs!$G$5:$G$230&lt;&gt;"moeda")*(Inputs!$G$5:$G$230&lt;&gt;"acoes")))*INDEX(Inputs!$K$5:$AJ$230,0,MATCH(Y$2,Inputs!$K$4:$AJ$4,0)))+SUMPRODUCT((Inputs!$C$5:$C$230=$B82)*Inputs!$D$5:$D$230*(((Inputs!$G$5:$G$230="moeda")+(Inputs!$G$5:$G$230="acoes"))*Inputs!$B$1+((Inputs!$G$5:$G$230&lt;&gt;"moeda")*(Inputs!$G$5:$G$230&lt;&gt;"acoes")))*INDEX(Inputs!$K$5:$AJ$230,0,MATCH(Y$2,Inputs!$K$4:$AJ$4,0)))+SUMPRODUCT((Inputs!$E$5:$E$230=$B82)*Inputs!$F$5:$F$230*(((Inputs!$G$5:$G$230="moeda")+(Inputs!$G$5:$G$230="acoes"))*Inputs!$B$1+((Inputs!$G$5:$G$230&lt;&gt;"moeda")*(Inputs!$G$5:$G$230&lt;&gt;"acoes")))*INDEX(Inputs!$K$5:$AJ$230,0,MATCH(Y$2,Inputs!$K$4:$AJ$4,0)))))</f>
        <v>47.693</v>
      </c>
      <c r="Z82" s="6">
        <f>IF(ISNA(MATCH(Z$2,Inputs!$K$4:$AJ$4,0)),NA(),IF(SUMPRODUCT((Inputs!$A$5:$A$230=$B82)*ISNUMBER(INDEX(Inputs!$K$5:$AJ$230,0,MATCH(Z$2,Inputs!$K$4:$AJ$4,0))))+SUMPRODUCT((Inputs!$C$5:$C$230=$B82)*ISNUMBER(INDEX(Inputs!$K$5:$AJ$230,0,MATCH(Z$2,Inputs!$K$4:$AJ$4,0))))+SUMPRODUCT((Inputs!$E$5:$E$230=$B82)*ISNUMBER(INDEX(Inputs!$K$5:$AJ$230,0,MATCH(Z$2,Inputs!$K$4:$AJ$4,0))))=0,NA(),SUMPRODUCT((Inputs!$A$5:$A$230=$B82)*Inputs!$B$5:$B$230*(((Inputs!$G$5:$G$230="moeda")+(Inputs!$G$5:$G$230="acoes"))*Inputs!$B$1+((Inputs!$G$5:$G$230&lt;&gt;"moeda")*(Inputs!$G$5:$G$230&lt;&gt;"acoes")))*INDEX(Inputs!$K$5:$AJ$230,0,MATCH(Z$2,Inputs!$K$4:$AJ$4,0)))+SUMPRODUCT((Inputs!$C$5:$C$230=$B82)*Inputs!$D$5:$D$230*(((Inputs!$G$5:$G$230="moeda")+(Inputs!$G$5:$G$230="acoes"))*Inputs!$B$1+((Inputs!$G$5:$G$230&lt;&gt;"moeda")*(Inputs!$G$5:$G$230&lt;&gt;"acoes")))*INDEX(Inputs!$K$5:$AJ$230,0,MATCH(Z$2,Inputs!$K$4:$AJ$4,0)))+SUMPRODUCT((Inputs!$E$5:$E$230=$B82)*Inputs!$F$5:$F$230*(((Inputs!$G$5:$G$230="moeda")+(Inputs!$G$5:$G$230="acoes"))*Inputs!$B$1+((Inputs!$G$5:$G$230&lt;&gt;"moeda")*(Inputs!$G$5:$G$230&lt;&gt;"acoes")))*INDEX(Inputs!$K$5:$AJ$230,0,MATCH(Z$2,Inputs!$K$4:$AJ$4,0)))))</f>
        <v>36.83</v>
      </c>
      <c r="AA82" s="6">
        <f>IF(ISNA(MATCH(AA$2,Inputs!$K$4:$AJ$4,0)),NA(),IF(SUMPRODUCT((Inputs!$A$5:$A$230=$B82)*ISNUMBER(INDEX(Inputs!$K$5:$AJ$230,0,MATCH(AA$2,Inputs!$K$4:$AJ$4,0))))+SUMPRODUCT((Inputs!$C$5:$C$230=$B82)*ISNUMBER(INDEX(Inputs!$K$5:$AJ$230,0,MATCH(AA$2,Inputs!$K$4:$AJ$4,0))))+SUMPRODUCT((Inputs!$E$5:$E$230=$B82)*ISNUMBER(INDEX(Inputs!$K$5:$AJ$230,0,MATCH(AA$2,Inputs!$K$4:$AJ$4,0))))=0,NA(),SUMPRODUCT((Inputs!$A$5:$A$230=$B82)*Inputs!$B$5:$B$230*(((Inputs!$G$5:$G$230="moeda")+(Inputs!$G$5:$G$230="acoes"))*Inputs!$B$1+((Inputs!$G$5:$G$230&lt;&gt;"moeda")*(Inputs!$G$5:$G$230&lt;&gt;"acoes")))*INDEX(Inputs!$K$5:$AJ$230,0,MATCH(AA$2,Inputs!$K$4:$AJ$4,0)))+SUMPRODUCT((Inputs!$C$5:$C$230=$B82)*Inputs!$D$5:$D$230*(((Inputs!$G$5:$G$230="moeda")+(Inputs!$G$5:$G$230="acoes"))*Inputs!$B$1+((Inputs!$G$5:$G$230&lt;&gt;"moeda")*(Inputs!$G$5:$G$230&lt;&gt;"acoes")))*INDEX(Inputs!$K$5:$AJ$230,0,MATCH(AA$2,Inputs!$K$4:$AJ$4,0)))+SUMPRODUCT((Inputs!$E$5:$E$230=$B82)*Inputs!$F$5:$F$230*(((Inputs!$G$5:$G$230="moeda")+(Inputs!$G$5:$G$230="acoes"))*Inputs!$B$1+((Inputs!$G$5:$G$230&lt;&gt;"moeda")*(Inputs!$G$5:$G$230&lt;&gt;"acoes")))*INDEX(Inputs!$K$5:$AJ$230,0,MATCH(AA$2,Inputs!$K$4:$AJ$4,0)))))</f>
        <v>41.429</v>
      </c>
      <c r="AB82" s="3">
        <f>SUM(X82:AA82)</f>
        <v>182.034</v>
      </c>
      <c r="AC82" s="6">
        <f>IF(ISNA(MATCH(AC$2,Inputs!$K$4:$AJ$4,0)),NA(),IF(SUMPRODUCT((Inputs!$A$5:$A$230=$B82)*ISNUMBER(INDEX(Inputs!$K$5:$AJ$230,0,MATCH(AC$2,Inputs!$K$4:$AJ$4,0))))+SUMPRODUCT((Inputs!$C$5:$C$230=$B82)*ISNUMBER(INDEX(Inputs!$K$5:$AJ$230,0,MATCH(AC$2,Inputs!$K$4:$AJ$4,0))))+SUMPRODUCT((Inputs!$E$5:$E$230=$B82)*ISNUMBER(INDEX(Inputs!$K$5:$AJ$230,0,MATCH(AC$2,Inputs!$K$4:$AJ$4,0))))=0,NA(),SUMPRODUCT((Inputs!$A$5:$A$230=$B82)*Inputs!$B$5:$B$230*(((Inputs!$G$5:$G$230="moeda")+(Inputs!$G$5:$G$230="acoes"))*Inputs!$B$1+((Inputs!$G$5:$G$230&lt;&gt;"moeda")*(Inputs!$G$5:$G$230&lt;&gt;"acoes")))*INDEX(Inputs!$K$5:$AJ$230,0,MATCH(AC$2,Inputs!$K$4:$AJ$4,0)))+SUMPRODUCT((Inputs!$C$5:$C$230=$B82)*Inputs!$D$5:$D$230*(((Inputs!$G$5:$G$230="moeda")+(Inputs!$G$5:$G$230="acoes"))*Inputs!$B$1+((Inputs!$G$5:$G$230&lt;&gt;"moeda")*(Inputs!$G$5:$G$230&lt;&gt;"acoes")))*INDEX(Inputs!$K$5:$AJ$230,0,MATCH(AC$2,Inputs!$K$4:$AJ$4,0)))+SUMPRODUCT((Inputs!$E$5:$E$230=$B82)*Inputs!$F$5:$F$230*(((Inputs!$G$5:$G$230="moeda")+(Inputs!$G$5:$G$230="acoes"))*Inputs!$B$1+((Inputs!$G$5:$G$230&lt;&gt;"moeda")*(Inputs!$G$5:$G$230&lt;&gt;"acoes")))*INDEX(Inputs!$K$5:$AJ$230,0,MATCH(AC$2,Inputs!$K$4:$AJ$4,0)))))</f>
        <v>49.574</v>
      </c>
      <c r="AD82" s="6">
        <f>IF(ISNA(MATCH(AD$2,Inputs!$K$4:$AJ$4,0)),NA(),IF(SUMPRODUCT((Inputs!$A$5:$A$230=$B82)*ISNUMBER(INDEX(Inputs!$K$5:$AJ$230,0,MATCH(AD$2,Inputs!$K$4:$AJ$4,0))))+SUMPRODUCT((Inputs!$C$5:$C$230=$B82)*ISNUMBER(INDEX(Inputs!$K$5:$AJ$230,0,MATCH(AD$2,Inputs!$K$4:$AJ$4,0))))+SUMPRODUCT((Inputs!$E$5:$E$230=$B82)*ISNUMBER(INDEX(Inputs!$K$5:$AJ$230,0,MATCH(AD$2,Inputs!$K$4:$AJ$4,0))))=0,NA(),SUMPRODUCT((Inputs!$A$5:$A$230=$B82)*Inputs!$B$5:$B$230*(((Inputs!$G$5:$G$230="moeda")+(Inputs!$G$5:$G$230="acoes"))*Inputs!$B$1+((Inputs!$G$5:$G$230&lt;&gt;"moeda")*(Inputs!$G$5:$G$230&lt;&gt;"acoes")))*INDEX(Inputs!$K$5:$AJ$230,0,MATCH(AD$2,Inputs!$K$4:$AJ$4,0)))+SUMPRODUCT((Inputs!$C$5:$C$230=$B82)*Inputs!$D$5:$D$230*(((Inputs!$G$5:$G$230="moeda")+(Inputs!$G$5:$G$230="acoes"))*Inputs!$B$1+((Inputs!$G$5:$G$230&lt;&gt;"moeda")*(Inputs!$G$5:$G$230&lt;&gt;"acoes")))*INDEX(Inputs!$K$5:$AJ$230,0,MATCH(AD$2,Inputs!$K$4:$AJ$4,0)))+SUMPRODUCT((Inputs!$E$5:$E$230=$B82)*Inputs!$F$5:$F$230*(((Inputs!$G$5:$G$230="moeda")+(Inputs!$G$5:$G$230="acoes"))*Inputs!$B$1+((Inputs!$G$5:$G$230&lt;&gt;"moeda")*(Inputs!$G$5:$G$230&lt;&gt;"acoes")))*INDEX(Inputs!$K$5:$AJ$230,0,MATCH(AD$2,Inputs!$K$4:$AJ$4,0)))))</f>
        <v>60.77</v>
      </c>
      <c r="AE82" s="6" t="e">
        <f>IF(ISNA(MATCH(AE$2,Inputs!$K$4:$AJ$4,0)),NA(),IF(SUMPRODUCT((Inputs!$A$5:$A$230=$B82)*ISNUMBER(INDEX(Inputs!$K$5:$AJ$230,0,MATCH(AE$2,Inputs!$K$4:$AJ$4,0))))+SUMPRODUCT((Inputs!$C$5:$C$230=$B82)*ISNUMBER(INDEX(Inputs!$K$5:$AJ$230,0,MATCH(AE$2,Inputs!$K$4:$AJ$4,0))))+SUMPRODUCT((Inputs!$E$5:$E$230=$B82)*ISNUMBER(INDEX(Inputs!$K$5:$AJ$230,0,MATCH(AE$2,Inputs!$K$4:$AJ$4,0))))=0,NA(),SUMPRODUCT((Inputs!$A$5:$A$230=$B82)*Inputs!$B$5:$B$230*(((Inputs!$G$5:$G$230="moeda")+(Inputs!$G$5:$G$230="acoes"))*Inputs!$B$1+((Inputs!$G$5:$G$230&lt;&gt;"moeda")*(Inputs!$G$5:$G$230&lt;&gt;"acoes")))*INDEX(Inputs!$K$5:$AJ$230,0,MATCH(AE$2,Inputs!$K$4:$AJ$4,0)))+SUMPRODUCT((Inputs!$C$5:$C$230=$B82)*Inputs!$D$5:$D$230*(((Inputs!$G$5:$G$230="moeda")+(Inputs!$G$5:$G$230="acoes"))*Inputs!$B$1+((Inputs!$G$5:$G$230&lt;&gt;"moeda")*(Inputs!$G$5:$G$230&lt;&gt;"acoes")))*INDEX(Inputs!$K$5:$AJ$230,0,MATCH(AE$2,Inputs!$K$4:$AJ$4,0)))+SUMPRODUCT((Inputs!$E$5:$E$230=$B82)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2" s="6" t="e">
        <f>IF(ISNA(MATCH(AF$2,Inputs!$K$4:$AJ$4,0)),NA(),IF(SUMPRODUCT((Inputs!$A$5:$A$230=$B82)*ISNUMBER(INDEX(Inputs!$K$5:$AJ$230,0,MATCH(AF$2,Inputs!$K$4:$AJ$4,0))))+SUMPRODUCT((Inputs!$C$5:$C$230=$B82)*ISNUMBER(INDEX(Inputs!$K$5:$AJ$230,0,MATCH(AF$2,Inputs!$K$4:$AJ$4,0))))+SUMPRODUCT((Inputs!$E$5:$E$230=$B82)*ISNUMBER(INDEX(Inputs!$K$5:$AJ$230,0,MATCH(AF$2,Inputs!$K$4:$AJ$4,0))))=0,NA(),SUMPRODUCT((Inputs!$A$5:$A$230=$B82)*Inputs!$B$5:$B$230*(((Inputs!$G$5:$G$230="moeda")+(Inputs!$G$5:$G$230="acoes"))*Inputs!$B$1+((Inputs!$G$5:$G$230&lt;&gt;"moeda")*(Inputs!$G$5:$G$230&lt;&gt;"acoes")))*INDEX(Inputs!$K$5:$AJ$230,0,MATCH(AF$2,Inputs!$K$4:$AJ$4,0)))+SUMPRODUCT((Inputs!$C$5:$C$230=$B82)*Inputs!$D$5:$D$230*(((Inputs!$G$5:$G$230="moeda")+(Inputs!$G$5:$G$230="acoes"))*Inputs!$B$1+((Inputs!$G$5:$G$230&lt;&gt;"moeda")*(Inputs!$G$5:$G$230&lt;&gt;"acoes")))*INDEX(Inputs!$K$5:$AJ$230,0,MATCH(AF$2,Inputs!$K$4:$AJ$4,0)))+SUMPRODUCT((Inputs!$E$5:$E$230=$B82)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2" s="3" t="e">
        <f>SUM(AC82:AF82)</f>
        <v>#N/A</v>
      </c>
      <c r="AH82" s="6">
        <f>IF(ISNA(MATCH(AH$2,Inputs!$K$4:$AJ$4,0)),NA(),IF(SUMPRODUCT((Inputs!$A$5:$A$230=$B82)*ISNUMBER(INDEX(Inputs!$K$5:$AJ$230,0,MATCH(AH$2,Inputs!$K$4:$AJ$4,0))))+SUMPRODUCT((Inputs!$C$5:$C$230=$B82)*ISNUMBER(INDEX(Inputs!$K$5:$AJ$230,0,MATCH(AH$2,Inputs!$K$4:$AJ$4,0))))+SUMPRODUCT((Inputs!$E$5:$E$230=$B82)*ISNUMBER(INDEX(Inputs!$K$5:$AJ$230,0,MATCH(AH$2,Inputs!$K$4:$AJ$4,0))))=0,NA(),SUMPRODUCT((Inputs!$A$5:$A$230=$B82)*Inputs!$B$5:$B$230*(((Inputs!$G$5:$G$230="moeda")+(Inputs!$G$5:$G$230="acoes"))*Inputs!$B$1+((Inputs!$G$5:$G$230&lt;&gt;"moeda")*(Inputs!$G$5:$G$230&lt;&gt;"acoes")))*INDEX(Inputs!$K$5:$AJ$230,0,MATCH(AH$2,Inputs!$K$4:$AJ$4,0)))+SUMPRODUCT((Inputs!$C$5:$C$230=$B82)*Inputs!$D$5:$D$230*(((Inputs!$G$5:$G$230="moeda")+(Inputs!$G$5:$G$230="acoes"))*Inputs!$B$1+((Inputs!$G$5:$G$230&lt;&gt;"moeda")*(Inputs!$G$5:$G$230&lt;&gt;"acoes")))*INDEX(Inputs!$K$5:$AJ$230,0,MATCH(AH$2,Inputs!$K$4:$AJ$4,0)))+SUMPRODUCT((Inputs!$E$5:$E$230=$B82)*Inputs!$F$5:$F$230*(((Inputs!$G$5:$G$230="moeda")+(Inputs!$G$5:$G$230="acoes"))*Inputs!$B$1+((Inputs!$G$5:$G$230&lt;&gt;"moeda")*(Inputs!$G$5:$G$230&lt;&gt;"acoes")))*INDEX(Inputs!$K$5:$AJ$230,0,MATCH(AH$2,Inputs!$K$4:$AJ$4,0)))))</f>
        <v>29.292</v>
      </c>
      <c r="AI82" s="6">
        <f>IF(ISNA(MATCH(AI$2,Inputs!$K$4:$AJ$4,0)),NA(),IF(SUMPRODUCT((Inputs!$A$5:$A$230=$B82)*ISNUMBER(INDEX(Inputs!$K$5:$AJ$230,0,MATCH(AI$2,Inputs!$K$4:$AJ$4,0))))+SUMPRODUCT((Inputs!$C$5:$C$230=$B82)*ISNUMBER(INDEX(Inputs!$K$5:$AJ$230,0,MATCH(AI$2,Inputs!$K$4:$AJ$4,0))))+SUMPRODUCT((Inputs!$E$5:$E$230=$B82)*ISNUMBER(INDEX(Inputs!$K$5:$AJ$230,0,MATCH(AI$2,Inputs!$K$4:$AJ$4,0))))=0,NA(),SUMPRODUCT((Inputs!$A$5:$A$230=$B82)*Inputs!$B$5:$B$230*(((Inputs!$G$5:$G$230="moeda")+(Inputs!$G$5:$G$230="acoes"))*Inputs!$B$1+((Inputs!$G$5:$G$230&lt;&gt;"moeda")*(Inputs!$G$5:$G$230&lt;&gt;"acoes")))*INDEX(Inputs!$K$5:$AJ$230,0,MATCH(AI$2,Inputs!$K$4:$AJ$4,0)))+SUMPRODUCT((Inputs!$C$5:$C$230=$B82)*Inputs!$D$5:$D$230*(((Inputs!$G$5:$G$230="moeda")+(Inputs!$G$5:$G$230="acoes"))*Inputs!$B$1+((Inputs!$G$5:$G$230&lt;&gt;"moeda")*(Inputs!$G$5:$G$230&lt;&gt;"acoes")))*INDEX(Inputs!$K$5:$AJ$230,0,MATCH(AI$2,Inputs!$K$4:$AJ$4,0)))+SUMPRODUCT((Inputs!$E$5:$E$230=$B82)*Inputs!$F$5:$F$230*(((Inputs!$G$5:$G$230="moeda")+(Inputs!$G$5:$G$230="acoes"))*Inputs!$B$1+((Inputs!$G$5:$G$230&lt;&gt;"moeda")*(Inputs!$G$5:$G$230&lt;&gt;"acoes")))*INDEX(Inputs!$K$5:$AJ$230,0,MATCH(AI$2,Inputs!$K$4:$AJ$4,0)))))</f>
        <v>69.091</v>
      </c>
      <c r="AJ82" s="6">
        <f>IF(ISNA(MATCH(AJ$2,Inputs!$K$4:$AJ$4,0)),NA(),IF(SUMPRODUCT((Inputs!$A$5:$A$230=$B82)*ISNUMBER(INDEX(Inputs!$K$5:$AJ$230,0,MATCH(AJ$2,Inputs!$K$4:$AJ$4,0))))+SUMPRODUCT((Inputs!$C$5:$C$230=$B82)*ISNUMBER(INDEX(Inputs!$K$5:$AJ$230,0,MATCH(AJ$2,Inputs!$K$4:$AJ$4,0))))+SUMPRODUCT((Inputs!$E$5:$E$230=$B82)*ISNUMBER(INDEX(Inputs!$K$5:$AJ$230,0,MATCH(AJ$2,Inputs!$K$4:$AJ$4,0))))=0,NA(),SUMPRODUCT((Inputs!$A$5:$A$230=$B82)*Inputs!$B$5:$B$230*(((Inputs!$G$5:$G$230="moeda")+(Inputs!$G$5:$G$230="acoes"))*Inputs!$B$1+((Inputs!$G$5:$G$230&lt;&gt;"moeda")*(Inputs!$G$5:$G$230&lt;&gt;"acoes")))*INDEX(Inputs!$K$5:$AJ$230,0,MATCH(AJ$2,Inputs!$K$4:$AJ$4,0)))+SUMPRODUCT((Inputs!$C$5:$C$230=$B82)*Inputs!$D$5:$D$230*(((Inputs!$G$5:$G$230="moeda")+(Inputs!$G$5:$G$230="acoes"))*Inputs!$B$1+((Inputs!$G$5:$G$230&lt;&gt;"moeda")*(Inputs!$G$5:$G$230&lt;&gt;"acoes")))*INDEX(Inputs!$K$5:$AJ$230,0,MATCH(AJ$2,Inputs!$K$4:$AJ$4,0)))+SUMPRODUCT((Inputs!$E$5:$E$230=$B82)*Inputs!$F$5:$F$230*(((Inputs!$G$5:$G$230="moeda")+(Inputs!$G$5:$G$230="acoes"))*Inputs!$B$1+((Inputs!$G$5:$G$230&lt;&gt;"moeda")*(Inputs!$G$5:$G$230&lt;&gt;"acoes")))*INDEX(Inputs!$K$5:$AJ$230,0,MATCH(AJ$2,Inputs!$K$4:$AJ$4,0)))))</f>
        <v>207.367</v>
      </c>
      <c r="AK82" s="6">
        <f>IF(ISNA(MATCH(AK$2,Inputs!$K$4:$AJ$4,0)),NA(),IF(SUMPRODUCT((Inputs!$A$5:$A$230=$B82)*ISNUMBER(INDEX(Inputs!$K$5:$AJ$230,0,MATCH(AK$2,Inputs!$K$4:$AJ$4,0))))+SUMPRODUCT((Inputs!$C$5:$C$230=$B82)*ISNUMBER(INDEX(Inputs!$K$5:$AJ$230,0,MATCH(AK$2,Inputs!$K$4:$AJ$4,0))))+SUMPRODUCT((Inputs!$E$5:$E$230=$B82)*ISNUMBER(INDEX(Inputs!$K$5:$AJ$230,0,MATCH(AK$2,Inputs!$K$4:$AJ$4,0))))=0,NA(),SUMPRODUCT((Inputs!$A$5:$A$230=$B82)*Inputs!$B$5:$B$230*(((Inputs!$G$5:$G$230="moeda")+(Inputs!$G$5:$G$230="acoes"))*Inputs!$B$1+((Inputs!$G$5:$G$230&lt;&gt;"moeda")*(Inputs!$G$5:$G$230&lt;&gt;"acoes")))*INDEX(Inputs!$K$5:$AJ$230,0,MATCH(AK$2,Inputs!$K$4:$AJ$4,0)))+SUMPRODUCT((Inputs!$C$5:$C$230=$B82)*Inputs!$D$5:$D$230*(((Inputs!$G$5:$G$230="moeda")+(Inputs!$G$5:$G$230="acoes"))*Inputs!$B$1+((Inputs!$G$5:$G$230&lt;&gt;"moeda")*(Inputs!$G$5:$G$230&lt;&gt;"acoes")))*INDEX(Inputs!$K$5:$AJ$230,0,MATCH(AK$2,Inputs!$K$4:$AJ$4,0)))+SUMPRODUCT((Inputs!$E$5:$E$230=$B82)*Inputs!$F$5:$F$230*(((Inputs!$G$5:$G$230="moeda")+(Inputs!$G$5:$G$230="acoes"))*Inputs!$B$1+((Inputs!$G$5:$G$230&lt;&gt;"moeda")*(Inputs!$G$5:$G$230&lt;&gt;"acoes")))*INDEX(Inputs!$K$5:$AJ$230,0,MATCH(AK$2,Inputs!$K$4:$AJ$4,0)))))</f>
        <v>251.524</v>
      </c>
      <c r="AL82" s="3">
        <f>SUM(AH82:AK82)</f>
        <v>557.274</v>
      </c>
    </row>
    <row r="83">
      <c r="B83" s="46" t="n">
        <v>75</v>
      </c>
      <c r="C83" s="29" t="inlineStr">
        <is>
          <t>Transmissao | ETB</t>
        </is>
      </c>
      <c r="D83" s="6">
        <f>IF(ISNA(MATCH(D$2,Inputs!$K$4:$AJ$4,0)),NA(),IF(SUMPRODUCT((Inputs!$A$5:$A$230=$B83)*ISNUMBER(INDEX(Inputs!$K$5:$AJ$230,0,MATCH(D$2,Inputs!$K$4:$AJ$4,0))))+SUMPRODUCT((Inputs!$C$5:$C$230=$B83)*ISNUMBER(INDEX(Inputs!$K$5:$AJ$230,0,MATCH(D$2,Inputs!$K$4:$AJ$4,0))))+SUMPRODUCT((Inputs!$E$5:$E$230=$B83)*ISNUMBER(INDEX(Inputs!$K$5:$AJ$230,0,MATCH(D$2,Inputs!$K$4:$AJ$4,0))))=0,NA(),SUMPRODUCT((Inputs!$A$5:$A$230=$B83)*Inputs!$B$5:$B$230*(((Inputs!$G$5:$G$230="moeda")+(Inputs!$G$5:$G$230="acoes"))*Inputs!$B$1+((Inputs!$G$5:$G$230&lt;&gt;"moeda")*(Inputs!$G$5:$G$230&lt;&gt;"acoes")))*INDEX(Inputs!$K$5:$AJ$230,0,MATCH(D$2,Inputs!$K$4:$AJ$4,0)))+SUMPRODUCT((Inputs!$C$5:$C$230=$B83)*Inputs!$D$5:$D$230*(((Inputs!$G$5:$G$230="moeda")+(Inputs!$G$5:$G$230="acoes"))*Inputs!$B$1+((Inputs!$G$5:$G$230&lt;&gt;"moeda")*(Inputs!$G$5:$G$230&lt;&gt;"acoes")))*INDEX(Inputs!$K$5:$AJ$230,0,MATCH(D$2,Inputs!$K$4:$AJ$4,0)))+SUMPRODUCT((Inputs!$E$5:$E$230=$B83)*Inputs!$F$5:$F$230*(((Inputs!$G$5:$G$230="moeda")+(Inputs!$G$5:$G$230="acoes"))*Inputs!$B$1+((Inputs!$G$5:$G$230&lt;&gt;"moeda")*(Inputs!$G$5:$G$230&lt;&gt;"acoes")))*INDEX(Inputs!$K$5:$AJ$230,0,MATCH(D$2,Inputs!$K$4:$AJ$4,0)))))</f>
        <v>63.236</v>
      </c>
      <c r="E83" s="6">
        <f>IF(ISNA(MATCH(E$2,Inputs!$K$4:$AJ$4,0)),NA(),IF(SUMPRODUCT((Inputs!$A$5:$A$230=$B83)*ISNUMBER(INDEX(Inputs!$K$5:$AJ$230,0,MATCH(E$2,Inputs!$K$4:$AJ$4,0))))+SUMPRODUCT((Inputs!$C$5:$C$230=$B83)*ISNUMBER(INDEX(Inputs!$K$5:$AJ$230,0,MATCH(E$2,Inputs!$K$4:$AJ$4,0))))+SUMPRODUCT((Inputs!$E$5:$E$230=$B83)*ISNUMBER(INDEX(Inputs!$K$5:$AJ$230,0,MATCH(E$2,Inputs!$K$4:$AJ$4,0))))=0,NA(),SUMPRODUCT((Inputs!$A$5:$A$230=$B83)*Inputs!$B$5:$B$230*(((Inputs!$G$5:$G$230="moeda")+(Inputs!$G$5:$G$230="acoes"))*Inputs!$B$1+((Inputs!$G$5:$G$230&lt;&gt;"moeda")*(Inputs!$G$5:$G$230&lt;&gt;"acoes")))*INDEX(Inputs!$K$5:$AJ$230,0,MATCH(E$2,Inputs!$K$4:$AJ$4,0)))+SUMPRODUCT((Inputs!$C$5:$C$230=$B83)*Inputs!$D$5:$D$230*(((Inputs!$G$5:$G$230="moeda")+(Inputs!$G$5:$G$230="acoes"))*Inputs!$B$1+((Inputs!$G$5:$G$230&lt;&gt;"moeda")*(Inputs!$G$5:$G$230&lt;&gt;"acoes")))*INDEX(Inputs!$K$5:$AJ$230,0,MATCH(E$2,Inputs!$K$4:$AJ$4,0)))+SUMPRODUCT((Inputs!$E$5:$E$230=$B83)*Inputs!$F$5:$F$230*(((Inputs!$G$5:$G$230="moeda")+(Inputs!$G$5:$G$230="acoes"))*Inputs!$B$1+((Inputs!$G$5:$G$230&lt;&gt;"moeda")*(Inputs!$G$5:$G$230&lt;&gt;"acoes")))*INDEX(Inputs!$K$5:$AJ$230,0,MATCH(E$2,Inputs!$K$4:$AJ$4,0)))))</f>
        <v>76.974</v>
      </c>
      <c r="F83" s="6">
        <f>IF(ISNA(MATCH(F$2,Inputs!$K$4:$AJ$4,0)),NA(),IF(SUMPRODUCT((Inputs!$A$5:$A$230=$B83)*ISNUMBER(INDEX(Inputs!$K$5:$AJ$230,0,MATCH(F$2,Inputs!$K$4:$AJ$4,0))))+SUMPRODUCT((Inputs!$C$5:$C$230=$B83)*ISNUMBER(INDEX(Inputs!$K$5:$AJ$230,0,MATCH(F$2,Inputs!$K$4:$AJ$4,0))))+SUMPRODUCT((Inputs!$E$5:$E$230=$B83)*ISNUMBER(INDEX(Inputs!$K$5:$AJ$230,0,MATCH(F$2,Inputs!$K$4:$AJ$4,0))))=0,NA(),SUMPRODUCT((Inputs!$A$5:$A$230=$B83)*Inputs!$B$5:$B$230*(((Inputs!$G$5:$G$230="moeda")+(Inputs!$G$5:$G$230="acoes"))*Inputs!$B$1+((Inputs!$G$5:$G$230&lt;&gt;"moeda")*(Inputs!$G$5:$G$230&lt;&gt;"acoes")))*INDEX(Inputs!$K$5:$AJ$230,0,MATCH(F$2,Inputs!$K$4:$AJ$4,0)))+SUMPRODUCT((Inputs!$C$5:$C$230=$B83)*Inputs!$D$5:$D$230*(((Inputs!$G$5:$G$230="moeda")+(Inputs!$G$5:$G$230="acoes"))*Inputs!$B$1+((Inputs!$G$5:$G$230&lt;&gt;"moeda")*(Inputs!$G$5:$G$230&lt;&gt;"acoes")))*INDEX(Inputs!$K$5:$AJ$230,0,MATCH(F$2,Inputs!$K$4:$AJ$4,0)))+SUMPRODUCT((Inputs!$E$5:$E$230=$B83)*Inputs!$F$5:$F$230*(((Inputs!$G$5:$G$230="moeda")+(Inputs!$G$5:$G$230="acoes"))*Inputs!$B$1+((Inputs!$G$5:$G$230&lt;&gt;"moeda")*(Inputs!$G$5:$G$230&lt;&gt;"acoes")))*INDEX(Inputs!$K$5:$AJ$230,0,MATCH(F$2,Inputs!$K$4:$AJ$4,0)))))</f>
        <v>63.72</v>
      </c>
      <c r="G83" s="6">
        <f>IF(ISNA(MATCH(G$2,Inputs!$K$4:$AJ$4,0)),NA(),IF(SUMPRODUCT((Inputs!$A$5:$A$230=$B83)*ISNUMBER(INDEX(Inputs!$K$5:$AJ$230,0,MATCH(G$2,Inputs!$K$4:$AJ$4,0))))+SUMPRODUCT((Inputs!$C$5:$C$230=$B83)*ISNUMBER(INDEX(Inputs!$K$5:$AJ$230,0,MATCH(G$2,Inputs!$K$4:$AJ$4,0))))+SUMPRODUCT((Inputs!$E$5:$E$230=$B83)*ISNUMBER(INDEX(Inputs!$K$5:$AJ$230,0,MATCH(G$2,Inputs!$K$4:$AJ$4,0))))=0,NA(),SUMPRODUCT((Inputs!$A$5:$A$230=$B83)*Inputs!$B$5:$B$230*(((Inputs!$G$5:$G$230="moeda")+(Inputs!$G$5:$G$230="acoes"))*Inputs!$B$1+((Inputs!$G$5:$G$230&lt;&gt;"moeda")*(Inputs!$G$5:$G$230&lt;&gt;"acoes")))*INDEX(Inputs!$K$5:$AJ$230,0,MATCH(G$2,Inputs!$K$4:$AJ$4,0)))+SUMPRODUCT((Inputs!$C$5:$C$230=$B83)*Inputs!$D$5:$D$230*(((Inputs!$G$5:$G$230="moeda")+(Inputs!$G$5:$G$230="acoes"))*Inputs!$B$1+((Inputs!$G$5:$G$230&lt;&gt;"moeda")*(Inputs!$G$5:$G$230&lt;&gt;"acoes")))*INDEX(Inputs!$K$5:$AJ$230,0,MATCH(G$2,Inputs!$K$4:$AJ$4,0)))+SUMPRODUCT((Inputs!$E$5:$E$230=$B83)*Inputs!$F$5:$F$230*(((Inputs!$G$5:$G$230="moeda")+(Inputs!$G$5:$G$230="acoes"))*Inputs!$B$1+((Inputs!$G$5:$G$230&lt;&gt;"moeda")*(Inputs!$G$5:$G$230&lt;&gt;"acoes")))*INDEX(Inputs!$K$5:$AJ$230,0,MATCH(G$2,Inputs!$K$4:$AJ$4,0)))))</f>
        <v>78.343</v>
      </c>
      <c r="H83" s="3">
        <f>SUM(D83:G83)</f>
        <v>282.273</v>
      </c>
      <c r="I83" s="6">
        <f>IF(ISNA(MATCH(I$2,Inputs!$K$4:$AJ$4,0)),NA(),IF(SUMPRODUCT((Inputs!$A$5:$A$230=$B83)*ISNUMBER(INDEX(Inputs!$K$5:$AJ$230,0,MATCH(I$2,Inputs!$K$4:$AJ$4,0))))+SUMPRODUCT((Inputs!$C$5:$C$230=$B83)*ISNUMBER(INDEX(Inputs!$K$5:$AJ$230,0,MATCH(I$2,Inputs!$K$4:$AJ$4,0))))+SUMPRODUCT((Inputs!$E$5:$E$230=$B83)*ISNUMBER(INDEX(Inputs!$K$5:$AJ$230,0,MATCH(I$2,Inputs!$K$4:$AJ$4,0))))=0,NA(),SUMPRODUCT((Inputs!$A$5:$A$230=$B83)*Inputs!$B$5:$B$230*(((Inputs!$G$5:$G$230="moeda")+(Inputs!$G$5:$G$230="acoes"))*Inputs!$B$1+((Inputs!$G$5:$G$230&lt;&gt;"moeda")*(Inputs!$G$5:$G$230&lt;&gt;"acoes")))*INDEX(Inputs!$K$5:$AJ$230,0,MATCH(I$2,Inputs!$K$4:$AJ$4,0)))+SUMPRODUCT((Inputs!$C$5:$C$230=$B83)*Inputs!$D$5:$D$230*(((Inputs!$G$5:$G$230="moeda")+(Inputs!$G$5:$G$230="acoes"))*Inputs!$B$1+((Inputs!$G$5:$G$230&lt;&gt;"moeda")*(Inputs!$G$5:$G$230&lt;&gt;"acoes")))*INDEX(Inputs!$K$5:$AJ$230,0,MATCH(I$2,Inputs!$K$4:$AJ$4,0)))+SUMPRODUCT((Inputs!$E$5:$E$230=$B83)*Inputs!$F$5:$F$230*(((Inputs!$G$5:$G$230="moeda")+(Inputs!$G$5:$G$230="acoes"))*Inputs!$B$1+((Inputs!$G$5:$G$230&lt;&gt;"moeda")*(Inputs!$G$5:$G$230&lt;&gt;"acoes")))*INDEX(Inputs!$K$5:$AJ$230,0,MATCH(I$2,Inputs!$K$4:$AJ$4,0)))))</f>
        <v>67.153</v>
      </c>
      <c r="J83" s="6">
        <f>IF(ISNA(MATCH(J$2,Inputs!$K$4:$AJ$4,0)),NA(),IF(SUMPRODUCT((Inputs!$A$5:$A$230=$B83)*ISNUMBER(INDEX(Inputs!$K$5:$AJ$230,0,MATCH(J$2,Inputs!$K$4:$AJ$4,0))))+SUMPRODUCT((Inputs!$C$5:$C$230=$B83)*ISNUMBER(INDEX(Inputs!$K$5:$AJ$230,0,MATCH(J$2,Inputs!$K$4:$AJ$4,0))))+SUMPRODUCT((Inputs!$E$5:$E$230=$B83)*ISNUMBER(INDEX(Inputs!$K$5:$AJ$230,0,MATCH(J$2,Inputs!$K$4:$AJ$4,0))))=0,NA(),SUMPRODUCT((Inputs!$A$5:$A$230=$B83)*Inputs!$B$5:$B$230*(((Inputs!$G$5:$G$230="moeda")+(Inputs!$G$5:$G$230="acoes"))*Inputs!$B$1+((Inputs!$G$5:$G$230&lt;&gt;"moeda")*(Inputs!$G$5:$G$230&lt;&gt;"acoes")))*INDEX(Inputs!$K$5:$AJ$230,0,MATCH(J$2,Inputs!$K$4:$AJ$4,0)))+SUMPRODUCT((Inputs!$C$5:$C$230=$B83)*Inputs!$D$5:$D$230*(((Inputs!$G$5:$G$230="moeda")+(Inputs!$G$5:$G$230="acoes"))*Inputs!$B$1+((Inputs!$G$5:$G$230&lt;&gt;"moeda")*(Inputs!$G$5:$G$230&lt;&gt;"acoes")))*INDEX(Inputs!$K$5:$AJ$230,0,MATCH(J$2,Inputs!$K$4:$AJ$4,0)))+SUMPRODUCT((Inputs!$E$5:$E$230=$B83)*Inputs!$F$5:$F$230*(((Inputs!$G$5:$G$230="moeda")+(Inputs!$G$5:$G$230="acoes"))*Inputs!$B$1+((Inputs!$G$5:$G$230&lt;&gt;"moeda")*(Inputs!$G$5:$G$230&lt;&gt;"acoes")))*INDEX(Inputs!$K$5:$AJ$230,0,MATCH(J$2,Inputs!$K$4:$AJ$4,0)))))</f>
        <v>85.085</v>
      </c>
      <c r="K83" s="6">
        <f>IF(ISNA(MATCH(K$2,Inputs!$K$4:$AJ$4,0)),NA(),IF(SUMPRODUCT((Inputs!$A$5:$A$230=$B83)*ISNUMBER(INDEX(Inputs!$K$5:$AJ$230,0,MATCH(K$2,Inputs!$K$4:$AJ$4,0))))+SUMPRODUCT((Inputs!$C$5:$C$230=$B83)*ISNUMBER(INDEX(Inputs!$K$5:$AJ$230,0,MATCH(K$2,Inputs!$K$4:$AJ$4,0))))+SUMPRODUCT((Inputs!$E$5:$E$230=$B83)*ISNUMBER(INDEX(Inputs!$K$5:$AJ$230,0,MATCH(K$2,Inputs!$K$4:$AJ$4,0))))=0,NA(),SUMPRODUCT((Inputs!$A$5:$A$230=$B83)*Inputs!$B$5:$B$230*(((Inputs!$G$5:$G$230="moeda")+(Inputs!$G$5:$G$230="acoes"))*Inputs!$B$1+((Inputs!$G$5:$G$230&lt;&gt;"moeda")*(Inputs!$G$5:$G$230&lt;&gt;"acoes")))*INDEX(Inputs!$K$5:$AJ$230,0,MATCH(K$2,Inputs!$K$4:$AJ$4,0)))+SUMPRODUCT((Inputs!$C$5:$C$230=$B83)*Inputs!$D$5:$D$230*(((Inputs!$G$5:$G$230="moeda")+(Inputs!$G$5:$G$230="acoes"))*Inputs!$B$1+((Inputs!$G$5:$G$230&lt;&gt;"moeda")*(Inputs!$G$5:$G$230&lt;&gt;"acoes")))*INDEX(Inputs!$K$5:$AJ$230,0,MATCH(K$2,Inputs!$K$4:$AJ$4,0)))+SUMPRODUCT((Inputs!$E$5:$E$230=$B83)*Inputs!$F$5:$F$230*(((Inputs!$G$5:$G$230="moeda")+(Inputs!$G$5:$G$230="acoes"))*Inputs!$B$1+((Inputs!$G$5:$G$230&lt;&gt;"moeda")*(Inputs!$G$5:$G$230&lt;&gt;"acoes")))*INDEX(Inputs!$K$5:$AJ$230,0,MATCH(K$2,Inputs!$K$4:$AJ$4,0)))))</f>
        <v>34.234</v>
      </c>
      <c r="L83" s="6">
        <f>IF(ISNA(MATCH(L$2,Inputs!$K$4:$AJ$4,0)),NA(),IF(SUMPRODUCT((Inputs!$A$5:$A$230=$B83)*ISNUMBER(INDEX(Inputs!$K$5:$AJ$230,0,MATCH(L$2,Inputs!$K$4:$AJ$4,0))))+SUMPRODUCT((Inputs!$C$5:$C$230=$B83)*ISNUMBER(INDEX(Inputs!$K$5:$AJ$230,0,MATCH(L$2,Inputs!$K$4:$AJ$4,0))))+SUMPRODUCT((Inputs!$E$5:$E$230=$B83)*ISNUMBER(INDEX(Inputs!$K$5:$AJ$230,0,MATCH(L$2,Inputs!$K$4:$AJ$4,0))))=0,NA(),SUMPRODUCT((Inputs!$A$5:$A$230=$B83)*Inputs!$B$5:$B$230*(((Inputs!$G$5:$G$230="moeda")+(Inputs!$G$5:$G$230="acoes"))*Inputs!$B$1+((Inputs!$G$5:$G$230&lt;&gt;"moeda")*(Inputs!$G$5:$G$230&lt;&gt;"acoes")))*INDEX(Inputs!$K$5:$AJ$230,0,MATCH(L$2,Inputs!$K$4:$AJ$4,0)))+SUMPRODUCT((Inputs!$C$5:$C$230=$B83)*Inputs!$D$5:$D$230*(((Inputs!$G$5:$G$230="moeda")+(Inputs!$G$5:$G$230="acoes"))*Inputs!$B$1+((Inputs!$G$5:$G$230&lt;&gt;"moeda")*(Inputs!$G$5:$G$230&lt;&gt;"acoes")))*INDEX(Inputs!$K$5:$AJ$230,0,MATCH(L$2,Inputs!$K$4:$AJ$4,0)))+SUMPRODUCT((Inputs!$E$5:$E$230=$B83)*Inputs!$F$5:$F$230*(((Inputs!$G$5:$G$230="moeda")+(Inputs!$G$5:$G$230="acoes"))*Inputs!$B$1+((Inputs!$G$5:$G$230&lt;&gt;"moeda")*(Inputs!$G$5:$G$230&lt;&gt;"acoes")))*INDEX(Inputs!$K$5:$AJ$230,0,MATCH(L$2,Inputs!$K$4:$AJ$4,0)))))</f>
        <v>48.279</v>
      </c>
      <c r="M83" s="3">
        <f>SUM(I83:L83)</f>
        <v>234.751</v>
      </c>
      <c r="N83" s="6">
        <f>IF(ISNA(MATCH(N$2,Inputs!$K$4:$AJ$4,0)),NA(),IF(SUMPRODUCT((Inputs!$A$5:$A$230=$B83)*ISNUMBER(INDEX(Inputs!$K$5:$AJ$230,0,MATCH(N$2,Inputs!$K$4:$AJ$4,0))))+SUMPRODUCT((Inputs!$C$5:$C$230=$B83)*ISNUMBER(INDEX(Inputs!$K$5:$AJ$230,0,MATCH(N$2,Inputs!$K$4:$AJ$4,0))))+SUMPRODUCT((Inputs!$E$5:$E$230=$B83)*ISNUMBER(INDEX(Inputs!$K$5:$AJ$230,0,MATCH(N$2,Inputs!$K$4:$AJ$4,0))))=0,NA(),SUMPRODUCT((Inputs!$A$5:$A$230=$B83)*Inputs!$B$5:$B$230*(((Inputs!$G$5:$G$230="moeda")+(Inputs!$G$5:$G$230="acoes"))*Inputs!$B$1+((Inputs!$G$5:$G$230&lt;&gt;"moeda")*(Inputs!$G$5:$G$230&lt;&gt;"acoes")))*INDEX(Inputs!$K$5:$AJ$230,0,MATCH(N$2,Inputs!$K$4:$AJ$4,0)))+SUMPRODUCT((Inputs!$C$5:$C$230=$B83)*Inputs!$D$5:$D$230*(((Inputs!$G$5:$G$230="moeda")+(Inputs!$G$5:$G$230="acoes"))*Inputs!$B$1+((Inputs!$G$5:$G$230&lt;&gt;"moeda")*(Inputs!$G$5:$G$230&lt;&gt;"acoes")))*INDEX(Inputs!$K$5:$AJ$230,0,MATCH(N$2,Inputs!$K$4:$AJ$4,0)))+SUMPRODUCT((Inputs!$E$5:$E$230=$B83)*Inputs!$F$5:$F$230*(((Inputs!$G$5:$G$230="moeda")+(Inputs!$G$5:$G$230="acoes"))*Inputs!$B$1+((Inputs!$G$5:$G$230&lt;&gt;"moeda")*(Inputs!$G$5:$G$230&lt;&gt;"acoes")))*INDEX(Inputs!$K$5:$AJ$230,0,MATCH(N$2,Inputs!$K$4:$AJ$4,0)))))</f>
        <v>66.291</v>
      </c>
      <c r="O83" s="6">
        <f>IF(ISNA(MATCH(O$2,Inputs!$K$4:$AJ$4,0)),NA(),IF(SUMPRODUCT((Inputs!$A$5:$A$230=$B83)*ISNUMBER(INDEX(Inputs!$K$5:$AJ$230,0,MATCH(O$2,Inputs!$K$4:$AJ$4,0))))+SUMPRODUCT((Inputs!$C$5:$C$230=$B83)*ISNUMBER(INDEX(Inputs!$K$5:$AJ$230,0,MATCH(O$2,Inputs!$K$4:$AJ$4,0))))+SUMPRODUCT((Inputs!$E$5:$E$230=$B83)*ISNUMBER(INDEX(Inputs!$K$5:$AJ$230,0,MATCH(O$2,Inputs!$K$4:$AJ$4,0))))=0,NA(),SUMPRODUCT((Inputs!$A$5:$A$230=$B83)*Inputs!$B$5:$B$230*(((Inputs!$G$5:$G$230="moeda")+(Inputs!$G$5:$G$230="acoes"))*Inputs!$B$1+((Inputs!$G$5:$G$230&lt;&gt;"moeda")*(Inputs!$G$5:$G$230&lt;&gt;"acoes")))*INDEX(Inputs!$K$5:$AJ$230,0,MATCH(O$2,Inputs!$K$4:$AJ$4,0)))+SUMPRODUCT((Inputs!$C$5:$C$230=$B83)*Inputs!$D$5:$D$230*(((Inputs!$G$5:$G$230="moeda")+(Inputs!$G$5:$G$230="acoes"))*Inputs!$B$1+((Inputs!$G$5:$G$230&lt;&gt;"moeda")*(Inputs!$G$5:$G$230&lt;&gt;"acoes")))*INDEX(Inputs!$K$5:$AJ$230,0,MATCH(O$2,Inputs!$K$4:$AJ$4,0)))+SUMPRODUCT((Inputs!$E$5:$E$230=$B83)*Inputs!$F$5:$F$230*(((Inputs!$G$5:$G$230="moeda")+(Inputs!$G$5:$G$230="acoes"))*Inputs!$B$1+((Inputs!$G$5:$G$230&lt;&gt;"moeda")*(Inputs!$G$5:$G$230&lt;&gt;"acoes")))*INDEX(Inputs!$K$5:$AJ$230,0,MATCH(O$2,Inputs!$K$4:$AJ$4,0)))))</f>
        <v>61.707</v>
      </c>
      <c r="P83" s="6">
        <f>IF(ISNA(MATCH(P$2,Inputs!$K$4:$AJ$4,0)),NA(),IF(SUMPRODUCT((Inputs!$A$5:$A$230=$B83)*ISNUMBER(INDEX(Inputs!$K$5:$AJ$230,0,MATCH(P$2,Inputs!$K$4:$AJ$4,0))))+SUMPRODUCT((Inputs!$C$5:$C$230=$B83)*ISNUMBER(INDEX(Inputs!$K$5:$AJ$230,0,MATCH(P$2,Inputs!$K$4:$AJ$4,0))))+SUMPRODUCT((Inputs!$E$5:$E$230=$B83)*ISNUMBER(INDEX(Inputs!$K$5:$AJ$230,0,MATCH(P$2,Inputs!$K$4:$AJ$4,0))))=0,NA(),SUMPRODUCT((Inputs!$A$5:$A$230=$B83)*Inputs!$B$5:$B$230*(((Inputs!$G$5:$G$230="moeda")+(Inputs!$G$5:$G$230="acoes"))*Inputs!$B$1+((Inputs!$G$5:$G$230&lt;&gt;"moeda")*(Inputs!$G$5:$G$230&lt;&gt;"acoes")))*INDEX(Inputs!$K$5:$AJ$230,0,MATCH(P$2,Inputs!$K$4:$AJ$4,0)))+SUMPRODUCT((Inputs!$C$5:$C$230=$B83)*Inputs!$D$5:$D$230*(((Inputs!$G$5:$G$230="moeda")+(Inputs!$G$5:$G$230="acoes"))*Inputs!$B$1+((Inputs!$G$5:$G$230&lt;&gt;"moeda")*(Inputs!$G$5:$G$230&lt;&gt;"acoes")))*INDEX(Inputs!$K$5:$AJ$230,0,MATCH(P$2,Inputs!$K$4:$AJ$4,0)))+SUMPRODUCT((Inputs!$E$5:$E$230=$B83)*Inputs!$F$5:$F$230*(((Inputs!$G$5:$G$230="moeda")+(Inputs!$G$5:$G$230="acoes"))*Inputs!$B$1+((Inputs!$G$5:$G$230&lt;&gt;"moeda")*(Inputs!$G$5:$G$230&lt;&gt;"acoes")))*INDEX(Inputs!$K$5:$AJ$230,0,MATCH(P$2,Inputs!$K$4:$AJ$4,0)))))</f>
        <v>43.673</v>
      </c>
      <c r="Q83" s="6">
        <f>IF(ISNA(MATCH(Q$2,Inputs!$K$4:$AJ$4,0)),NA(),IF(SUMPRODUCT((Inputs!$A$5:$A$230=$B83)*ISNUMBER(INDEX(Inputs!$K$5:$AJ$230,0,MATCH(Q$2,Inputs!$K$4:$AJ$4,0))))+SUMPRODUCT((Inputs!$C$5:$C$230=$B83)*ISNUMBER(INDEX(Inputs!$K$5:$AJ$230,0,MATCH(Q$2,Inputs!$K$4:$AJ$4,0))))+SUMPRODUCT((Inputs!$E$5:$E$230=$B83)*ISNUMBER(INDEX(Inputs!$K$5:$AJ$230,0,MATCH(Q$2,Inputs!$K$4:$AJ$4,0))))=0,NA(),SUMPRODUCT((Inputs!$A$5:$A$230=$B83)*Inputs!$B$5:$B$230*(((Inputs!$G$5:$G$230="moeda")+(Inputs!$G$5:$G$230="acoes"))*Inputs!$B$1+((Inputs!$G$5:$G$230&lt;&gt;"moeda")*(Inputs!$G$5:$G$230&lt;&gt;"acoes")))*INDEX(Inputs!$K$5:$AJ$230,0,MATCH(Q$2,Inputs!$K$4:$AJ$4,0)))+SUMPRODUCT((Inputs!$C$5:$C$230=$B83)*Inputs!$D$5:$D$230*(((Inputs!$G$5:$G$230="moeda")+(Inputs!$G$5:$G$230="acoes"))*Inputs!$B$1+((Inputs!$G$5:$G$230&lt;&gt;"moeda")*(Inputs!$G$5:$G$230&lt;&gt;"acoes")))*INDEX(Inputs!$K$5:$AJ$230,0,MATCH(Q$2,Inputs!$K$4:$AJ$4,0)))+SUMPRODUCT((Inputs!$E$5:$E$230=$B83)*Inputs!$F$5:$F$230*(((Inputs!$G$5:$G$230="moeda")+(Inputs!$G$5:$G$230="acoes"))*Inputs!$B$1+((Inputs!$G$5:$G$230&lt;&gt;"moeda")*(Inputs!$G$5:$G$230&lt;&gt;"acoes")))*INDEX(Inputs!$K$5:$AJ$230,0,MATCH(Q$2,Inputs!$K$4:$AJ$4,0)))))</f>
        <v>50.732</v>
      </c>
      <c r="R83" s="3">
        <f>SUM(N83:Q83)</f>
        <v>222.403</v>
      </c>
      <c r="S83" s="6">
        <f>IF(ISNA(MATCH(S$2,Inputs!$K$4:$AJ$4,0)),NA(),IF(SUMPRODUCT((Inputs!$A$5:$A$230=$B83)*ISNUMBER(INDEX(Inputs!$K$5:$AJ$230,0,MATCH(S$2,Inputs!$K$4:$AJ$4,0))))+SUMPRODUCT((Inputs!$C$5:$C$230=$B83)*ISNUMBER(INDEX(Inputs!$K$5:$AJ$230,0,MATCH(S$2,Inputs!$K$4:$AJ$4,0))))+SUMPRODUCT((Inputs!$E$5:$E$230=$B83)*ISNUMBER(INDEX(Inputs!$K$5:$AJ$230,0,MATCH(S$2,Inputs!$K$4:$AJ$4,0))))=0,NA(),SUMPRODUCT((Inputs!$A$5:$A$230=$B83)*Inputs!$B$5:$B$230*(((Inputs!$G$5:$G$230="moeda")+(Inputs!$G$5:$G$230="acoes"))*Inputs!$B$1+((Inputs!$G$5:$G$230&lt;&gt;"moeda")*(Inputs!$G$5:$G$230&lt;&gt;"acoes")))*INDEX(Inputs!$K$5:$AJ$230,0,MATCH(S$2,Inputs!$K$4:$AJ$4,0)))+SUMPRODUCT((Inputs!$C$5:$C$230=$B83)*Inputs!$D$5:$D$230*(((Inputs!$G$5:$G$230="moeda")+(Inputs!$G$5:$G$230="acoes"))*Inputs!$B$1+((Inputs!$G$5:$G$230&lt;&gt;"moeda")*(Inputs!$G$5:$G$230&lt;&gt;"acoes")))*INDEX(Inputs!$K$5:$AJ$230,0,MATCH(S$2,Inputs!$K$4:$AJ$4,0)))+SUMPRODUCT((Inputs!$E$5:$E$230=$B83)*Inputs!$F$5:$F$230*(((Inputs!$G$5:$G$230="moeda")+(Inputs!$G$5:$G$230="acoes"))*Inputs!$B$1+((Inputs!$G$5:$G$230&lt;&gt;"moeda")*(Inputs!$G$5:$G$230&lt;&gt;"acoes")))*INDEX(Inputs!$K$5:$AJ$230,0,MATCH(S$2,Inputs!$K$4:$AJ$4,0)))))</f>
        <v>65.824</v>
      </c>
      <c r="T83" s="6">
        <f>IF(ISNA(MATCH(T$2,Inputs!$K$4:$AJ$4,0)),NA(),IF(SUMPRODUCT((Inputs!$A$5:$A$230=$B83)*ISNUMBER(INDEX(Inputs!$K$5:$AJ$230,0,MATCH(T$2,Inputs!$K$4:$AJ$4,0))))+SUMPRODUCT((Inputs!$C$5:$C$230=$B83)*ISNUMBER(INDEX(Inputs!$K$5:$AJ$230,0,MATCH(T$2,Inputs!$K$4:$AJ$4,0))))+SUMPRODUCT((Inputs!$E$5:$E$230=$B83)*ISNUMBER(INDEX(Inputs!$K$5:$AJ$230,0,MATCH(T$2,Inputs!$K$4:$AJ$4,0))))=0,NA(),SUMPRODUCT((Inputs!$A$5:$A$230=$B83)*Inputs!$B$5:$B$230*(((Inputs!$G$5:$G$230="moeda")+(Inputs!$G$5:$G$230="acoes"))*Inputs!$B$1+((Inputs!$G$5:$G$230&lt;&gt;"moeda")*(Inputs!$G$5:$G$230&lt;&gt;"acoes")))*INDEX(Inputs!$K$5:$AJ$230,0,MATCH(T$2,Inputs!$K$4:$AJ$4,0)))+SUMPRODUCT((Inputs!$C$5:$C$230=$B83)*Inputs!$D$5:$D$230*(((Inputs!$G$5:$G$230="moeda")+(Inputs!$G$5:$G$230="acoes"))*Inputs!$B$1+((Inputs!$G$5:$G$230&lt;&gt;"moeda")*(Inputs!$G$5:$G$230&lt;&gt;"acoes")))*INDEX(Inputs!$K$5:$AJ$230,0,MATCH(T$2,Inputs!$K$4:$AJ$4,0)))+SUMPRODUCT((Inputs!$E$5:$E$230=$B83)*Inputs!$F$5:$F$230*(((Inputs!$G$5:$G$230="moeda")+(Inputs!$G$5:$G$230="acoes"))*Inputs!$B$1+((Inputs!$G$5:$G$230&lt;&gt;"moeda")*(Inputs!$G$5:$G$230&lt;&gt;"acoes")))*INDEX(Inputs!$K$5:$AJ$230,0,MATCH(T$2,Inputs!$K$4:$AJ$4,0)))))</f>
        <v>55.423</v>
      </c>
      <c r="U83" s="6">
        <f>IF(ISNA(MATCH(U$2,Inputs!$K$4:$AJ$4,0)),NA(),IF(SUMPRODUCT((Inputs!$A$5:$A$230=$B83)*ISNUMBER(INDEX(Inputs!$K$5:$AJ$230,0,MATCH(U$2,Inputs!$K$4:$AJ$4,0))))+SUMPRODUCT((Inputs!$C$5:$C$230=$B83)*ISNUMBER(INDEX(Inputs!$K$5:$AJ$230,0,MATCH(U$2,Inputs!$K$4:$AJ$4,0))))+SUMPRODUCT((Inputs!$E$5:$E$230=$B83)*ISNUMBER(INDEX(Inputs!$K$5:$AJ$230,0,MATCH(U$2,Inputs!$K$4:$AJ$4,0))))=0,NA(),SUMPRODUCT((Inputs!$A$5:$A$230=$B83)*Inputs!$B$5:$B$230*(((Inputs!$G$5:$G$230="moeda")+(Inputs!$G$5:$G$230="acoes"))*Inputs!$B$1+((Inputs!$G$5:$G$230&lt;&gt;"moeda")*(Inputs!$G$5:$G$230&lt;&gt;"acoes")))*INDEX(Inputs!$K$5:$AJ$230,0,MATCH(U$2,Inputs!$K$4:$AJ$4,0)))+SUMPRODUCT((Inputs!$C$5:$C$230=$B83)*Inputs!$D$5:$D$230*(((Inputs!$G$5:$G$230="moeda")+(Inputs!$G$5:$G$230="acoes"))*Inputs!$B$1+((Inputs!$G$5:$G$230&lt;&gt;"moeda")*(Inputs!$G$5:$G$230&lt;&gt;"acoes")))*INDEX(Inputs!$K$5:$AJ$230,0,MATCH(U$2,Inputs!$K$4:$AJ$4,0)))+SUMPRODUCT((Inputs!$E$5:$E$230=$B83)*Inputs!$F$5:$F$230*(((Inputs!$G$5:$G$230="moeda")+(Inputs!$G$5:$G$230="acoes"))*Inputs!$B$1+((Inputs!$G$5:$G$230&lt;&gt;"moeda")*(Inputs!$G$5:$G$230&lt;&gt;"acoes")))*INDEX(Inputs!$K$5:$AJ$230,0,MATCH(U$2,Inputs!$K$4:$AJ$4,0)))))</f>
        <v>48.921</v>
      </c>
      <c r="V83" s="6">
        <f>IF(ISNA(MATCH(V$2,Inputs!$K$4:$AJ$4,0)),NA(),IF(SUMPRODUCT((Inputs!$A$5:$A$230=$B83)*ISNUMBER(INDEX(Inputs!$K$5:$AJ$230,0,MATCH(V$2,Inputs!$K$4:$AJ$4,0))))+SUMPRODUCT((Inputs!$C$5:$C$230=$B83)*ISNUMBER(INDEX(Inputs!$K$5:$AJ$230,0,MATCH(V$2,Inputs!$K$4:$AJ$4,0))))+SUMPRODUCT((Inputs!$E$5:$E$230=$B83)*ISNUMBER(INDEX(Inputs!$K$5:$AJ$230,0,MATCH(V$2,Inputs!$K$4:$AJ$4,0))))=0,NA(),SUMPRODUCT((Inputs!$A$5:$A$230=$B83)*Inputs!$B$5:$B$230*(((Inputs!$G$5:$G$230="moeda")+(Inputs!$G$5:$G$230="acoes"))*Inputs!$B$1+((Inputs!$G$5:$G$230&lt;&gt;"moeda")*(Inputs!$G$5:$G$230&lt;&gt;"acoes")))*INDEX(Inputs!$K$5:$AJ$230,0,MATCH(V$2,Inputs!$K$4:$AJ$4,0)))+SUMPRODUCT((Inputs!$C$5:$C$230=$B83)*Inputs!$D$5:$D$230*(((Inputs!$G$5:$G$230="moeda")+(Inputs!$G$5:$G$230="acoes"))*Inputs!$B$1+((Inputs!$G$5:$G$230&lt;&gt;"moeda")*(Inputs!$G$5:$G$230&lt;&gt;"acoes")))*INDEX(Inputs!$K$5:$AJ$230,0,MATCH(V$2,Inputs!$K$4:$AJ$4,0)))+SUMPRODUCT((Inputs!$E$5:$E$230=$B83)*Inputs!$F$5:$F$230*(((Inputs!$G$5:$G$230="moeda")+(Inputs!$G$5:$G$230="acoes"))*Inputs!$B$1+((Inputs!$G$5:$G$230&lt;&gt;"moeda")*(Inputs!$G$5:$G$230&lt;&gt;"acoes")))*INDEX(Inputs!$K$5:$AJ$230,0,MATCH(V$2,Inputs!$K$4:$AJ$4,0)))))</f>
        <v>60.884</v>
      </c>
      <c r="W83" s="3">
        <f>SUM(S83:V83)</f>
        <v>231.052</v>
      </c>
      <c r="X83" s="6">
        <f>IF(ISNA(MATCH(X$2,Inputs!$K$4:$AJ$4,0)),NA(),IF(SUMPRODUCT((Inputs!$A$5:$A$230=$B83)*ISNUMBER(INDEX(Inputs!$K$5:$AJ$230,0,MATCH(X$2,Inputs!$K$4:$AJ$4,0))))+SUMPRODUCT((Inputs!$C$5:$C$230=$B83)*ISNUMBER(INDEX(Inputs!$K$5:$AJ$230,0,MATCH(X$2,Inputs!$K$4:$AJ$4,0))))+SUMPRODUCT((Inputs!$E$5:$E$230=$B83)*ISNUMBER(INDEX(Inputs!$K$5:$AJ$230,0,MATCH(X$2,Inputs!$K$4:$AJ$4,0))))=0,NA(),SUMPRODUCT((Inputs!$A$5:$A$230=$B83)*Inputs!$B$5:$B$230*(((Inputs!$G$5:$G$230="moeda")+(Inputs!$G$5:$G$230="acoes"))*Inputs!$B$1+((Inputs!$G$5:$G$230&lt;&gt;"moeda")*(Inputs!$G$5:$G$230&lt;&gt;"acoes")))*INDEX(Inputs!$K$5:$AJ$230,0,MATCH(X$2,Inputs!$K$4:$AJ$4,0)))+SUMPRODUCT((Inputs!$C$5:$C$230=$B83)*Inputs!$D$5:$D$230*(((Inputs!$G$5:$G$230="moeda")+(Inputs!$G$5:$G$230="acoes"))*Inputs!$B$1+((Inputs!$G$5:$G$230&lt;&gt;"moeda")*(Inputs!$G$5:$G$230&lt;&gt;"acoes")))*INDEX(Inputs!$K$5:$AJ$230,0,MATCH(X$2,Inputs!$K$4:$AJ$4,0)))+SUMPRODUCT((Inputs!$E$5:$E$230=$B83)*Inputs!$F$5:$F$230*(((Inputs!$G$5:$G$230="moeda")+(Inputs!$G$5:$G$230="acoes"))*Inputs!$B$1+((Inputs!$G$5:$G$230&lt;&gt;"moeda")*(Inputs!$G$5:$G$230&lt;&gt;"acoes")))*INDEX(Inputs!$K$5:$AJ$230,0,MATCH(X$2,Inputs!$K$4:$AJ$4,0)))))</f>
        <v>70.733</v>
      </c>
      <c r="Y83" s="6">
        <f>IF(ISNA(MATCH(Y$2,Inputs!$K$4:$AJ$4,0)),NA(),IF(SUMPRODUCT((Inputs!$A$5:$A$230=$B83)*ISNUMBER(INDEX(Inputs!$K$5:$AJ$230,0,MATCH(Y$2,Inputs!$K$4:$AJ$4,0))))+SUMPRODUCT((Inputs!$C$5:$C$230=$B83)*ISNUMBER(INDEX(Inputs!$K$5:$AJ$230,0,MATCH(Y$2,Inputs!$K$4:$AJ$4,0))))+SUMPRODUCT((Inputs!$E$5:$E$230=$B83)*ISNUMBER(INDEX(Inputs!$K$5:$AJ$230,0,MATCH(Y$2,Inputs!$K$4:$AJ$4,0))))=0,NA(),SUMPRODUCT((Inputs!$A$5:$A$230=$B83)*Inputs!$B$5:$B$230*(((Inputs!$G$5:$G$230="moeda")+(Inputs!$G$5:$G$230="acoes"))*Inputs!$B$1+((Inputs!$G$5:$G$230&lt;&gt;"moeda")*(Inputs!$G$5:$G$230&lt;&gt;"acoes")))*INDEX(Inputs!$K$5:$AJ$230,0,MATCH(Y$2,Inputs!$K$4:$AJ$4,0)))+SUMPRODUCT((Inputs!$C$5:$C$230=$B83)*Inputs!$D$5:$D$230*(((Inputs!$G$5:$G$230="moeda")+(Inputs!$G$5:$G$230="acoes"))*Inputs!$B$1+((Inputs!$G$5:$G$230&lt;&gt;"moeda")*(Inputs!$G$5:$G$230&lt;&gt;"acoes")))*INDEX(Inputs!$K$5:$AJ$230,0,MATCH(Y$2,Inputs!$K$4:$AJ$4,0)))+SUMPRODUCT((Inputs!$E$5:$E$230=$B83)*Inputs!$F$5:$F$230*(((Inputs!$G$5:$G$230="moeda")+(Inputs!$G$5:$G$230="acoes"))*Inputs!$B$1+((Inputs!$G$5:$G$230&lt;&gt;"moeda")*(Inputs!$G$5:$G$230&lt;&gt;"acoes")))*INDEX(Inputs!$K$5:$AJ$230,0,MATCH(Y$2,Inputs!$K$4:$AJ$4,0)))))</f>
        <v>61.248</v>
      </c>
      <c r="Z83" s="6">
        <f>IF(ISNA(MATCH(Z$2,Inputs!$K$4:$AJ$4,0)),NA(),IF(SUMPRODUCT((Inputs!$A$5:$A$230=$B83)*ISNUMBER(INDEX(Inputs!$K$5:$AJ$230,0,MATCH(Z$2,Inputs!$K$4:$AJ$4,0))))+SUMPRODUCT((Inputs!$C$5:$C$230=$B83)*ISNUMBER(INDEX(Inputs!$K$5:$AJ$230,0,MATCH(Z$2,Inputs!$K$4:$AJ$4,0))))+SUMPRODUCT((Inputs!$E$5:$E$230=$B83)*ISNUMBER(INDEX(Inputs!$K$5:$AJ$230,0,MATCH(Z$2,Inputs!$K$4:$AJ$4,0))))=0,NA(),SUMPRODUCT((Inputs!$A$5:$A$230=$B83)*Inputs!$B$5:$B$230*(((Inputs!$G$5:$G$230="moeda")+(Inputs!$G$5:$G$230="acoes"))*Inputs!$B$1+((Inputs!$G$5:$G$230&lt;&gt;"moeda")*(Inputs!$G$5:$G$230&lt;&gt;"acoes")))*INDEX(Inputs!$K$5:$AJ$230,0,MATCH(Z$2,Inputs!$K$4:$AJ$4,0)))+SUMPRODUCT((Inputs!$C$5:$C$230=$B83)*Inputs!$D$5:$D$230*(((Inputs!$G$5:$G$230="moeda")+(Inputs!$G$5:$G$230="acoes"))*Inputs!$B$1+((Inputs!$G$5:$G$230&lt;&gt;"moeda")*(Inputs!$G$5:$G$230&lt;&gt;"acoes")))*INDEX(Inputs!$K$5:$AJ$230,0,MATCH(Z$2,Inputs!$K$4:$AJ$4,0)))+SUMPRODUCT((Inputs!$E$5:$E$230=$B83)*Inputs!$F$5:$F$230*(((Inputs!$G$5:$G$230="moeda")+(Inputs!$G$5:$G$230="acoes"))*Inputs!$B$1+((Inputs!$G$5:$G$230&lt;&gt;"moeda")*(Inputs!$G$5:$G$230&lt;&gt;"acoes")))*INDEX(Inputs!$K$5:$AJ$230,0,MATCH(Z$2,Inputs!$K$4:$AJ$4,0)))))</f>
        <v>48.419</v>
      </c>
      <c r="AA83" s="6">
        <f>IF(ISNA(MATCH(AA$2,Inputs!$K$4:$AJ$4,0)),NA(),IF(SUMPRODUCT((Inputs!$A$5:$A$230=$B83)*ISNUMBER(INDEX(Inputs!$K$5:$AJ$230,0,MATCH(AA$2,Inputs!$K$4:$AJ$4,0))))+SUMPRODUCT((Inputs!$C$5:$C$230=$B83)*ISNUMBER(INDEX(Inputs!$K$5:$AJ$230,0,MATCH(AA$2,Inputs!$K$4:$AJ$4,0))))+SUMPRODUCT((Inputs!$E$5:$E$230=$B83)*ISNUMBER(INDEX(Inputs!$K$5:$AJ$230,0,MATCH(AA$2,Inputs!$K$4:$AJ$4,0))))=0,NA(),SUMPRODUCT((Inputs!$A$5:$A$230=$B83)*Inputs!$B$5:$B$230*(((Inputs!$G$5:$G$230="moeda")+(Inputs!$G$5:$G$230="acoes"))*Inputs!$B$1+((Inputs!$G$5:$G$230&lt;&gt;"moeda")*(Inputs!$G$5:$G$230&lt;&gt;"acoes")))*INDEX(Inputs!$K$5:$AJ$230,0,MATCH(AA$2,Inputs!$K$4:$AJ$4,0)))+SUMPRODUCT((Inputs!$C$5:$C$230=$B83)*Inputs!$D$5:$D$230*(((Inputs!$G$5:$G$230="moeda")+(Inputs!$G$5:$G$230="acoes"))*Inputs!$B$1+((Inputs!$G$5:$G$230&lt;&gt;"moeda")*(Inputs!$G$5:$G$230&lt;&gt;"acoes")))*INDEX(Inputs!$K$5:$AJ$230,0,MATCH(AA$2,Inputs!$K$4:$AJ$4,0)))+SUMPRODUCT((Inputs!$E$5:$E$230=$B83)*Inputs!$F$5:$F$230*(((Inputs!$G$5:$G$230="moeda")+(Inputs!$G$5:$G$230="acoes"))*Inputs!$B$1+((Inputs!$G$5:$G$230&lt;&gt;"moeda")*(Inputs!$G$5:$G$230&lt;&gt;"acoes")))*INDEX(Inputs!$K$5:$AJ$230,0,MATCH(AA$2,Inputs!$K$4:$AJ$4,0)))))</f>
        <v>51.914</v>
      </c>
      <c r="AB83" s="3">
        <f>SUM(X83:AA83)</f>
        <v>232.314</v>
      </c>
      <c r="AC83" s="6">
        <f>IF(ISNA(MATCH(AC$2,Inputs!$K$4:$AJ$4,0)),NA(),IF(SUMPRODUCT((Inputs!$A$5:$A$230=$B83)*ISNUMBER(INDEX(Inputs!$K$5:$AJ$230,0,MATCH(AC$2,Inputs!$K$4:$AJ$4,0))))+SUMPRODUCT((Inputs!$C$5:$C$230=$B83)*ISNUMBER(INDEX(Inputs!$K$5:$AJ$230,0,MATCH(AC$2,Inputs!$K$4:$AJ$4,0))))+SUMPRODUCT((Inputs!$E$5:$E$230=$B83)*ISNUMBER(INDEX(Inputs!$K$5:$AJ$230,0,MATCH(AC$2,Inputs!$K$4:$AJ$4,0))))=0,NA(),SUMPRODUCT((Inputs!$A$5:$A$230=$B83)*Inputs!$B$5:$B$230*(((Inputs!$G$5:$G$230="moeda")+(Inputs!$G$5:$G$230="acoes"))*Inputs!$B$1+((Inputs!$G$5:$G$230&lt;&gt;"moeda")*(Inputs!$G$5:$G$230&lt;&gt;"acoes")))*INDEX(Inputs!$K$5:$AJ$230,0,MATCH(AC$2,Inputs!$K$4:$AJ$4,0)))+SUMPRODUCT((Inputs!$C$5:$C$230=$B83)*Inputs!$D$5:$D$230*(((Inputs!$G$5:$G$230="moeda")+(Inputs!$G$5:$G$230="acoes"))*Inputs!$B$1+((Inputs!$G$5:$G$230&lt;&gt;"moeda")*(Inputs!$G$5:$G$230&lt;&gt;"acoes")))*INDEX(Inputs!$K$5:$AJ$230,0,MATCH(AC$2,Inputs!$K$4:$AJ$4,0)))+SUMPRODUCT((Inputs!$E$5:$E$230=$B83)*Inputs!$F$5:$F$230*(((Inputs!$G$5:$G$230="moeda")+(Inputs!$G$5:$G$230="acoes"))*Inputs!$B$1+((Inputs!$G$5:$G$230&lt;&gt;"moeda")*(Inputs!$G$5:$G$230&lt;&gt;"acoes")))*INDEX(Inputs!$K$5:$AJ$230,0,MATCH(AC$2,Inputs!$K$4:$AJ$4,0)))))</f>
        <v>63.51</v>
      </c>
      <c r="AD83" s="6">
        <f>IF(ISNA(MATCH(AD$2,Inputs!$K$4:$AJ$4,0)),NA(),IF(SUMPRODUCT((Inputs!$A$5:$A$230=$B83)*ISNUMBER(INDEX(Inputs!$K$5:$AJ$230,0,MATCH(AD$2,Inputs!$K$4:$AJ$4,0))))+SUMPRODUCT((Inputs!$C$5:$C$230=$B83)*ISNUMBER(INDEX(Inputs!$K$5:$AJ$230,0,MATCH(AD$2,Inputs!$K$4:$AJ$4,0))))+SUMPRODUCT((Inputs!$E$5:$E$230=$B83)*ISNUMBER(INDEX(Inputs!$K$5:$AJ$230,0,MATCH(AD$2,Inputs!$K$4:$AJ$4,0))))=0,NA(),SUMPRODUCT((Inputs!$A$5:$A$230=$B83)*Inputs!$B$5:$B$230*(((Inputs!$G$5:$G$230="moeda")+(Inputs!$G$5:$G$230="acoes"))*Inputs!$B$1+((Inputs!$G$5:$G$230&lt;&gt;"moeda")*(Inputs!$G$5:$G$230&lt;&gt;"acoes")))*INDEX(Inputs!$K$5:$AJ$230,0,MATCH(AD$2,Inputs!$K$4:$AJ$4,0)))+SUMPRODUCT((Inputs!$C$5:$C$230=$B83)*Inputs!$D$5:$D$230*(((Inputs!$G$5:$G$230="moeda")+(Inputs!$G$5:$G$230="acoes"))*Inputs!$B$1+((Inputs!$G$5:$G$230&lt;&gt;"moeda")*(Inputs!$G$5:$G$230&lt;&gt;"acoes")))*INDEX(Inputs!$K$5:$AJ$230,0,MATCH(AD$2,Inputs!$K$4:$AJ$4,0)))+SUMPRODUCT((Inputs!$E$5:$E$230=$B83)*Inputs!$F$5:$F$230*(((Inputs!$G$5:$G$230="moeda")+(Inputs!$G$5:$G$230="acoes"))*Inputs!$B$1+((Inputs!$G$5:$G$230&lt;&gt;"moeda")*(Inputs!$G$5:$G$230&lt;&gt;"acoes")))*INDEX(Inputs!$K$5:$AJ$230,0,MATCH(AD$2,Inputs!$K$4:$AJ$4,0)))))</f>
        <v>76.682</v>
      </c>
      <c r="AE83" s="6" t="e">
        <f>IF(ISNA(MATCH(AE$2,Inputs!$K$4:$AJ$4,0)),NA(),IF(SUMPRODUCT((Inputs!$A$5:$A$230=$B83)*ISNUMBER(INDEX(Inputs!$K$5:$AJ$230,0,MATCH(AE$2,Inputs!$K$4:$AJ$4,0))))+SUMPRODUCT((Inputs!$C$5:$C$230=$B83)*ISNUMBER(INDEX(Inputs!$K$5:$AJ$230,0,MATCH(AE$2,Inputs!$K$4:$AJ$4,0))))+SUMPRODUCT((Inputs!$E$5:$E$230=$B83)*ISNUMBER(INDEX(Inputs!$K$5:$AJ$230,0,MATCH(AE$2,Inputs!$K$4:$AJ$4,0))))=0,NA(),SUMPRODUCT((Inputs!$A$5:$A$230=$B83)*Inputs!$B$5:$B$230*(((Inputs!$G$5:$G$230="moeda")+(Inputs!$G$5:$G$230="acoes"))*Inputs!$B$1+((Inputs!$G$5:$G$230&lt;&gt;"moeda")*(Inputs!$G$5:$G$230&lt;&gt;"acoes")))*INDEX(Inputs!$K$5:$AJ$230,0,MATCH(AE$2,Inputs!$K$4:$AJ$4,0)))+SUMPRODUCT((Inputs!$C$5:$C$230=$B83)*Inputs!$D$5:$D$230*(((Inputs!$G$5:$G$230="moeda")+(Inputs!$G$5:$G$230="acoes"))*Inputs!$B$1+((Inputs!$G$5:$G$230&lt;&gt;"moeda")*(Inputs!$G$5:$G$230&lt;&gt;"acoes")))*INDEX(Inputs!$K$5:$AJ$230,0,MATCH(AE$2,Inputs!$K$4:$AJ$4,0)))+SUMPRODUCT((Inputs!$E$5:$E$230=$B83)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3" s="6" t="e">
        <f>IF(ISNA(MATCH(AF$2,Inputs!$K$4:$AJ$4,0)),NA(),IF(SUMPRODUCT((Inputs!$A$5:$A$230=$B83)*ISNUMBER(INDEX(Inputs!$K$5:$AJ$230,0,MATCH(AF$2,Inputs!$K$4:$AJ$4,0))))+SUMPRODUCT((Inputs!$C$5:$C$230=$B83)*ISNUMBER(INDEX(Inputs!$K$5:$AJ$230,0,MATCH(AF$2,Inputs!$K$4:$AJ$4,0))))+SUMPRODUCT((Inputs!$E$5:$E$230=$B83)*ISNUMBER(INDEX(Inputs!$K$5:$AJ$230,0,MATCH(AF$2,Inputs!$K$4:$AJ$4,0))))=0,NA(),SUMPRODUCT((Inputs!$A$5:$A$230=$B83)*Inputs!$B$5:$B$230*(((Inputs!$G$5:$G$230="moeda")+(Inputs!$G$5:$G$230="acoes"))*Inputs!$B$1+((Inputs!$G$5:$G$230&lt;&gt;"moeda")*(Inputs!$G$5:$G$230&lt;&gt;"acoes")))*INDEX(Inputs!$K$5:$AJ$230,0,MATCH(AF$2,Inputs!$K$4:$AJ$4,0)))+SUMPRODUCT((Inputs!$C$5:$C$230=$B83)*Inputs!$D$5:$D$230*(((Inputs!$G$5:$G$230="moeda")+(Inputs!$G$5:$G$230="acoes"))*Inputs!$B$1+((Inputs!$G$5:$G$230&lt;&gt;"moeda")*(Inputs!$G$5:$G$230&lt;&gt;"acoes")))*INDEX(Inputs!$K$5:$AJ$230,0,MATCH(AF$2,Inputs!$K$4:$AJ$4,0)))+SUMPRODUCT((Inputs!$E$5:$E$230=$B83)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3" s="3" t="e">
        <f>SUM(AC83:AF83)</f>
        <v>#N/A</v>
      </c>
      <c r="AH83" s="6">
        <f>IF(ISNA(MATCH(AH$2,Inputs!$K$4:$AJ$4,0)),NA(),IF(SUMPRODUCT((Inputs!$A$5:$A$230=$B83)*ISNUMBER(INDEX(Inputs!$K$5:$AJ$230,0,MATCH(AH$2,Inputs!$K$4:$AJ$4,0))))+SUMPRODUCT((Inputs!$C$5:$C$230=$B83)*ISNUMBER(INDEX(Inputs!$K$5:$AJ$230,0,MATCH(AH$2,Inputs!$K$4:$AJ$4,0))))+SUMPRODUCT((Inputs!$E$5:$E$230=$B83)*ISNUMBER(INDEX(Inputs!$K$5:$AJ$230,0,MATCH(AH$2,Inputs!$K$4:$AJ$4,0))))=0,NA(),SUMPRODUCT((Inputs!$A$5:$A$230=$B83)*Inputs!$B$5:$B$230*(((Inputs!$G$5:$G$230="moeda")+(Inputs!$G$5:$G$230="acoes"))*Inputs!$B$1+((Inputs!$G$5:$G$230&lt;&gt;"moeda")*(Inputs!$G$5:$G$230&lt;&gt;"acoes")))*INDEX(Inputs!$K$5:$AJ$230,0,MATCH(AH$2,Inputs!$K$4:$AJ$4,0)))+SUMPRODUCT((Inputs!$C$5:$C$230=$B83)*Inputs!$D$5:$D$230*(((Inputs!$G$5:$G$230="moeda")+(Inputs!$G$5:$G$230="acoes"))*Inputs!$B$1+((Inputs!$G$5:$G$230&lt;&gt;"moeda")*(Inputs!$G$5:$G$230&lt;&gt;"acoes")))*INDEX(Inputs!$K$5:$AJ$230,0,MATCH(AH$2,Inputs!$K$4:$AJ$4,0)))+SUMPRODUCT((Inputs!$E$5:$E$230=$B83)*Inputs!$F$5:$F$230*(((Inputs!$G$5:$G$230="moeda")+(Inputs!$G$5:$G$230="acoes"))*Inputs!$B$1+((Inputs!$G$5:$G$230&lt;&gt;"moeda")*(Inputs!$G$5:$G$230&lt;&gt;"acoes")))*INDEX(Inputs!$K$5:$AJ$230,0,MATCH(AH$2,Inputs!$K$4:$AJ$4,0)))))</f>
        <v>133.85</v>
      </c>
      <c r="AI83" s="6">
        <f>IF(ISNA(MATCH(AI$2,Inputs!$K$4:$AJ$4,0)),NA(),IF(SUMPRODUCT((Inputs!$A$5:$A$230=$B83)*ISNUMBER(INDEX(Inputs!$K$5:$AJ$230,0,MATCH(AI$2,Inputs!$K$4:$AJ$4,0))))+SUMPRODUCT((Inputs!$C$5:$C$230=$B83)*ISNUMBER(INDEX(Inputs!$K$5:$AJ$230,0,MATCH(AI$2,Inputs!$K$4:$AJ$4,0))))+SUMPRODUCT((Inputs!$E$5:$E$230=$B83)*ISNUMBER(INDEX(Inputs!$K$5:$AJ$230,0,MATCH(AI$2,Inputs!$K$4:$AJ$4,0))))=0,NA(),SUMPRODUCT((Inputs!$A$5:$A$230=$B83)*Inputs!$B$5:$B$230*(((Inputs!$G$5:$G$230="moeda")+(Inputs!$G$5:$G$230="acoes"))*Inputs!$B$1+((Inputs!$G$5:$G$230&lt;&gt;"moeda")*(Inputs!$G$5:$G$230&lt;&gt;"acoes")))*INDEX(Inputs!$K$5:$AJ$230,0,MATCH(AI$2,Inputs!$K$4:$AJ$4,0)))+SUMPRODUCT((Inputs!$C$5:$C$230=$B83)*Inputs!$D$5:$D$230*(((Inputs!$G$5:$G$230="moeda")+(Inputs!$G$5:$G$230="acoes"))*Inputs!$B$1+((Inputs!$G$5:$G$230&lt;&gt;"moeda")*(Inputs!$G$5:$G$230&lt;&gt;"acoes")))*INDEX(Inputs!$K$5:$AJ$230,0,MATCH(AI$2,Inputs!$K$4:$AJ$4,0)))+SUMPRODUCT((Inputs!$E$5:$E$230=$B83)*Inputs!$F$5:$F$230*(((Inputs!$G$5:$G$230="moeda")+(Inputs!$G$5:$G$230="acoes"))*Inputs!$B$1+((Inputs!$G$5:$G$230&lt;&gt;"moeda")*(Inputs!$G$5:$G$230&lt;&gt;"acoes")))*INDEX(Inputs!$K$5:$AJ$230,0,MATCH(AI$2,Inputs!$K$4:$AJ$4,0)))))</f>
        <v>88.59</v>
      </c>
      <c r="AJ83" s="6">
        <f>IF(ISNA(MATCH(AJ$2,Inputs!$K$4:$AJ$4,0)),NA(),IF(SUMPRODUCT((Inputs!$A$5:$A$230=$B83)*ISNUMBER(INDEX(Inputs!$K$5:$AJ$230,0,MATCH(AJ$2,Inputs!$K$4:$AJ$4,0))))+SUMPRODUCT((Inputs!$C$5:$C$230=$B83)*ISNUMBER(INDEX(Inputs!$K$5:$AJ$230,0,MATCH(AJ$2,Inputs!$K$4:$AJ$4,0))))+SUMPRODUCT((Inputs!$E$5:$E$230=$B83)*ISNUMBER(INDEX(Inputs!$K$5:$AJ$230,0,MATCH(AJ$2,Inputs!$K$4:$AJ$4,0))))=0,NA(),SUMPRODUCT((Inputs!$A$5:$A$230=$B83)*Inputs!$B$5:$B$230*(((Inputs!$G$5:$G$230="moeda")+(Inputs!$G$5:$G$230="acoes"))*Inputs!$B$1+((Inputs!$G$5:$G$230&lt;&gt;"moeda")*(Inputs!$G$5:$G$230&lt;&gt;"acoes")))*INDEX(Inputs!$K$5:$AJ$230,0,MATCH(AJ$2,Inputs!$K$4:$AJ$4,0)))+SUMPRODUCT((Inputs!$C$5:$C$230=$B83)*Inputs!$D$5:$D$230*(((Inputs!$G$5:$G$230="moeda")+(Inputs!$G$5:$G$230="acoes"))*Inputs!$B$1+((Inputs!$G$5:$G$230&lt;&gt;"moeda")*(Inputs!$G$5:$G$230&lt;&gt;"acoes")))*INDEX(Inputs!$K$5:$AJ$230,0,MATCH(AJ$2,Inputs!$K$4:$AJ$4,0)))+SUMPRODUCT((Inputs!$E$5:$E$230=$B83)*Inputs!$F$5:$F$230*(((Inputs!$G$5:$G$230="moeda")+(Inputs!$G$5:$G$230="acoes"))*Inputs!$B$1+((Inputs!$G$5:$G$230&lt;&gt;"moeda")*(Inputs!$G$5:$G$230&lt;&gt;"acoes")))*INDEX(Inputs!$K$5:$AJ$230,0,MATCH(AJ$2,Inputs!$K$4:$AJ$4,0)))))</f>
        <v>199.094</v>
      </c>
      <c r="AK83" s="6">
        <f>IF(ISNA(MATCH(AK$2,Inputs!$K$4:$AJ$4,0)),NA(),IF(SUMPRODUCT((Inputs!$A$5:$A$230=$B83)*ISNUMBER(INDEX(Inputs!$K$5:$AJ$230,0,MATCH(AK$2,Inputs!$K$4:$AJ$4,0))))+SUMPRODUCT((Inputs!$C$5:$C$230=$B83)*ISNUMBER(INDEX(Inputs!$K$5:$AJ$230,0,MATCH(AK$2,Inputs!$K$4:$AJ$4,0))))+SUMPRODUCT((Inputs!$E$5:$E$230=$B83)*ISNUMBER(INDEX(Inputs!$K$5:$AJ$230,0,MATCH(AK$2,Inputs!$K$4:$AJ$4,0))))=0,NA(),SUMPRODUCT((Inputs!$A$5:$A$230=$B83)*Inputs!$B$5:$B$230*(((Inputs!$G$5:$G$230="moeda")+(Inputs!$G$5:$G$230="acoes"))*Inputs!$B$1+((Inputs!$G$5:$G$230&lt;&gt;"moeda")*(Inputs!$G$5:$G$230&lt;&gt;"acoes")))*INDEX(Inputs!$K$5:$AJ$230,0,MATCH(AK$2,Inputs!$K$4:$AJ$4,0)))+SUMPRODUCT((Inputs!$C$5:$C$230=$B83)*Inputs!$D$5:$D$230*(((Inputs!$G$5:$G$230="moeda")+(Inputs!$G$5:$G$230="acoes"))*Inputs!$B$1+((Inputs!$G$5:$G$230&lt;&gt;"moeda")*(Inputs!$G$5:$G$230&lt;&gt;"acoes")))*INDEX(Inputs!$K$5:$AJ$230,0,MATCH(AK$2,Inputs!$K$4:$AJ$4,0)))+SUMPRODUCT((Inputs!$E$5:$E$230=$B83)*Inputs!$F$5:$F$230*(((Inputs!$G$5:$G$230="moeda")+(Inputs!$G$5:$G$230="acoes"))*Inputs!$B$1+((Inputs!$G$5:$G$230&lt;&gt;"moeda")*(Inputs!$G$5:$G$230&lt;&gt;"acoes")))*INDEX(Inputs!$K$5:$AJ$230,0,MATCH(AK$2,Inputs!$K$4:$AJ$4,0)))))</f>
        <v>234.029</v>
      </c>
      <c r="AL83" s="3">
        <f>SUM(AH83:AK83)</f>
        <v>655.563</v>
      </c>
    </row>
    <row r="84">
      <c r="B84" s="46" t="n">
        <v>76</v>
      </c>
      <c r="C84" s="29" t="inlineStr">
        <is>
          <t>Transmissao | AETE</t>
        </is>
      </c>
      <c r="D84" s="6">
        <f>IF(ISNA(MATCH(D$2,Inputs!$K$4:$AJ$4,0)),NA(),IF(SUMPRODUCT((Inputs!$A$5:$A$230=$B84)*ISNUMBER(INDEX(Inputs!$K$5:$AJ$230,0,MATCH(D$2,Inputs!$K$4:$AJ$4,0))))+SUMPRODUCT((Inputs!$C$5:$C$230=$B84)*ISNUMBER(INDEX(Inputs!$K$5:$AJ$230,0,MATCH(D$2,Inputs!$K$4:$AJ$4,0))))+SUMPRODUCT((Inputs!$E$5:$E$230=$B84)*ISNUMBER(INDEX(Inputs!$K$5:$AJ$230,0,MATCH(D$2,Inputs!$K$4:$AJ$4,0))))=0,NA(),SUMPRODUCT((Inputs!$A$5:$A$230=$B84)*Inputs!$B$5:$B$230*(((Inputs!$G$5:$G$230="moeda")+(Inputs!$G$5:$G$230="acoes"))*Inputs!$B$1+((Inputs!$G$5:$G$230&lt;&gt;"moeda")*(Inputs!$G$5:$G$230&lt;&gt;"acoes")))*INDEX(Inputs!$K$5:$AJ$230,0,MATCH(D$2,Inputs!$K$4:$AJ$4,0)))+SUMPRODUCT((Inputs!$C$5:$C$230=$B84)*Inputs!$D$5:$D$230*(((Inputs!$G$5:$G$230="moeda")+(Inputs!$G$5:$G$230="acoes"))*Inputs!$B$1+((Inputs!$G$5:$G$230&lt;&gt;"moeda")*(Inputs!$G$5:$G$230&lt;&gt;"acoes")))*INDEX(Inputs!$K$5:$AJ$230,0,MATCH(D$2,Inputs!$K$4:$AJ$4,0)))+SUMPRODUCT((Inputs!$E$5:$E$230=$B84)*Inputs!$F$5:$F$230*(((Inputs!$G$5:$G$230="moeda")+(Inputs!$G$5:$G$230="acoes"))*Inputs!$B$1+((Inputs!$G$5:$G$230&lt;&gt;"moeda")*(Inputs!$G$5:$G$230&lt;&gt;"acoes")))*INDEX(Inputs!$K$5:$AJ$230,0,MATCH(D$2,Inputs!$K$4:$AJ$4,0)))))</f>
        <v>15.388</v>
      </c>
      <c r="E84" s="6">
        <f>IF(ISNA(MATCH(E$2,Inputs!$K$4:$AJ$4,0)),NA(),IF(SUMPRODUCT((Inputs!$A$5:$A$230=$B84)*ISNUMBER(INDEX(Inputs!$K$5:$AJ$230,0,MATCH(E$2,Inputs!$K$4:$AJ$4,0))))+SUMPRODUCT((Inputs!$C$5:$C$230=$B84)*ISNUMBER(INDEX(Inputs!$K$5:$AJ$230,0,MATCH(E$2,Inputs!$K$4:$AJ$4,0))))+SUMPRODUCT((Inputs!$E$5:$E$230=$B84)*ISNUMBER(INDEX(Inputs!$K$5:$AJ$230,0,MATCH(E$2,Inputs!$K$4:$AJ$4,0))))=0,NA(),SUMPRODUCT((Inputs!$A$5:$A$230=$B84)*Inputs!$B$5:$B$230*(((Inputs!$G$5:$G$230="moeda")+(Inputs!$G$5:$G$230="acoes"))*Inputs!$B$1+((Inputs!$G$5:$G$230&lt;&gt;"moeda")*(Inputs!$G$5:$G$230&lt;&gt;"acoes")))*INDEX(Inputs!$K$5:$AJ$230,0,MATCH(E$2,Inputs!$K$4:$AJ$4,0)))+SUMPRODUCT((Inputs!$C$5:$C$230=$B84)*Inputs!$D$5:$D$230*(((Inputs!$G$5:$G$230="moeda")+(Inputs!$G$5:$G$230="acoes"))*Inputs!$B$1+((Inputs!$G$5:$G$230&lt;&gt;"moeda")*(Inputs!$G$5:$G$230&lt;&gt;"acoes")))*INDEX(Inputs!$K$5:$AJ$230,0,MATCH(E$2,Inputs!$K$4:$AJ$4,0)))+SUMPRODUCT((Inputs!$E$5:$E$230=$B84)*Inputs!$F$5:$F$230*(((Inputs!$G$5:$G$230="moeda")+(Inputs!$G$5:$G$230="acoes"))*Inputs!$B$1+((Inputs!$G$5:$G$230&lt;&gt;"moeda")*(Inputs!$G$5:$G$230&lt;&gt;"acoes")))*INDEX(Inputs!$K$5:$AJ$230,0,MATCH(E$2,Inputs!$K$4:$AJ$4,0)))))</f>
        <v>21.904</v>
      </c>
      <c r="F84" s="6">
        <f>IF(ISNA(MATCH(F$2,Inputs!$K$4:$AJ$4,0)),NA(),IF(SUMPRODUCT((Inputs!$A$5:$A$230=$B84)*ISNUMBER(INDEX(Inputs!$K$5:$AJ$230,0,MATCH(F$2,Inputs!$K$4:$AJ$4,0))))+SUMPRODUCT((Inputs!$C$5:$C$230=$B84)*ISNUMBER(INDEX(Inputs!$K$5:$AJ$230,0,MATCH(F$2,Inputs!$K$4:$AJ$4,0))))+SUMPRODUCT((Inputs!$E$5:$E$230=$B84)*ISNUMBER(INDEX(Inputs!$K$5:$AJ$230,0,MATCH(F$2,Inputs!$K$4:$AJ$4,0))))=0,NA(),SUMPRODUCT((Inputs!$A$5:$A$230=$B84)*Inputs!$B$5:$B$230*(((Inputs!$G$5:$G$230="moeda")+(Inputs!$G$5:$G$230="acoes"))*Inputs!$B$1+((Inputs!$G$5:$G$230&lt;&gt;"moeda")*(Inputs!$G$5:$G$230&lt;&gt;"acoes")))*INDEX(Inputs!$K$5:$AJ$230,0,MATCH(F$2,Inputs!$K$4:$AJ$4,0)))+SUMPRODUCT((Inputs!$C$5:$C$230=$B84)*Inputs!$D$5:$D$230*(((Inputs!$G$5:$G$230="moeda")+(Inputs!$G$5:$G$230="acoes"))*Inputs!$B$1+((Inputs!$G$5:$G$230&lt;&gt;"moeda")*(Inputs!$G$5:$G$230&lt;&gt;"acoes")))*INDEX(Inputs!$K$5:$AJ$230,0,MATCH(F$2,Inputs!$K$4:$AJ$4,0)))+SUMPRODUCT((Inputs!$E$5:$E$230=$B84)*Inputs!$F$5:$F$230*(((Inputs!$G$5:$G$230="moeda")+(Inputs!$G$5:$G$230="acoes"))*Inputs!$B$1+((Inputs!$G$5:$G$230&lt;&gt;"moeda")*(Inputs!$G$5:$G$230&lt;&gt;"acoes")))*INDEX(Inputs!$K$5:$AJ$230,0,MATCH(F$2,Inputs!$K$4:$AJ$4,0)))))</f>
        <v>9.839</v>
      </c>
      <c r="G84" s="6">
        <f>IF(ISNA(MATCH(G$2,Inputs!$K$4:$AJ$4,0)),NA(),IF(SUMPRODUCT((Inputs!$A$5:$A$230=$B84)*ISNUMBER(INDEX(Inputs!$K$5:$AJ$230,0,MATCH(G$2,Inputs!$K$4:$AJ$4,0))))+SUMPRODUCT((Inputs!$C$5:$C$230=$B84)*ISNUMBER(INDEX(Inputs!$K$5:$AJ$230,0,MATCH(G$2,Inputs!$K$4:$AJ$4,0))))+SUMPRODUCT((Inputs!$E$5:$E$230=$B84)*ISNUMBER(INDEX(Inputs!$K$5:$AJ$230,0,MATCH(G$2,Inputs!$K$4:$AJ$4,0))))=0,NA(),SUMPRODUCT((Inputs!$A$5:$A$230=$B84)*Inputs!$B$5:$B$230*(((Inputs!$G$5:$G$230="moeda")+(Inputs!$G$5:$G$230="acoes"))*Inputs!$B$1+((Inputs!$G$5:$G$230&lt;&gt;"moeda")*(Inputs!$G$5:$G$230&lt;&gt;"acoes")))*INDEX(Inputs!$K$5:$AJ$230,0,MATCH(G$2,Inputs!$K$4:$AJ$4,0)))+SUMPRODUCT((Inputs!$C$5:$C$230=$B84)*Inputs!$D$5:$D$230*(((Inputs!$G$5:$G$230="moeda")+(Inputs!$G$5:$G$230="acoes"))*Inputs!$B$1+((Inputs!$G$5:$G$230&lt;&gt;"moeda")*(Inputs!$G$5:$G$230&lt;&gt;"acoes")))*INDEX(Inputs!$K$5:$AJ$230,0,MATCH(G$2,Inputs!$K$4:$AJ$4,0)))+SUMPRODUCT((Inputs!$E$5:$E$230=$B84)*Inputs!$F$5:$F$230*(((Inputs!$G$5:$G$230="moeda")+(Inputs!$G$5:$G$230="acoes"))*Inputs!$B$1+((Inputs!$G$5:$G$230&lt;&gt;"moeda")*(Inputs!$G$5:$G$230&lt;&gt;"acoes")))*INDEX(Inputs!$K$5:$AJ$230,0,MATCH(G$2,Inputs!$K$4:$AJ$4,0)))))</f>
        <v>5.896</v>
      </c>
      <c r="H84" s="3">
        <f>SUM(D84:G84)</f>
        <v>53.027</v>
      </c>
      <c r="I84" s="6">
        <f>IF(ISNA(MATCH(I$2,Inputs!$K$4:$AJ$4,0)),NA(),IF(SUMPRODUCT((Inputs!$A$5:$A$230=$B84)*ISNUMBER(INDEX(Inputs!$K$5:$AJ$230,0,MATCH(I$2,Inputs!$K$4:$AJ$4,0))))+SUMPRODUCT((Inputs!$C$5:$C$230=$B84)*ISNUMBER(INDEX(Inputs!$K$5:$AJ$230,0,MATCH(I$2,Inputs!$K$4:$AJ$4,0))))+SUMPRODUCT((Inputs!$E$5:$E$230=$B84)*ISNUMBER(INDEX(Inputs!$K$5:$AJ$230,0,MATCH(I$2,Inputs!$K$4:$AJ$4,0))))=0,NA(),SUMPRODUCT((Inputs!$A$5:$A$230=$B84)*Inputs!$B$5:$B$230*(((Inputs!$G$5:$G$230="moeda")+(Inputs!$G$5:$G$230="acoes"))*Inputs!$B$1+((Inputs!$G$5:$G$230&lt;&gt;"moeda")*(Inputs!$G$5:$G$230&lt;&gt;"acoes")))*INDEX(Inputs!$K$5:$AJ$230,0,MATCH(I$2,Inputs!$K$4:$AJ$4,0)))+SUMPRODUCT((Inputs!$C$5:$C$230=$B84)*Inputs!$D$5:$D$230*(((Inputs!$G$5:$G$230="moeda")+(Inputs!$G$5:$G$230="acoes"))*Inputs!$B$1+((Inputs!$G$5:$G$230&lt;&gt;"moeda")*(Inputs!$G$5:$G$230&lt;&gt;"acoes")))*INDEX(Inputs!$K$5:$AJ$230,0,MATCH(I$2,Inputs!$K$4:$AJ$4,0)))+SUMPRODUCT((Inputs!$E$5:$E$230=$B84)*Inputs!$F$5:$F$230*(((Inputs!$G$5:$G$230="moeda")+(Inputs!$G$5:$G$230="acoes"))*Inputs!$B$1+((Inputs!$G$5:$G$230&lt;&gt;"moeda")*(Inputs!$G$5:$G$230&lt;&gt;"acoes")))*INDEX(Inputs!$K$5:$AJ$230,0,MATCH(I$2,Inputs!$K$4:$AJ$4,0)))))</f>
        <v>15.353</v>
      </c>
      <c r="J84" s="6">
        <f>IF(ISNA(MATCH(J$2,Inputs!$K$4:$AJ$4,0)),NA(),IF(SUMPRODUCT((Inputs!$A$5:$A$230=$B84)*ISNUMBER(INDEX(Inputs!$K$5:$AJ$230,0,MATCH(J$2,Inputs!$K$4:$AJ$4,0))))+SUMPRODUCT((Inputs!$C$5:$C$230=$B84)*ISNUMBER(INDEX(Inputs!$K$5:$AJ$230,0,MATCH(J$2,Inputs!$K$4:$AJ$4,0))))+SUMPRODUCT((Inputs!$E$5:$E$230=$B84)*ISNUMBER(INDEX(Inputs!$K$5:$AJ$230,0,MATCH(J$2,Inputs!$K$4:$AJ$4,0))))=0,NA(),SUMPRODUCT((Inputs!$A$5:$A$230=$B84)*Inputs!$B$5:$B$230*(((Inputs!$G$5:$G$230="moeda")+(Inputs!$G$5:$G$230="acoes"))*Inputs!$B$1+((Inputs!$G$5:$G$230&lt;&gt;"moeda")*(Inputs!$G$5:$G$230&lt;&gt;"acoes")))*INDEX(Inputs!$K$5:$AJ$230,0,MATCH(J$2,Inputs!$K$4:$AJ$4,0)))+SUMPRODUCT((Inputs!$C$5:$C$230=$B84)*Inputs!$D$5:$D$230*(((Inputs!$G$5:$G$230="moeda")+(Inputs!$G$5:$G$230="acoes"))*Inputs!$B$1+((Inputs!$G$5:$G$230&lt;&gt;"moeda")*(Inputs!$G$5:$G$230&lt;&gt;"acoes")))*INDEX(Inputs!$K$5:$AJ$230,0,MATCH(J$2,Inputs!$K$4:$AJ$4,0)))+SUMPRODUCT((Inputs!$E$5:$E$230=$B84)*Inputs!$F$5:$F$230*(((Inputs!$G$5:$G$230="moeda")+(Inputs!$G$5:$G$230="acoes"))*Inputs!$B$1+((Inputs!$G$5:$G$230&lt;&gt;"moeda")*(Inputs!$G$5:$G$230&lt;&gt;"acoes")))*INDEX(Inputs!$K$5:$AJ$230,0,MATCH(J$2,Inputs!$K$4:$AJ$4,0)))))</f>
        <v>14.603</v>
      </c>
      <c r="K84" s="6">
        <f>IF(ISNA(MATCH(K$2,Inputs!$K$4:$AJ$4,0)),NA(),IF(SUMPRODUCT((Inputs!$A$5:$A$230=$B84)*ISNUMBER(INDEX(Inputs!$K$5:$AJ$230,0,MATCH(K$2,Inputs!$K$4:$AJ$4,0))))+SUMPRODUCT((Inputs!$C$5:$C$230=$B84)*ISNUMBER(INDEX(Inputs!$K$5:$AJ$230,0,MATCH(K$2,Inputs!$K$4:$AJ$4,0))))+SUMPRODUCT((Inputs!$E$5:$E$230=$B84)*ISNUMBER(INDEX(Inputs!$K$5:$AJ$230,0,MATCH(K$2,Inputs!$K$4:$AJ$4,0))))=0,NA(),SUMPRODUCT((Inputs!$A$5:$A$230=$B84)*Inputs!$B$5:$B$230*(((Inputs!$G$5:$G$230="moeda")+(Inputs!$G$5:$G$230="acoes"))*Inputs!$B$1+((Inputs!$G$5:$G$230&lt;&gt;"moeda")*(Inputs!$G$5:$G$230&lt;&gt;"acoes")))*INDEX(Inputs!$K$5:$AJ$230,0,MATCH(K$2,Inputs!$K$4:$AJ$4,0)))+SUMPRODUCT((Inputs!$C$5:$C$230=$B84)*Inputs!$D$5:$D$230*(((Inputs!$G$5:$G$230="moeda")+(Inputs!$G$5:$G$230="acoes"))*Inputs!$B$1+((Inputs!$G$5:$G$230&lt;&gt;"moeda")*(Inputs!$G$5:$G$230&lt;&gt;"acoes")))*INDEX(Inputs!$K$5:$AJ$230,0,MATCH(K$2,Inputs!$K$4:$AJ$4,0)))+SUMPRODUCT((Inputs!$E$5:$E$230=$B84)*Inputs!$F$5:$F$230*(((Inputs!$G$5:$G$230="moeda")+(Inputs!$G$5:$G$230="acoes"))*Inputs!$B$1+((Inputs!$G$5:$G$230&lt;&gt;"moeda")*(Inputs!$G$5:$G$230&lt;&gt;"acoes")))*INDEX(Inputs!$K$5:$AJ$230,0,MATCH(K$2,Inputs!$K$4:$AJ$4,0)))))</f>
        <v>8.005</v>
      </c>
      <c r="L84" s="6">
        <f>IF(ISNA(MATCH(L$2,Inputs!$K$4:$AJ$4,0)),NA(),IF(SUMPRODUCT((Inputs!$A$5:$A$230=$B84)*ISNUMBER(INDEX(Inputs!$K$5:$AJ$230,0,MATCH(L$2,Inputs!$K$4:$AJ$4,0))))+SUMPRODUCT((Inputs!$C$5:$C$230=$B84)*ISNUMBER(INDEX(Inputs!$K$5:$AJ$230,0,MATCH(L$2,Inputs!$K$4:$AJ$4,0))))+SUMPRODUCT((Inputs!$E$5:$E$230=$B84)*ISNUMBER(INDEX(Inputs!$K$5:$AJ$230,0,MATCH(L$2,Inputs!$K$4:$AJ$4,0))))=0,NA(),SUMPRODUCT((Inputs!$A$5:$A$230=$B84)*Inputs!$B$5:$B$230*(((Inputs!$G$5:$G$230="moeda")+(Inputs!$G$5:$G$230="acoes"))*Inputs!$B$1+((Inputs!$G$5:$G$230&lt;&gt;"moeda")*(Inputs!$G$5:$G$230&lt;&gt;"acoes")))*INDEX(Inputs!$K$5:$AJ$230,0,MATCH(L$2,Inputs!$K$4:$AJ$4,0)))+SUMPRODUCT((Inputs!$C$5:$C$230=$B84)*Inputs!$D$5:$D$230*(((Inputs!$G$5:$G$230="moeda")+(Inputs!$G$5:$G$230="acoes"))*Inputs!$B$1+((Inputs!$G$5:$G$230&lt;&gt;"moeda")*(Inputs!$G$5:$G$230&lt;&gt;"acoes")))*INDEX(Inputs!$K$5:$AJ$230,0,MATCH(L$2,Inputs!$K$4:$AJ$4,0)))+SUMPRODUCT((Inputs!$E$5:$E$230=$B84)*Inputs!$F$5:$F$230*(((Inputs!$G$5:$G$230="moeda")+(Inputs!$G$5:$G$230="acoes"))*Inputs!$B$1+((Inputs!$G$5:$G$230&lt;&gt;"moeda")*(Inputs!$G$5:$G$230&lt;&gt;"acoes")))*INDEX(Inputs!$K$5:$AJ$230,0,MATCH(L$2,Inputs!$K$4:$AJ$4,0)))))</f>
        <v>2.927</v>
      </c>
      <c r="M84" s="3">
        <f>SUM(I84:L84)</f>
        <v>40.888</v>
      </c>
      <c r="N84" s="6">
        <f>IF(ISNA(MATCH(N$2,Inputs!$K$4:$AJ$4,0)),NA(),IF(SUMPRODUCT((Inputs!$A$5:$A$230=$B84)*ISNUMBER(INDEX(Inputs!$K$5:$AJ$230,0,MATCH(N$2,Inputs!$K$4:$AJ$4,0))))+SUMPRODUCT((Inputs!$C$5:$C$230=$B84)*ISNUMBER(INDEX(Inputs!$K$5:$AJ$230,0,MATCH(N$2,Inputs!$K$4:$AJ$4,0))))+SUMPRODUCT((Inputs!$E$5:$E$230=$B84)*ISNUMBER(INDEX(Inputs!$K$5:$AJ$230,0,MATCH(N$2,Inputs!$K$4:$AJ$4,0))))=0,NA(),SUMPRODUCT((Inputs!$A$5:$A$230=$B84)*Inputs!$B$5:$B$230*(((Inputs!$G$5:$G$230="moeda")+(Inputs!$G$5:$G$230="acoes"))*Inputs!$B$1+((Inputs!$G$5:$G$230&lt;&gt;"moeda")*(Inputs!$G$5:$G$230&lt;&gt;"acoes")))*INDEX(Inputs!$K$5:$AJ$230,0,MATCH(N$2,Inputs!$K$4:$AJ$4,0)))+SUMPRODUCT((Inputs!$C$5:$C$230=$B84)*Inputs!$D$5:$D$230*(((Inputs!$G$5:$G$230="moeda")+(Inputs!$G$5:$G$230="acoes"))*Inputs!$B$1+((Inputs!$G$5:$G$230&lt;&gt;"moeda")*(Inputs!$G$5:$G$230&lt;&gt;"acoes")))*INDEX(Inputs!$K$5:$AJ$230,0,MATCH(N$2,Inputs!$K$4:$AJ$4,0)))+SUMPRODUCT((Inputs!$E$5:$E$230=$B84)*Inputs!$F$5:$F$230*(((Inputs!$G$5:$G$230="moeda")+(Inputs!$G$5:$G$230="acoes"))*Inputs!$B$1+((Inputs!$G$5:$G$230&lt;&gt;"moeda")*(Inputs!$G$5:$G$230&lt;&gt;"acoes")))*INDEX(Inputs!$K$5:$AJ$230,0,MATCH(N$2,Inputs!$K$4:$AJ$4,0)))))</f>
        <v>8.715</v>
      </c>
      <c r="O84" s="6">
        <f>IF(ISNA(MATCH(O$2,Inputs!$K$4:$AJ$4,0)),NA(),IF(SUMPRODUCT((Inputs!$A$5:$A$230=$B84)*ISNUMBER(INDEX(Inputs!$K$5:$AJ$230,0,MATCH(O$2,Inputs!$K$4:$AJ$4,0))))+SUMPRODUCT((Inputs!$C$5:$C$230=$B84)*ISNUMBER(INDEX(Inputs!$K$5:$AJ$230,0,MATCH(O$2,Inputs!$K$4:$AJ$4,0))))+SUMPRODUCT((Inputs!$E$5:$E$230=$B84)*ISNUMBER(INDEX(Inputs!$K$5:$AJ$230,0,MATCH(O$2,Inputs!$K$4:$AJ$4,0))))=0,NA(),SUMPRODUCT((Inputs!$A$5:$A$230=$B84)*Inputs!$B$5:$B$230*(((Inputs!$G$5:$G$230="moeda")+(Inputs!$G$5:$G$230="acoes"))*Inputs!$B$1+((Inputs!$G$5:$G$230&lt;&gt;"moeda")*(Inputs!$G$5:$G$230&lt;&gt;"acoes")))*INDEX(Inputs!$K$5:$AJ$230,0,MATCH(O$2,Inputs!$K$4:$AJ$4,0)))+SUMPRODUCT((Inputs!$C$5:$C$230=$B84)*Inputs!$D$5:$D$230*(((Inputs!$G$5:$G$230="moeda")+(Inputs!$G$5:$G$230="acoes"))*Inputs!$B$1+((Inputs!$G$5:$G$230&lt;&gt;"moeda")*(Inputs!$G$5:$G$230&lt;&gt;"acoes")))*INDEX(Inputs!$K$5:$AJ$230,0,MATCH(O$2,Inputs!$K$4:$AJ$4,0)))+SUMPRODUCT((Inputs!$E$5:$E$230=$B84)*Inputs!$F$5:$F$230*(((Inputs!$G$5:$G$230="moeda")+(Inputs!$G$5:$G$230="acoes"))*Inputs!$B$1+((Inputs!$G$5:$G$230&lt;&gt;"moeda")*(Inputs!$G$5:$G$230&lt;&gt;"acoes")))*INDEX(Inputs!$K$5:$AJ$230,0,MATCH(O$2,Inputs!$K$4:$AJ$4,0)))))</f>
        <v>2.498</v>
      </c>
      <c r="P84" s="6">
        <f>IF(ISNA(MATCH(P$2,Inputs!$K$4:$AJ$4,0)),NA(),IF(SUMPRODUCT((Inputs!$A$5:$A$230=$B84)*ISNUMBER(INDEX(Inputs!$K$5:$AJ$230,0,MATCH(P$2,Inputs!$K$4:$AJ$4,0))))+SUMPRODUCT((Inputs!$C$5:$C$230=$B84)*ISNUMBER(INDEX(Inputs!$K$5:$AJ$230,0,MATCH(P$2,Inputs!$K$4:$AJ$4,0))))+SUMPRODUCT((Inputs!$E$5:$E$230=$B84)*ISNUMBER(INDEX(Inputs!$K$5:$AJ$230,0,MATCH(P$2,Inputs!$K$4:$AJ$4,0))))=0,NA(),SUMPRODUCT((Inputs!$A$5:$A$230=$B84)*Inputs!$B$5:$B$230*(((Inputs!$G$5:$G$230="moeda")+(Inputs!$G$5:$G$230="acoes"))*Inputs!$B$1+((Inputs!$G$5:$G$230&lt;&gt;"moeda")*(Inputs!$G$5:$G$230&lt;&gt;"acoes")))*INDEX(Inputs!$K$5:$AJ$230,0,MATCH(P$2,Inputs!$K$4:$AJ$4,0)))+SUMPRODUCT((Inputs!$C$5:$C$230=$B84)*Inputs!$D$5:$D$230*(((Inputs!$G$5:$G$230="moeda")+(Inputs!$G$5:$G$230="acoes"))*Inputs!$B$1+((Inputs!$G$5:$G$230&lt;&gt;"moeda")*(Inputs!$G$5:$G$230&lt;&gt;"acoes")))*INDEX(Inputs!$K$5:$AJ$230,0,MATCH(P$2,Inputs!$K$4:$AJ$4,0)))+SUMPRODUCT((Inputs!$E$5:$E$230=$B84)*Inputs!$F$5:$F$230*(((Inputs!$G$5:$G$230="moeda")+(Inputs!$G$5:$G$230="acoes"))*Inputs!$B$1+((Inputs!$G$5:$G$230&lt;&gt;"moeda")*(Inputs!$G$5:$G$230&lt;&gt;"acoes")))*INDEX(Inputs!$K$5:$AJ$230,0,MATCH(P$2,Inputs!$K$4:$AJ$4,0)))))</f>
        <v>-2.516</v>
      </c>
      <c r="Q84" s="6">
        <f>IF(ISNA(MATCH(Q$2,Inputs!$K$4:$AJ$4,0)),NA(),IF(SUMPRODUCT((Inputs!$A$5:$A$230=$B84)*ISNUMBER(INDEX(Inputs!$K$5:$AJ$230,0,MATCH(Q$2,Inputs!$K$4:$AJ$4,0))))+SUMPRODUCT((Inputs!$C$5:$C$230=$B84)*ISNUMBER(INDEX(Inputs!$K$5:$AJ$230,0,MATCH(Q$2,Inputs!$K$4:$AJ$4,0))))+SUMPRODUCT((Inputs!$E$5:$E$230=$B84)*ISNUMBER(INDEX(Inputs!$K$5:$AJ$230,0,MATCH(Q$2,Inputs!$K$4:$AJ$4,0))))=0,NA(),SUMPRODUCT((Inputs!$A$5:$A$230=$B84)*Inputs!$B$5:$B$230*(((Inputs!$G$5:$G$230="moeda")+(Inputs!$G$5:$G$230="acoes"))*Inputs!$B$1+((Inputs!$G$5:$G$230&lt;&gt;"moeda")*(Inputs!$G$5:$G$230&lt;&gt;"acoes")))*INDEX(Inputs!$K$5:$AJ$230,0,MATCH(Q$2,Inputs!$K$4:$AJ$4,0)))+SUMPRODUCT((Inputs!$C$5:$C$230=$B84)*Inputs!$D$5:$D$230*(((Inputs!$G$5:$G$230="moeda")+(Inputs!$G$5:$G$230="acoes"))*Inputs!$B$1+((Inputs!$G$5:$G$230&lt;&gt;"moeda")*(Inputs!$G$5:$G$230&lt;&gt;"acoes")))*INDEX(Inputs!$K$5:$AJ$230,0,MATCH(Q$2,Inputs!$K$4:$AJ$4,0)))+SUMPRODUCT((Inputs!$E$5:$E$230=$B84)*Inputs!$F$5:$F$230*(((Inputs!$G$5:$G$230="moeda")+(Inputs!$G$5:$G$230="acoes"))*Inputs!$B$1+((Inputs!$G$5:$G$230&lt;&gt;"moeda")*(Inputs!$G$5:$G$230&lt;&gt;"acoes")))*INDEX(Inputs!$K$5:$AJ$230,0,MATCH(Q$2,Inputs!$K$4:$AJ$4,0)))))</f>
        <v>9.491</v>
      </c>
      <c r="R84" s="3">
        <f>SUM(N84:Q84)</f>
        <v>18.188</v>
      </c>
      <c r="S84" s="6">
        <f>IF(ISNA(MATCH(S$2,Inputs!$K$4:$AJ$4,0)),NA(),IF(SUMPRODUCT((Inputs!$A$5:$A$230=$B84)*ISNUMBER(INDEX(Inputs!$K$5:$AJ$230,0,MATCH(S$2,Inputs!$K$4:$AJ$4,0))))+SUMPRODUCT((Inputs!$C$5:$C$230=$B84)*ISNUMBER(INDEX(Inputs!$K$5:$AJ$230,0,MATCH(S$2,Inputs!$K$4:$AJ$4,0))))+SUMPRODUCT((Inputs!$E$5:$E$230=$B84)*ISNUMBER(INDEX(Inputs!$K$5:$AJ$230,0,MATCH(S$2,Inputs!$K$4:$AJ$4,0))))=0,NA(),SUMPRODUCT((Inputs!$A$5:$A$230=$B84)*Inputs!$B$5:$B$230*(((Inputs!$G$5:$G$230="moeda")+(Inputs!$G$5:$G$230="acoes"))*Inputs!$B$1+((Inputs!$G$5:$G$230&lt;&gt;"moeda")*(Inputs!$G$5:$G$230&lt;&gt;"acoes")))*INDEX(Inputs!$K$5:$AJ$230,0,MATCH(S$2,Inputs!$K$4:$AJ$4,0)))+SUMPRODUCT((Inputs!$C$5:$C$230=$B84)*Inputs!$D$5:$D$230*(((Inputs!$G$5:$G$230="moeda")+(Inputs!$G$5:$G$230="acoes"))*Inputs!$B$1+((Inputs!$G$5:$G$230&lt;&gt;"moeda")*(Inputs!$G$5:$G$230&lt;&gt;"acoes")))*INDEX(Inputs!$K$5:$AJ$230,0,MATCH(S$2,Inputs!$K$4:$AJ$4,0)))+SUMPRODUCT((Inputs!$E$5:$E$230=$B84)*Inputs!$F$5:$F$230*(((Inputs!$G$5:$G$230="moeda")+(Inputs!$G$5:$G$230="acoes"))*Inputs!$B$1+((Inputs!$G$5:$G$230&lt;&gt;"moeda")*(Inputs!$G$5:$G$230&lt;&gt;"acoes")))*INDEX(Inputs!$K$5:$AJ$230,0,MATCH(S$2,Inputs!$K$4:$AJ$4,0)))))</f>
        <v>7.656</v>
      </c>
      <c r="T84" s="6">
        <f>IF(ISNA(MATCH(T$2,Inputs!$K$4:$AJ$4,0)),NA(),IF(SUMPRODUCT((Inputs!$A$5:$A$230=$B84)*ISNUMBER(INDEX(Inputs!$K$5:$AJ$230,0,MATCH(T$2,Inputs!$K$4:$AJ$4,0))))+SUMPRODUCT((Inputs!$C$5:$C$230=$B84)*ISNUMBER(INDEX(Inputs!$K$5:$AJ$230,0,MATCH(T$2,Inputs!$K$4:$AJ$4,0))))+SUMPRODUCT((Inputs!$E$5:$E$230=$B84)*ISNUMBER(INDEX(Inputs!$K$5:$AJ$230,0,MATCH(T$2,Inputs!$K$4:$AJ$4,0))))=0,NA(),SUMPRODUCT((Inputs!$A$5:$A$230=$B84)*Inputs!$B$5:$B$230*(((Inputs!$G$5:$G$230="moeda")+(Inputs!$G$5:$G$230="acoes"))*Inputs!$B$1+((Inputs!$G$5:$G$230&lt;&gt;"moeda")*(Inputs!$G$5:$G$230&lt;&gt;"acoes")))*INDEX(Inputs!$K$5:$AJ$230,0,MATCH(T$2,Inputs!$K$4:$AJ$4,0)))+SUMPRODUCT((Inputs!$C$5:$C$230=$B84)*Inputs!$D$5:$D$230*(((Inputs!$G$5:$G$230="moeda")+(Inputs!$G$5:$G$230="acoes"))*Inputs!$B$1+((Inputs!$G$5:$G$230&lt;&gt;"moeda")*(Inputs!$G$5:$G$230&lt;&gt;"acoes")))*INDEX(Inputs!$K$5:$AJ$230,0,MATCH(T$2,Inputs!$K$4:$AJ$4,0)))+SUMPRODUCT((Inputs!$E$5:$E$230=$B84)*Inputs!$F$5:$F$230*(((Inputs!$G$5:$G$230="moeda")+(Inputs!$G$5:$G$230="acoes"))*Inputs!$B$1+((Inputs!$G$5:$G$230&lt;&gt;"moeda")*(Inputs!$G$5:$G$230&lt;&gt;"acoes")))*INDEX(Inputs!$K$5:$AJ$230,0,MATCH(T$2,Inputs!$K$4:$AJ$4,0)))))</f>
        <v>8.31</v>
      </c>
      <c r="U84" s="6">
        <f>IF(ISNA(MATCH(U$2,Inputs!$K$4:$AJ$4,0)),NA(),IF(SUMPRODUCT((Inputs!$A$5:$A$230=$B84)*ISNUMBER(INDEX(Inputs!$K$5:$AJ$230,0,MATCH(U$2,Inputs!$K$4:$AJ$4,0))))+SUMPRODUCT((Inputs!$C$5:$C$230=$B84)*ISNUMBER(INDEX(Inputs!$K$5:$AJ$230,0,MATCH(U$2,Inputs!$K$4:$AJ$4,0))))+SUMPRODUCT((Inputs!$E$5:$E$230=$B84)*ISNUMBER(INDEX(Inputs!$K$5:$AJ$230,0,MATCH(U$2,Inputs!$K$4:$AJ$4,0))))=0,NA(),SUMPRODUCT((Inputs!$A$5:$A$230=$B84)*Inputs!$B$5:$B$230*(((Inputs!$G$5:$G$230="moeda")+(Inputs!$G$5:$G$230="acoes"))*Inputs!$B$1+((Inputs!$G$5:$G$230&lt;&gt;"moeda")*(Inputs!$G$5:$G$230&lt;&gt;"acoes")))*INDEX(Inputs!$K$5:$AJ$230,0,MATCH(U$2,Inputs!$K$4:$AJ$4,0)))+SUMPRODUCT((Inputs!$C$5:$C$230=$B84)*Inputs!$D$5:$D$230*(((Inputs!$G$5:$G$230="moeda")+(Inputs!$G$5:$G$230="acoes"))*Inputs!$B$1+((Inputs!$G$5:$G$230&lt;&gt;"moeda")*(Inputs!$G$5:$G$230&lt;&gt;"acoes")))*INDEX(Inputs!$K$5:$AJ$230,0,MATCH(U$2,Inputs!$K$4:$AJ$4,0)))+SUMPRODUCT((Inputs!$E$5:$E$230=$B84)*Inputs!$F$5:$F$230*(((Inputs!$G$5:$G$230="moeda")+(Inputs!$G$5:$G$230="acoes"))*Inputs!$B$1+((Inputs!$G$5:$G$230&lt;&gt;"moeda")*(Inputs!$G$5:$G$230&lt;&gt;"acoes")))*INDEX(Inputs!$K$5:$AJ$230,0,MATCH(U$2,Inputs!$K$4:$AJ$4,0)))))</f>
        <v>9.232</v>
      </c>
      <c r="V84" s="6">
        <f>IF(ISNA(MATCH(V$2,Inputs!$K$4:$AJ$4,0)),NA(),IF(SUMPRODUCT((Inputs!$A$5:$A$230=$B84)*ISNUMBER(INDEX(Inputs!$K$5:$AJ$230,0,MATCH(V$2,Inputs!$K$4:$AJ$4,0))))+SUMPRODUCT((Inputs!$C$5:$C$230=$B84)*ISNUMBER(INDEX(Inputs!$K$5:$AJ$230,0,MATCH(V$2,Inputs!$K$4:$AJ$4,0))))+SUMPRODUCT((Inputs!$E$5:$E$230=$B84)*ISNUMBER(INDEX(Inputs!$K$5:$AJ$230,0,MATCH(V$2,Inputs!$K$4:$AJ$4,0))))=0,NA(),SUMPRODUCT((Inputs!$A$5:$A$230=$B84)*Inputs!$B$5:$B$230*(((Inputs!$G$5:$G$230="moeda")+(Inputs!$G$5:$G$230="acoes"))*Inputs!$B$1+((Inputs!$G$5:$G$230&lt;&gt;"moeda")*(Inputs!$G$5:$G$230&lt;&gt;"acoes")))*INDEX(Inputs!$K$5:$AJ$230,0,MATCH(V$2,Inputs!$K$4:$AJ$4,0)))+SUMPRODUCT((Inputs!$C$5:$C$230=$B84)*Inputs!$D$5:$D$230*(((Inputs!$G$5:$G$230="moeda")+(Inputs!$G$5:$G$230="acoes"))*Inputs!$B$1+((Inputs!$G$5:$G$230&lt;&gt;"moeda")*(Inputs!$G$5:$G$230&lt;&gt;"acoes")))*INDEX(Inputs!$K$5:$AJ$230,0,MATCH(V$2,Inputs!$K$4:$AJ$4,0)))+SUMPRODUCT((Inputs!$E$5:$E$230=$B84)*Inputs!$F$5:$F$230*(((Inputs!$G$5:$G$230="moeda")+(Inputs!$G$5:$G$230="acoes"))*Inputs!$B$1+((Inputs!$G$5:$G$230&lt;&gt;"moeda")*(Inputs!$G$5:$G$230&lt;&gt;"acoes")))*INDEX(Inputs!$K$5:$AJ$230,0,MATCH(V$2,Inputs!$K$4:$AJ$4,0)))))</f>
        <v>12.312</v>
      </c>
      <c r="W84" s="3">
        <f>SUM(S84:V84)</f>
        <v>37.51</v>
      </c>
      <c r="X84" s="6">
        <f>IF(ISNA(MATCH(X$2,Inputs!$K$4:$AJ$4,0)),NA(),IF(SUMPRODUCT((Inputs!$A$5:$A$230=$B84)*ISNUMBER(INDEX(Inputs!$K$5:$AJ$230,0,MATCH(X$2,Inputs!$K$4:$AJ$4,0))))+SUMPRODUCT((Inputs!$C$5:$C$230=$B84)*ISNUMBER(INDEX(Inputs!$K$5:$AJ$230,0,MATCH(X$2,Inputs!$K$4:$AJ$4,0))))+SUMPRODUCT((Inputs!$E$5:$E$230=$B84)*ISNUMBER(INDEX(Inputs!$K$5:$AJ$230,0,MATCH(X$2,Inputs!$K$4:$AJ$4,0))))=0,NA(),SUMPRODUCT((Inputs!$A$5:$A$230=$B84)*Inputs!$B$5:$B$230*(((Inputs!$G$5:$G$230="moeda")+(Inputs!$G$5:$G$230="acoes"))*Inputs!$B$1+((Inputs!$G$5:$G$230&lt;&gt;"moeda")*(Inputs!$G$5:$G$230&lt;&gt;"acoes")))*INDEX(Inputs!$K$5:$AJ$230,0,MATCH(X$2,Inputs!$K$4:$AJ$4,0)))+SUMPRODUCT((Inputs!$C$5:$C$230=$B84)*Inputs!$D$5:$D$230*(((Inputs!$G$5:$G$230="moeda")+(Inputs!$G$5:$G$230="acoes"))*Inputs!$B$1+((Inputs!$G$5:$G$230&lt;&gt;"moeda")*(Inputs!$G$5:$G$230&lt;&gt;"acoes")))*INDEX(Inputs!$K$5:$AJ$230,0,MATCH(X$2,Inputs!$K$4:$AJ$4,0)))+SUMPRODUCT((Inputs!$E$5:$E$230=$B84)*Inputs!$F$5:$F$230*(((Inputs!$G$5:$G$230="moeda")+(Inputs!$G$5:$G$230="acoes"))*Inputs!$B$1+((Inputs!$G$5:$G$230&lt;&gt;"moeda")*(Inputs!$G$5:$G$230&lt;&gt;"acoes")))*INDEX(Inputs!$K$5:$AJ$230,0,MATCH(X$2,Inputs!$K$4:$AJ$4,0)))))</f>
        <v>10.785</v>
      </c>
      <c r="Y84" s="6">
        <f>IF(ISNA(MATCH(Y$2,Inputs!$K$4:$AJ$4,0)),NA(),IF(SUMPRODUCT((Inputs!$A$5:$A$230=$B84)*ISNUMBER(INDEX(Inputs!$K$5:$AJ$230,0,MATCH(Y$2,Inputs!$K$4:$AJ$4,0))))+SUMPRODUCT((Inputs!$C$5:$C$230=$B84)*ISNUMBER(INDEX(Inputs!$K$5:$AJ$230,0,MATCH(Y$2,Inputs!$K$4:$AJ$4,0))))+SUMPRODUCT((Inputs!$E$5:$E$230=$B84)*ISNUMBER(INDEX(Inputs!$K$5:$AJ$230,0,MATCH(Y$2,Inputs!$K$4:$AJ$4,0))))=0,NA(),SUMPRODUCT((Inputs!$A$5:$A$230=$B84)*Inputs!$B$5:$B$230*(((Inputs!$G$5:$G$230="moeda")+(Inputs!$G$5:$G$230="acoes"))*Inputs!$B$1+((Inputs!$G$5:$G$230&lt;&gt;"moeda")*(Inputs!$G$5:$G$230&lt;&gt;"acoes")))*INDEX(Inputs!$K$5:$AJ$230,0,MATCH(Y$2,Inputs!$K$4:$AJ$4,0)))+SUMPRODUCT((Inputs!$C$5:$C$230=$B84)*Inputs!$D$5:$D$230*(((Inputs!$G$5:$G$230="moeda")+(Inputs!$G$5:$G$230="acoes"))*Inputs!$B$1+((Inputs!$G$5:$G$230&lt;&gt;"moeda")*(Inputs!$G$5:$G$230&lt;&gt;"acoes")))*INDEX(Inputs!$K$5:$AJ$230,0,MATCH(Y$2,Inputs!$K$4:$AJ$4,0)))+SUMPRODUCT((Inputs!$E$5:$E$230=$B84)*Inputs!$F$5:$F$230*(((Inputs!$G$5:$G$230="moeda")+(Inputs!$G$5:$G$230="acoes"))*Inputs!$B$1+((Inputs!$G$5:$G$230&lt;&gt;"moeda")*(Inputs!$G$5:$G$230&lt;&gt;"acoes")))*INDEX(Inputs!$K$5:$AJ$230,0,MATCH(Y$2,Inputs!$K$4:$AJ$4,0)))))</f>
        <v>6.367</v>
      </c>
      <c r="Z84" s="6">
        <f>IF(ISNA(MATCH(Z$2,Inputs!$K$4:$AJ$4,0)),NA(),IF(SUMPRODUCT((Inputs!$A$5:$A$230=$B84)*ISNUMBER(INDEX(Inputs!$K$5:$AJ$230,0,MATCH(Z$2,Inputs!$K$4:$AJ$4,0))))+SUMPRODUCT((Inputs!$C$5:$C$230=$B84)*ISNUMBER(INDEX(Inputs!$K$5:$AJ$230,0,MATCH(Z$2,Inputs!$K$4:$AJ$4,0))))+SUMPRODUCT((Inputs!$E$5:$E$230=$B84)*ISNUMBER(INDEX(Inputs!$K$5:$AJ$230,0,MATCH(Z$2,Inputs!$K$4:$AJ$4,0))))=0,NA(),SUMPRODUCT((Inputs!$A$5:$A$230=$B84)*Inputs!$B$5:$B$230*(((Inputs!$G$5:$G$230="moeda")+(Inputs!$G$5:$G$230="acoes"))*Inputs!$B$1+((Inputs!$G$5:$G$230&lt;&gt;"moeda")*(Inputs!$G$5:$G$230&lt;&gt;"acoes")))*INDEX(Inputs!$K$5:$AJ$230,0,MATCH(Z$2,Inputs!$K$4:$AJ$4,0)))+SUMPRODUCT((Inputs!$C$5:$C$230=$B84)*Inputs!$D$5:$D$230*(((Inputs!$G$5:$G$230="moeda")+(Inputs!$G$5:$G$230="acoes"))*Inputs!$B$1+((Inputs!$G$5:$G$230&lt;&gt;"moeda")*(Inputs!$G$5:$G$230&lt;&gt;"acoes")))*INDEX(Inputs!$K$5:$AJ$230,0,MATCH(Z$2,Inputs!$K$4:$AJ$4,0)))+SUMPRODUCT((Inputs!$E$5:$E$230=$B84)*Inputs!$F$5:$F$230*(((Inputs!$G$5:$G$230="moeda")+(Inputs!$G$5:$G$230="acoes"))*Inputs!$B$1+((Inputs!$G$5:$G$230&lt;&gt;"moeda")*(Inputs!$G$5:$G$230&lt;&gt;"acoes")))*INDEX(Inputs!$K$5:$AJ$230,0,MATCH(Z$2,Inputs!$K$4:$AJ$4,0)))))</f>
        <v>4.348</v>
      </c>
      <c r="AA84" s="6">
        <f>IF(ISNA(MATCH(AA$2,Inputs!$K$4:$AJ$4,0)),NA(),IF(SUMPRODUCT((Inputs!$A$5:$A$230=$B84)*ISNUMBER(INDEX(Inputs!$K$5:$AJ$230,0,MATCH(AA$2,Inputs!$K$4:$AJ$4,0))))+SUMPRODUCT((Inputs!$C$5:$C$230=$B84)*ISNUMBER(INDEX(Inputs!$K$5:$AJ$230,0,MATCH(AA$2,Inputs!$K$4:$AJ$4,0))))+SUMPRODUCT((Inputs!$E$5:$E$230=$B84)*ISNUMBER(INDEX(Inputs!$K$5:$AJ$230,0,MATCH(AA$2,Inputs!$K$4:$AJ$4,0))))=0,NA(),SUMPRODUCT((Inputs!$A$5:$A$230=$B84)*Inputs!$B$5:$B$230*(((Inputs!$G$5:$G$230="moeda")+(Inputs!$G$5:$G$230="acoes"))*Inputs!$B$1+((Inputs!$G$5:$G$230&lt;&gt;"moeda")*(Inputs!$G$5:$G$230&lt;&gt;"acoes")))*INDEX(Inputs!$K$5:$AJ$230,0,MATCH(AA$2,Inputs!$K$4:$AJ$4,0)))+SUMPRODUCT((Inputs!$C$5:$C$230=$B84)*Inputs!$D$5:$D$230*(((Inputs!$G$5:$G$230="moeda")+(Inputs!$G$5:$G$230="acoes"))*Inputs!$B$1+((Inputs!$G$5:$G$230&lt;&gt;"moeda")*(Inputs!$G$5:$G$230&lt;&gt;"acoes")))*INDEX(Inputs!$K$5:$AJ$230,0,MATCH(AA$2,Inputs!$K$4:$AJ$4,0)))+SUMPRODUCT((Inputs!$E$5:$E$230=$B84)*Inputs!$F$5:$F$230*(((Inputs!$G$5:$G$230="moeda")+(Inputs!$G$5:$G$230="acoes"))*Inputs!$B$1+((Inputs!$G$5:$G$230&lt;&gt;"moeda")*(Inputs!$G$5:$G$230&lt;&gt;"acoes")))*INDEX(Inputs!$K$5:$AJ$230,0,MATCH(AA$2,Inputs!$K$4:$AJ$4,0)))))</f>
        <v>7.635</v>
      </c>
      <c r="AB84" s="3">
        <f>SUM(X84:AA84)</f>
        <v>29.135</v>
      </c>
      <c r="AC84" s="6">
        <f>IF(ISNA(MATCH(AC$2,Inputs!$K$4:$AJ$4,0)),NA(),IF(SUMPRODUCT((Inputs!$A$5:$A$230=$B84)*ISNUMBER(INDEX(Inputs!$K$5:$AJ$230,0,MATCH(AC$2,Inputs!$K$4:$AJ$4,0))))+SUMPRODUCT((Inputs!$C$5:$C$230=$B84)*ISNUMBER(INDEX(Inputs!$K$5:$AJ$230,0,MATCH(AC$2,Inputs!$K$4:$AJ$4,0))))+SUMPRODUCT((Inputs!$E$5:$E$230=$B84)*ISNUMBER(INDEX(Inputs!$K$5:$AJ$230,0,MATCH(AC$2,Inputs!$K$4:$AJ$4,0))))=0,NA(),SUMPRODUCT((Inputs!$A$5:$A$230=$B84)*Inputs!$B$5:$B$230*(((Inputs!$G$5:$G$230="moeda")+(Inputs!$G$5:$G$230="acoes"))*Inputs!$B$1+((Inputs!$G$5:$G$230&lt;&gt;"moeda")*(Inputs!$G$5:$G$230&lt;&gt;"acoes")))*INDEX(Inputs!$K$5:$AJ$230,0,MATCH(AC$2,Inputs!$K$4:$AJ$4,0)))+SUMPRODUCT((Inputs!$C$5:$C$230=$B84)*Inputs!$D$5:$D$230*(((Inputs!$G$5:$G$230="moeda")+(Inputs!$G$5:$G$230="acoes"))*Inputs!$B$1+((Inputs!$G$5:$G$230&lt;&gt;"moeda")*(Inputs!$G$5:$G$230&lt;&gt;"acoes")))*INDEX(Inputs!$K$5:$AJ$230,0,MATCH(AC$2,Inputs!$K$4:$AJ$4,0)))+SUMPRODUCT((Inputs!$E$5:$E$230=$B84)*Inputs!$F$5:$F$230*(((Inputs!$G$5:$G$230="moeda")+(Inputs!$G$5:$G$230="acoes"))*Inputs!$B$1+((Inputs!$G$5:$G$230&lt;&gt;"moeda")*(Inputs!$G$5:$G$230&lt;&gt;"acoes")))*INDEX(Inputs!$K$5:$AJ$230,0,MATCH(AC$2,Inputs!$K$4:$AJ$4,0)))))</f>
        <v>6.489</v>
      </c>
      <c r="AD84" s="6">
        <f>IF(ISNA(MATCH(AD$2,Inputs!$K$4:$AJ$4,0)),NA(),IF(SUMPRODUCT((Inputs!$A$5:$A$230=$B84)*ISNUMBER(INDEX(Inputs!$K$5:$AJ$230,0,MATCH(AD$2,Inputs!$K$4:$AJ$4,0))))+SUMPRODUCT((Inputs!$C$5:$C$230=$B84)*ISNUMBER(INDEX(Inputs!$K$5:$AJ$230,0,MATCH(AD$2,Inputs!$K$4:$AJ$4,0))))+SUMPRODUCT((Inputs!$E$5:$E$230=$B84)*ISNUMBER(INDEX(Inputs!$K$5:$AJ$230,0,MATCH(AD$2,Inputs!$K$4:$AJ$4,0))))=0,NA(),SUMPRODUCT((Inputs!$A$5:$A$230=$B84)*Inputs!$B$5:$B$230*(((Inputs!$G$5:$G$230="moeda")+(Inputs!$G$5:$G$230="acoes"))*Inputs!$B$1+((Inputs!$G$5:$G$230&lt;&gt;"moeda")*(Inputs!$G$5:$G$230&lt;&gt;"acoes")))*INDEX(Inputs!$K$5:$AJ$230,0,MATCH(AD$2,Inputs!$K$4:$AJ$4,0)))+SUMPRODUCT((Inputs!$C$5:$C$230=$B84)*Inputs!$D$5:$D$230*(((Inputs!$G$5:$G$230="moeda")+(Inputs!$G$5:$G$230="acoes"))*Inputs!$B$1+((Inputs!$G$5:$G$230&lt;&gt;"moeda")*(Inputs!$G$5:$G$230&lt;&gt;"acoes")))*INDEX(Inputs!$K$5:$AJ$230,0,MATCH(AD$2,Inputs!$K$4:$AJ$4,0)))+SUMPRODUCT((Inputs!$E$5:$E$230=$B84)*Inputs!$F$5:$F$230*(((Inputs!$G$5:$G$230="moeda")+(Inputs!$G$5:$G$230="acoes"))*Inputs!$B$1+((Inputs!$G$5:$G$230&lt;&gt;"moeda")*(Inputs!$G$5:$G$230&lt;&gt;"acoes")))*INDEX(Inputs!$K$5:$AJ$230,0,MATCH(AD$2,Inputs!$K$4:$AJ$4,0)))))</f>
        <v>13.194</v>
      </c>
      <c r="AE84" s="6" t="e">
        <f>IF(ISNA(MATCH(AE$2,Inputs!$K$4:$AJ$4,0)),NA(),IF(SUMPRODUCT((Inputs!$A$5:$A$230=$B84)*ISNUMBER(INDEX(Inputs!$K$5:$AJ$230,0,MATCH(AE$2,Inputs!$K$4:$AJ$4,0))))+SUMPRODUCT((Inputs!$C$5:$C$230=$B84)*ISNUMBER(INDEX(Inputs!$K$5:$AJ$230,0,MATCH(AE$2,Inputs!$K$4:$AJ$4,0))))+SUMPRODUCT((Inputs!$E$5:$E$230=$B84)*ISNUMBER(INDEX(Inputs!$K$5:$AJ$230,0,MATCH(AE$2,Inputs!$K$4:$AJ$4,0))))=0,NA(),SUMPRODUCT((Inputs!$A$5:$A$230=$B84)*Inputs!$B$5:$B$230*(((Inputs!$G$5:$G$230="moeda")+(Inputs!$G$5:$G$230="acoes"))*Inputs!$B$1+((Inputs!$G$5:$G$230&lt;&gt;"moeda")*(Inputs!$G$5:$G$230&lt;&gt;"acoes")))*INDEX(Inputs!$K$5:$AJ$230,0,MATCH(AE$2,Inputs!$K$4:$AJ$4,0)))+SUMPRODUCT((Inputs!$C$5:$C$230=$B84)*Inputs!$D$5:$D$230*(((Inputs!$G$5:$G$230="moeda")+(Inputs!$G$5:$G$230="acoes"))*Inputs!$B$1+((Inputs!$G$5:$G$230&lt;&gt;"moeda")*(Inputs!$G$5:$G$230&lt;&gt;"acoes")))*INDEX(Inputs!$K$5:$AJ$230,0,MATCH(AE$2,Inputs!$K$4:$AJ$4,0)))+SUMPRODUCT((Inputs!$E$5:$E$230=$B84)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4" s="6" t="e">
        <f>IF(ISNA(MATCH(AF$2,Inputs!$K$4:$AJ$4,0)),NA(),IF(SUMPRODUCT((Inputs!$A$5:$A$230=$B84)*ISNUMBER(INDEX(Inputs!$K$5:$AJ$230,0,MATCH(AF$2,Inputs!$K$4:$AJ$4,0))))+SUMPRODUCT((Inputs!$C$5:$C$230=$B84)*ISNUMBER(INDEX(Inputs!$K$5:$AJ$230,0,MATCH(AF$2,Inputs!$K$4:$AJ$4,0))))+SUMPRODUCT((Inputs!$E$5:$E$230=$B84)*ISNUMBER(INDEX(Inputs!$K$5:$AJ$230,0,MATCH(AF$2,Inputs!$K$4:$AJ$4,0))))=0,NA(),SUMPRODUCT((Inputs!$A$5:$A$230=$B84)*Inputs!$B$5:$B$230*(((Inputs!$G$5:$G$230="moeda")+(Inputs!$G$5:$G$230="acoes"))*Inputs!$B$1+((Inputs!$G$5:$G$230&lt;&gt;"moeda")*(Inputs!$G$5:$G$230&lt;&gt;"acoes")))*INDEX(Inputs!$K$5:$AJ$230,0,MATCH(AF$2,Inputs!$K$4:$AJ$4,0)))+SUMPRODUCT((Inputs!$C$5:$C$230=$B84)*Inputs!$D$5:$D$230*(((Inputs!$G$5:$G$230="moeda")+(Inputs!$G$5:$G$230="acoes"))*Inputs!$B$1+((Inputs!$G$5:$G$230&lt;&gt;"moeda")*(Inputs!$G$5:$G$230&lt;&gt;"acoes")))*INDEX(Inputs!$K$5:$AJ$230,0,MATCH(AF$2,Inputs!$K$4:$AJ$4,0)))+SUMPRODUCT((Inputs!$E$5:$E$230=$B84)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4" s="3" t="e">
        <f>SUM(AC84:AF84)</f>
        <v>#N/A</v>
      </c>
      <c r="AH84" s="6">
        <f>IF(ISNA(MATCH(AH$2,Inputs!$K$4:$AJ$4,0)),NA(),IF(SUMPRODUCT((Inputs!$A$5:$A$230=$B84)*ISNUMBER(INDEX(Inputs!$K$5:$AJ$230,0,MATCH(AH$2,Inputs!$K$4:$AJ$4,0))))+SUMPRODUCT((Inputs!$C$5:$C$230=$B84)*ISNUMBER(INDEX(Inputs!$K$5:$AJ$230,0,MATCH(AH$2,Inputs!$K$4:$AJ$4,0))))+SUMPRODUCT((Inputs!$E$5:$E$230=$B84)*ISNUMBER(INDEX(Inputs!$K$5:$AJ$230,0,MATCH(AH$2,Inputs!$K$4:$AJ$4,0))))=0,NA(),SUMPRODUCT((Inputs!$A$5:$A$230=$B84)*Inputs!$B$5:$B$230*(((Inputs!$G$5:$G$230="moeda")+(Inputs!$G$5:$G$230="acoes"))*Inputs!$B$1+((Inputs!$G$5:$G$230&lt;&gt;"moeda")*(Inputs!$G$5:$G$230&lt;&gt;"acoes")))*INDEX(Inputs!$K$5:$AJ$230,0,MATCH(AH$2,Inputs!$K$4:$AJ$4,0)))+SUMPRODUCT((Inputs!$C$5:$C$230=$B84)*Inputs!$D$5:$D$230*(((Inputs!$G$5:$G$230="moeda")+(Inputs!$G$5:$G$230="acoes"))*Inputs!$B$1+((Inputs!$G$5:$G$230&lt;&gt;"moeda")*(Inputs!$G$5:$G$230&lt;&gt;"acoes")))*INDEX(Inputs!$K$5:$AJ$230,0,MATCH(AH$2,Inputs!$K$4:$AJ$4,0)))+SUMPRODUCT((Inputs!$E$5:$E$230=$B84)*Inputs!$F$5:$F$230*(((Inputs!$G$5:$G$230="moeda")+(Inputs!$G$5:$G$230="acoes"))*Inputs!$B$1+((Inputs!$G$5:$G$230&lt;&gt;"moeda")*(Inputs!$G$5:$G$230&lt;&gt;"acoes")))*INDEX(Inputs!$K$5:$AJ$230,0,MATCH(AH$2,Inputs!$K$4:$AJ$4,0)))))</f>
        <v>14.681</v>
      </c>
      <c r="AI84" s="6">
        <f>IF(ISNA(MATCH(AI$2,Inputs!$K$4:$AJ$4,0)),NA(),IF(SUMPRODUCT((Inputs!$A$5:$A$230=$B84)*ISNUMBER(INDEX(Inputs!$K$5:$AJ$230,0,MATCH(AI$2,Inputs!$K$4:$AJ$4,0))))+SUMPRODUCT((Inputs!$C$5:$C$230=$B84)*ISNUMBER(INDEX(Inputs!$K$5:$AJ$230,0,MATCH(AI$2,Inputs!$K$4:$AJ$4,0))))+SUMPRODUCT((Inputs!$E$5:$E$230=$B84)*ISNUMBER(INDEX(Inputs!$K$5:$AJ$230,0,MATCH(AI$2,Inputs!$K$4:$AJ$4,0))))=0,NA(),SUMPRODUCT((Inputs!$A$5:$A$230=$B84)*Inputs!$B$5:$B$230*(((Inputs!$G$5:$G$230="moeda")+(Inputs!$G$5:$G$230="acoes"))*Inputs!$B$1+((Inputs!$G$5:$G$230&lt;&gt;"moeda")*(Inputs!$G$5:$G$230&lt;&gt;"acoes")))*INDEX(Inputs!$K$5:$AJ$230,0,MATCH(AI$2,Inputs!$K$4:$AJ$4,0)))+SUMPRODUCT((Inputs!$C$5:$C$230=$B84)*Inputs!$D$5:$D$230*(((Inputs!$G$5:$G$230="moeda")+(Inputs!$G$5:$G$230="acoes"))*Inputs!$B$1+((Inputs!$G$5:$G$230&lt;&gt;"moeda")*(Inputs!$G$5:$G$230&lt;&gt;"acoes")))*INDEX(Inputs!$K$5:$AJ$230,0,MATCH(AI$2,Inputs!$K$4:$AJ$4,0)))+SUMPRODUCT((Inputs!$E$5:$E$230=$B84)*Inputs!$F$5:$F$230*(((Inputs!$G$5:$G$230="moeda")+(Inputs!$G$5:$G$230="acoes"))*Inputs!$B$1+((Inputs!$G$5:$G$230&lt;&gt;"moeda")*(Inputs!$G$5:$G$230&lt;&gt;"acoes")))*INDEX(Inputs!$K$5:$AJ$230,0,MATCH(AI$2,Inputs!$K$4:$AJ$4,0)))))</f>
        <v>8.617</v>
      </c>
      <c r="AJ84" s="6">
        <f>IF(ISNA(MATCH(AJ$2,Inputs!$K$4:$AJ$4,0)),NA(),IF(SUMPRODUCT((Inputs!$A$5:$A$230=$B84)*ISNUMBER(INDEX(Inputs!$K$5:$AJ$230,0,MATCH(AJ$2,Inputs!$K$4:$AJ$4,0))))+SUMPRODUCT((Inputs!$C$5:$C$230=$B84)*ISNUMBER(INDEX(Inputs!$K$5:$AJ$230,0,MATCH(AJ$2,Inputs!$K$4:$AJ$4,0))))+SUMPRODUCT((Inputs!$E$5:$E$230=$B84)*ISNUMBER(INDEX(Inputs!$K$5:$AJ$230,0,MATCH(AJ$2,Inputs!$K$4:$AJ$4,0))))=0,NA(),SUMPRODUCT((Inputs!$A$5:$A$230=$B84)*Inputs!$B$5:$B$230*(((Inputs!$G$5:$G$230="moeda")+(Inputs!$G$5:$G$230="acoes"))*Inputs!$B$1+((Inputs!$G$5:$G$230&lt;&gt;"moeda")*(Inputs!$G$5:$G$230&lt;&gt;"acoes")))*INDEX(Inputs!$K$5:$AJ$230,0,MATCH(AJ$2,Inputs!$K$4:$AJ$4,0)))+SUMPRODUCT((Inputs!$C$5:$C$230=$B84)*Inputs!$D$5:$D$230*(((Inputs!$G$5:$G$230="moeda")+(Inputs!$G$5:$G$230="acoes"))*Inputs!$B$1+((Inputs!$G$5:$G$230&lt;&gt;"moeda")*(Inputs!$G$5:$G$230&lt;&gt;"acoes")))*INDEX(Inputs!$K$5:$AJ$230,0,MATCH(AJ$2,Inputs!$K$4:$AJ$4,0)))+SUMPRODUCT((Inputs!$E$5:$E$230=$B84)*Inputs!$F$5:$F$230*(((Inputs!$G$5:$G$230="moeda")+(Inputs!$G$5:$G$230="acoes"))*Inputs!$B$1+((Inputs!$G$5:$G$230&lt;&gt;"moeda")*(Inputs!$G$5:$G$230&lt;&gt;"acoes")))*INDEX(Inputs!$K$5:$AJ$230,0,MATCH(AJ$2,Inputs!$K$4:$AJ$4,0)))))</f>
        <v>13.975</v>
      </c>
      <c r="AK84" s="6">
        <f>IF(ISNA(MATCH(AK$2,Inputs!$K$4:$AJ$4,0)),NA(),IF(SUMPRODUCT((Inputs!$A$5:$A$230=$B84)*ISNUMBER(INDEX(Inputs!$K$5:$AJ$230,0,MATCH(AK$2,Inputs!$K$4:$AJ$4,0))))+SUMPRODUCT((Inputs!$C$5:$C$230=$B84)*ISNUMBER(INDEX(Inputs!$K$5:$AJ$230,0,MATCH(AK$2,Inputs!$K$4:$AJ$4,0))))+SUMPRODUCT((Inputs!$E$5:$E$230=$B84)*ISNUMBER(INDEX(Inputs!$K$5:$AJ$230,0,MATCH(AK$2,Inputs!$K$4:$AJ$4,0))))=0,NA(),SUMPRODUCT((Inputs!$A$5:$A$230=$B84)*Inputs!$B$5:$B$230*(((Inputs!$G$5:$G$230="moeda")+(Inputs!$G$5:$G$230="acoes"))*Inputs!$B$1+((Inputs!$G$5:$G$230&lt;&gt;"moeda")*(Inputs!$G$5:$G$230&lt;&gt;"acoes")))*INDEX(Inputs!$K$5:$AJ$230,0,MATCH(AK$2,Inputs!$K$4:$AJ$4,0)))+SUMPRODUCT((Inputs!$C$5:$C$230=$B84)*Inputs!$D$5:$D$230*(((Inputs!$G$5:$G$230="moeda")+(Inputs!$G$5:$G$230="acoes"))*Inputs!$B$1+((Inputs!$G$5:$G$230&lt;&gt;"moeda")*(Inputs!$G$5:$G$230&lt;&gt;"acoes")))*INDEX(Inputs!$K$5:$AJ$230,0,MATCH(AK$2,Inputs!$K$4:$AJ$4,0)))+SUMPRODUCT((Inputs!$E$5:$E$230=$B84)*Inputs!$F$5:$F$230*(((Inputs!$G$5:$G$230="moeda")+(Inputs!$G$5:$G$230="acoes"))*Inputs!$B$1+((Inputs!$G$5:$G$230&lt;&gt;"moeda")*(Inputs!$G$5:$G$230&lt;&gt;"acoes")))*INDEX(Inputs!$K$5:$AJ$230,0,MATCH(AK$2,Inputs!$K$4:$AJ$4,0)))))</f>
        <v>22.902</v>
      </c>
      <c r="AL84" s="3">
        <f>SUM(AH84:AK84)</f>
        <v>60.175</v>
      </c>
    </row>
    <row r="85">
      <c r="B85" s="46" t="n">
        <v>77</v>
      </c>
      <c r="C85" s="29" t="inlineStr">
        <is>
          <t>Transmissao | TECP</t>
        </is>
      </c>
      <c r="D85" s="6" t="e">
        <f>IF(ISNA(MATCH(D$2,Inputs!$K$4:$AJ$4,0)),NA(),IF(SUMPRODUCT((Inputs!$A$5:$A$230=$B85)*ISNUMBER(INDEX(Inputs!$K$5:$AJ$230,0,MATCH(D$2,Inputs!$K$4:$AJ$4,0))))+SUMPRODUCT((Inputs!$C$5:$C$230=$B85)*ISNUMBER(INDEX(Inputs!$K$5:$AJ$230,0,MATCH(D$2,Inputs!$K$4:$AJ$4,0))))+SUMPRODUCT((Inputs!$E$5:$E$230=$B85)*ISNUMBER(INDEX(Inputs!$K$5:$AJ$230,0,MATCH(D$2,Inputs!$K$4:$AJ$4,0))))=0,NA(),SUMPRODUCT((Inputs!$A$5:$A$230=$B85)*Inputs!$B$5:$B$230*(((Inputs!$G$5:$G$230="moeda")+(Inputs!$G$5:$G$230="acoes"))*Inputs!$B$1+((Inputs!$G$5:$G$230&lt;&gt;"moeda")*(Inputs!$G$5:$G$230&lt;&gt;"acoes")))*INDEX(Inputs!$K$5:$AJ$230,0,MATCH(D$2,Inputs!$K$4:$AJ$4,0)))+SUMPRODUCT((Inputs!$C$5:$C$230=$B85)*Inputs!$D$5:$D$230*(((Inputs!$G$5:$G$230="moeda")+(Inputs!$G$5:$G$230="acoes"))*Inputs!$B$1+((Inputs!$G$5:$G$230&lt;&gt;"moeda")*(Inputs!$G$5:$G$230&lt;&gt;"acoes")))*INDEX(Inputs!$K$5:$AJ$230,0,MATCH(D$2,Inputs!$K$4:$AJ$4,0)))+SUMPRODUCT((Inputs!$E$5:$E$230=$B85)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85" s="6" t="e">
        <f>IF(ISNA(MATCH(E$2,Inputs!$K$4:$AJ$4,0)),NA(),IF(SUMPRODUCT((Inputs!$A$5:$A$230=$B85)*ISNUMBER(INDEX(Inputs!$K$5:$AJ$230,0,MATCH(E$2,Inputs!$K$4:$AJ$4,0))))+SUMPRODUCT((Inputs!$C$5:$C$230=$B85)*ISNUMBER(INDEX(Inputs!$K$5:$AJ$230,0,MATCH(E$2,Inputs!$K$4:$AJ$4,0))))+SUMPRODUCT((Inputs!$E$5:$E$230=$B85)*ISNUMBER(INDEX(Inputs!$K$5:$AJ$230,0,MATCH(E$2,Inputs!$K$4:$AJ$4,0))))=0,NA(),SUMPRODUCT((Inputs!$A$5:$A$230=$B85)*Inputs!$B$5:$B$230*(((Inputs!$G$5:$G$230="moeda")+(Inputs!$G$5:$G$230="acoes"))*Inputs!$B$1+((Inputs!$G$5:$G$230&lt;&gt;"moeda")*(Inputs!$G$5:$G$230&lt;&gt;"acoes")))*INDEX(Inputs!$K$5:$AJ$230,0,MATCH(E$2,Inputs!$K$4:$AJ$4,0)))+SUMPRODUCT((Inputs!$C$5:$C$230=$B85)*Inputs!$D$5:$D$230*(((Inputs!$G$5:$G$230="moeda")+(Inputs!$G$5:$G$230="acoes"))*Inputs!$B$1+((Inputs!$G$5:$G$230&lt;&gt;"moeda")*(Inputs!$G$5:$G$230&lt;&gt;"acoes")))*INDEX(Inputs!$K$5:$AJ$230,0,MATCH(E$2,Inputs!$K$4:$AJ$4,0)))+SUMPRODUCT((Inputs!$E$5:$E$230=$B85)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85" s="6" t="e">
        <f>IF(ISNA(MATCH(F$2,Inputs!$K$4:$AJ$4,0)),NA(),IF(SUMPRODUCT((Inputs!$A$5:$A$230=$B85)*ISNUMBER(INDEX(Inputs!$K$5:$AJ$230,0,MATCH(F$2,Inputs!$K$4:$AJ$4,0))))+SUMPRODUCT((Inputs!$C$5:$C$230=$B85)*ISNUMBER(INDEX(Inputs!$K$5:$AJ$230,0,MATCH(F$2,Inputs!$K$4:$AJ$4,0))))+SUMPRODUCT((Inputs!$E$5:$E$230=$B85)*ISNUMBER(INDEX(Inputs!$K$5:$AJ$230,0,MATCH(F$2,Inputs!$K$4:$AJ$4,0))))=0,NA(),SUMPRODUCT((Inputs!$A$5:$A$230=$B85)*Inputs!$B$5:$B$230*(((Inputs!$G$5:$G$230="moeda")+(Inputs!$G$5:$G$230="acoes"))*Inputs!$B$1+((Inputs!$G$5:$G$230&lt;&gt;"moeda")*(Inputs!$G$5:$G$230&lt;&gt;"acoes")))*INDEX(Inputs!$K$5:$AJ$230,0,MATCH(F$2,Inputs!$K$4:$AJ$4,0)))+SUMPRODUCT((Inputs!$C$5:$C$230=$B85)*Inputs!$D$5:$D$230*(((Inputs!$G$5:$G$230="moeda")+(Inputs!$G$5:$G$230="acoes"))*Inputs!$B$1+((Inputs!$G$5:$G$230&lt;&gt;"moeda")*(Inputs!$G$5:$G$230&lt;&gt;"acoes")))*INDEX(Inputs!$K$5:$AJ$230,0,MATCH(F$2,Inputs!$K$4:$AJ$4,0)))+SUMPRODUCT((Inputs!$E$5:$E$230=$B85)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85" s="6" t="e">
        <f>IF(ISNA(MATCH(G$2,Inputs!$K$4:$AJ$4,0)),NA(),IF(SUMPRODUCT((Inputs!$A$5:$A$230=$B85)*ISNUMBER(INDEX(Inputs!$K$5:$AJ$230,0,MATCH(G$2,Inputs!$K$4:$AJ$4,0))))+SUMPRODUCT((Inputs!$C$5:$C$230=$B85)*ISNUMBER(INDEX(Inputs!$K$5:$AJ$230,0,MATCH(G$2,Inputs!$K$4:$AJ$4,0))))+SUMPRODUCT((Inputs!$E$5:$E$230=$B85)*ISNUMBER(INDEX(Inputs!$K$5:$AJ$230,0,MATCH(G$2,Inputs!$K$4:$AJ$4,0))))=0,NA(),SUMPRODUCT((Inputs!$A$5:$A$230=$B85)*Inputs!$B$5:$B$230*(((Inputs!$G$5:$G$230="moeda")+(Inputs!$G$5:$G$230="acoes"))*Inputs!$B$1+((Inputs!$G$5:$G$230&lt;&gt;"moeda")*(Inputs!$G$5:$G$230&lt;&gt;"acoes")))*INDEX(Inputs!$K$5:$AJ$230,0,MATCH(G$2,Inputs!$K$4:$AJ$4,0)))+SUMPRODUCT((Inputs!$C$5:$C$230=$B85)*Inputs!$D$5:$D$230*(((Inputs!$G$5:$G$230="moeda")+(Inputs!$G$5:$G$230="acoes"))*Inputs!$B$1+((Inputs!$G$5:$G$230&lt;&gt;"moeda")*(Inputs!$G$5:$G$230&lt;&gt;"acoes")))*INDEX(Inputs!$K$5:$AJ$230,0,MATCH(G$2,Inputs!$K$4:$AJ$4,0)))+SUMPRODUCT((Inputs!$E$5:$E$230=$B85)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85" s="3" t="e">
        <f>SUM(D85:G85)</f>
        <v>#N/A</v>
      </c>
      <c r="I85" s="6" t="e">
        <f>IF(ISNA(MATCH(I$2,Inputs!$K$4:$AJ$4,0)),NA(),IF(SUMPRODUCT((Inputs!$A$5:$A$230=$B85)*ISNUMBER(INDEX(Inputs!$K$5:$AJ$230,0,MATCH(I$2,Inputs!$K$4:$AJ$4,0))))+SUMPRODUCT((Inputs!$C$5:$C$230=$B85)*ISNUMBER(INDEX(Inputs!$K$5:$AJ$230,0,MATCH(I$2,Inputs!$K$4:$AJ$4,0))))+SUMPRODUCT((Inputs!$E$5:$E$230=$B85)*ISNUMBER(INDEX(Inputs!$K$5:$AJ$230,0,MATCH(I$2,Inputs!$K$4:$AJ$4,0))))=0,NA(),SUMPRODUCT((Inputs!$A$5:$A$230=$B85)*Inputs!$B$5:$B$230*(((Inputs!$G$5:$G$230="moeda")+(Inputs!$G$5:$G$230="acoes"))*Inputs!$B$1+((Inputs!$G$5:$G$230&lt;&gt;"moeda")*(Inputs!$G$5:$G$230&lt;&gt;"acoes")))*INDEX(Inputs!$K$5:$AJ$230,0,MATCH(I$2,Inputs!$K$4:$AJ$4,0)))+SUMPRODUCT((Inputs!$C$5:$C$230=$B85)*Inputs!$D$5:$D$230*(((Inputs!$G$5:$G$230="moeda")+(Inputs!$G$5:$G$230="acoes"))*Inputs!$B$1+((Inputs!$G$5:$G$230&lt;&gt;"moeda")*(Inputs!$G$5:$G$230&lt;&gt;"acoes")))*INDEX(Inputs!$K$5:$AJ$230,0,MATCH(I$2,Inputs!$K$4:$AJ$4,0)))+SUMPRODUCT((Inputs!$E$5:$E$230=$B85)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85" s="6" t="e">
        <f>IF(ISNA(MATCH(J$2,Inputs!$K$4:$AJ$4,0)),NA(),IF(SUMPRODUCT((Inputs!$A$5:$A$230=$B85)*ISNUMBER(INDEX(Inputs!$K$5:$AJ$230,0,MATCH(J$2,Inputs!$K$4:$AJ$4,0))))+SUMPRODUCT((Inputs!$C$5:$C$230=$B85)*ISNUMBER(INDEX(Inputs!$K$5:$AJ$230,0,MATCH(J$2,Inputs!$K$4:$AJ$4,0))))+SUMPRODUCT((Inputs!$E$5:$E$230=$B85)*ISNUMBER(INDEX(Inputs!$K$5:$AJ$230,0,MATCH(J$2,Inputs!$K$4:$AJ$4,0))))=0,NA(),SUMPRODUCT((Inputs!$A$5:$A$230=$B85)*Inputs!$B$5:$B$230*(((Inputs!$G$5:$G$230="moeda")+(Inputs!$G$5:$G$230="acoes"))*Inputs!$B$1+((Inputs!$G$5:$G$230&lt;&gt;"moeda")*(Inputs!$G$5:$G$230&lt;&gt;"acoes")))*INDEX(Inputs!$K$5:$AJ$230,0,MATCH(J$2,Inputs!$K$4:$AJ$4,0)))+SUMPRODUCT((Inputs!$C$5:$C$230=$B85)*Inputs!$D$5:$D$230*(((Inputs!$G$5:$G$230="moeda")+(Inputs!$G$5:$G$230="acoes"))*Inputs!$B$1+((Inputs!$G$5:$G$230&lt;&gt;"moeda")*(Inputs!$G$5:$G$230&lt;&gt;"acoes")))*INDEX(Inputs!$K$5:$AJ$230,0,MATCH(J$2,Inputs!$K$4:$AJ$4,0)))+SUMPRODUCT((Inputs!$E$5:$E$230=$B85)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85" s="6" t="e">
        <f>IF(ISNA(MATCH(K$2,Inputs!$K$4:$AJ$4,0)),NA(),IF(SUMPRODUCT((Inputs!$A$5:$A$230=$B85)*ISNUMBER(INDEX(Inputs!$K$5:$AJ$230,0,MATCH(K$2,Inputs!$K$4:$AJ$4,0))))+SUMPRODUCT((Inputs!$C$5:$C$230=$B85)*ISNUMBER(INDEX(Inputs!$K$5:$AJ$230,0,MATCH(K$2,Inputs!$K$4:$AJ$4,0))))+SUMPRODUCT((Inputs!$E$5:$E$230=$B85)*ISNUMBER(INDEX(Inputs!$K$5:$AJ$230,0,MATCH(K$2,Inputs!$K$4:$AJ$4,0))))=0,NA(),SUMPRODUCT((Inputs!$A$5:$A$230=$B85)*Inputs!$B$5:$B$230*(((Inputs!$G$5:$G$230="moeda")+(Inputs!$G$5:$G$230="acoes"))*Inputs!$B$1+((Inputs!$G$5:$G$230&lt;&gt;"moeda")*(Inputs!$G$5:$G$230&lt;&gt;"acoes")))*INDEX(Inputs!$K$5:$AJ$230,0,MATCH(K$2,Inputs!$K$4:$AJ$4,0)))+SUMPRODUCT((Inputs!$C$5:$C$230=$B85)*Inputs!$D$5:$D$230*(((Inputs!$G$5:$G$230="moeda")+(Inputs!$G$5:$G$230="acoes"))*Inputs!$B$1+((Inputs!$G$5:$G$230&lt;&gt;"moeda")*(Inputs!$G$5:$G$230&lt;&gt;"acoes")))*INDEX(Inputs!$K$5:$AJ$230,0,MATCH(K$2,Inputs!$K$4:$AJ$4,0)))+SUMPRODUCT((Inputs!$E$5:$E$230=$B85)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85" s="6" t="e">
        <f>IF(ISNA(MATCH(L$2,Inputs!$K$4:$AJ$4,0)),NA(),IF(SUMPRODUCT((Inputs!$A$5:$A$230=$B85)*ISNUMBER(INDEX(Inputs!$K$5:$AJ$230,0,MATCH(L$2,Inputs!$K$4:$AJ$4,0))))+SUMPRODUCT((Inputs!$C$5:$C$230=$B85)*ISNUMBER(INDEX(Inputs!$K$5:$AJ$230,0,MATCH(L$2,Inputs!$K$4:$AJ$4,0))))+SUMPRODUCT((Inputs!$E$5:$E$230=$B85)*ISNUMBER(INDEX(Inputs!$K$5:$AJ$230,0,MATCH(L$2,Inputs!$K$4:$AJ$4,0))))=0,NA(),SUMPRODUCT((Inputs!$A$5:$A$230=$B85)*Inputs!$B$5:$B$230*(((Inputs!$G$5:$G$230="moeda")+(Inputs!$G$5:$G$230="acoes"))*Inputs!$B$1+((Inputs!$G$5:$G$230&lt;&gt;"moeda")*(Inputs!$G$5:$G$230&lt;&gt;"acoes")))*INDEX(Inputs!$K$5:$AJ$230,0,MATCH(L$2,Inputs!$K$4:$AJ$4,0)))+SUMPRODUCT((Inputs!$C$5:$C$230=$B85)*Inputs!$D$5:$D$230*(((Inputs!$G$5:$G$230="moeda")+(Inputs!$G$5:$G$230="acoes"))*Inputs!$B$1+((Inputs!$G$5:$G$230&lt;&gt;"moeda")*(Inputs!$G$5:$G$230&lt;&gt;"acoes")))*INDEX(Inputs!$K$5:$AJ$230,0,MATCH(L$2,Inputs!$K$4:$AJ$4,0)))+SUMPRODUCT((Inputs!$E$5:$E$230=$B85)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85" s="3" t="e">
        <f>SUM(I85:L85)</f>
        <v>#N/A</v>
      </c>
      <c r="N85" s="6" t="e">
        <f>IF(ISNA(MATCH(N$2,Inputs!$K$4:$AJ$4,0)),NA(),IF(SUMPRODUCT((Inputs!$A$5:$A$230=$B85)*ISNUMBER(INDEX(Inputs!$K$5:$AJ$230,0,MATCH(N$2,Inputs!$K$4:$AJ$4,0))))+SUMPRODUCT((Inputs!$C$5:$C$230=$B85)*ISNUMBER(INDEX(Inputs!$K$5:$AJ$230,0,MATCH(N$2,Inputs!$K$4:$AJ$4,0))))+SUMPRODUCT((Inputs!$E$5:$E$230=$B85)*ISNUMBER(INDEX(Inputs!$K$5:$AJ$230,0,MATCH(N$2,Inputs!$K$4:$AJ$4,0))))=0,NA(),SUMPRODUCT((Inputs!$A$5:$A$230=$B85)*Inputs!$B$5:$B$230*(((Inputs!$G$5:$G$230="moeda")+(Inputs!$G$5:$G$230="acoes"))*Inputs!$B$1+((Inputs!$G$5:$G$230&lt;&gt;"moeda")*(Inputs!$G$5:$G$230&lt;&gt;"acoes")))*INDEX(Inputs!$K$5:$AJ$230,0,MATCH(N$2,Inputs!$K$4:$AJ$4,0)))+SUMPRODUCT((Inputs!$C$5:$C$230=$B85)*Inputs!$D$5:$D$230*(((Inputs!$G$5:$G$230="moeda")+(Inputs!$G$5:$G$230="acoes"))*Inputs!$B$1+((Inputs!$G$5:$G$230&lt;&gt;"moeda")*(Inputs!$G$5:$G$230&lt;&gt;"acoes")))*INDEX(Inputs!$K$5:$AJ$230,0,MATCH(N$2,Inputs!$K$4:$AJ$4,0)))+SUMPRODUCT((Inputs!$E$5:$E$230=$B85)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85" s="6" t="e">
        <f>IF(ISNA(MATCH(O$2,Inputs!$K$4:$AJ$4,0)),NA(),IF(SUMPRODUCT((Inputs!$A$5:$A$230=$B85)*ISNUMBER(INDEX(Inputs!$K$5:$AJ$230,0,MATCH(O$2,Inputs!$K$4:$AJ$4,0))))+SUMPRODUCT((Inputs!$C$5:$C$230=$B85)*ISNUMBER(INDEX(Inputs!$K$5:$AJ$230,0,MATCH(O$2,Inputs!$K$4:$AJ$4,0))))+SUMPRODUCT((Inputs!$E$5:$E$230=$B85)*ISNUMBER(INDEX(Inputs!$K$5:$AJ$230,0,MATCH(O$2,Inputs!$K$4:$AJ$4,0))))=0,NA(),SUMPRODUCT((Inputs!$A$5:$A$230=$B85)*Inputs!$B$5:$B$230*(((Inputs!$G$5:$G$230="moeda")+(Inputs!$G$5:$G$230="acoes"))*Inputs!$B$1+((Inputs!$G$5:$G$230&lt;&gt;"moeda")*(Inputs!$G$5:$G$230&lt;&gt;"acoes")))*INDEX(Inputs!$K$5:$AJ$230,0,MATCH(O$2,Inputs!$K$4:$AJ$4,0)))+SUMPRODUCT((Inputs!$C$5:$C$230=$B85)*Inputs!$D$5:$D$230*(((Inputs!$G$5:$G$230="moeda")+(Inputs!$G$5:$G$230="acoes"))*Inputs!$B$1+((Inputs!$G$5:$G$230&lt;&gt;"moeda")*(Inputs!$G$5:$G$230&lt;&gt;"acoes")))*INDEX(Inputs!$K$5:$AJ$230,0,MATCH(O$2,Inputs!$K$4:$AJ$4,0)))+SUMPRODUCT((Inputs!$E$5:$E$230=$B85)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85" s="6" t="e">
        <f>IF(ISNA(MATCH(P$2,Inputs!$K$4:$AJ$4,0)),NA(),IF(SUMPRODUCT((Inputs!$A$5:$A$230=$B85)*ISNUMBER(INDEX(Inputs!$K$5:$AJ$230,0,MATCH(P$2,Inputs!$K$4:$AJ$4,0))))+SUMPRODUCT((Inputs!$C$5:$C$230=$B85)*ISNUMBER(INDEX(Inputs!$K$5:$AJ$230,0,MATCH(P$2,Inputs!$K$4:$AJ$4,0))))+SUMPRODUCT((Inputs!$E$5:$E$230=$B85)*ISNUMBER(INDEX(Inputs!$K$5:$AJ$230,0,MATCH(P$2,Inputs!$K$4:$AJ$4,0))))=0,NA(),SUMPRODUCT((Inputs!$A$5:$A$230=$B85)*Inputs!$B$5:$B$230*(((Inputs!$G$5:$G$230="moeda")+(Inputs!$G$5:$G$230="acoes"))*Inputs!$B$1+((Inputs!$G$5:$G$230&lt;&gt;"moeda")*(Inputs!$G$5:$G$230&lt;&gt;"acoes")))*INDEX(Inputs!$K$5:$AJ$230,0,MATCH(P$2,Inputs!$K$4:$AJ$4,0)))+SUMPRODUCT((Inputs!$C$5:$C$230=$B85)*Inputs!$D$5:$D$230*(((Inputs!$G$5:$G$230="moeda")+(Inputs!$G$5:$G$230="acoes"))*Inputs!$B$1+((Inputs!$G$5:$G$230&lt;&gt;"moeda")*(Inputs!$G$5:$G$230&lt;&gt;"acoes")))*INDEX(Inputs!$K$5:$AJ$230,0,MATCH(P$2,Inputs!$K$4:$AJ$4,0)))+SUMPRODUCT((Inputs!$E$5:$E$230=$B85)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85" s="6">
        <f>IF(ISNA(MATCH(Q$2,Inputs!$K$4:$AJ$4,0)),NA(),IF(SUMPRODUCT((Inputs!$A$5:$A$230=$B85)*ISNUMBER(INDEX(Inputs!$K$5:$AJ$230,0,MATCH(Q$2,Inputs!$K$4:$AJ$4,0))))+SUMPRODUCT((Inputs!$C$5:$C$230=$B85)*ISNUMBER(INDEX(Inputs!$K$5:$AJ$230,0,MATCH(Q$2,Inputs!$K$4:$AJ$4,0))))+SUMPRODUCT((Inputs!$E$5:$E$230=$B85)*ISNUMBER(INDEX(Inputs!$K$5:$AJ$230,0,MATCH(Q$2,Inputs!$K$4:$AJ$4,0))))=0,NA(),SUMPRODUCT((Inputs!$A$5:$A$230=$B85)*Inputs!$B$5:$B$230*(((Inputs!$G$5:$G$230="moeda")+(Inputs!$G$5:$G$230="acoes"))*Inputs!$B$1+((Inputs!$G$5:$G$230&lt;&gt;"moeda")*(Inputs!$G$5:$G$230&lt;&gt;"acoes")))*INDEX(Inputs!$K$5:$AJ$230,0,MATCH(Q$2,Inputs!$K$4:$AJ$4,0)))+SUMPRODUCT((Inputs!$C$5:$C$230=$B85)*Inputs!$D$5:$D$230*(((Inputs!$G$5:$G$230="moeda")+(Inputs!$G$5:$G$230="acoes"))*Inputs!$B$1+((Inputs!$G$5:$G$230&lt;&gt;"moeda")*(Inputs!$G$5:$G$230&lt;&gt;"acoes")))*INDEX(Inputs!$K$5:$AJ$230,0,MATCH(Q$2,Inputs!$K$4:$AJ$4,0)))+SUMPRODUCT((Inputs!$E$5:$E$230=$B85)*Inputs!$F$5:$F$230*(((Inputs!$G$5:$G$230="moeda")+(Inputs!$G$5:$G$230="acoes"))*Inputs!$B$1+((Inputs!$G$5:$G$230&lt;&gt;"moeda")*(Inputs!$G$5:$G$230&lt;&gt;"acoes")))*INDEX(Inputs!$K$5:$AJ$230,0,MATCH(Q$2,Inputs!$K$4:$AJ$4,0)))))</f>
        <v>0.218</v>
      </c>
      <c r="R85" s="3" t="e">
        <f>SUM(N85:Q85)</f>
        <v>#N/A</v>
      </c>
      <c r="S85" s="6">
        <f>IF(ISNA(MATCH(S$2,Inputs!$K$4:$AJ$4,0)),NA(),IF(SUMPRODUCT((Inputs!$A$5:$A$230=$B85)*ISNUMBER(INDEX(Inputs!$K$5:$AJ$230,0,MATCH(S$2,Inputs!$K$4:$AJ$4,0))))+SUMPRODUCT((Inputs!$C$5:$C$230=$B85)*ISNUMBER(INDEX(Inputs!$K$5:$AJ$230,0,MATCH(S$2,Inputs!$K$4:$AJ$4,0))))+SUMPRODUCT((Inputs!$E$5:$E$230=$B85)*ISNUMBER(INDEX(Inputs!$K$5:$AJ$230,0,MATCH(S$2,Inputs!$K$4:$AJ$4,0))))=0,NA(),SUMPRODUCT((Inputs!$A$5:$A$230=$B85)*Inputs!$B$5:$B$230*(((Inputs!$G$5:$G$230="moeda")+(Inputs!$G$5:$G$230="acoes"))*Inputs!$B$1+((Inputs!$G$5:$G$230&lt;&gt;"moeda")*(Inputs!$G$5:$G$230&lt;&gt;"acoes")))*INDEX(Inputs!$K$5:$AJ$230,0,MATCH(S$2,Inputs!$K$4:$AJ$4,0)))+SUMPRODUCT((Inputs!$C$5:$C$230=$B85)*Inputs!$D$5:$D$230*(((Inputs!$G$5:$G$230="moeda")+(Inputs!$G$5:$G$230="acoes"))*Inputs!$B$1+((Inputs!$G$5:$G$230&lt;&gt;"moeda")*(Inputs!$G$5:$G$230&lt;&gt;"acoes")))*INDEX(Inputs!$K$5:$AJ$230,0,MATCH(S$2,Inputs!$K$4:$AJ$4,0)))+SUMPRODUCT((Inputs!$E$5:$E$230=$B85)*Inputs!$F$5:$F$230*(((Inputs!$G$5:$G$230="moeda")+(Inputs!$G$5:$G$230="acoes"))*Inputs!$B$1+((Inputs!$G$5:$G$230&lt;&gt;"moeda")*(Inputs!$G$5:$G$230&lt;&gt;"acoes")))*INDEX(Inputs!$K$5:$AJ$230,0,MATCH(S$2,Inputs!$K$4:$AJ$4,0)))))</f>
        <v>2.522</v>
      </c>
      <c r="T85" s="6">
        <f>IF(ISNA(MATCH(T$2,Inputs!$K$4:$AJ$4,0)),NA(),IF(SUMPRODUCT((Inputs!$A$5:$A$230=$B85)*ISNUMBER(INDEX(Inputs!$K$5:$AJ$230,0,MATCH(T$2,Inputs!$K$4:$AJ$4,0))))+SUMPRODUCT((Inputs!$C$5:$C$230=$B85)*ISNUMBER(INDEX(Inputs!$K$5:$AJ$230,0,MATCH(T$2,Inputs!$K$4:$AJ$4,0))))+SUMPRODUCT((Inputs!$E$5:$E$230=$B85)*ISNUMBER(INDEX(Inputs!$K$5:$AJ$230,0,MATCH(T$2,Inputs!$K$4:$AJ$4,0))))=0,NA(),SUMPRODUCT((Inputs!$A$5:$A$230=$B85)*Inputs!$B$5:$B$230*(((Inputs!$G$5:$G$230="moeda")+(Inputs!$G$5:$G$230="acoes"))*Inputs!$B$1+((Inputs!$G$5:$G$230&lt;&gt;"moeda")*(Inputs!$G$5:$G$230&lt;&gt;"acoes")))*INDEX(Inputs!$K$5:$AJ$230,0,MATCH(T$2,Inputs!$K$4:$AJ$4,0)))+SUMPRODUCT((Inputs!$C$5:$C$230=$B85)*Inputs!$D$5:$D$230*(((Inputs!$G$5:$G$230="moeda")+(Inputs!$G$5:$G$230="acoes"))*Inputs!$B$1+((Inputs!$G$5:$G$230&lt;&gt;"moeda")*(Inputs!$G$5:$G$230&lt;&gt;"acoes")))*INDEX(Inputs!$K$5:$AJ$230,0,MATCH(T$2,Inputs!$K$4:$AJ$4,0)))+SUMPRODUCT((Inputs!$E$5:$E$230=$B85)*Inputs!$F$5:$F$230*(((Inputs!$G$5:$G$230="moeda")+(Inputs!$G$5:$G$230="acoes"))*Inputs!$B$1+((Inputs!$G$5:$G$230&lt;&gt;"moeda")*(Inputs!$G$5:$G$230&lt;&gt;"acoes")))*INDEX(Inputs!$K$5:$AJ$230,0,MATCH(T$2,Inputs!$K$4:$AJ$4,0)))))</f>
        <v>2.347</v>
      </c>
      <c r="U85" s="6">
        <f>IF(ISNA(MATCH(U$2,Inputs!$K$4:$AJ$4,0)),NA(),IF(SUMPRODUCT((Inputs!$A$5:$A$230=$B85)*ISNUMBER(INDEX(Inputs!$K$5:$AJ$230,0,MATCH(U$2,Inputs!$K$4:$AJ$4,0))))+SUMPRODUCT((Inputs!$C$5:$C$230=$B85)*ISNUMBER(INDEX(Inputs!$K$5:$AJ$230,0,MATCH(U$2,Inputs!$K$4:$AJ$4,0))))+SUMPRODUCT((Inputs!$E$5:$E$230=$B85)*ISNUMBER(INDEX(Inputs!$K$5:$AJ$230,0,MATCH(U$2,Inputs!$K$4:$AJ$4,0))))=0,NA(),SUMPRODUCT((Inputs!$A$5:$A$230=$B85)*Inputs!$B$5:$B$230*(((Inputs!$G$5:$G$230="moeda")+(Inputs!$G$5:$G$230="acoes"))*Inputs!$B$1+((Inputs!$G$5:$G$230&lt;&gt;"moeda")*(Inputs!$G$5:$G$230&lt;&gt;"acoes")))*INDEX(Inputs!$K$5:$AJ$230,0,MATCH(U$2,Inputs!$K$4:$AJ$4,0)))+SUMPRODUCT((Inputs!$C$5:$C$230=$B85)*Inputs!$D$5:$D$230*(((Inputs!$G$5:$G$230="moeda")+(Inputs!$G$5:$G$230="acoes"))*Inputs!$B$1+((Inputs!$G$5:$G$230&lt;&gt;"moeda")*(Inputs!$G$5:$G$230&lt;&gt;"acoes")))*INDEX(Inputs!$K$5:$AJ$230,0,MATCH(U$2,Inputs!$K$4:$AJ$4,0)))+SUMPRODUCT((Inputs!$E$5:$E$230=$B85)*Inputs!$F$5:$F$230*(((Inputs!$G$5:$G$230="moeda")+(Inputs!$G$5:$G$230="acoes"))*Inputs!$B$1+((Inputs!$G$5:$G$230&lt;&gt;"moeda")*(Inputs!$G$5:$G$230&lt;&gt;"acoes")))*INDEX(Inputs!$K$5:$AJ$230,0,MATCH(U$2,Inputs!$K$4:$AJ$4,0)))))</f>
        <v>3.36</v>
      </c>
      <c r="V85" s="6">
        <f>IF(ISNA(MATCH(V$2,Inputs!$K$4:$AJ$4,0)),NA(),IF(SUMPRODUCT((Inputs!$A$5:$A$230=$B85)*ISNUMBER(INDEX(Inputs!$K$5:$AJ$230,0,MATCH(V$2,Inputs!$K$4:$AJ$4,0))))+SUMPRODUCT((Inputs!$C$5:$C$230=$B85)*ISNUMBER(INDEX(Inputs!$K$5:$AJ$230,0,MATCH(V$2,Inputs!$K$4:$AJ$4,0))))+SUMPRODUCT((Inputs!$E$5:$E$230=$B85)*ISNUMBER(INDEX(Inputs!$K$5:$AJ$230,0,MATCH(V$2,Inputs!$K$4:$AJ$4,0))))=0,NA(),SUMPRODUCT((Inputs!$A$5:$A$230=$B85)*Inputs!$B$5:$B$230*(((Inputs!$G$5:$G$230="moeda")+(Inputs!$G$5:$G$230="acoes"))*Inputs!$B$1+((Inputs!$G$5:$G$230&lt;&gt;"moeda")*(Inputs!$G$5:$G$230&lt;&gt;"acoes")))*INDEX(Inputs!$K$5:$AJ$230,0,MATCH(V$2,Inputs!$K$4:$AJ$4,0)))+SUMPRODUCT((Inputs!$C$5:$C$230=$B85)*Inputs!$D$5:$D$230*(((Inputs!$G$5:$G$230="moeda")+(Inputs!$G$5:$G$230="acoes"))*Inputs!$B$1+((Inputs!$G$5:$G$230&lt;&gt;"moeda")*(Inputs!$G$5:$G$230&lt;&gt;"acoes")))*INDEX(Inputs!$K$5:$AJ$230,0,MATCH(V$2,Inputs!$K$4:$AJ$4,0)))+SUMPRODUCT((Inputs!$E$5:$E$230=$B85)*Inputs!$F$5:$F$230*(((Inputs!$G$5:$G$230="moeda")+(Inputs!$G$5:$G$230="acoes"))*Inputs!$B$1+((Inputs!$G$5:$G$230&lt;&gt;"moeda")*(Inputs!$G$5:$G$230&lt;&gt;"acoes")))*INDEX(Inputs!$K$5:$AJ$230,0,MATCH(V$2,Inputs!$K$4:$AJ$4,0)))))</f>
        <v>11.719</v>
      </c>
      <c r="W85" s="3">
        <f>SUM(S85:V85)</f>
        <v>19.948</v>
      </c>
      <c r="X85" s="6">
        <f>IF(ISNA(MATCH(X$2,Inputs!$K$4:$AJ$4,0)),NA(),IF(SUMPRODUCT((Inputs!$A$5:$A$230=$B85)*ISNUMBER(INDEX(Inputs!$K$5:$AJ$230,0,MATCH(X$2,Inputs!$K$4:$AJ$4,0))))+SUMPRODUCT((Inputs!$C$5:$C$230=$B85)*ISNUMBER(INDEX(Inputs!$K$5:$AJ$230,0,MATCH(X$2,Inputs!$K$4:$AJ$4,0))))+SUMPRODUCT((Inputs!$E$5:$E$230=$B85)*ISNUMBER(INDEX(Inputs!$K$5:$AJ$230,0,MATCH(X$2,Inputs!$K$4:$AJ$4,0))))=0,NA(),SUMPRODUCT((Inputs!$A$5:$A$230=$B85)*Inputs!$B$5:$B$230*(((Inputs!$G$5:$G$230="moeda")+(Inputs!$G$5:$G$230="acoes"))*Inputs!$B$1+((Inputs!$G$5:$G$230&lt;&gt;"moeda")*(Inputs!$G$5:$G$230&lt;&gt;"acoes")))*INDEX(Inputs!$K$5:$AJ$230,0,MATCH(X$2,Inputs!$K$4:$AJ$4,0)))+SUMPRODUCT((Inputs!$C$5:$C$230=$B85)*Inputs!$D$5:$D$230*(((Inputs!$G$5:$G$230="moeda")+(Inputs!$G$5:$G$230="acoes"))*Inputs!$B$1+((Inputs!$G$5:$G$230&lt;&gt;"moeda")*(Inputs!$G$5:$G$230&lt;&gt;"acoes")))*INDEX(Inputs!$K$5:$AJ$230,0,MATCH(X$2,Inputs!$K$4:$AJ$4,0)))+SUMPRODUCT((Inputs!$E$5:$E$230=$B85)*Inputs!$F$5:$F$230*(((Inputs!$G$5:$G$230="moeda")+(Inputs!$G$5:$G$230="acoes"))*Inputs!$B$1+((Inputs!$G$5:$G$230&lt;&gt;"moeda")*(Inputs!$G$5:$G$230&lt;&gt;"acoes")))*INDEX(Inputs!$K$5:$AJ$230,0,MATCH(X$2,Inputs!$K$4:$AJ$4,0)))))</f>
        <v>82.577</v>
      </c>
      <c r="Y85" s="6">
        <f>IF(ISNA(MATCH(Y$2,Inputs!$K$4:$AJ$4,0)),NA(),IF(SUMPRODUCT((Inputs!$A$5:$A$230=$B85)*ISNUMBER(INDEX(Inputs!$K$5:$AJ$230,0,MATCH(Y$2,Inputs!$K$4:$AJ$4,0))))+SUMPRODUCT((Inputs!$C$5:$C$230=$B85)*ISNUMBER(INDEX(Inputs!$K$5:$AJ$230,0,MATCH(Y$2,Inputs!$K$4:$AJ$4,0))))+SUMPRODUCT((Inputs!$E$5:$E$230=$B85)*ISNUMBER(INDEX(Inputs!$K$5:$AJ$230,0,MATCH(Y$2,Inputs!$K$4:$AJ$4,0))))=0,NA(),SUMPRODUCT((Inputs!$A$5:$A$230=$B85)*Inputs!$B$5:$B$230*(((Inputs!$G$5:$G$230="moeda")+(Inputs!$G$5:$G$230="acoes"))*Inputs!$B$1+((Inputs!$G$5:$G$230&lt;&gt;"moeda")*(Inputs!$G$5:$G$230&lt;&gt;"acoes")))*INDEX(Inputs!$K$5:$AJ$230,0,MATCH(Y$2,Inputs!$K$4:$AJ$4,0)))+SUMPRODUCT((Inputs!$C$5:$C$230=$B85)*Inputs!$D$5:$D$230*(((Inputs!$G$5:$G$230="moeda")+(Inputs!$G$5:$G$230="acoes"))*Inputs!$B$1+((Inputs!$G$5:$G$230&lt;&gt;"moeda")*(Inputs!$G$5:$G$230&lt;&gt;"acoes")))*INDEX(Inputs!$K$5:$AJ$230,0,MATCH(Y$2,Inputs!$K$4:$AJ$4,0)))+SUMPRODUCT((Inputs!$E$5:$E$230=$B85)*Inputs!$F$5:$F$230*(((Inputs!$G$5:$G$230="moeda")+(Inputs!$G$5:$G$230="acoes"))*Inputs!$B$1+((Inputs!$G$5:$G$230&lt;&gt;"moeda")*(Inputs!$G$5:$G$230&lt;&gt;"acoes")))*INDEX(Inputs!$K$5:$AJ$230,0,MATCH(Y$2,Inputs!$K$4:$AJ$4,0)))))</f>
        <v>67.999</v>
      </c>
      <c r="Z85" s="6">
        <f>IF(ISNA(MATCH(Z$2,Inputs!$K$4:$AJ$4,0)),NA(),IF(SUMPRODUCT((Inputs!$A$5:$A$230=$B85)*ISNUMBER(INDEX(Inputs!$K$5:$AJ$230,0,MATCH(Z$2,Inputs!$K$4:$AJ$4,0))))+SUMPRODUCT((Inputs!$C$5:$C$230=$B85)*ISNUMBER(INDEX(Inputs!$K$5:$AJ$230,0,MATCH(Z$2,Inputs!$K$4:$AJ$4,0))))+SUMPRODUCT((Inputs!$E$5:$E$230=$B85)*ISNUMBER(INDEX(Inputs!$K$5:$AJ$230,0,MATCH(Z$2,Inputs!$K$4:$AJ$4,0))))=0,NA(),SUMPRODUCT((Inputs!$A$5:$A$230=$B85)*Inputs!$B$5:$B$230*(((Inputs!$G$5:$G$230="moeda")+(Inputs!$G$5:$G$230="acoes"))*Inputs!$B$1+((Inputs!$G$5:$G$230&lt;&gt;"moeda")*(Inputs!$G$5:$G$230&lt;&gt;"acoes")))*INDEX(Inputs!$K$5:$AJ$230,0,MATCH(Z$2,Inputs!$K$4:$AJ$4,0)))+SUMPRODUCT((Inputs!$C$5:$C$230=$B85)*Inputs!$D$5:$D$230*(((Inputs!$G$5:$G$230="moeda")+(Inputs!$G$5:$G$230="acoes"))*Inputs!$B$1+((Inputs!$G$5:$G$230&lt;&gt;"moeda")*(Inputs!$G$5:$G$230&lt;&gt;"acoes")))*INDEX(Inputs!$K$5:$AJ$230,0,MATCH(Z$2,Inputs!$K$4:$AJ$4,0)))+SUMPRODUCT((Inputs!$E$5:$E$230=$B85)*Inputs!$F$5:$F$230*(((Inputs!$G$5:$G$230="moeda")+(Inputs!$G$5:$G$230="acoes"))*Inputs!$B$1+((Inputs!$G$5:$G$230&lt;&gt;"moeda")*(Inputs!$G$5:$G$230&lt;&gt;"acoes")))*INDEX(Inputs!$K$5:$AJ$230,0,MATCH(Z$2,Inputs!$K$4:$AJ$4,0)))))</f>
        <v>165.995</v>
      </c>
      <c r="AA85" s="6">
        <f>IF(ISNA(MATCH(AA$2,Inputs!$K$4:$AJ$4,0)),NA(),IF(SUMPRODUCT((Inputs!$A$5:$A$230=$B85)*ISNUMBER(INDEX(Inputs!$K$5:$AJ$230,0,MATCH(AA$2,Inputs!$K$4:$AJ$4,0))))+SUMPRODUCT((Inputs!$C$5:$C$230=$B85)*ISNUMBER(INDEX(Inputs!$K$5:$AJ$230,0,MATCH(AA$2,Inputs!$K$4:$AJ$4,0))))+SUMPRODUCT((Inputs!$E$5:$E$230=$B85)*ISNUMBER(INDEX(Inputs!$K$5:$AJ$230,0,MATCH(AA$2,Inputs!$K$4:$AJ$4,0))))=0,NA(),SUMPRODUCT((Inputs!$A$5:$A$230=$B85)*Inputs!$B$5:$B$230*(((Inputs!$G$5:$G$230="moeda")+(Inputs!$G$5:$G$230="acoes"))*Inputs!$B$1+((Inputs!$G$5:$G$230&lt;&gt;"moeda")*(Inputs!$G$5:$G$230&lt;&gt;"acoes")))*INDEX(Inputs!$K$5:$AJ$230,0,MATCH(AA$2,Inputs!$K$4:$AJ$4,0)))+SUMPRODUCT((Inputs!$C$5:$C$230=$B85)*Inputs!$D$5:$D$230*(((Inputs!$G$5:$G$230="moeda")+(Inputs!$G$5:$G$230="acoes"))*Inputs!$B$1+((Inputs!$G$5:$G$230&lt;&gt;"moeda")*(Inputs!$G$5:$G$230&lt;&gt;"acoes")))*INDEX(Inputs!$K$5:$AJ$230,0,MATCH(AA$2,Inputs!$K$4:$AJ$4,0)))+SUMPRODUCT((Inputs!$E$5:$E$230=$B85)*Inputs!$F$5:$F$230*(((Inputs!$G$5:$G$230="moeda")+(Inputs!$G$5:$G$230="acoes"))*Inputs!$B$1+((Inputs!$G$5:$G$230&lt;&gt;"moeda")*(Inputs!$G$5:$G$230&lt;&gt;"acoes")))*INDEX(Inputs!$K$5:$AJ$230,0,MATCH(AA$2,Inputs!$K$4:$AJ$4,0)))))</f>
        <v>165.338</v>
      </c>
      <c r="AB85" s="3">
        <f>SUM(X85:AA85)</f>
        <v>481.909</v>
      </c>
      <c r="AC85" s="6">
        <f>IF(ISNA(MATCH(AC$2,Inputs!$K$4:$AJ$4,0)),NA(),IF(SUMPRODUCT((Inputs!$A$5:$A$230=$B85)*ISNUMBER(INDEX(Inputs!$K$5:$AJ$230,0,MATCH(AC$2,Inputs!$K$4:$AJ$4,0))))+SUMPRODUCT((Inputs!$C$5:$C$230=$B85)*ISNUMBER(INDEX(Inputs!$K$5:$AJ$230,0,MATCH(AC$2,Inputs!$K$4:$AJ$4,0))))+SUMPRODUCT((Inputs!$E$5:$E$230=$B85)*ISNUMBER(INDEX(Inputs!$K$5:$AJ$230,0,MATCH(AC$2,Inputs!$K$4:$AJ$4,0))))=0,NA(),SUMPRODUCT((Inputs!$A$5:$A$230=$B85)*Inputs!$B$5:$B$230*(((Inputs!$G$5:$G$230="moeda")+(Inputs!$G$5:$G$230="acoes"))*Inputs!$B$1+((Inputs!$G$5:$G$230&lt;&gt;"moeda")*(Inputs!$G$5:$G$230&lt;&gt;"acoes")))*INDEX(Inputs!$K$5:$AJ$230,0,MATCH(AC$2,Inputs!$K$4:$AJ$4,0)))+SUMPRODUCT((Inputs!$C$5:$C$230=$B85)*Inputs!$D$5:$D$230*(((Inputs!$G$5:$G$230="moeda")+(Inputs!$G$5:$G$230="acoes"))*Inputs!$B$1+((Inputs!$G$5:$G$230&lt;&gt;"moeda")*(Inputs!$G$5:$G$230&lt;&gt;"acoes")))*INDEX(Inputs!$K$5:$AJ$230,0,MATCH(AC$2,Inputs!$K$4:$AJ$4,0)))+SUMPRODUCT((Inputs!$E$5:$E$230=$B85)*Inputs!$F$5:$F$230*(((Inputs!$G$5:$G$230="moeda")+(Inputs!$G$5:$G$230="acoes"))*Inputs!$B$1+((Inputs!$G$5:$G$230&lt;&gt;"moeda")*(Inputs!$G$5:$G$230&lt;&gt;"acoes")))*INDEX(Inputs!$K$5:$AJ$230,0,MATCH(AC$2,Inputs!$K$4:$AJ$4,0)))))</f>
        <v>120.196</v>
      </c>
      <c r="AD85" s="6">
        <f>IF(ISNA(MATCH(AD$2,Inputs!$K$4:$AJ$4,0)),NA(),IF(SUMPRODUCT((Inputs!$A$5:$A$230=$B85)*ISNUMBER(INDEX(Inputs!$K$5:$AJ$230,0,MATCH(AD$2,Inputs!$K$4:$AJ$4,0))))+SUMPRODUCT((Inputs!$C$5:$C$230=$B85)*ISNUMBER(INDEX(Inputs!$K$5:$AJ$230,0,MATCH(AD$2,Inputs!$K$4:$AJ$4,0))))+SUMPRODUCT((Inputs!$E$5:$E$230=$B85)*ISNUMBER(INDEX(Inputs!$K$5:$AJ$230,0,MATCH(AD$2,Inputs!$K$4:$AJ$4,0))))=0,NA(),SUMPRODUCT((Inputs!$A$5:$A$230=$B85)*Inputs!$B$5:$B$230*(((Inputs!$G$5:$G$230="moeda")+(Inputs!$G$5:$G$230="acoes"))*Inputs!$B$1+((Inputs!$G$5:$G$230&lt;&gt;"moeda")*(Inputs!$G$5:$G$230&lt;&gt;"acoes")))*INDEX(Inputs!$K$5:$AJ$230,0,MATCH(AD$2,Inputs!$K$4:$AJ$4,0)))+SUMPRODUCT((Inputs!$C$5:$C$230=$B85)*Inputs!$D$5:$D$230*(((Inputs!$G$5:$G$230="moeda")+(Inputs!$G$5:$G$230="acoes"))*Inputs!$B$1+((Inputs!$G$5:$G$230&lt;&gt;"moeda")*(Inputs!$G$5:$G$230&lt;&gt;"acoes")))*INDEX(Inputs!$K$5:$AJ$230,0,MATCH(AD$2,Inputs!$K$4:$AJ$4,0)))+SUMPRODUCT((Inputs!$E$5:$E$230=$B85)*Inputs!$F$5:$F$230*(((Inputs!$G$5:$G$230="moeda")+(Inputs!$G$5:$G$230="acoes"))*Inputs!$B$1+((Inputs!$G$5:$G$230&lt;&gt;"moeda")*(Inputs!$G$5:$G$230&lt;&gt;"acoes")))*INDEX(Inputs!$K$5:$AJ$230,0,MATCH(AD$2,Inputs!$K$4:$AJ$4,0)))))</f>
        <v>161.951</v>
      </c>
      <c r="AE85" s="6" t="e">
        <f>IF(ISNA(MATCH(AE$2,Inputs!$K$4:$AJ$4,0)),NA(),IF(SUMPRODUCT((Inputs!$A$5:$A$230=$B85)*ISNUMBER(INDEX(Inputs!$K$5:$AJ$230,0,MATCH(AE$2,Inputs!$K$4:$AJ$4,0))))+SUMPRODUCT((Inputs!$C$5:$C$230=$B85)*ISNUMBER(INDEX(Inputs!$K$5:$AJ$230,0,MATCH(AE$2,Inputs!$K$4:$AJ$4,0))))+SUMPRODUCT((Inputs!$E$5:$E$230=$B85)*ISNUMBER(INDEX(Inputs!$K$5:$AJ$230,0,MATCH(AE$2,Inputs!$K$4:$AJ$4,0))))=0,NA(),SUMPRODUCT((Inputs!$A$5:$A$230=$B85)*Inputs!$B$5:$B$230*(((Inputs!$G$5:$G$230="moeda")+(Inputs!$G$5:$G$230="acoes"))*Inputs!$B$1+((Inputs!$G$5:$G$230&lt;&gt;"moeda")*(Inputs!$G$5:$G$230&lt;&gt;"acoes")))*INDEX(Inputs!$K$5:$AJ$230,0,MATCH(AE$2,Inputs!$K$4:$AJ$4,0)))+SUMPRODUCT((Inputs!$C$5:$C$230=$B85)*Inputs!$D$5:$D$230*(((Inputs!$G$5:$G$230="moeda")+(Inputs!$G$5:$G$230="acoes"))*Inputs!$B$1+((Inputs!$G$5:$G$230&lt;&gt;"moeda")*(Inputs!$G$5:$G$230&lt;&gt;"acoes")))*INDEX(Inputs!$K$5:$AJ$230,0,MATCH(AE$2,Inputs!$K$4:$AJ$4,0)))+SUMPRODUCT((Inputs!$E$5:$E$230=$B85)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5" s="6" t="e">
        <f>IF(ISNA(MATCH(AF$2,Inputs!$K$4:$AJ$4,0)),NA(),IF(SUMPRODUCT((Inputs!$A$5:$A$230=$B85)*ISNUMBER(INDEX(Inputs!$K$5:$AJ$230,0,MATCH(AF$2,Inputs!$K$4:$AJ$4,0))))+SUMPRODUCT((Inputs!$C$5:$C$230=$B85)*ISNUMBER(INDEX(Inputs!$K$5:$AJ$230,0,MATCH(AF$2,Inputs!$K$4:$AJ$4,0))))+SUMPRODUCT((Inputs!$E$5:$E$230=$B85)*ISNUMBER(INDEX(Inputs!$K$5:$AJ$230,0,MATCH(AF$2,Inputs!$K$4:$AJ$4,0))))=0,NA(),SUMPRODUCT((Inputs!$A$5:$A$230=$B85)*Inputs!$B$5:$B$230*(((Inputs!$G$5:$G$230="moeda")+(Inputs!$G$5:$G$230="acoes"))*Inputs!$B$1+((Inputs!$G$5:$G$230&lt;&gt;"moeda")*(Inputs!$G$5:$G$230&lt;&gt;"acoes")))*INDEX(Inputs!$K$5:$AJ$230,0,MATCH(AF$2,Inputs!$K$4:$AJ$4,0)))+SUMPRODUCT((Inputs!$C$5:$C$230=$B85)*Inputs!$D$5:$D$230*(((Inputs!$G$5:$G$230="moeda")+(Inputs!$G$5:$G$230="acoes"))*Inputs!$B$1+((Inputs!$G$5:$G$230&lt;&gt;"moeda")*(Inputs!$G$5:$G$230&lt;&gt;"acoes")))*INDEX(Inputs!$K$5:$AJ$230,0,MATCH(AF$2,Inputs!$K$4:$AJ$4,0)))+SUMPRODUCT((Inputs!$E$5:$E$230=$B85)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5" s="3" t="e">
        <f>SUM(AC85:AF85)</f>
        <v>#N/A</v>
      </c>
      <c r="AH85" s="6" t="e">
        <f>IF(ISNA(MATCH(AH$2,Inputs!$K$4:$AJ$4,0)),NA(),IF(SUMPRODUCT((Inputs!$A$5:$A$230=$B85)*ISNUMBER(INDEX(Inputs!$K$5:$AJ$230,0,MATCH(AH$2,Inputs!$K$4:$AJ$4,0))))+SUMPRODUCT((Inputs!$C$5:$C$230=$B85)*ISNUMBER(INDEX(Inputs!$K$5:$AJ$230,0,MATCH(AH$2,Inputs!$K$4:$AJ$4,0))))+SUMPRODUCT((Inputs!$E$5:$E$230=$B85)*ISNUMBER(INDEX(Inputs!$K$5:$AJ$230,0,MATCH(AH$2,Inputs!$K$4:$AJ$4,0))))=0,NA(),SUMPRODUCT((Inputs!$A$5:$A$230=$B85)*Inputs!$B$5:$B$230*(((Inputs!$G$5:$G$230="moeda")+(Inputs!$G$5:$G$230="acoes"))*Inputs!$B$1+((Inputs!$G$5:$G$230&lt;&gt;"moeda")*(Inputs!$G$5:$G$230&lt;&gt;"acoes")))*INDEX(Inputs!$K$5:$AJ$230,0,MATCH(AH$2,Inputs!$K$4:$AJ$4,0)))+SUMPRODUCT((Inputs!$C$5:$C$230=$B85)*Inputs!$D$5:$D$230*(((Inputs!$G$5:$G$230="moeda")+(Inputs!$G$5:$G$230="acoes"))*Inputs!$B$1+((Inputs!$G$5:$G$230&lt;&gt;"moeda")*(Inputs!$G$5:$G$230&lt;&gt;"acoes")))*INDEX(Inputs!$K$5:$AJ$230,0,MATCH(AH$2,Inputs!$K$4:$AJ$4,0)))+SUMPRODUCT((Inputs!$E$5:$E$230=$B85)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85" s="6" t="e">
        <f>IF(ISNA(MATCH(AI$2,Inputs!$K$4:$AJ$4,0)),NA(),IF(SUMPRODUCT((Inputs!$A$5:$A$230=$B85)*ISNUMBER(INDEX(Inputs!$K$5:$AJ$230,0,MATCH(AI$2,Inputs!$K$4:$AJ$4,0))))+SUMPRODUCT((Inputs!$C$5:$C$230=$B85)*ISNUMBER(INDEX(Inputs!$K$5:$AJ$230,0,MATCH(AI$2,Inputs!$K$4:$AJ$4,0))))+SUMPRODUCT((Inputs!$E$5:$E$230=$B85)*ISNUMBER(INDEX(Inputs!$K$5:$AJ$230,0,MATCH(AI$2,Inputs!$K$4:$AJ$4,0))))=0,NA(),SUMPRODUCT((Inputs!$A$5:$A$230=$B85)*Inputs!$B$5:$B$230*(((Inputs!$G$5:$G$230="moeda")+(Inputs!$G$5:$G$230="acoes"))*Inputs!$B$1+((Inputs!$G$5:$G$230&lt;&gt;"moeda")*(Inputs!$G$5:$G$230&lt;&gt;"acoes")))*INDEX(Inputs!$K$5:$AJ$230,0,MATCH(AI$2,Inputs!$K$4:$AJ$4,0)))+SUMPRODUCT((Inputs!$C$5:$C$230=$B85)*Inputs!$D$5:$D$230*(((Inputs!$G$5:$G$230="moeda")+(Inputs!$G$5:$G$230="acoes"))*Inputs!$B$1+((Inputs!$G$5:$G$230&lt;&gt;"moeda")*(Inputs!$G$5:$G$230&lt;&gt;"acoes")))*INDEX(Inputs!$K$5:$AJ$230,0,MATCH(AI$2,Inputs!$K$4:$AJ$4,0)))+SUMPRODUCT((Inputs!$E$5:$E$230=$B85)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85" s="6" t="e">
        <f>IF(ISNA(MATCH(AJ$2,Inputs!$K$4:$AJ$4,0)),NA(),IF(SUMPRODUCT((Inputs!$A$5:$A$230=$B85)*ISNUMBER(INDEX(Inputs!$K$5:$AJ$230,0,MATCH(AJ$2,Inputs!$K$4:$AJ$4,0))))+SUMPRODUCT((Inputs!$C$5:$C$230=$B85)*ISNUMBER(INDEX(Inputs!$K$5:$AJ$230,0,MATCH(AJ$2,Inputs!$K$4:$AJ$4,0))))+SUMPRODUCT((Inputs!$E$5:$E$230=$B85)*ISNUMBER(INDEX(Inputs!$K$5:$AJ$230,0,MATCH(AJ$2,Inputs!$K$4:$AJ$4,0))))=0,NA(),SUMPRODUCT((Inputs!$A$5:$A$230=$B85)*Inputs!$B$5:$B$230*(((Inputs!$G$5:$G$230="moeda")+(Inputs!$G$5:$G$230="acoes"))*Inputs!$B$1+((Inputs!$G$5:$G$230&lt;&gt;"moeda")*(Inputs!$G$5:$G$230&lt;&gt;"acoes")))*INDEX(Inputs!$K$5:$AJ$230,0,MATCH(AJ$2,Inputs!$K$4:$AJ$4,0)))+SUMPRODUCT((Inputs!$C$5:$C$230=$B85)*Inputs!$D$5:$D$230*(((Inputs!$G$5:$G$230="moeda")+(Inputs!$G$5:$G$230="acoes"))*Inputs!$B$1+((Inputs!$G$5:$G$230&lt;&gt;"moeda")*(Inputs!$G$5:$G$230&lt;&gt;"acoes")))*INDEX(Inputs!$K$5:$AJ$230,0,MATCH(AJ$2,Inputs!$K$4:$AJ$4,0)))+SUMPRODUCT((Inputs!$E$5:$E$230=$B85)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85" s="6" t="e">
        <f>IF(ISNA(MATCH(AK$2,Inputs!$K$4:$AJ$4,0)),NA(),IF(SUMPRODUCT((Inputs!$A$5:$A$230=$B85)*ISNUMBER(INDEX(Inputs!$K$5:$AJ$230,0,MATCH(AK$2,Inputs!$K$4:$AJ$4,0))))+SUMPRODUCT((Inputs!$C$5:$C$230=$B85)*ISNUMBER(INDEX(Inputs!$K$5:$AJ$230,0,MATCH(AK$2,Inputs!$K$4:$AJ$4,0))))+SUMPRODUCT((Inputs!$E$5:$E$230=$B85)*ISNUMBER(INDEX(Inputs!$K$5:$AJ$230,0,MATCH(AK$2,Inputs!$K$4:$AJ$4,0))))=0,NA(),SUMPRODUCT((Inputs!$A$5:$A$230=$B85)*Inputs!$B$5:$B$230*(((Inputs!$G$5:$G$230="moeda")+(Inputs!$G$5:$G$230="acoes"))*Inputs!$B$1+((Inputs!$G$5:$G$230&lt;&gt;"moeda")*(Inputs!$G$5:$G$230&lt;&gt;"acoes")))*INDEX(Inputs!$K$5:$AJ$230,0,MATCH(AK$2,Inputs!$K$4:$AJ$4,0)))+SUMPRODUCT((Inputs!$C$5:$C$230=$B85)*Inputs!$D$5:$D$230*(((Inputs!$G$5:$G$230="moeda")+(Inputs!$G$5:$G$230="acoes"))*Inputs!$B$1+((Inputs!$G$5:$G$230&lt;&gt;"moeda")*(Inputs!$G$5:$G$230&lt;&gt;"acoes")))*INDEX(Inputs!$K$5:$AJ$230,0,MATCH(AK$2,Inputs!$K$4:$AJ$4,0)))+SUMPRODUCT((Inputs!$E$5:$E$230=$B85)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85" s="3" t="e">
        <f>SUM(AH85:AK85)</f>
        <v>#N/A</v>
      </c>
    </row>
    <row r="86">
      <c r="B86" s="46" t="n">
        <v>78</v>
      </c>
      <c r="C86" s="29" t="inlineStr">
        <is>
          <t>Transmissao | TAP</t>
        </is>
      </c>
      <c r="D86" s="6" t="e">
        <f>IF(ISNA(MATCH(D$2,Inputs!$K$4:$AJ$4,0)),NA(),IF(SUMPRODUCT((Inputs!$A$5:$A$230=$B86)*ISNUMBER(INDEX(Inputs!$K$5:$AJ$230,0,MATCH(D$2,Inputs!$K$4:$AJ$4,0))))+SUMPRODUCT((Inputs!$C$5:$C$230=$B86)*ISNUMBER(INDEX(Inputs!$K$5:$AJ$230,0,MATCH(D$2,Inputs!$K$4:$AJ$4,0))))+SUMPRODUCT((Inputs!$E$5:$E$230=$B86)*ISNUMBER(INDEX(Inputs!$K$5:$AJ$230,0,MATCH(D$2,Inputs!$K$4:$AJ$4,0))))=0,NA(),SUMPRODUCT((Inputs!$A$5:$A$230=$B86)*Inputs!$B$5:$B$230*(((Inputs!$G$5:$G$230="moeda")+(Inputs!$G$5:$G$230="acoes"))*Inputs!$B$1+((Inputs!$G$5:$G$230&lt;&gt;"moeda")*(Inputs!$G$5:$G$230&lt;&gt;"acoes")))*INDEX(Inputs!$K$5:$AJ$230,0,MATCH(D$2,Inputs!$K$4:$AJ$4,0)))+SUMPRODUCT((Inputs!$C$5:$C$230=$B86)*Inputs!$D$5:$D$230*(((Inputs!$G$5:$G$230="moeda")+(Inputs!$G$5:$G$230="acoes"))*Inputs!$B$1+((Inputs!$G$5:$G$230&lt;&gt;"moeda")*(Inputs!$G$5:$G$230&lt;&gt;"acoes")))*INDEX(Inputs!$K$5:$AJ$230,0,MATCH(D$2,Inputs!$K$4:$AJ$4,0)))+SUMPRODUCT((Inputs!$E$5:$E$230=$B86)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86" s="6" t="e">
        <f>IF(ISNA(MATCH(E$2,Inputs!$K$4:$AJ$4,0)),NA(),IF(SUMPRODUCT((Inputs!$A$5:$A$230=$B86)*ISNUMBER(INDEX(Inputs!$K$5:$AJ$230,0,MATCH(E$2,Inputs!$K$4:$AJ$4,0))))+SUMPRODUCT((Inputs!$C$5:$C$230=$B86)*ISNUMBER(INDEX(Inputs!$K$5:$AJ$230,0,MATCH(E$2,Inputs!$K$4:$AJ$4,0))))+SUMPRODUCT((Inputs!$E$5:$E$230=$B86)*ISNUMBER(INDEX(Inputs!$K$5:$AJ$230,0,MATCH(E$2,Inputs!$K$4:$AJ$4,0))))=0,NA(),SUMPRODUCT((Inputs!$A$5:$A$230=$B86)*Inputs!$B$5:$B$230*(((Inputs!$G$5:$G$230="moeda")+(Inputs!$G$5:$G$230="acoes"))*Inputs!$B$1+((Inputs!$G$5:$G$230&lt;&gt;"moeda")*(Inputs!$G$5:$G$230&lt;&gt;"acoes")))*INDEX(Inputs!$K$5:$AJ$230,0,MATCH(E$2,Inputs!$K$4:$AJ$4,0)))+SUMPRODUCT((Inputs!$C$5:$C$230=$B86)*Inputs!$D$5:$D$230*(((Inputs!$G$5:$G$230="moeda")+(Inputs!$G$5:$G$230="acoes"))*Inputs!$B$1+((Inputs!$G$5:$G$230&lt;&gt;"moeda")*(Inputs!$G$5:$G$230&lt;&gt;"acoes")))*INDEX(Inputs!$K$5:$AJ$230,0,MATCH(E$2,Inputs!$K$4:$AJ$4,0)))+SUMPRODUCT((Inputs!$E$5:$E$230=$B86)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86" s="6" t="e">
        <f>IF(ISNA(MATCH(F$2,Inputs!$K$4:$AJ$4,0)),NA(),IF(SUMPRODUCT((Inputs!$A$5:$A$230=$B86)*ISNUMBER(INDEX(Inputs!$K$5:$AJ$230,0,MATCH(F$2,Inputs!$K$4:$AJ$4,0))))+SUMPRODUCT((Inputs!$C$5:$C$230=$B86)*ISNUMBER(INDEX(Inputs!$K$5:$AJ$230,0,MATCH(F$2,Inputs!$K$4:$AJ$4,0))))+SUMPRODUCT((Inputs!$E$5:$E$230=$B86)*ISNUMBER(INDEX(Inputs!$K$5:$AJ$230,0,MATCH(F$2,Inputs!$K$4:$AJ$4,0))))=0,NA(),SUMPRODUCT((Inputs!$A$5:$A$230=$B86)*Inputs!$B$5:$B$230*(((Inputs!$G$5:$G$230="moeda")+(Inputs!$G$5:$G$230="acoes"))*Inputs!$B$1+((Inputs!$G$5:$G$230&lt;&gt;"moeda")*(Inputs!$G$5:$G$230&lt;&gt;"acoes")))*INDEX(Inputs!$K$5:$AJ$230,0,MATCH(F$2,Inputs!$K$4:$AJ$4,0)))+SUMPRODUCT((Inputs!$C$5:$C$230=$B86)*Inputs!$D$5:$D$230*(((Inputs!$G$5:$G$230="moeda")+(Inputs!$G$5:$G$230="acoes"))*Inputs!$B$1+((Inputs!$G$5:$G$230&lt;&gt;"moeda")*(Inputs!$G$5:$G$230&lt;&gt;"acoes")))*INDEX(Inputs!$K$5:$AJ$230,0,MATCH(F$2,Inputs!$K$4:$AJ$4,0)))+SUMPRODUCT((Inputs!$E$5:$E$230=$B86)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86" s="6" t="e">
        <f>IF(ISNA(MATCH(G$2,Inputs!$K$4:$AJ$4,0)),NA(),IF(SUMPRODUCT((Inputs!$A$5:$A$230=$B86)*ISNUMBER(INDEX(Inputs!$K$5:$AJ$230,0,MATCH(G$2,Inputs!$K$4:$AJ$4,0))))+SUMPRODUCT((Inputs!$C$5:$C$230=$B86)*ISNUMBER(INDEX(Inputs!$K$5:$AJ$230,0,MATCH(G$2,Inputs!$K$4:$AJ$4,0))))+SUMPRODUCT((Inputs!$E$5:$E$230=$B86)*ISNUMBER(INDEX(Inputs!$K$5:$AJ$230,0,MATCH(G$2,Inputs!$K$4:$AJ$4,0))))=0,NA(),SUMPRODUCT((Inputs!$A$5:$A$230=$B86)*Inputs!$B$5:$B$230*(((Inputs!$G$5:$G$230="moeda")+(Inputs!$G$5:$G$230="acoes"))*Inputs!$B$1+((Inputs!$G$5:$G$230&lt;&gt;"moeda")*(Inputs!$G$5:$G$230&lt;&gt;"acoes")))*INDEX(Inputs!$K$5:$AJ$230,0,MATCH(G$2,Inputs!$K$4:$AJ$4,0)))+SUMPRODUCT((Inputs!$C$5:$C$230=$B86)*Inputs!$D$5:$D$230*(((Inputs!$G$5:$G$230="moeda")+(Inputs!$G$5:$G$230="acoes"))*Inputs!$B$1+((Inputs!$G$5:$G$230&lt;&gt;"moeda")*(Inputs!$G$5:$G$230&lt;&gt;"acoes")))*INDEX(Inputs!$K$5:$AJ$230,0,MATCH(G$2,Inputs!$K$4:$AJ$4,0)))+SUMPRODUCT((Inputs!$E$5:$E$230=$B86)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86" s="3" t="e">
        <f>SUM(D86:G86)</f>
        <v>#N/A</v>
      </c>
      <c r="I86" s="6" t="e">
        <f>IF(ISNA(MATCH(I$2,Inputs!$K$4:$AJ$4,0)),NA(),IF(SUMPRODUCT((Inputs!$A$5:$A$230=$B86)*ISNUMBER(INDEX(Inputs!$K$5:$AJ$230,0,MATCH(I$2,Inputs!$K$4:$AJ$4,0))))+SUMPRODUCT((Inputs!$C$5:$C$230=$B86)*ISNUMBER(INDEX(Inputs!$K$5:$AJ$230,0,MATCH(I$2,Inputs!$K$4:$AJ$4,0))))+SUMPRODUCT((Inputs!$E$5:$E$230=$B86)*ISNUMBER(INDEX(Inputs!$K$5:$AJ$230,0,MATCH(I$2,Inputs!$K$4:$AJ$4,0))))=0,NA(),SUMPRODUCT((Inputs!$A$5:$A$230=$B86)*Inputs!$B$5:$B$230*(((Inputs!$G$5:$G$230="moeda")+(Inputs!$G$5:$G$230="acoes"))*Inputs!$B$1+((Inputs!$G$5:$G$230&lt;&gt;"moeda")*(Inputs!$G$5:$G$230&lt;&gt;"acoes")))*INDEX(Inputs!$K$5:$AJ$230,0,MATCH(I$2,Inputs!$K$4:$AJ$4,0)))+SUMPRODUCT((Inputs!$C$5:$C$230=$B86)*Inputs!$D$5:$D$230*(((Inputs!$G$5:$G$230="moeda")+(Inputs!$G$5:$G$230="acoes"))*Inputs!$B$1+((Inputs!$G$5:$G$230&lt;&gt;"moeda")*(Inputs!$G$5:$G$230&lt;&gt;"acoes")))*INDEX(Inputs!$K$5:$AJ$230,0,MATCH(I$2,Inputs!$K$4:$AJ$4,0)))+SUMPRODUCT((Inputs!$E$5:$E$230=$B86)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86" s="6" t="e">
        <f>IF(ISNA(MATCH(J$2,Inputs!$K$4:$AJ$4,0)),NA(),IF(SUMPRODUCT((Inputs!$A$5:$A$230=$B86)*ISNUMBER(INDEX(Inputs!$K$5:$AJ$230,0,MATCH(J$2,Inputs!$K$4:$AJ$4,0))))+SUMPRODUCT((Inputs!$C$5:$C$230=$B86)*ISNUMBER(INDEX(Inputs!$K$5:$AJ$230,0,MATCH(J$2,Inputs!$K$4:$AJ$4,0))))+SUMPRODUCT((Inputs!$E$5:$E$230=$B86)*ISNUMBER(INDEX(Inputs!$K$5:$AJ$230,0,MATCH(J$2,Inputs!$K$4:$AJ$4,0))))=0,NA(),SUMPRODUCT((Inputs!$A$5:$A$230=$B86)*Inputs!$B$5:$B$230*(((Inputs!$G$5:$G$230="moeda")+(Inputs!$G$5:$G$230="acoes"))*Inputs!$B$1+((Inputs!$G$5:$G$230&lt;&gt;"moeda")*(Inputs!$G$5:$G$230&lt;&gt;"acoes")))*INDEX(Inputs!$K$5:$AJ$230,0,MATCH(J$2,Inputs!$K$4:$AJ$4,0)))+SUMPRODUCT((Inputs!$C$5:$C$230=$B86)*Inputs!$D$5:$D$230*(((Inputs!$G$5:$G$230="moeda")+(Inputs!$G$5:$G$230="acoes"))*Inputs!$B$1+((Inputs!$G$5:$G$230&lt;&gt;"moeda")*(Inputs!$G$5:$G$230&lt;&gt;"acoes")))*INDEX(Inputs!$K$5:$AJ$230,0,MATCH(J$2,Inputs!$K$4:$AJ$4,0)))+SUMPRODUCT((Inputs!$E$5:$E$230=$B86)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86" s="6" t="e">
        <f>IF(ISNA(MATCH(K$2,Inputs!$K$4:$AJ$4,0)),NA(),IF(SUMPRODUCT((Inputs!$A$5:$A$230=$B86)*ISNUMBER(INDEX(Inputs!$K$5:$AJ$230,0,MATCH(K$2,Inputs!$K$4:$AJ$4,0))))+SUMPRODUCT((Inputs!$C$5:$C$230=$B86)*ISNUMBER(INDEX(Inputs!$K$5:$AJ$230,0,MATCH(K$2,Inputs!$K$4:$AJ$4,0))))+SUMPRODUCT((Inputs!$E$5:$E$230=$B86)*ISNUMBER(INDEX(Inputs!$K$5:$AJ$230,0,MATCH(K$2,Inputs!$K$4:$AJ$4,0))))=0,NA(),SUMPRODUCT((Inputs!$A$5:$A$230=$B86)*Inputs!$B$5:$B$230*(((Inputs!$G$5:$G$230="moeda")+(Inputs!$G$5:$G$230="acoes"))*Inputs!$B$1+((Inputs!$G$5:$G$230&lt;&gt;"moeda")*(Inputs!$G$5:$G$230&lt;&gt;"acoes")))*INDEX(Inputs!$K$5:$AJ$230,0,MATCH(K$2,Inputs!$K$4:$AJ$4,0)))+SUMPRODUCT((Inputs!$C$5:$C$230=$B86)*Inputs!$D$5:$D$230*(((Inputs!$G$5:$G$230="moeda")+(Inputs!$G$5:$G$230="acoes"))*Inputs!$B$1+((Inputs!$G$5:$G$230&lt;&gt;"moeda")*(Inputs!$G$5:$G$230&lt;&gt;"acoes")))*INDEX(Inputs!$K$5:$AJ$230,0,MATCH(K$2,Inputs!$K$4:$AJ$4,0)))+SUMPRODUCT((Inputs!$E$5:$E$230=$B86)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86" s="6" t="e">
        <f>IF(ISNA(MATCH(L$2,Inputs!$K$4:$AJ$4,0)),NA(),IF(SUMPRODUCT((Inputs!$A$5:$A$230=$B86)*ISNUMBER(INDEX(Inputs!$K$5:$AJ$230,0,MATCH(L$2,Inputs!$K$4:$AJ$4,0))))+SUMPRODUCT((Inputs!$C$5:$C$230=$B86)*ISNUMBER(INDEX(Inputs!$K$5:$AJ$230,0,MATCH(L$2,Inputs!$K$4:$AJ$4,0))))+SUMPRODUCT((Inputs!$E$5:$E$230=$B86)*ISNUMBER(INDEX(Inputs!$K$5:$AJ$230,0,MATCH(L$2,Inputs!$K$4:$AJ$4,0))))=0,NA(),SUMPRODUCT((Inputs!$A$5:$A$230=$B86)*Inputs!$B$5:$B$230*(((Inputs!$G$5:$G$230="moeda")+(Inputs!$G$5:$G$230="acoes"))*Inputs!$B$1+((Inputs!$G$5:$G$230&lt;&gt;"moeda")*(Inputs!$G$5:$G$230&lt;&gt;"acoes")))*INDEX(Inputs!$K$5:$AJ$230,0,MATCH(L$2,Inputs!$K$4:$AJ$4,0)))+SUMPRODUCT((Inputs!$C$5:$C$230=$B86)*Inputs!$D$5:$D$230*(((Inputs!$G$5:$G$230="moeda")+(Inputs!$G$5:$G$230="acoes"))*Inputs!$B$1+((Inputs!$G$5:$G$230&lt;&gt;"moeda")*(Inputs!$G$5:$G$230&lt;&gt;"acoes")))*INDEX(Inputs!$K$5:$AJ$230,0,MATCH(L$2,Inputs!$K$4:$AJ$4,0)))+SUMPRODUCT((Inputs!$E$5:$E$230=$B86)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86" s="3" t="e">
        <f>SUM(I86:L86)</f>
        <v>#N/A</v>
      </c>
      <c r="N86" s="6" t="e">
        <f>IF(ISNA(MATCH(N$2,Inputs!$K$4:$AJ$4,0)),NA(),IF(SUMPRODUCT((Inputs!$A$5:$A$230=$B86)*ISNUMBER(INDEX(Inputs!$K$5:$AJ$230,0,MATCH(N$2,Inputs!$K$4:$AJ$4,0))))+SUMPRODUCT((Inputs!$C$5:$C$230=$B86)*ISNUMBER(INDEX(Inputs!$K$5:$AJ$230,0,MATCH(N$2,Inputs!$K$4:$AJ$4,0))))+SUMPRODUCT((Inputs!$E$5:$E$230=$B86)*ISNUMBER(INDEX(Inputs!$K$5:$AJ$230,0,MATCH(N$2,Inputs!$K$4:$AJ$4,0))))=0,NA(),SUMPRODUCT((Inputs!$A$5:$A$230=$B86)*Inputs!$B$5:$B$230*(((Inputs!$G$5:$G$230="moeda")+(Inputs!$G$5:$G$230="acoes"))*Inputs!$B$1+((Inputs!$G$5:$G$230&lt;&gt;"moeda")*(Inputs!$G$5:$G$230&lt;&gt;"acoes")))*INDEX(Inputs!$K$5:$AJ$230,0,MATCH(N$2,Inputs!$K$4:$AJ$4,0)))+SUMPRODUCT((Inputs!$C$5:$C$230=$B86)*Inputs!$D$5:$D$230*(((Inputs!$G$5:$G$230="moeda")+(Inputs!$G$5:$G$230="acoes"))*Inputs!$B$1+((Inputs!$G$5:$G$230&lt;&gt;"moeda")*(Inputs!$G$5:$G$230&lt;&gt;"acoes")))*INDEX(Inputs!$K$5:$AJ$230,0,MATCH(N$2,Inputs!$K$4:$AJ$4,0)))+SUMPRODUCT((Inputs!$E$5:$E$230=$B86)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86" s="6" t="e">
        <f>IF(ISNA(MATCH(O$2,Inputs!$K$4:$AJ$4,0)),NA(),IF(SUMPRODUCT((Inputs!$A$5:$A$230=$B86)*ISNUMBER(INDEX(Inputs!$K$5:$AJ$230,0,MATCH(O$2,Inputs!$K$4:$AJ$4,0))))+SUMPRODUCT((Inputs!$C$5:$C$230=$B86)*ISNUMBER(INDEX(Inputs!$K$5:$AJ$230,0,MATCH(O$2,Inputs!$K$4:$AJ$4,0))))+SUMPRODUCT((Inputs!$E$5:$E$230=$B86)*ISNUMBER(INDEX(Inputs!$K$5:$AJ$230,0,MATCH(O$2,Inputs!$K$4:$AJ$4,0))))=0,NA(),SUMPRODUCT((Inputs!$A$5:$A$230=$B86)*Inputs!$B$5:$B$230*(((Inputs!$G$5:$G$230="moeda")+(Inputs!$G$5:$G$230="acoes"))*Inputs!$B$1+((Inputs!$G$5:$G$230&lt;&gt;"moeda")*(Inputs!$G$5:$G$230&lt;&gt;"acoes")))*INDEX(Inputs!$K$5:$AJ$230,0,MATCH(O$2,Inputs!$K$4:$AJ$4,0)))+SUMPRODUCT((Inputs!$C$5:$C$230=$B86)*Inputs!$D$5:$D$230*(((Inputs!$G$5:$G$230="moeda")+(Inputs!$G$5:$G$230="acoes"))*Inputs!$B$1+((Inputs!$G$5:$G$230&lt;&gt;"moeda")*(Inputs!$G$5:$G$230&lt;&gt;"acoes")))*INDEX(Inputs!$K$5:$AJ$230,0,MATCH(O$2,Inputs!$K$4:$AJ$4,0)))+SUMPRODUCT((Inputs!$E$5:$E$230=$B86)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86" s="6" t="e">
        <f>IF(ISNA(MATCH(P$2,Inputs!$K$4:$AJ$4,0)),NA(),IF(SUMPRODUCT((Inputs!$A$5:$A$230=$B86)*ISNUMBER(INDEX(Inputs!$K$5:$AJ$230,0,MATCH(P$2,Inputs!$K$4:$AJ$4,0))))+SUMPRODUCT((Inputs!$C$5:$C$230=$B86)*ISNUMBER(INDEX(Inputs!$K$5:$AJ$230,0,MATCH(P$2,Inputs!$K$4:$AJ$4,0))))+SUMPRODUCT((Inputs!$E$5:$E$230=$B86)*ISNUMBER(INDEX(Inputs!$K$5:$AJ$230,0,MATCH(P$2,Inputs!$K$4:$AJ$4,0))))=0,NA(),SUMPRODUCT((Inputs!$A$5:$A$230=$B86)*Inputs!$B$5:$B$230*(((Inputs!$G$5:$G$230="moeda")+(Inputs!$G$5:$G$230="acoes"))*Inputs!$B$1+((Inputs!$G$5:$G$230&lt;&gt;"moeda")*(Inputs!$G$5:$G$230&lt;&gt;"acoes")))*INDEX(Inputs!$K$5:$AJ$230,0,MATCH(P$2,Inputs!$K$4:$AJ$4,0)))+SUMPRODUCT((Inputs!$C$5:$C$230=$B86)*Inputs!$D$5:$D$230*(((Inputs!$G$5:$G$230="moeda")+(Inputs!$G$5:$G$230="acoes"))*Inputs!$B$1+((Inputs!$G$5:$G$230&lt;&gt;"moeda")*(Inputs!$G$5:$G$230&lt;&gt;"acoes")))*INDEX(Inputs!$K$5:$AJ$230,0,MATCH(P$2,Inputs!$K$4:$AJ$4,0)))+SUMPRODUCT((Inputs!$E$5:$E$230=$B86)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86" s="6">
        <f>IF(ISNA(MATCH(Q$2,Inputs!$K$4:$AJ$4,0)),NA(),IF(SUMPRODUCT((Inputs!$A$5:$A$230=$B86)*ISNUMBER(INDEX(Inputs!$K$5:$AJ$230,0,MATCH(Q$2,Inputs!$K$4:$AJ$4,0))))+SUMPRODUCT((Inputs!$C$5:$C$230=$B86)*ISNUMBER(INDEX(Inputs!$K$5:$AJ$230,0,MATCH(Q$2,Inputs!$K$4:$AJ$4,0))))+SUMPRODUCT((Inputs!$E$5:$E$230=$B86)*ISNUMBER(INDEX(Inputs!$K$5:$AJ$230,0,MATCH(Q$2,Inputs!$K$4:$AJ$4,0))))=0,NA(),SUMPRODUCT((Inputs!$A$5:$A$230=$B86)*Inputs!$B$5:$B$230*(((Inputs!$G$5:$G$230="moeda")+(Inputs!$G$5:$G$230="acoes"))*Inputs!$B$1+((Inputs!$G$5:$G$230&lt;&gt;"moeda")*(Inputs!$G$5:$G$230&lt;&gt;"acoes")))*INDEX(Inputs!$K$5:$AJ$230,0,MATCH(Q$2,Inputs!$K$4:$AJ$4,0)))+SUMPRODUCT((Inputs!$C$5:$C$230=$B86)*Inputs!$D$5:$D$230*(((Inputs!$G$5:$G$230="moeda")+(Inputs!$G$5:$G$230="acoes"))*Inputs!$B$1+((Inputs!$G$5:$G$230&lt;&gt;"moeda")*(Inputs!$G$5:$G$230&lt;&gt;"acoes")))*INDEX(Inputs!$K$5:$AJ$230,0,MATCH(Q$2,Inputs!$K$4:$AJ$4,0)))+SUMPRODUCT((Inputs!$E$5:$E$230=$B86)*Inputs!$F$5:$F$230*(((Inputs!$G$5:$G$230="moeda")+(Inputs!$G$5:$G$230="acoes"))*Inputs!$B$1+((Inputs!$G$5:$G$230&lt;&gt;"moeda")*(Inputs!$G$5:$G$230&lt;&gt;"acoes")))*INDEX(Inputs!$K$5:$AJ$230,0,MATCH(Q$2,Inputs!$K$4:$AJ$4,0)))))</f>
        <v>0</v>
      </c>
      <c r="R86" s="3" t="e">
        <f>SUM(N86:Q86)</f>
        <v>#N/A</v>
      </c>
      <c r="S86" s="6">
        <f>IF(ISNA(MATCH(S$2,Inputs!$K$4:$AJ$4,0)),NA(),IF(SUMPRODUCT((Inputs!$A$5:$A$230=$B86)*ISNUMBER(INDEX(Inputs!$K$5:$AJ$230,0,MATCH(S$2,Inputs!$K$4:$AJ$4,0))))+SUMPRODUCT((Inputs!$C$5:$C$230=$B86)*ISNUMBER(INDEX(Inputs!$K$5:$AJ$230,0,MATCH(S$2,Inputs!$K$4:$AJ$4,0))))+SUMPRODUCT((Inputs!$E$5:$E$230=$B86)*ISNUMBER(INDEX(Inputs!$K$5:$AJ$230,0,MATCH(S$2,Inputs!$K$4:$AJ$4,0))))=0,NA(),SUMPRODUCT((Inputs!$A$5:$A$230=$B86)*Inputs!$B$5:$B$230*(((Inputs!$G$5:$G$230="moeda")+(Inputs!$G$5:$G$230="acoes"))*Inputs!$B$1+((Inputs!$G$5:$G$230&lt;&gt;"moeda")*(Inputs!$G$5:$G$230&lt;&gt;"acoes")))*INDEX(Inputs!$K$5:$AJ$230,0,MATCH(S$2,Inputs!$K$4:$AJ$4,0)))+SUMPRODUCT((Inputs!$C$5:$C$230=$B86)*Inputs!$D$5:$D$230*(((Inputs!$G$5:$G$230="moeda")+(Inputs!$G$5:$G$230="acoes"))*Inputs!$B$1+((Inputs!$G$5:$G$230&lt;&gt;"moeda")*(Inputs!$G$5:$G$230&lt;&gt;"acoes")))*INDEX(Inputs!$K$5:$AJ$230,0,MATCH(S$2,Inputs!$K$4:$AJ$4,0)))+SUMPRODUCT((Inputs!$E$5:$E$230=$B86)*Inputs!$F$5:$F$230*(((Inputs!$G$5:$G$230="moeda")+(Inputs!$G$5:$G$230="acoes"))*Inputs!$B$1+((Inputs!$G$5:$G$230&lt;&gt;"moeda")*(Inputs!$G$5:$G$230&lt;&gt;"acoes")))*INDEX(Inputs!$K$5:$AJ$230,0,MATCH(S$2,Inputs!$K$4:$AJ$4,0)))))</f>
        <v>0</v>
      </c>
      <c r="T86" s="6">
        <f>IF(ISNA(MATCH(T$2,Inputs!$K$4:$AJ$4,0)),NA(),IF(SUMPRODUCT((Inputs!$A$5:$A$230=$B86)*ISNUMBER(INDEX(Inputs!$K$5:$AJ$230,0,MATCH(T$2,Inputs!$K$4:$AJ$4,0))))+SUMPRODUCT((Inputs!$C$5:$C$230=$B86)*ISNUMBER(INDEX(Inputs!$K$5:$AJ$230,0,MATCH(T$2,Inputs!$K$4:$AJ$4,0))))+SUMPRODUCT((Inputs!$E$5:$E$230=$B86)*ISNUMBER(INDEX(Inputs!$K$5:$AJ$230,0,MATCH(T$2,Inputs!$K$4:$AJ$4,0))))=0,NA(),SUMPRODUCT((Inputs!$A$5:$A$230=$B86)*Inputs!$B$5:$B$230*(((Inputs!$G$5:$G$230="moeda")+(Inputs!$G$5:$G$230="acoes"))*Inputs!$B$1+((Inputs!$G$5:$G$230&lt;&gt;"moeda")*(Inputs!$G$5:$G$230&lt;&gt;"acoes")))*INDEX(Inputs!$K$5:$AJ$230,0,MATCH(T$2,Inputs!$K$4:$AJ$4,0)))+SUMPRODUCT((Inputs!$C$5:$C$230=$B86)*Inputs!$D$5:$D$230*(((Inputs!$G$5:$G$230="moeda")+(Inputs!$G$5:$G$230="acoes"))*Inputs!$B$1+((Inputs!$G$5:$G$230&lt;&gt;"moeda")*(Inputs!$G$5:$G$230&lt;&gt;"acoes")))*INDEX(Inputs!$K$5:$AJ$230,0,MATCH(T$2,Inputs!$K$4:$AJ$4,0)))+SUMPRODUCT((Inputs!$E$5:$E$230=$B86)*Inputs!$F$5:$F$230*(((Inputs!$G$5:$G$230="moeda")+(Inputs!$G$5:$G$230="acoes"))*Inputs!$B$1+((Inputs!$G$5:$G$230&lt;&gt;"moeda")*(Inputs!$G$5:$G$230&lt;&gt;"acoes")))*INDEX(Inputs!$K$5:$AJ$230,0,MATCH(T$2,Inputs!$K$4:$AJ$4,0)))))</f>
        <v>3.696</v>
      </c>
      <c r="U86" s="6">
        <f>IF(ISNA(MATCH(U$2,Inputs!$K$4:$AJ$4,0)),NA(),IF(SUMPRODUCT((Inputs!$A$5:$A$230=$B86)*ISNUMBER(INDEX(Inputs!$K$5:$AJ$230,0,MATCH(U$2,Inputs!$K$4:$AJ$4,0))))+SUMPRODUCT((Inputs!$C$5:$C$230=$B86)*ISNUMBER(INDEX(Inputs!$K$5:$AJ$230,0,MATCH(U$2,Inputs!$K$4:$AJ$4,0))))+SUMPRODUCT((Inputs!$E$5:$E$230=$B86)*ISNUMBER(INDEX(Inputs!$K$5:$AJ$230,0,MATCH(U$2,Inputs!$K$4:$AJ$4,0))))=0,NA(),SUMPRODUCT((Inputs!$A$5:$A$230=$B86)*Inputs!$B$5:$B$230*(((Inputs!$G$5:$G$230="moeda")+(Inputs!$G$5:$G$230="acoes"))*Inputs!$B$1+((Inputs!$G$5:$G$230&lt;&gt;"moeda")*(Inputs!$G$5:$G$230&lt;&gt;"acoes")))*INDEX(Inputs!$K$5:$AJ$230,0,MATCH(U$2,Inputs!$K$4:$AJ$4,0)))+SUMPRODUCT((Inputs!$C$5:$C$230=$B86)*Inputs!$D$5:$D$230*(((Inputs!$G$5:$G$230="moeda")+(Inputs!$G$5:$G$230="acoes"))*Inputs!$B$1+((Inputs!$G$5:$G$230&lt;&gt;"moeda")*(Inputs!$G$5:$G$230&lt;&gt;"acoes")))*INDEX(Inputs!$K$5:$AJ$230,0,MATCH(U$2,Inputs!$K$4:$AJ$4,0)))+SUMPRODUCT((Inputs!$E$5:$E$230=$B86)*Inputs!$F$5:$F$230*(((Inputs!$G$5:$G$230="moeda")+(Inputs!$G$5:$G$230="acoes"))*Inputs!$B$1+((Inputs!$G$5:$G$230&lt;&gt;"moeda")*(Inputs!$G$5:$G$230&lt;&gt;"acoes")))*INDEX(Inputs!$K$5:$AJ$230,0,MATCH(U$2,Inputs!$K$4:$AJ$4,0)))))</f>
        <v>-0.365</v>
      </c>
      <c r="V86" s="6">
        <f>IF(ISNA(MATCH(V$2,Inputs!$K$4:$AJ$4,0)),NA(),IF(SUMPRODUCT((Inputs!$A$5:$A$230=$B86)*ISNUMBER(INDEX(Inputs!$K$5:$AJ$230,0,MATCH(V$2,Inputs!$K$4:$AJ$4,0))))+SUMPRODUCT((Inputs!$C$5:$C$230=$B86)*ISNUMBER(INDEX(Inputs!$K$5:$AJ$230,0,MATCH(V$2,Inputs!$K$4:$AJ$4,0))))+SUMPRODUCT((Inputs!$E$5:$E$230=$B86)*ISNUMBER(INDEX(Inputs!$K$5:$AJ$230,0,MATCH(V$2,Inputs!$K$4:$AJ$4,0))))=0,NA(),SUMPRODUCT((Inputs!$A$5:$A$230=$B86)*Inputs!$B$5:$B$230*(((Inputs!$G$5:$G$230="moeda")+(Inputs!$G$5:$G$230="acoes"))*Inputs!$B$1+((Inputs!$G$5:$G$230&lt;&gt;"moeda")*(Inputs!$G$5:$G$230&lt;&gt;"acoes")))*INDEX(Inputs!$K$5:$AJ$230,0,MATCH(V$2,Inputs!$K$4:$AJ$4,0)))+SUMPRODUCT((Inputs!$C$5:$C$230=$B86)*Inputs!$D$5:$D$230*(((Inputs!$G$5:$G$230="moeda")+(Inputs!$G$5:$G$230="acoes"))*Inputs!$B$1+((Inputs!$G$5:$G$230&lt;&gt;"moeda")*(Inputs!$G$5:$G$230&lt;&gt;"acoes")))*INDEX(Inputs!$K$5:$AJ$230,0,MATCH(V$2,Inputs!$K$4:$AJ$4,0)))+SUMPRODUCT((Inputs!$E$5:$E$230=$B86)*Inputs!$F$5:$F$230*(((Inputs!$G$5:$G$230="moeda")+(Inputs!$G$5:$G$230="acoes"))*Inputs!$B$1+((Inputs!$G$5:$G$230&lt;&gt;"moeda")*(Inputs!$G$5:$G$230&lt;&gt;"acoes")))*INDEX(Inputs!$K$5:$AJ$230,0,MATCH(V$2,Inputs!$K$4:$AJ$4,0)))))</f>
        <v>8.606</v>
      </c>
      <c r="W86" s="3">
        <f>SUM(S86:V86)</f>
        <v>11.937</v>
      </c>
      <c r="X86" s="6">
        <f>IF(ISNA(MATCH(X$2,Inputs!$K$4:$AJ$4,0)),NA(),IF(SUMPRODUCT((Inputs!$A$5:$A$230=$B86)*ISNUMBER(INDEX(Inputs!$K$5:$AJ$230,0,MATCH(X$2,Inputs!$K$4:$AJ$4,0))))+SUMPRODUCT((Inputs!$C$5:$C$230=$B86)*ISNUMBER(INDEX(Inputs!$K$5:$AJ$230,0,MATCH(X$2,Inputs!$K$4:$AJ$4,0))))+SUMPRODUCT((Inputs!$E$5:$E$230=$B86)*ISNUMBER(INDEX(Inputs!$K$5:$AJ$230,0,MATCH(X$2,Inputs!$K$4:$AJ$4,0))))=0,NA(),SUMPRODUCT((Inputs!$A$5:$A$230=$B86)*Inputs!$B$5:$B$230*(((Inputs!$G$5:$G$230="moeda")+(Inputs!$G$5:$G$230="acoes"))*Inputs!$B$1+((Inputs!$G$5:$G$230&lt;&gt;"moeda")*(Inputs!$G$5:$G$230&lt;&gt;"acoes")))*INDEX(Inputs!$K$5:$AJ$230,0,MATCH(X$2,Inputs!$K$4:$AJ$4,0)))+SUMPRODUCT((Inputs!$C$5:$C$230=$B86)*Inputs!$D$5:$D$230*(((Inputs!$G$5:$G$230="moeda")+(Inputs!$G$5:$G$230="acoes"))*Inputs!$B$1+((Inputs!$G$5:$G$230&lt;&gt;"moeda")*(Inputs!$G$5:$G$230&lt;&gt;"acoes")))*INDEX(Inputs!$K$5:$AJ$230,0,MATCH(X$2,Inputs!$K$4:$AJ$4,0)))+SUMPRODUCT((Inputs!$E$5:$E$230=$B86)*Inputs!$F$5:$F$230*(((Inputs!$G$5:$G$230="moeda")+(Inputs!$G$5:$G$230="acoes"))*Inputs!$B$1+((Inputs!$G$5:$G$230&lt;&gt;"moeda")*(Inputs!$G$5:$G$230&lt;&gt;"acoes")))*INDEX(Inputs!$K$5:$AJ$230,0,MATCH(X$2,Inputs!$K$4:$AJ$4,0)))))</f>
        <v>2.215</v>
      </c>
      <c r="Y86" s="6">
        <f>IF(ISNA(MATCH(Y$2,Inputs!$K$4:$AJ$4,0)),NA(),IF(SUMPRODUCT((Inputs!$A$5:$A$230=$B86)*ISNUMBER(INDEX(Inputs!$K$5:$AJ$230,0,MATCH(Y$2,Inputs!$K$4:$AJ$4,0))))+SUMPRODUCT((Inputs!$C$5:$C$230=$B86)*ISNUMBER(INDEX(Inputs!$K$5:$AJ$230,0,MATCH(Y$2,Inputs!$K$4:$AJ$4,0))))+SUMPRODUCT((Inputs!$E$5:$E$230=$B86)*ISNUMBER(INDEX(Inputs!$K$5:$AJ$230,0,MATCH(Y$2,Inputs!$K$4:$AJ$4,0))))=0,NA(),SUMPRODUCT((Inputs!$A$5:$A$230=$B86)*Inputs!$B$5:$B$230*(((Inputs!$G$5:$G$230="moeda")+(Inputs!$G$5:$G$230="acoes"))*Inputs!$B$1+((Inputs!$G$5:$G$230&lt;&gt;"moeda")*(Inputs!$G$5:$G$230&lt;&gt;"acoes")))*INDEX(Inputs!$K$5:$AJ$230,0,MATCH(Y$2,Inputs!$K$4:$AJ$4,0)))+SUMPRODUCT((Inputs!$C$5:$C$230=$B86)*Inputs!$D$5:$D$230*(((Inputs!$G$5:$G$230="moeda")+(Inputs!$G$5:$G$230="acoes"))*Inputs!$B$1+((Inputs!$G$5:$G$230&lt;&gt;"moeda")*(Inputs!$G$5:$G$230&lt;&gt;"acoes")))*INDEX(Inputs!$K$5:$AJ$230,0,MATCH(Y$2,Inputs!$K$4:$AJ$4,0)))+SUMPRODUCT((Inputs!$E$5:$E$230=$B86)*Inputs!$F$5:$F$230*(((Inputs!$G$5:$G$230="moeda")+(Inputs!$G$5:$G$230="acoes"))*Inputs!$B$1+((Inputs!$G$5:$G$230&lt;&gt;"moeda")*(Inputs!$G$5:$G$230&lt;&gt;"acoes")))*INDEX(Inputs!$K$5:$AJ$230,0,MATCH(Y$2,Inputs!$K$4:$AJ$4,0)))))</f>
        <v>0</v>
      </c>
      <c r="Z86" s="6">
        <f>IF(ISNA(MATCH(Z$2,Inputs!$K$4:$AJ$4,0)),NA(),IF(SUMPRODUCT((Inputs!$A$5:$A$230=$B86)*ISNUMBER(INDEX(Inputs!$K$5:$AJ$230,0,MATCH(Z$2,Inputs!$K$4:$AJ$4,0))))+SUMPRODUCT((Inputs!$C$5:$C$230=$B86)*ISNUMBER(INDEX(Inputs!$K$5:$AJ$230,0,MATCH(Z$2,Inputs!$K$4:$AJ$4,0))))+SUMPRODUCT((Inputs!$E$5:$E$230=$B86)*ISNUMBER(INDEX(Inputs!$K$5:$AJ$230,0,MATCH(Z$2,Inputs!$K$4:$AJ$4,0))))=0,NA(),SUMPRODUCT((Inputs!$A$5:$A$230=$B86)*Inputs!$B$5:$B$230*(((Inputs!$G$5:$G$230="moeda")+(Inputs!$G$5:$G$230="acoes"))*Inputs!$B$1+((Inputs!$G$5:$G$230&lt;&gt;"moeda")*(Inputs!$G$5:$G$230&lt;&gt;"acoes")))*INDEX(Inputs!$K$5:$AJ$230,0,MATCH(Z$2,Inputs!$K$4:$AJ$4,0)))+SUMPRODUCT((Inputs!$C$5:$C$230=$B86)*Inputs!$D$5:$D$230*(((Inputs!$G$5:$G$230="moeda")+(Inputs!$G$5:$G$230="acoes"))*Inputs!$B$1+((Inputs!$G$5:$G$230&lt;&gt;"moeda")*(Inputs!$G$5:$G$230&lt;&gt;"acoes")))*INDEX(Inputs!$K$5:$AJ$230,0,MATCH(Z$2,Inputs!$K$4:$AJ$4,0)))+SUMPRODUCT((Inputs!$E$5:$E$230=$B86)*Inputs!$F$5:$F$230*(((Inputs!$G$5:$G$230="moeda")+(Inputs!$G$5:$G$230="acoes"))*Inputs!$B$1+((Inputs!$G$5:$G$230&lt;&gt;"moeda")*(Inputs!$G$5:$G$230&lt;&gt;"acoes")))*INDEX(Inputs!$K$5:$AJ$230,0,MATCH(Z$2,Inputs!$K$4:$AJ$4,0)))))</f>
        <v>0</v>
      </c>
      <c r="AA86" s="6">
        <f>IF(ISNA(MATCH(AA$2,Inputs!$K$4:$AJ$4,0)),NA(),IF(SUMPRODUCT((Inputs!$A$5:$A$230=$B86)*ISNUMBER(INDEX(Inputs!$K$5:$AJ$230,0,MATCH(AA$2,Inputs!$K$4:$AJ$4,0))))+SUMPRODUCT((Inputs!$C$5:$C$230=$B86)*ISNUMBER(INDEX(Inputs!$K$5:$AJ$230,0,MATCH(AA$2,Inputs!$K$4:$AJ$4,0))))+SUMPRODUCT((Inputs!$E$5:$E$230=$B86)*ISNUMBER(INDEX(Inputs!$K$5:$AJ$230,0,MATCH(AA$2,Inputs!$K$4:$AJ$4,0))))=0,NA(),SUMPRODUCT((Inputs!$A$5:$A$230=$B86)*Inputs!$B$5:$B$230*(((Inputs!$G$5:$G$230="moeda")+(Inputs!$G$5:$G$230="acoes"))*Inputs!$B$1+((Inputs!$G$5:$G$230&lt;&gt;"moeda")*(Inputs!$G$5:$G$230&lt;&gt;"acoes")))*INDEX(Inputs!$K$5:$AJ$230,0,MATCH(AA$2,Inputs!$K$4:$AJ$4,0)))+SUMPRODUCT((Inputs!$C$5:$C$230=$B86)*Inputs!$D$5:$D$230*(((Inputs!$G$5:$G$230="moeda")+(Inputs!$G$5:$G$230="acoes"))*Inputs!$B$1+((Inputs!$G$5:$G$230&lt;&gt;"moeda")*(Inputs!$G$5:$G$230&lt;&gt;"acoes")))*INDEX(Inputs!$K$5:$AJ$230,0,MATCH(AA$2,Inputs!$K$4:$AJ$4,0)))+SUMPRODUCT((Inputs!$E$5:$E$230=$B86)*Inputs!$F$5:$F$230*(((Inputs!$G$5:$G$230="moeda")+(Inputs!$G$5:$G$230="acoes"))*Inputs!$B$1+((Inputs!$G$5:$G$230&lt;&gt;"moeda")*(Inputs!$G$5:$G$230&lt;&gt;"acoes")))*INDEX(Inputs!$K$5:$AJ$230,0,MATCH(AA$2,Inputs!$K$4:$AJ$4,0)))))</f>
        <v>0</v>
      </c>
      <c r="AB86" s="3">
        <f>SUM(X86:AA86)</f>
        <v>2.215</v>
      </c>
      <c r="AC86" s="6">
        <f>IF(ISNA(MATCH(AC$2,Inputs!$K$4:$AJ$4,0)),NA(),IF(SUMPRODUCT((Inputs!$A$5:$A$230=$B86)*ISNUMBER(INDEX(Inputs!$K$5:$AJ$230,0,MATCH(AC$2,Inputs!$K$4:$AJ$4,0))))+SUMPRODUCT((Inputs!$C$5:$C$230=$B86)*ISNUMBER(INDEX(Inputs!$K$5:$AJ$230,0,MATCH(AC$2,Inputs!$K$4:$AJ$4,0))))+SUMPRODUCT((Inputs!$E$5:$E$230=$B86)*ISNUMBER(INDEX(Inputs!$K$5:$AJ$230,0,MATCH(AC$2,Inputs!$K$4:$AJ$4,0))))=0,NA(),SUMPRODUCT((Inputs!$A$5:$A$230=$B86)*Inputs!$B$5:$B$230*(((Inputs!$G$5:$G$230="moeda")+(Inputs!$G$5:$G$230="acoes"))*Inputs!$B$1+((Inputs!$G$5:$G$230&lt;&gt;"moeda")*(Inputs!$G$5:$G$230&lt;&gt;"acoes")))*INDEX(Inputs!$K$5:$AJ$230,0,MATCH(AC$2,Inputs!$K$4:$AJ$4,0)))+SUMPRODUCT((Inputs!$C$5:$C$230=$B86)*Inputs!$D$5:$D$230*(((Inputs!$G$5:$G$230="moeda")+(Inputs!$G$5:$G$230="acoes"))*Inputs!$B$1+((Inputs!$G$5:$G$230&lt;&gt;"moeda")*(Inputs!$G$5:$G$230&lt;&gt;"acoes")))*INDEX(Inputs!$K$5:$AJ$230,0,MATCH(AC$2,Inputs!$K$4:$AJ$4,0)))+SUMPRODUCT((Inputs!$E$5:$E$230=$B86)*Inputs!$F$5:$F$230*(((Inputs!$G$5:$G$230="moeda")+(Inputs!$G$5:$G$230="acoes"))*Inputs!$B$1+((Inputs!$G$5:$G$230&lt;&gt;"moeda")*(Inputs!$G$5:$G$230&lt;&gt;"acoes")))*INDEX(Inputs!$K$5:$AJ$230,0,MATCH(AC$2,Inputs!$K$4:$AJ$4,0)))))</f>
        <v>0</v>
      </c>
      <c r="AD86" s="6">
        <f>IF(ISNA(MATCH(AD$2,Inputs!$K$4:$AJ$4,0)),NA(),IF(SUMPRODUCT((Inputs!$A$5:$A$230=$B86)*ISNUMBER(INDEX(Inputs!$K$5:$AJ$230,0,MATCH(AD$2,Inputs!$K$4:$AJ$4,0))))+SUMPRODUCT((Inputs!$C$5:$C$230=$B86)*ISNUMBER(INDEX(Inputs!$K$5:$AJ$230,0,MATCH(AD$2,Inputs!$K$4:$AJ$4,0))))+SUMPRODUCT((Inputs!$E$5:$E$230=$B86)*ISNUMBER(INDEX(Inputs!$K$5:$AJ$230,0,MATCH(AD$2,Inputs!$K$4:$AJ$4,0))))=0,NA(),SUMPRODUCT((Inputs!$A$5:$A$230=$B86)*Inputs!$B$5:$B$230*(((Inputs!$G$5:$G$230="moeda")+(Inputs!$G$5:$G$230="acoes"))*Inputs!$B$1+((Inputs!$G$5:$G$230&lt;&gt;"moeda")*(Inputs!$G$5:$G$230&lt;&gt;"acoes")))*INDEX(Inputs!$K$5:$AJ$230,0,MATCH(AD$2,Inputs!$K$4:$AJ$4,0)))+SUMPRODUCT((Inputs!$C$5:$C$230=$B86)*Inputs!$D$5:$D$230*(((Inputs!$G$5:$G$230="moeda")+(Inputs!$G$5:$G$230="acoes"))*Inputs!$B$1+((Inputs!$G$5:$G$230&lt;&gt;"moeda")*(Inputs!$G$5:$G$230&lt;&gt;"acoes")))*INDEX(Inputs!$K$5:$AJ$230,0,MATCH(AD$2,Inputs!$K$4:$AJ$4,0)))+SUMPRODUCT((Inputs!$E$5:$E$230=$B86)*Inputs!$F$5:$F$230*(((Inputs!$G$5:$G$230="moeda")+(Inputs!$G$5:$G$230="acoes"))*Inputs!$B$1+((Inputs!$G$5:$G$230&lt;&gt;"moeda")*(Inputs!$G$5:$G$230&lt;&gt;"acoes")))*INDEX(Inputs!$K$5:$AJ$230,0,MATCH(AD$2,Inputs!$K$4:$AJ$4,0)))))</f>
        <v>0</v>
      </c>
      <c r="AE86" s="6" t="e">
        <f>IF(ISNA(MATCH(AE$2,Inputs!$K$4:$AJ$4,0)),NA(),IF(SUMPRODUCT((Inputs!$A$5:$A$230=$B86)*ISNUMBER(INDEX(Inputs!$K$5:$AJ$230,0,MATCH(AE$2,Inputs!$K$4:$AJ$4,0))))+SUMPRODUCT((Inputs!$C$5:$C$230=$B86)*ISNUMBER(INDEX(Inputs!$K$5:$AJ$230,0,MATCH(AE$2,Inputs!$K$4:$AJ$4,0))))+SUMPRODUCT((Inputs!$E$5:$E$230=$B86)*ISNUMBER(INDEX(Inputs!$K$5:$AJ$230,0,MATCH(AE$2,Inputs!$K$4:$AJ$4,0))))=0,NA(),SUMPRODUCT((Inputs!$A$5:$A$230=$B86)*Inputs!$B$5:$B$230*(((Inputs!$G$5:$G$230="moeda")+(Inputs!$G$5:$G$230="acoes"))*Inputs!$B$1+((Inputs!$G$5:$G$230&lt;&gt;"moeda")*(Inputs!$G$5:$G$230&lt;&gt;"acoes")))*INDEX(Inputs!$K$5:$AJ$230,0,MATCH(AE$2,Inputs!$K$4:$AJ$4,0)))+SUMPRODUCT((Inputs!$C$5:$C$230=$B86)*Inputs!$D$5:$D$230*(((Inputs!$G$5:$G$230="moeda")+(Inputs!$G$5:$G$230="acoes"))*Inputs!$B$1+((Inputs!$G$5:$G$230&lt;&gt;"moeda")*(Inputs!$G$5:$G$230&lt;&gt;"acoes")))*INDEX(Inputs!$K$5:$AJ$230,0,MATCH(AE$2,Inputs!$K$4:$AJ$4,0)))+SUMPRODUCT((Inputs!$E$5:$E$230=$B86)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6" s="6" t="e">
        <f>IF(ISNA(MATCH(AF$2,Inputs!$K$4:$AJ$4,0)),NA(),IF(SUMPRODUCT((Inputs!$A$5:$A$230=$B86)*ISNUMBER(INDEX(Inputs!$K$5:$AJ$230,0,MATCH(AF$2,Inputs!$K$4:$AJ$4,0))))+SUMPRODUCT((Inputs!$C$5:$C$230=$B86)*ISNUMBER(INDEX(Inputs!$K$5:$AJ$230,0,MATCH(AF$2,Inputs!$K$4:$AJ$4,0))))+SUMPRODUCT((Inputs!$E$5:$E$230=$B86)*ISNUMBER(INDEX(Inputs!$K$5:$AJ$230,0,MATCH(AF$2,Inputs!$K$4:$AJ$4,0))))=0,NA(),SUMPRODUCT((Inputs!$A$5:$A$230=$B86)*Inputs!$B$5:$B$230*(((Inputs!$G$5:$G$230="moeda")+(Inputs!$G$5:$G$230="acoes"))*Inputs!$B$1+((Inputs!$G$5:$G$230&lt;&gt;"moeda")*(Inputs!$G$5:$G$230&lt;&gt;"acoes")))*INDEX(Inputs!$K$5:$AJ$230,0,MATCH(AF$2,Inputs!$K$4:$AJ$4,0)))+SUMPRODUCT((Inputs!$C$5:$C$230=$B86)*Inputs!$D$5:$D$230*(((Inputs!$G$5:$G$230="moeda")+(Inputs!$G$5:$G$230="acoes"))*Inputs!$B$1+((Inputs!$G$5:$G$230&lt;&gt;"moeda")*(Inputs!$G$5:$G$230&lt;&gt;"acoes")))*INDEX(Inputs!$K$5:$AJ$230,0,MATCH(AF$2,Inputs!$K$4:$AJ$4,0)))+SUMPRODUCT((Inputs!$E$5:$E$230=$B86)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6" s="3" t="e">
        <f>SUM(AC86:AF86)</f>
        <v>#N/A</v>
      </c>
      <c r="AH86" s="6" t="e">
        <f>IF(ISNA(MATCH(AH$2,Inputs!$K$4:$AJ$4,0)),NA(),IF(SUMPRODUCT((Inputs!$A$5:$A$230=$B86)*ISNUMBER(INDEX(Inputs!$K$5:$AJ$230,0,MATCH(AH$2,Inputs!$K$4:$AJ$4,0))))+SUMPRODUCT((Inputs!$C$5:$C$230=$B86)*ISNUMBER(INDEX(Inputs!$K$5:$AJ$230,0,MATCH(AH$2,Inputs!$K$4:$AJ$4,0))))+SUMPRODUCT((Inputs!$E$5:$E$230=$B86)*ISNUMBER(INDEX(Inputs!$K$5:$AJ$230,0,MATCH(AH$2,Inputs!$K$4:$AJ$4,0))))=0,NA(),SUMPRODUCT((Inputs!$A$5:$A$230=$B86)*Inputs!$B$5:$B$230*(((Inputs!$G$5:$G$230="moeda")+(Inputs!$G$5:$G$230="acoes"))*Inputs!$B$1+((Inputs!$G$5:$G$230&lt;&gt;"moeda")*(Inputs!$G$5:$G$230&lt;&gt;"acoes")))*INDEX(Inputs!$K$5:$AJ$230,0,MATCH(AH$2,Inputs!$K$4:$AJ$4,0)))+SUMPRODUCT((Inputs!$C$5:$C$230=$B86)*Inputs!$D$5:$D$230*(((Inputs!$G$5:$G$230="moeda")+(Inputs!$G$5:$G$230="acoes"))*Inputs!$B$1+((Inputs!$G$5:$G$230&lt;&gt;"moeda")*(Inputs!$G$5:$G$230&lt;&gt;"acoes")))*INDEX(Inputs!$K$5:$AJ$230,0,MATCH(AH$2,Inputs!$K$4:$AJ$4,0)))+SUMPRODUCT((Inputs!$E$5:$E$230=$B86)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86" s="6" t="e">
        <f>IF(ISNA(MATCH(AI$2,Inputs!$K$4:$AJ$4,0)),NA(),IF(SUMPRODUCT((Inputs!$A$5:$A$230=$B86)*ISNUMBER(INDEX(Inputs!$K$5:$AJ$230,0,MATCH(AI$2,Inputs!$K$4:$AJ$4,0))))+SUMPRODUCT((Inputs!$C$5:$C$230=$B86)*ISNUMBER(INDEX(Inputs!$K$5:$AJ$230,0,MATCH(AI$2,Inputs!$K$4:$AJ$4,0))))+SUMPRODUCT((Inputs!$E$5:$E$230=$B86)*ISNUMBER(INDEX(Inputs!$K$5:$AJ$230,0,MATCH(AI$2,Inputs!$K$4:$AJ$4,0))))=0,NA(),SUMPRODUCT((Inputs!$A$5:$A$230=$B86)*Inputs!$B$5:$B$230*(((Inputs!$G$5:$G$230="moeda")+(Inputs!$G$5:$G$230="acoes"))*Inputs!$B$1+((Inputs!$G$5:$G$230&lt;&gt;"moeda")*(Inputs!$G$5:$G$230&lt;&gt;"acoes")))*INDEX(Inputs!$K$5:$AJ$230,0,MATCH(AI$2,Inputs!$K$4:$AJ$4,0)))+SUMPRODUCT((Inputs!$C$5:$C$230=$B86)*Inputs!$D$5:$D$230*(((Inputs!$G$5:$G$230="moeda")+(Inputs!$G$5:$G$230="acoes"))*Inputs!$B$1+((Inputs!$G$5:$G$230&lt;&gt;"moeda")*(Inputs!$G$5:$G$230&lt;&gt;"acoes")))*INDEX(Inputs!$K$5:$AJ$230,0,MATCH(AI$2,Inputs!$K$4:$AJ$4,0)))+SUMPRODUCT((Inputs!$E$5:$E$230=$B86)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86" s="6" t="e">
        <f>IF(ISNA(MATCH(AJ$2,Inputs!$K$4:$AJ$4,0)),NA(),IF(SUMPRODUCT((Inputs!$A$5:$A$230=$B86)*ISNUMBER(INDEX(Inputs!$K$5:$AJ$230,0,MATCH(AJ$2,Inputs!$K$4:$AJ$4,0))))+SUMPRODUCT((Inputs!$C$5:$C$230=$B86)*ISNUMBER(INDEX(Inputs!$K$5:$AJ$230,0,MATCH(AJ$2,Inputs!$K$4:$AJ$4,0))))+SUMPRODUCT((Inputs!$E$5:$E$230=$B86)*ISNUMBER(INDEX(Inputs!$K$5:$AJ$230,0,MATCH(AJ$2,Inputs!$K$4:$AJ$4,0))))=0,NA(),SUMPRODUCT((Inputs!$A$5:$A$230=$B86)*Inputs!$B$5:$B$230*(((Inputs!$G$5:$G$230="moeda")+(Inputs!$G$5:$G$230="acoes"))*Inputs!$B$1+((Inputs!$G$5:$G$230&lt;&gt;"moeda")*(Inputs!$G$5:$G$230&lt;&gt;"acoes")))*INDEX(Inputs!$K$5:$AJ$230,0,MATCH(AJ$2,Inputs!$K$4:$AJ$4,0)))+SUMPRODUCT((Inputs!$C$5:$C$230=$B86)*Inputs!$D$5:$D$230*(((Inputs!$G$5:$G$230="moeda")+(Inputs!$G$5:$G$230="acoes"))*Inputs!$B$1+((Inputs!$G$5:$G$230&lt;&gt;"moeda")*(Inputs!$G$5:$G$230&lt;&gt;"acoes")))*INDEX(Inputs!$K$5:$AJ$230,0,MATCH(AJ$2,Inputs!$K$4:$AJ$4,0)))+SUMPRODUCT((Inputs!$E$5:$E$230=$B86)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86" s="6" t="e">
        <f>IF(ISNA(MATCH(AK$2,Inputs!$K$4:$AJ$4,0)),NA(),IF(SUMPRODUCT((Inputs!$A$5:$A$230=$B86)*ISNUMBER(INDEX(Inputs!$K$5:$AJ$230,0,MATCH(AK$2,Inputs!$K$4:$AJ$4,0))))+SUMPRODUCT((Inputs!$C$5:$C$230=$B86)*ISNUMBER(INDEX(Inputs!$K$5:$AJ$230,0,MATCH(AK$2,Inputs!$K$4:$AJ$4,0))))+SUMPRODUCT((Inputs!$E$5:$E$230=$B86)*ISNUMBER(INDEX(Inputs!$K$5:$AJ$230,0,MATCH(AK$2,Inputs!$K$4:$AJ$4,0))))=0,NA(),SUMPRODUCT((Inputs!$A$5:$A$230=$B86)*Inputs!$B$5:$B$230*(((Inputs!$G$5:$G$230="moeda")+(Inputs!$G$5:$G$230="acoes"))*Inputs!$B$1+((Inputs!$G$5:$G$230&lt;&gt;"moeda")*(Inputs!$G$5:$G$230&lt;&gt;"acoes")))*INDEX(Inputs!$K$5:$AJ$230,0,MATCH(AK$2,Inputs!$K$4:$AJ$4,0)))+SUMPRODUCT((Inputs!$C$5:$C$230=$B86)*Inputs!$D$5:$D$230*(((Inputs!$G$5:$G$230="moeda")+(Inputs!$G$5:$G$230="acoes"))*Inputs!$B$1+((Inputs!$G$5:$G$230&lt;&gt;"moeda")*(Inputs!$G$5:$G$230&lt;&gt;"acoes")))*INDEX(Inputs!$K$5:$AJ$230,0,MATCH(AK$2,Inputs!$K$4:$AJ$4,0)))+SUMPRODUCT((Inputs!$E$5:$E$230=$B86)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86" s="3" t="e">
        <f>SUM(AH86:AK86)</f>
        <v>#N/A</v>
      </c>
    </row>
    <row r="87">
      <c r="B87" s="46" t="n">
        <v>79</v>
      </c>
      <c r="C87" s="29" t="inlineStr">
        <is>
          <t>Transmissao | TCN</t>
        </is>
      </c>
      <c r="D87" s="6" t="e">
        <f>IF(ISNA(MATCH(D$2,Inputs!$K$4:$AJ$4,0)),NA(),IF(SUMPRODUCT((Inputs!$A$5:$A$230=$B87)*ISNUMBER(INDEX(Inputs!$K$5:$AJ$230,0,MATCH(D$2,Inputs!$K$4:$AJ$4,0))))+SUMPRODUCT((Inputs!$C$5:$C$230=$B87)*ISNUMBER(INDEX(Inputs!$K$5:$AJ$230,0,MATCH(D$2,Inputs!$K$4:$AJ$4,0))))+SUMPRODUCT((Inputs!$E$5:$E$230=$B87)*ISNUMBER(INDEX(Inputs!$K$5:$AJ$230,0,MATCH(D$2,Inputs!$K$4:$AJ$4,0))))=0,NA(),SUMPRODUCT((Inputs!$A$5:$A$230=$B87)*Inputs!$B$5:$B$230*(((Inputs!$G$5:$G$230="moeda")+(Inputs!$G$5:$G$230="acoes"))*Inputs!$B$1+((Inputs!$G$5:$G$230&lt;&gt;"moeda")*(Inputs!$G$5:$G$230&lt;&gt;"acoes")))*INDEX(Inputs!$K$5:$AJ$230,0,MATCH(D$2,Inputs!$K$4:$AJ$4,0)))+SUMPRODUCT((Inputs!$C$5:$C$230=$B87)*Inputs!$D$5:$D$230*(((Inputs!$G$5:$G$230="moeda")+(Inputs!$G$5:$G$230="acoes"))*Inputs!$B$1+((Inputs!$G$5:$G$230&lt;&gt;"moeda")*(Inputs!$G$5:$G$230&lt;&gt;"acoes")))*INDEX(Inputs!$K$5:$AJ$230,0,MATCH(D$2,Inputs!$K$4:$AJ$4,0)))+SUMPRODUCT((Inputs!$E$5:$E$230=$B87)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87" s="6" t="e">
        <f>IF(ISNA(MATCH(E$2,Inputs!$K$4:$AJ$4,0)),NA(),IF(SUMPRODUCT((Inputs!$A$5:$A$230=$B87)*ISNUMBER(INDEX(Inputs!$K$5:$AJ$230,0,MATCH(E$2,Inputs!$K$4:$AJ$4,0))))+SUMPRODUCT((Inputs!$C$5:$C$230=$B87)*ISNUMBER(INDEX(Inputs!$K$5:$AJ$230,0,MATCH(E$2,Inputs!$K$4:$AJ$4,0))))+SUMPRODUCT((Inputs!$E$5:$E$230=$B87)*ISNUMBER(INDEX(Inputs!$K$5:$AJ$230,0,MATCH(E$2,Inputs!$K$4:$AJ$4,0))))=0,NA(),SUMPRODUCT((Inputs!$A$5:$A$230=$B87)*Inputs!$B$5:$B$230*(((Inputs!$G$5:$G$230="moeda")+(Inputs!$G$5:$G$230="acoes"))*Inputs!$B$1+((Inputs!$G$5:$G$230&lt;&gt;"moeda")*(Inputs!$G$5:$G$230&lt;&gt;"acoes")))*INDEX(Inputs!$K$5:$AJ$230,0,MATCH(E$2,Inputs!$K$4:$AJ$4,0)))+SUMPRODUCT((Inputs!$C$5:$C$230=$B87)*Inputs!$D$5:$D$230*(((Inputs!$G$5:$G$230="moeda")+(Inputs!$G$5:$G$230="acoes"))*Inputs!$B$1+((Inputs!$G$5:$G$230&lt;&gt;"moeda")*(Inputs!$G$5:$G$230&lt;&gt;"acoes")))*INDEX(Inputs!$K$5:$AJ$230,0,MATCH(E$2,Inputs!$K$4:$AJ$4,0)))+SUMPRODUCT((Inputs!$E$5:$E$230=$B87)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87" s="6" t="e">
        <f>IF(ISNA(MATCH(F$2,Inputs!$K$4:$AJ$4,0)),NA(),IF(SUMPRODUCT((Inputs!$A$5:$A$230=$B87)*ISNUMBER(INDEX(Inputs!$K$5:$AJ$230,0,MATCH(F$2,Inputs!$K$4:$AJ$4,0))))+SUMPRODUCT((Inputs!$C$5:$C$230=$B87)*ISNUMBER(INDEX(Inputs!$K$5:$AJ$230,0,MATCH(F$2,Inputs!$K$4:$AJ$4,0))))+SUMPRODUCT((Inputs!$E$5:$E$230=$B87)*ISNUMBER(INDEX(Inputs!$K$5:$AJ$230,0,MATCH(F$2,Inputs!$K$4:$AJ$4,0))))=0,NA(),SUMPRODUCT((Inputs!$A$5:$A$230=$B87)*Inputs!$B$5:$B$230*(((Inputs!$G$5:$G$230="moeda")+(Inputs!$G$5:$G$230="acoes"))*Inputs!$B$1+((Inputs!$G$5:$G$230&lt;&gt;"moeda")*(Inputs!$G$5:$G$230&lt;&gt;"acoes")))*INDEX(Inputs!$K$5:$AJ$230,0,MATCH(F$2,Inputs!$K$4:$AJ$4,0)))+SUMPRODUCT((Inputs!$C$5:$C$230=$B87)*Inputs!$D$5:$D$230*(((Inputs!$G$5:$G$230="moeda")+(Inputs!$G$5:$G$230="acoes"))*Inputs!$B$1+((Inputs!$G$5:$G$230&lt;&gt;"moeda")*(Inputs!$G$5:$G$230&lt;&gt;"acoes")))*INDEX(Inputs!$K$5:$AJ$230,0,MATCH(F$2,Inputs!$K$4:$AJ$4,0)))+SUMPRODUCT((Inputs!$E$5:$E$230=$B87)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87" s="6" t="e">
        <f>IF(ISNA(MATCH(G$2,Inputs!$K$4:$AJ$4,0)),NA(),IF(SUMPRODUCT((Inputs!$A$5:$A$230=$B87)*ISNUMBER(INDEX(Inputs!$K$5:$AJ$230,0,MATCH(G$2,Inputs!$K$4:$AJ$4,0))))+SUMPRODUCT((Inputs!$C$5:$C$230=$B87)*ISNUMBER(INDEX(Inputs!$K$5:$AJ$230,0,MATCH(G$2,Inputs!$K$4:$AJ$4,0))))+SUMPRODUCT((Inputs!$E$5:$E$230=$B87)*ISNUMBER(INDEX(Inputs!$K$5:$AJ$230,0,MATCH(G$2,Inputs!$K$4:$AJ$4,0))))=0,NA(),SUMPRODUCT((Inputs!$A$5:$A$230=$B87)*Inputs!$B$5:$B$230*(((Inputs!$G$5:$G$230="moeda")+(Inputs!$G$5:$G$230="acoes"))*Inputs!$B$1+((Inputs!$G$5:$G$230&lt;&gt;"moeda")*(Inputs!$G$5:$G$230&lt;&gt;"acoes")))*INDEX(Inputs!$K$5:$AJ$230,0,MATCH(G$2,Inputs!$K$4:$AJ$4,0)))+SUMPRODUCT((Inputs!$C$5:$C$230=$B87)*Inputs!$D$5:$D$230*(((Inputs!$G$5:$G$230="moeda")+(Inputs!$G$5:$G$230="acoes"))*Inputs!$B$1+((Inputs!$G$5:$G$230&lt;&gt;"moeda")*(Inputs!$G$5:$G$230&lt;&gt;"acoes")))*INDEX(Inputs!$K$5:$AJ$230,0,MATCH(G$2,Inputs!$K$4:$AJ$4,0)))+SUMPRODUCT((Inputs!$E$5:$E$230=$B87)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87" s="3" t="e">
        <f>SUM(D87:G87)</f>
        <v>#N/A</v>
      </c>
      <c r="I87" s="6" t="e">
        <f>IF(ISNA(MATCH(I$2,Inputs!$K$4:$AJ$4,0)),NA(),IF(SUMPRODUCT((Inputs!$A$5:$A$230=$B87)*ISNUMBER(INDEX(Inputs!$K$5:$AJ$230,0,MATCH(I$2,Inputs!$K$4:$AJ$4,0))))+SUMPRODUCT((Inputs!$C$5:$C$230=$B87)*ISNUMBER(INDEX(Inputs!$K$5:$AJ$230,0,MATCH(I$2,Inputs!$K$4:$AJ$4,0))))+SUMPRODUCT((Inputs!$E$5:$E$230=$B87)*ISNUMBER(INDEX(Inputs!$K$5:$AJ$230,0,MATCH(I$2,Inputs!$K$4:$AJ$4,0))))=0,NA(),SUMPRODUCT((Inputs!$A$5:$A$230=$B87)*Inputs!$B$5:$B$230*(((Inputs!$G$5:$G$230="moeda")+(Inputs!$G$5:$G$230="acoes"))*Inputs!$B$1+((Inputs!$G$5:$G$230&lt;&gt;"moeda")*(Inputs!$G$5:$G$230&lt;&gt;"acoes")))*INDEX(Inputs!$K$5:$AJ$230,0,MATCH(I$2,Inputs!$K$4:$AJ$4,0)))+SUMPRODUCT((Inputs!$C$5:$C$230=$B87)*Inputs!$D$5:$D$230*(((Inputs!$G$5:$G$230="moeda")+(Inputs!$G$5:$G$230="acoes"))*Inputs!$B$1+((Inputs!$G$5:$G$230&lt;&gt;"moeda")*(Inputs!$G$5:$G$230&lt;&gt;"acoes")))*INDEX(Inputs!$K$5:$AJ$230,0,MATCH(I$2,Inputs!$K$4:$AJ$4,0)))+SUMPRODUCT((Inputs!$E$5:$E$230=$B87)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87" s="6" t="e">
        <f>IF(ISNA(MATCH(J$2,Inputs!$K$4:$AJ$4,0)),NA(),IF(SUMPRODUCT((Inputs!$A$5:$A$230=$B87)*ISNUMBER(INDEX(Inputs!$K$5:$AJ$230,0,MATCH(J$2,Inputs!$K$4:$AJ$4,0))))+SUMPRODUCT((Inputs!$C$5:$C$230=$B87)*ISNUMBER(INDEX(Inputs!$K$5:$AJ$230,0,MATCH(J$2,Inputs!$K$4:$AJ$4,0))))+SUMPRODUCT((Inputs!$E$5:$E$230=$B87)*ISNUMBER(INDEX(Inputs!$K$5:$AJ$230,0,MATCH(J$2,Inputs!$K$4:$AJ$4,0))))=0,NA(),SUMPRODUCT((Inputs!$A$5:$A$230=$B87)*Inputs!$B$5:$B$230*(((Inputs!$G$5:$G$230="moeda")+(Inputs!$G$5:$G$230="acoes"))*Inputs!$B$1+((Inputs!$G$5:$G$230&lt;&gt;"moeda")*(Inputs!$G$5:$G$230&lt;&gt;"acoes")))*INDEX(Inputs!$K$5:$AJ$230,0,MATCH(J$2,Inputs!$K$4:$AJ$4,0)))+SUMPRODUCT((Inputs!$C$5:$C$230=$B87)*Inputs!$D$5:$D$230*(((Inputs!$G$5:$G$230="moeda")+(Inputs!$G$5:$G$230="acoes"))*Inputs!$B$1+((Inputs!$G$5:$G$230&lt;&gt;"moeda")*(Inputs!$G$5:$G$230&lt;&gt;"acoes")))*INDEX(Inputs!$K$5:$AJ$230,0,MATCH(J$2,Inputs!$K$4:$AJ$4,0)))+SUMPRODUCT((Inputs!$E$5:$E$230=$B87)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87" s="6" t="e">
        <f>IF(ISNA(MATCH(K$2,Inputs!$K$4:$AJ$4,0)),NA(),IF(SUMPRODUCT((Inputs!$A$5:$A$230=$B87)*ISNUMBER(INDEX(Inputs!$K$5:$AJ$230,0,MATCH(K$2,Inputs!$K$4:$AJ$4,0))))+SUMPRODUCT((Inputs!$C$5:$C$230=$B87)*ISNUMBER(INDEX(Inputs!$K$5:$AJ$230,0,MATCH(K$2,Inputs!$K$4:$AJ$4,0))))+SUMPRODUCT((Inputs!$E$5:$E$230=$B87)*ISNUMBER(INDEX(Inputs!$K$5:$AJ$230,0,MATCH(K$2,Inputs!$K$4:$AJ$4,0))))=0,NA(),SUMPRODUCT((Inputs!$A$5:$A$230=$B87)*Inputs!$B$5:$B$230*(((Inputs!$G$5:$G$230="moeda")+(Inputs!$G$5:$G$230="acoes"))*Inputs!$B$1+((Inputs!$G$5:$G$230&lt;&gt;"moeda")*(Inputs!$G$5:$G$230&lt;&gt;"acoes")))*INDEX(Inputs!$K$5:$AJ$230,0,MATCH(K$2,Inputs!$K$4:$AJ$4,0)))+SUMPRODUCT((Inputs!$C$5:$C$230=$B87)*Inputs!$D$5:$D$230*(((Inputs!$G$5:$G$230="moeda")+(Inputs!$G$5:$G$230="acoes"))*Inputs!$B$1+((Inputs!$G$5:$G$230&lt;&gt;"moeda")*(Inputs!$G$5:$G$230&lt;&gt;"acoes")))*INDEX(Inputs!$K$5:$AJ$230,0,MATCH(K$2,Inputs!$K$4:$AJ$4,0)))+SUMPRODUCT((Inputs!$E$5:$E$230=$B87)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87" s="6" t="e">
        <f>IF(ISNA(MATCH(L$2,Inputs!$K$4:$AJ$4,0)),NA(),IF(SUMPRODUCT((Inputs!$A$5:$A$230=$B87)*ISNUMBER(INDEX(Inputs!$K$5:$AJ$230,0,MATCH(L$2,Inputs!$K$4:$AJ$4,0))))+SUMPRODUCT((Inputs!$C$5:$C$230=$B87)*ISNUMBER(INDEX(Inputs!$K$5:$AJ$230,0,MATCH(L$2,Inputs!$K$4:$AJ$4,0))))+SUMPRODUCT((Inputs!$E$5:$E$230=$B87)*ISNUMBER(INDEX(Inputs!$K$5:$AJ$230,0,MATCH(L$2,Inputs!$K$4:$AJ$4,0))))=0,NA(),SUMPRODUCT((Inputs!$A$5:$A$230=$B87)*Inputs!$B$5:$B$230*(((Inputs!$G$5:$G$230="moeda")+(Inputs!$G$5:$G$230="acoes"))*Inputs!$B$1+((Inputs!$G$5:$G$230&lt;&gt;"moeda")*(Inputs!$G$5:$G$230&lt;&gt;"acoes")))*INDEX(Inputs!$K$5:$AJ$230,0,MATCH(L$2,Inputs!$K$4:$AJ$4,0)))+SUMPRODUCT((Inputs!$C$5:$C$230=$B87)*Inputs!$D$5:$D$230*(((Inputs!$G$5:$G$230="moeda")+(Inputs!$G$5:$G$230="acoes"))*Inputs!$B$1+((Inputs!$G$5:$G$230&lt;&gt;"moeda")*(Inputs!$G$5:$G$230&lt;&gt;"acoes")))*INDEX(Inputs!$K$5:$AJ$230,0,MATCH(L$2,Inputs!$K$4:$AJ$4,0)))+SUMPRODUCT((Inputs!$E$5:$E$230=$B87)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87" s="3" t="e">
        <f>SUM(I87:L87)</f>
        <v>#N/A</v>
      </c>
      <c r="N87" s="6" t="e">
        <f>IF(ISNA(MATCH(N$2,Inputs!$K$4:$AJ$4,0)),NA(),IF(SUMPRODUCT((Inputs!$A$5:$A$230=$B87)*ISNUMBER(INDEX(Inputs!$K$5:$AJ$230,0,MATCH(N$2,Inputs!$K$4:$AJ$4,0))))+SUMPRODUCT((Inputs!$C$5:$C$230=$B87)*ISNUMBER(INDEX(Inputs!$K$5:$AJ$230,0,MATCH(N$2,Inputs!$K$4:$AJ$4,0))))+SUMPRODUCT((Inputs!$E$5:$E$230=$B87)*ISNUMBER(INDEX(Inputs!$K$5:$AJ$230,0,MATCH(N$2,Inputs!$K$4:$AJ$4,0))))=0,NA(),SUMPRODUCT((Inputs!$A$5:$A$230=$B87)*Inputs!$B$5:$B$230*(((Inputs!$G$5:$G$230="moeda")+(Inputs!$G$5:$G$230="acoes"))*Inputs!$B$1+((Inputs!$G$5:$G$230&lt;&gt;"moeda")*(Inputs!$G$5:$G$230&lt;&gt;"acoes")))*INDEX(Inputs!$K$5:$AJ$230,0,MATCH(N$2,Inputs!$K$4:$AJ$4,0)))+SUMPRODUCT((Inputs!$C$5:$C$230=$B87)*Inputs!$D$5:$D$230*(((Inputs!$G$5:$G$230="moeda")+(Inputs!$G$5:$G$230="acoes"))*Inputs!$B$1+((Inputs!$G$5:$G$230&lt;&gt;"moeda")*(Inputs!$G$5:$G$230&lt;&gt;"acoes")))*INDEX(Inputs!$K$5:$AJ$230,0,MATCH(N$2,Inputs!$K$4:$AJ$4,0)))+SUMPRODUCT((Inputs!$E$5:$E$230=$B87)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87" s="6" t="e">
        <f>IF(ISNA(MATCH(O$2,Inputs!$K$4:$AJ$4,0)),NA(),IF(SUMPRODUCT((Inputs!$A$5:$A$230=$B87)*ISNUMBER(INDEX(Inputs!$K$5:$AJ$230,0,MATCH(O$2,Inputs!$K$4:$AJ$4,0))))+SUMPRODUCT((Inputs!$C$5:$C$230=$B87)*ISNUMBER(INDEX(Inputs!$K$5:$AJ$230,0,MATCH(O$2,Inputs!$K$4:$AJ$4,0))))+SUMPRODUCT((Inputs!$E$5:$E$230=$B87)*ISNUMBER(INDEX(Inputs!$K$5:$AJ$230,0,MATCH(O$2,Inputs!$K$4:$AJ$4,0))))=0,NA(),SUMPRODUCT((Inputs!$A$5:$A$230=$B87)*Inputs!$B$5:$B$230*(((Inputs!$G$5:$G$230="moeda")+(Inputs!$G$5:$G$230="acoes"))*Inputs!$B$1+((Inputs!$G$5:$G$230&lt;&gt;"moeda")*(Inputs!$G$5:$G$230&lt;&gt;"acoes")))*INDEX(Inputs!$K$5:$AJ$230,0,MATCH(O$2,Inputs!$K$4:$AJ$4,0)))+SUMPRODUCT((Inputs!$C$5:$C$230=$B87)*Inputs!$D$5:$D$230*(((Inputs!$G$5:$G$230="moeda")+(Inputs!$G$5:$G$230="acoes"))*Inputs!$B$1+((Inputs!$G$5:$G$230&lt;&gt;"moeda")*(Inputs!$G$5:$G$230&lt;&gt;"acoes")))*INDEX(Inputs!$K$5:$AJ$230,0,MATCH(O$2,Inputs!$K$4:$AJ$4,0)))+SUMPRODUCT((Inputs!$E$5:$E$230=$B87)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87" s="6" t="e">
        <f>IF(ISNA(MATCH(P$2,Inputs!$K$4:$AJ$4,0)),NA(),IF(SUMPRODUCT((Inputs!$A$5:$A$230=$B87)*ISNUMBER(INDEX(Inputs!$K$5:$AJ$230,0,MATCH(P$2,Inputs!$K$4:$AJ$4,0))))+SUMPRODUCT((Inputs!$C$5:$C$230=$B87)*ISNUMBER(INDEX(Inputs!$K$5:$AJ$230,0,MATCH(P$2,Inputs!$K$4:$AJ$4,0))))+SUMPRODUCT((Inputs!$E$5:$E$230=$B87)*ISNUMBER(INDEX(Inputs!$K$5:$AJ$230,0,MATCH(P$2,Inputs!$K$4:$AJ$4,0))))=0,NA(),SUMPRODUCT((Inputs!$A$5:$A$230=$B87)*Inputs!$B$5:$B$230*(((Inputs!$G$5:$G$230="moeda")+(Inputs!$G$5:$G$230="acoes"))*Inputs!$B$1+((Inputs!$G$5:$G$230&lt;&gt;"moeda")*(Inputs!$G$5:$G$230&lt;&gt;"acoes")))*INDEX(Inputs!$K$5:$AJ$230,0,MATCH(P$2,Inputs!$K$4:$AJ$4,0)))+SUMPRODUCT((Inputs!$C$5:$C$230=$B87)*Inputs!$D$5:$D$230*(((Inputs!$G$5:$G$230="moeda")+(Inputs!$G$5:$G$230="acoes"))*Inputs!$B$1+((Inputs!$G$5:$G$230&lt;&gt;"moeda")*(Inputs!$G$5:$G$230&lt;&gt;"acoes")))*INDEX(Inputs!$K$5:$AJ$230,0,MATCH(P$2,Inputs!$K$4:$AJ$4,0)))+SUMPRODUCT((Inputs!$E$5:$E$230=$B87)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87" s="6" t="e">
        <f>IF(ISNA(MATCH(Q$2,Inputs!$K$4:$AJ$4,0)),NA(),IF(SUMPRODUCT((Inputs!$A$5:$A$230=$B87)*ISNUMBER(INDEX(Inputs!$K$5:$AJ$230,0,MATCH(Q$2,Inputs!$K$4:$AJ$4,0))))+SUMPRODUCT((Inputs!$C$5:$C$230=$B87)*ISNUMBER(INDEX(Inputs!$K$5:$AJ$230,0,MATCH(Q$2,Inputs!$K$4:$AJ$4,0))))+SUMPRODUCT((Inputs!$E$5:$E$230=$B87)*ISNUMBER(INDEX(Inputs!$K$5:$AJ$230,0,MATCH(Q$2,Inputs!$K$4:$AJ$4,0))))=0,NA(),SUMPRODUCT((Inputs!$A$5:$A$230=$B87)*Inputs!$B$5:$B$230*(((Inputs!$G$5:$G$230="moeda")+(Inputs!$G$5:$G$230="acoes"))*Inputs!$B$1+((Inputs!$G$5:$G$230&lt;&gt;"moeda")*(Inputs!$G$5:$G$230&lt;&gt;"acoes")))*INDEX(Inputs!$K$5:$AJ$230,0,MATCH(Q$2,Inputs!$K$4:$AJ$4,0)))+SUMPRODUCT((Inputs!$C$5:$C$230=$B87)*Inputs!$D$5:$D$230*(((Inputs!$G$5:$G$230="moeda")+(Inputs!$G$5:$G$230="acoes"))*Inputs!$B$1+((Inputs!$G$5:$G$230&lt;&gt;"moeda")*(Inputs!$G$5:$G$230&lt;&gt;"acoes")))*INDEX(Inputs!$K$5:$AJ$230,0,MATCH(Q$2,Inputs!$K$4:$AJ$4,0)))+SUMPRODUCT((Inputs!$E$5:$E$230=$B87)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87" s="3" t="e">
        <f>SUM(N87:Q87)</f>
        <v>#N/A</v>
      </c>
      <c r="S87" s="6">
        <f>IF(ISNA(MATCH(S$2,Inputs!$K$4:$AJ$4,0)),NA(),IF(SUMPRODUCT((Inputs!$A$5:$A$230=$B87)*ISNUMBER(INDEX(Inputs!$K$5:$AJ$230,0,MATCH(S$2,Inputs!$K$4:$AJ$4,0))))+SUMPRODUCT((Inputs!$C$5:$C$230=$B87)*ISNUMBER(INDEX(Inputs!$K$5:$AJ$230,0,MATCH(S$2,Inputs!$K$4:$AJ$4,0))))+SUMPRODUCT((Inputs!$E$5:$E$230=$B87)*ISNUMBER(INDEX(Inputs!$K$5:$AJ$230,0,MATCH(S$2,Inputs!$K$4:$AJ$4,0))))=0,NA(),SUMPRODUCT((Inputs!$A$5:$A$230=$B87)*Inputs!$B$5:$B$230*(((Inputs!$G$5:$G$230="moeda")+(Inputs!$G$5:$G$230="acoes"))*Inputs!$B$1+((Inputs!$G$5:$G$230&lt;&gt;"moeda")*(Inputs!$G$5:$G$230&lt;&gt;"acoes")))*INDEX(Inputs!$K$5:$AJ$230,0,MATCH(S$2,Inputs!$K$4:$AJ$4,0)))+SUMPRODUCT((Inputs!$C$5:$C$230=$B87)*Inputs!$D$5:$D$230*(((Inputs!$G$5:$G$230="moeda")+(Inputs!$G$5:$G$230="acoes"))*Inputs!$B$1+((Inputs!$G$5:$G$230&lt;&gt;"moeda")*(Inputs!$G$5:$G$230&lt;&gt;"acoes")))*INDEX(Inputs!$K$5:$AJ$230,0,MATCH(S$2,Inputs!$K$4:$AJ$4,0)))+SUMPRODUCT((Inputs!$E$5:$E$230=$B87)*Inputs!$F$5:$F$230*(((Inputs!$G$5:$G$230="moeda")+(Inputs!$G$5:$G$230="acoes"))*Inputs!$B$1+((Inputs!$G$5:$G$230&lt;&gt;"moeda")*(Inputs!$G$5:$G$230&lt;&gt;"acoes")))*INDEX(Inputs!$K$5:$AJ$230,0,MATCH(S$2,Inputs!$K$4:$AJ$4,0)))))</f>
        <v>0</v>
      </c>
      <c r="T87" s="6">
        <f>IF(ISNA(MATCH(T$2,Inputs!$K$4:$AJ$4,0)),NA(),IF(SUMPRODUCT((Inputs!$A$5:$A$230=$B87)*ISNUMBER(INDEX(Inputs!$K$5:$AJ$230,0,MATCH(T$2,Inputs!$K$4:$AJ$4,0))))+SUMPRODUCT((Inputs!$C$5:$C$230=$B87)*ISNUMBER(INDEX(Inputs!$K$5:$AJ$230,0,MATCH(T$2,Inputs!$K$4:$AJ$4,0))))+SUMPRODUCT((Inputs!$E$5:$E$230=$B87)*ISNUMBER(INDEX(Inputs!$K$5:$AJ$230,0,MATCH(T$2,Inputs!$K$4:$AJ$4,0))))=0,NA(),SUMPRODUCT((Inputs!$A$5:$A$230=$B87)*Inputs!$B$5:$B$230*(((Inputs!$G$5:$G$230="moeda")+(Inputs!$G$5:$G$230="acoes"))*Inputs!$B$1+((Inputs!$G$5:$G$230&lt;&gt;"moeda")*(Inputs!$G$5:$G$230&lt;&gt;"acoes")))*INDEX(Inputs!$K$5:$AJ$230,0,MATCH(T$2,Inputs!$K$4:$AJ$4,0)))+SUMPRODUCT((Inputs!$C$5:$C$230=$B87)*Inputs!$D$5:$D$230*(((Inputs!$G$5:$G$230="moeda")+(Inputs!$G$5:$G$230="acoes"))*Inputs!$B$1+((Inputs!$G$5:$G$230&lt;&gt;"moeda")*(Inputs!$G$5:$G$230&lt;&gt;"acoes")))*INDEX(Inputs!$K$5:$AJ$230,0,MATCH(T$2,Inputs!$K$4:$AJ$4,0)))+SUMPRODUCT((Inputs!$E$5:$E$230=$B87)*Inputs!$F$5:$F$230*(((Inputs!$G$5:$G$230="moeda")+(Inputs!$G$5:$G$230="acoes"))*Inputs!$B$1+((Inputs!$G$5:$G$230&lt;&gt;"moeda")*(Inputs!$G$5:$G$230&lt;&gt;"acoes")))*INDEX(Inputs!$K$5:$AJ$230,0,MATCH(T$2,Inputs!$K$4:$AJ$4,0)))))</f>
        <v>0</v>
      </c>
      <c r="U87" s="6">
        <f>IF(ISNA(MATCH(U$2,Inputs!$K$4:$AJ$4,0)),NA(),IF(SUMPRODUCT((Inputs!$A$5:$A$230=$B87)*ISNUMBER(INDEX(Inputs!$K$5:$AJ$230,0,MATCH(U$2,Inputs!$K$4:$AJ$4,0))))+SUMPRODUCT((Inputs!$C$5:$C$230=$B87)*ISNUMBER(INDEX(Inputs!$K$5:$AJ$230,0,MATCH(U$2,Inputs!$K$4:$AJ$4,0))))+SUMPRODUCT((Inputs!$E$5:$E$230=$B87)*ISNUMBER(INDEX(Inputs!$K$5:$AJ$230,0,MATCH(U$2,Inputs!$K$4:$AJ$4,0))))=0,NA(),SUMPRODUCT((Inputs!$A$5:$A$230=$B87)*Inputs!$B$5:$B$230*(((Inputs!$G$5:$G$230="moeda")+(Inputs!$G$5:$G$230="acoes"))*Inputs!$B$1+((Inputs!$G$5:$G$230&lt;&gt;"moeda")*(Inputs!$G$5:$G$230&lt;&gt;"acoes")))*INDEX(Inputs!$K$5:$AJ$230,0,MATCH(U$2,Inputs!$K$4:$AJ$4,0)))+SUMPRODUCT((Inputs!$C$5:$C$230=$B87)*Inputs!$D$5:$D$230*(((Inputs!$G$5:$G$230="moeda")+(Inputs!$G$5:$G$230="acoes"))*Inputs!$B$1+((Inputs!$G$5:$G$230&lt;&gt;"moeda")*(Inputs!$G$5:$G$230&lt;&gt;"acoes")))*INDEX(Inputs!$K$5:$AJ$230,0,MATCH(U$2,Inputs!$K$4:$AJ$4,0)))+SUMPRODUCT((Inputs!$E$5:$E$230=$B87)*Inputs!$F$5:$F$230*(((Inputs!$G$5:$G$230="moeda")+(Inputs!$G$5:$G$230="acoes"))*Inputs!$B$1+((Inputs!$G$5:$G$230&lt;&gt;"moeda")*(Inputs!$G$5:$G$230&lt;&gt;"acoes")))*INDEX(Inputs!$K$5:$AJ$230,0,MATCH(U$2,Inputs!$K$4:$AJ$4,0)))))</f>
        <v>2.322</v>
      </c>
      <c r="V87" s="6">
        <f>IF(ISNA(MATCH(V$2,Inputs!$K$4:$AJ$4,0)),NA(),IF(SUMPRODUCT((Inputs!$A$5:$A$230=$B87)*ISNUMBER(INDEX(Inputs!$K$5:$AJ$230,0,MATCH(V$2,Inputs!$K$4:$AJ$4,0))))+SUMPRODUCT((Inputs!$C$5:$C$230=$B87)*ISNUMBER(INDEX(Inputs!$K$5:$AJ$230,0,MATCH(V$2,Inputs!$K$4:$AJ$4,0))))+SUMPRODUCT((Inputs!$E$5:$E$230=$B87)*ISNUMBER(INDEX(Inputs!$K$5:$AJ$230,0,MATCH(V$2,Inputs!$K$4:$AJ$4,0))))=0,NA(),SUMPRODUCT((Inputs!$A$5:$A$230=$B87)*Inputs!$B$5:$B$230*(((Inputs!$G$5:$G$230="moeda")+(Inputs!$G$5:$G$230="acoes"))*Inputs!$B$1+((Inputs!$G$5:$G$230&lt;&gt;"moeda")*(Inputs!$G$5:$G$230&lt;&gt;"acoes")))*INDEX(Inputs!$K$5:$AJ$230,0,MATCH(V$2,Inputs!$K$4:$AJ$4,0)))+SUMPRODUCT((Inputs!$C$5:$C$230=$B87)*Inputs!$D$5:$D$230*(((Inputs!$G$5:$G$230="moeda")+(Inputs!$G$5:$G$230="acoes"))*Inputs!$B$1+((Inputs!$G$5:$G$230&lt;&gt;"moeda")*(Inputs!$G$5:$G$230&lt;&gt;"acoes")))*INDEX(Inputs!$K$5:$AJ$230,0,MATCH(V$2,Inputs!$K$4:$AJ$4,0)))+SUMPRODUCT((Inputs!$E$5:$E$230=$B87)*Inputs!$F$5:$F$230*(((Inputs!$G$5:$G$230="moeda")+(Inputs!$G$5:$G$230="acoes"))*Inputs!$B$1+((Inputs!$G$5:$G$230&lt;&gt;"moeda")*(Inputs!$G$5:$G$230&lt;&gt;"acoes")))*INDEX(Inputs!$K$5:$AJ$230,0,MATCH(V$2,Inputs!$K$4:$AJ$4,0)))))</f>
        <v>2.299</v>
      </c>
      <c r="W87" s="3">
        <f>SUM(S87:V87)</f>
        <v>4.621</v>
      </c>
      <c r="X87" s="6">
        <f>IF(ISNA(MATCH(X$2,Inputs!$K$4:$AJ$4,0)),NA(),IF(SUMPRODUCT((Inputs!$A$5:$A$230=$B87)*ISNUMBER(INDEX(Inputs!$K$5:$AJ$230,0,MATCH(X$2,Inputs!$K$4:$AJ$4,0))))+SUMPRODUCT((Inputs!$C$5:$C$230=$B87)*ISNUMBER(INDEX(Inputs!$K$5:$AJ$230,0,MATCH(X$2,Inputs!$K$4:$AJ$4,0))))+SUMPRODUCT((Inputs!$E$5:$E$230=$B87)*ISNUMBER(INDEX(Inputs!$K$5:$AJ$230,0,MATCH(X$2,Inputs!$K$4:$AJ$4,0))))=0,NA(),SUMPRODUCT((Inputs!$A$5:$A$230=$B87)*Inputs!$B$5:$B$230*(((Inputs!$G$5:$G$230="moeda")+(Inputs!$G$5:$G$230="acoes"))*Inputs!$B$1+((Inputs!$G$5:$G$230&lt;&gt;"moeda")*(Inputs!$G$5:$G$230&lt;&gt;"acoes")))*INDEX(Inputs!$K$5:$AJ$230,0,MATCH(X$2,Inputs!$K$4:$AJ$4,0)))+SUMPRODUCT((Inputs!$C$5:$C$230=$B87)*Inputs!$D$5:$D$230*(((Inputs!$G$5:$G$230="moeda")+(Inputs!$G$5:$G$230="acoes"))*Inputs!$B$1+((Inputs!$G$5:$G$230&lt;&gt;"moeda")*(Inputs!$G$5:$G$230&lt;&gt;"acoes")))*INDEX(Inputs!$K$5:$AJ$230,0,MATCH(X$2,Inputs!$K$4:$AJ$4,0)))+SUMPRODUCT((Inputs!$E$5:$E$230=$B87)*Inputs!$F$5:$F$230*(((Inputs!$G$5:$G$230="moeda")+(Inputs!$G$5:$G$230="acoes"))*Inputs!$B$1+((Inputs!$G$5:$G$230&lt;&gt;"moeda")*(Inputs!$G$5:$G$230&lt;&gt;"acoes")))*INDEX(Inputs!$K$5:$AJ$230,0,MATCH(X$2,Inputs!$K$4:$AJ$4,0)))))</f>
        <v>1.786</v>
      </c>
      <c r="Y87" s="6">
        <f>IF(ISNA(MATCH(Y$2,Inputs!$K$4:$AJ$4,0)),NA(),IF(SUMPRODUCT((Inputs!$A$5:$A$230=$B87)*ISNUMBER(INDEX(Inputs!$K$5:$AJ$230,0,MATCH(Y$2,Inputs!$K$4:$AJ$4,0))))+SUMPRODUCT((Inputs!$C$5:$C$230=$B87)*ISNUMBER(INDEX(Inputs!$K$5:$AJ$230,0,MATCH(Y$2,Inputs!$K$4:$AJ$4,0))))+SUMPRODUCT((Inputs!$E$5:$E$230=$B87)*ISNUMBER(INDEX(Inputs!$K$5:$AJ$230,0,MATCH(Y$2,Inputs!$K$4:$AJ$4,0))))=0,NA(),SUMPRODUCT((Inputs!$A$5:$A$230=$B87)*Inputs!$B$5:$B$230*(((Inputs!$G$5:$G$230="moeda")+(Inputs!$G$5:$G$230="acoes"))*Inputs!$B$1+((Inputs!$G$5:$G$230&lt;&gt;"moeda")*(Inputs!$G$5:$G$230&lt;&gt;"acoes")))*INDEX(Inputs!$K$5:$AJ$230,0,MATCH(Y$2,Inputs!$K$4:$AJ$4,0)))+SUMPRODUCT((Inputs!$C$5:$C$230=$B87)*Inputs!$D$5:$D$230*(((Inputs!$G$5:$G$230="moeda")+(Inputs!$G$5:$G$230="acoes"))*Inputs!$B$1+((Inputs!$G$5:$G$230&lt;&gt;"moeda")*(Inputs!$G$5:$G$230&lt;&gt;"acoes")))*INDEX(Inputs!$K$5:$AJ$230,0,MATCH(Y$2,Inputs!$K$4:$AJ$4,0)))+SUMPRODUCT((Inputs!$E$5:$E$230=$B87)*Inputs!$F$5:$F$230*(((Inputs!$G$5:$G$230="moeda")+(Inputs!$G$5:$G$230="acoes"))*Inputs!$B$1+((Inputs!$G$5:$G$230&lt;&gt;"moeda")*(Inputs!$G$5:$G$230&lt;&gt;"acoes")))*INDEX(Inputs!$K$5:$AJ$230,0,MATCH(Y$2,Inputs!$K$4:$AJ$4,0)))))</f>
        <v>3.813</v>
      </c>
      <c r="Z87" s="6">
        <f>IF(ISNA(MATCH(Z$2,Inputs!$K$4:$AJ$4,0)),NA(),IF(SUMPRODUCT((Inputs!$A$5:$A$230=$B87)*ISNUMBER(INDEX(Inputs!$K$5:$AJ$230,0,MATCH(Z$2,Inputs!$K$4:$AJ$4,0))))+SUMPRODUCT((Inputs!$C$5:$C$230=$B87)*ISNUMBER(INDEX(Inputs!$K$5:$AJ$230,0,MATCH(Z$2,Inputs!$K$4:$AJ$4,0))))+SUMPRODUCT((Inputs!$E$5:$E$230=$B87)*ISNUMBER(INDEX(Inputs!$K$5:$AJ$230,0,MATCH(Z$2,Inputs!$K$4:$AJ$4,0))))=0,NA(),SUMPRODUCT((Inputs!$A$5:$A$230=$B87)*Inputs!$B$5:$B$230*(((Inputs!$G$5:$G$230="moeda")+(Inputs!$G$5:$G$230="acoes"))*Inputs!$B$1+((Inputs!$G$5:$G$230&lt;&gt;"moeda")*(Inputs!$G$5:$G$230&lt;&gt;"acoes")))*INDEX(Inputs!$K$5:$AJ$230,0,MATCH(Z$2,Inputs!$K$4:$AJ$4,0)))+SUMPRODUCT((Inputs!$C$5:$C$230=$B87)*Inputs!$D$5:$D$230*(((Inputs!$G$5:$G$230="moeda")+(Inputs!$G$5:$G$230="acoes"))*Inputs!$B$1+((Inputs!$G$5:$G$230&lt;&gt;"moeda")*(Inputs!$G$5:$G$230&lt;&gt;"acoes")))*INDEX(Inputs!$K$5:$AJ$230,0,MATCH(Z$2,Inputs!$K$4:$AJ$4,0)))+SUMPRODUCT((Inputs!$E$5:$E$230=$B87)*Inputs!$F$5:$F$230*(((Inputs!$G$5:$G$230="moeda")+(Inputs!$G$5:$G$230="acoes"))*Inputs!$B$1+((Inputs!$G$5:$G$230&lt;&gt;"moeda")*(Inputs!$G$5:$G$230&lt;&gt;"acoes")))*INDEX(Inputs!$K$5:$AJ$230,0,MATCH(Z$2,Inputs!$K$4:$AJ$4,0)))))</f>
        <v>7.605</v>
      </c>
      <c r="AA87" s="6">
        <f>IF(ISNA(MATCH(AA$2,Inputs!$K$4:$AJ$4,0)),NA(),IF(SUMPRODUCT((Inputs!$A$5:$A$230=$B87)*ISNUMBER(INDEX(Inputs!$K$5:$AJ$230,0,MATCH(AA$2,Inputs!$K$4:$AJ$4,0))))+SUMPRODUCT((Inputs!$C$5:$C$230=$B87)*ISNUMBER(INDEX(Inputs!$K$5:$AJ$230,0,MATCH(AA$2,Inputs!$K$4:$AJ$4,0))))+SUMPRODUCT((Inputs!$E$5:$E$230=$B87)*ISNUMBER(INDEX(Inputs!$K$5:$AJ$230,0,MATCH(AA$2,Inputs!$K$4:$AJ$4,0))))=0,NA(),SUMPRODUCT((Inputs!$A$5:$A$230=$B87)*Inputs!$B$5:$B$230*(((Inputs!$G$5:$G$230="moeda")+(Inputs!$G$5:$G$230="acoes"))*Inputs!$B$1+((Inputs!$G$5:$G$230&lt;&gt;"moeda")*(Inputs!$G$5:$G$230&lt;&gt;"acoes")))*INDEX(Inputs!$K$5:$AJ$230,0,MATCH(AA$2,Inputs!$K$4:$AJ$4,0)))+SUMPRODUCT((Inputs!$C$5:$C$230=$B87)*Inputs!$D$5:$D$230*(((Inputs!$G$5:$G$230="moeda")+(Inputs!$G$5:$G$230="acoes"))*Inputs!$B$1+((Inputs!$G$5:$G$230&lt;&gt;"moeda")*(Inputs!$G$5:$G$230&lt;&gt;"acoes")))*INDEX(Inputs!$K$5:$AJ$230,0,MATCH(AA$2,Inputs!$K$4:$AJ$4,0)))+SUMPRODUCT((Inputs!$E$5:$E$230=$B87)*Inputs!$F$5:$F$230*(((Inputs!$G$5:$G$230="moeda")+(Inputs!$G$5:$G$230="acoes"))*Inputs!$B$1+((Inputs!$G$5:$G$230&lt;&gt;"moeda")*(Inputs!$G$5:$G$230&lt;&gt;"acoes")))*INDEX(Inputs!$K$5:$AJ$230,0,MATCH(AA$2,Inputs!$K$4:$AJ$4,0)))))</f>
        <v>16.646</v>
      </c>
      <c r="AB87" s="3">
        <f>SUM(X87:AA87)</f>
        <v>29.85</v>
      </c>
      <c r="AC87" s="6">
        <f>IF(ISNA(MATCH(AC$2,Inputs!$K$4:$AJ$4,0)),NA(),IF(SUMPRODUCT((Inputs!$A$5:$A$230=$B87)*ISNUMBER(INDEX(Inputs!$K$5:$AJ$230,0,MATCH(AC$2,Inputs!$K$4:$AJ$4,0))))+SUMPRODUCT((Inputs!$C$5:$C$230=$B87)*ISNUMBER(INDEX(Inputs!$K$5:$AJ$230,0,MATCH(AC$2,Inputs!$K$4:$AJ$4,0))))+SUMPRODUCT((Inputs!$E$5:$E$230=$B87)*ISNUMBER(INDEX(Inputs!$K$5:$AJ$230,0,MATCH(AC$2,Inputs!$K$4:$AJ$4,0))))=0,NA(),SUMPRODUCT((Inputs!$A$5:$A$230=$B87)*Inputs!$B$5:$B$230*(((Inputs!$G$5:$G$230="moeda")+(Inputs!$G$5:$G$230="acoes"))*Inputs!$B$1+((Inputs!$G$5:$G$230&lt;&gt;"moeda")*(Inputs!$G$5:$G$230&lt;&gt;"acoes")))*INDEX(Inputs!$K$5:$AJ$230,0,MATCH(AC$2,Inputs!$K$4:$AJ$4,0)))+SUMPRODUCT((Inputs!$C$5:$C$230=$B87)*Inputs!$D$5:$D$230*(((Inputs!$G$5:$G$230="moeda")+(Inputs!$G$5:$G$230="acoes"))*Inputs!$B$1+((Inputs!$G$5:$G$230&lt;&gt;"moeda")*(Inputs!$G$5:$G$230&lt;&gt;"acoes")))*INDEX(Inputs!$K$5:$AJ$230,0,MATCH(AC$2,Inputs!$K$4:$AJ$4,0)))+SUMPRODUCT((Inputs!$E$5:$E$230=$B87)*Inputs!$F$5:$F$230*(((Inputs!$G$5:$G$230="moeda")+(Inputs!$G$5:$G$230="acoes"))*Inputs!$B$1+((Inputs!$G$5:$G$230&lt;&gt;"moeda")*(Inputs!$G$5:$G$230&lt;&gt;"acoes")))*INDEX(Inputs!$K$5:$AJ$230,0,MATCH(AC$2,Inputs!$K$4:$AJ$4,0)))))</f>
        <v>0</v>
      </c>
      <c r="AD87" s="6" t="e">
        <f>IF(ISNA(MATCH(AD$2,Inputs!$K$4:$AJ$4,0)),NA(),IF(SUMPRODUCT((Inputs!$A$5:$A$230=$B87)*ISNUMBER(INDEX(Inputs!$K$5:$AJ$230,0,MATCH(AD$2,Inputs!$K$4:$AJ$4,0))))+SUMPRODUCT((Inputs!$C$5:$C$230=$B87)*ISNUMBER(INDEX(Inputs!$K$5:$AJ$230,0,MATCH(AD$2,Inputs!$K$4:$AJ$4,0))))+SUMPRODUCT((Inputs!$E$5:$E$230=$B87)*ISNUMBER(INDEX(Inputs!$K$5:$AJ$230,0,MATCH(AD$2,Inputs!$K$4:$AJ$4,0))))=0,NA(),SUMPRODUCT((Inputs!$A$5:$A$230=$B87)*Inputs!$B$5:$B$230*(((Inputs!$G$5:$G$230="moeda")+(Inputs!$G$5:$G$230="acoes"))*Inputs!$B$1+((Inputs!$G$5:$G$230&lt;&gt;"moeda")*(Inputs!$G$5:$G$230&lt;&gt;"acoes")))*INDEX(Inputs!$K$5:$AJ$230,0,MATCH(AD$2,Inputs!$K$4:$AJ$4,0)))+SUMPRODUCT((Inputs!$C$5:$C$230=$B87)*Inputs!$D$5:$D$230*(((Inputs!$G$5:$G$230="moeda")+(Inputs!$G$5:$G$230="acoes"))*Inputs!$B$1+((Inputs!$G$5:$G$230&lt;&gt;"moeda")*(Inputs!$G$5:$G$230&lt;&gt;"acoes")))*INDEX(Inputs!$K$5:$AJ$230,0,MATCH(AD$2,Inputs!$K$4:$AJ$4,0)))+SUMPRODUCT((Inputs!$E$5:$E$230=$B87)*Inputs!$F$5:$F$230*(((Inputs!$G$5:$G$230="moeda")+(Inputs!$G$5:$G$230="acoes"))*Inputs!$B$1+((Inputs!$G$5:$G$230&lt;&gt;"moeda")*(Inputs!$G$5:$G$230&lt;&gt;"acoes")))*INDEX(Inputs!$K$5:$AJ$230,0,MATCH(AD$2,Inputs!$K$4:$AJ$4,0)))))</f>
        <v>#N/A</v>
      </c>
      <c r="AE87" s="6" t="e">
        <f>IF(ISNA(MATCH(AE$2,Inputs!$K$4:$AJ$4,0)),NA(),IF(SUMPRODUCT((Inputs!$A$5:$A$230=$B87)*ISNUMBER(INDEX(Inputs!$K$5:$AJ$230,0,MATCH(AE$2,Inputs!$K$4:$AJ$4,0))))+SUMPRODUCT((Inputs!$C$5:$C$230=$B87)*ISNUMBER(INDEX(Inputs!$K$5:$AJ$230,0,MATCH(AE$2,Inputs!$K$4:$AJ$4,0))))+SUMPRODUCT((Inputs!$E$5:$E$230=$B87)*ISNUMBER(INDEX(Inputs!$K$5:$AJ$230,0,MATCH(AE$2,Inputs!$K$4:$AJ$4,0))))=0,NA(),SUMPRODUCT((Inputs!$A$5:$A$230=$B87)*Inputs!$B$5:$B$230*(((Inputs!$G$5:$G$230="moeda")+(Inputs!$G$5:$G$230="acoes"))*Inputs!$B$1+((Inputs!$G$5:$G$230&lt;&gt;"moeda")*(Inputs!$G$5:$G$230&lt;&gt;"acoes")))*INDEX(Inputs!$K$5:$AJ$230,0,MATCH(AE$2,Inputs!$K$4:$AJ$4,0)))+SUMPRODUCT((Inputs!$C$5:$C$230=$B87)*Inputs!$D$5:$D$230*(((Inputs!$G$5:$G$230="moeda")+(Inputs!$G$5:$G$230="acoes"))*Inputs!$B$1+((Inputs!$G$5:$G$230&lt;&gt;"moeda")*(Inputs!$G$5:$G$230&lt;&gt;"acoes")))*INDEX(Inputs!$K$5:$AJ$230,0,MATCH(AE$2,Inputs!$K$4:$AJ$4,0)))+SUMPRODUCT((Inputs!$E$5:$E$230=$B87)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7" s="6" t="e">
        <f>IF(ISNA(MATCH(AF$2,Inputs!$K$4:$AJ$4,0)),NA(),IF(SUMPRODUCT((Inputs!$A$5:$A$230=$B87)*ISNUMBER(INDEX(Inputs!$K$5:$AJ$230,0,MATCH(AF$2,Inputs!$K$4:$AJ$4,0))))+SUMPRODUCT((Inputs!$C$5:$C$230=$B87)*ISNUMBER(INDEX(Inputs!$K$5:$AJ$230,0,MATCH(AF$2,Inputs!$K$4:$AJ$4,0))))+SUMPRODUCT((Inputs!$E$5:$E$230=$B87)*ISNUMBER(INDEX(Inputs!$K$5:$AJ$230,0,MATCH(AF$2,Inputs!$K$4:$AJ$4,0))))=0,NA(),SUMPRODUCT((Inputs!$A$5:$A$230=$B87)*Inputs!$B$5:$B$230*(((Inputs!$G$5:$G$230="moeda")+(Inputs!$G$5:$G$230="acoes"))*Inputs!$B$1+((Inputs!$G$5:$G$230&lt;&gt;"moeda")*(Inputs!$G$5:$G$230&lt;&gt;"acoes")))*INDEX(Inputs!$K$5:$AJ$230,0,MATCH(AF$2,Inputs!$K$4:$AJ$4,0)))+SUMPRODUCT((Inputs!$C$5:$C$230=$B87)*Inputs!$D$5:$D$230*(((Inputs!$G$5:$G$230="moeda")+(Inputs!$G$5:$G$230="acoes"))*Inputs!$B$1+((Inputs!$G$5:$G$230&lt;&gt;"moeda")*(Inputs!$G$5:$G$230&lt;&gt;"acoes")))*INDEX(Inputs!$K$5:$AJ$230,0,MATCH(AF$2,Inputs!$K$4:$AJ$4,0)))+SUMPRODUCT((Inputs!$E$5:$E$230=$B87)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7" s="3" t="e">
        <f>SUM(AC87:AF87)</f>
        <v>#N/A</v>
      </c>
      <c r="AH87" s="6" t="e">
        <f>IF(ISNA(MATCH(AH$2,Inputs!$K$4:$AJ$4,0)),NA(),IF(SUMPRODUCT((Inputs!$A$5:$A$230=$B87)*ISNUMBER(INDEX(Inputs!$K$5:$AJ$230,0,MATCH(AH$2,Inputs!$K$4:$AJ$4,0))))+SUMPRODUCT((Inputs!$C$5:$C$230=$B87)*ISNUMBER(INDEX(Inputs!$K$5:$AJ$230,0,MATCH(AH$2,Inputs!$K$4:$AJ$4,0))))+SUMPRODUCT((Inputs!$E$5:$E$230=$B87)*ISNUMBER(INDEX(Inputs!$K$5:$AJ$230,0,MATCH(AH$2,Inputs!$K$4:$AJ$4,0))))=0,NA(),SUMPRODUCT((Inputs!$A$5:$A$230=$B87)*Inputs!$B$5:$B$230*(((Inputs!$G$5:$G$230="moeda")+(Inputs!$G$5:$G$230="acoes"))*Inputs!$B$1+((Inputs!$G$5:$G$230&lt;&gt;"moeda")*(Inputs!$G$5:$G$230&lt;&gt;"acoes")))*INDEX(Inputs!$K$5:$AJ$230,0,MATCH(AH$2,Inputs!$K$4:$AJ$4,0)))+SUMPRODUCT((Inputs!$C$5:$C$230=$B87)*Inputs!$D$5:$D$230*(((Inputs!$G$5:$G$230="moeda")+(Inputs!$G$5:$G$230="acoes"))*Inputs!$B$1+((Inputs!$G$5:$G$230&lt;&gt;"moeda")*(Inputs!$G$5:$G$230&lt;&gt;"acoes")))*INDEX(Inputs!$K$5:$AJ$230,0,MATCH(AH$2,Inputs!$K$4:$AJ$4,0)))+SUMPRODUCT((Inputs!$E$5:$E$230=$B87)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87" s="6" t="e">
        <f>IF(ISNA(MATCH(AI$2,Inputs!$K$4:$AJ$4,0)),NA(),IF(SUMPRODUCT((Inputs!$A$5:$A$230=$B87)*ISNUMBER(INDEX(Inputs!$K$5:$AJ$230,0,MATCH(AI$2,Inputs!$K$4:$AJ$4,0))))+SUMPRODUCT((Inputs!$C$5:$C$230=$B87)*ISNUMBER(INDEX(Inputs!$K$5:$AJ$230,0,MATCH(AI$2,Inputs!$K$4:$AJ$4,0))))+SUMPRODUCT((Inputs!$E$5:$E$230=$B87)*ISNUMBER(INDEX(Inputs!$K$5:$AJ$230,0,MATCH(AI$2,Inputs!$K$4:$AJ$4,0))))=0,NA(),SUMPRODUCT((Inputs!$A$5:$A$230=$B87)*Inputs!$B$5:$B$230*(((Inputs!$G$5:$G$230="moeda")+(Inputs!$G$5:$G$230="acoes"))*Inputs!$B$1+((Inputs!$G$5:$G$230&lt;&gt;"moeda")*(Inputs!$G$5:$G$230&lt;&gt;"acoes")))*INDEX(Inputs!$K$5:$AJ$230,0,MATCH(AI$2,Inputs!$K$4:$AJ$4,0)))+SUMPRODUCT((Inputs!$C$5:$C$230=$B87)*Inputs!$D$5:$D$230*(((Inputs!$G$5:$G$230="moeda")+(Inputs!$G$5:$G$230="acoes"))*Inputs!$B$1+((Inputs!$G$5:$G$230&lt;&gt;"moeda")*(Inputs!$G$5:$G$230&lt;&gt;"acoes")))*INDEX(Inputs!$K$5:$AJ$230,0,MATCH(AI$2,Inputs!$K$4:$AJ$4,0)))+SUMPRODUCT((Inputs!$E$5:$E$230=$B87)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87" s="6" t="e">
        <f>IF(ISNA(MATCH(AJ$2,Inputs!$K$4:$AJ$4,0)),NA(),IF(SUMPRODUCT((Inputs!$A$5:$A$230=$B87)*ISNUMBER(INDEX(Inputs!$K$5:$AJ$230,0,MATCH(AJ$2,Inputs!$K$4:$AJ$4,0))))+SUMPRODUCT((Inputs!$C$5:$C$230=$B87)*ISNUMBER(INDEX(Inputs!$K$5:$AJ$230,0,MATCH(AJ$2,Inputs!$K$4:$AJ$4,0))))+SUMPRODUCT((Inputs!$E$5:$E$230=$B87)*ISNUMBER(INDEX(Inputs!$K$5:$AJ$230,0,MATCH(AJ$2,Inputs!$K$4:$AJ$4,0))))=0,NA(),SUMPRODUCT((Inputs!$A$5:$A$230=$B87)*Inputs!$B$5:$B$230*(((Inputs!$G$5:$G$230="moeda")+(Inputs!$G$5:$G$230="acoes"))*Inputs!$B$1+((Inputs!$G$5:$G$230&lt;&gt;"moeda")*(Inputs!$G$5:$G$230&lt;&gt;"acoes")))*INDEX(Inputs!$K$5:$AJ$230,0,MATCH(AJ$2,Inputs!$K$4:$AJ$4,0)))+SUMPRODUCT((Inputs!$C$5:$C$230=$B87)*Inputs!$D$5:$D$230*(((Inputs!$G$5:$G$230="moeda")+(Inputs!$G$5:$G$230="acoes"))*Inputs!$B$1+((Inputs!$G$5:$G$230&lt;&gt;"moeda")*(Inputs!$G$5:$G$230&lt;&gt;"acoes")))*INDEX(Inputs!$K$5:$AJ$230,0,MATCH(AJ$2,Inputs!$K$4:$AJ$4,0)))+SUMPRODUCT((Inputs!$E$5:$E$230=$B87)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87" s="6" t="e">
        <f>IF(ISNA(MATCH(AK$2,Inputs!$K$4:$AJ$4,0)),NA(),IF(SUMPRODUCT((Inputs!$A$5:$A$230=$B87)*ISNUMBER(INDEX(Inputs!$K$5:$AJ$230,0,MATCH(AK$2,Inputs!$K$4:$AJ$4,0))))+SUMPRODUCT((Inputs!$C$5:$C$230=$B87)*ISNUMBER(INDEX(Inputs!$K$5:$AJ$230,0,MATCH(AK$2,Inputs!$K$4:$AJ$4,0))))+SUMPRODUCT((Inputs!$E$5:$E$230=$B87)*ISNUMBER(INDEX(Inputs!$K$5:$AJ$230,0,MATCH(AK$2,Inputs!$K$4:$AJ$4,0))))=0,NA(),SUMPRODUCT((Inputs!$A$5:$A$230=$B87)*Inputs!$B$5:$B$230*(((Inputs!$G$5:$G$230="moeda")+(Inputs!$G$5:$G$230="acoes"))*Inputs!$B$1+((Inputs!$G$5:$G$230&lt;&gt;"moeda")*(Inputs!$G$5:$G$230&lt;&gt;"acoes")))*INDEX(Inputs!$K$5:$AJ$230,0,MATCH(AK$2,Inputs!$K$4:$AJ$4,0)))+SUMPRODUCT((Inputs!$C$5:$C$230=$B87)*Inputs!$D$5:$D$230*(((Inputs!$G$5:$G$230="moeda")+(Inputs!$G$5:$G$230="acoes"))*Inputs!$B$1+((Inputs!$G$5:$G$230&lt;&gt;"moeda")*(Inputs!$G$5:$G$230&lt;&gt;"acoes")))*INDEX(Inputs!$K$5:$AJ$230,0,MATCH(AK$2,Inputs!$K$4:$AJ$4,0)))+SUMPRODUCT((Inputs!$E$5:$E$230=$B87)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87" s="3" t="e">
        <f>SUM(AH87:AK87)</f>
        <v>#N/A</v>
      </c>
    </row>
    <row r="88">
      <c r="B88" s="46" t="n">
        <v>80</v>
      </c>
      <c r="C88" s="29" t="inlineStr">
        <is>
          <t>Transmissao | TPC</t>
        </is>
      </c>
      <c r="D88" s="6" t="e">
        <f>IF(ISNA(MATCH(D$2,Inputs!$K$4:$AJ$4,0)),NA(),IF(SUMPRODUCT((Inputs!$A$5:$A$230=$B88)*ISNUMBER(INDEX(Inputs!$K$5:$AJ$230,0,MATCH(D$2,Inputs!$K$4:$AJ$4,0))))+SUMPRODUCT((Inputs!$C$5:$C$230=$B88)*ISNUMBER(INDEX(Inputs!$K$5:$AJ$230,0,MATCH(D$2,Inputs!$K$4:$AJ$4,0))))+SUMPRODUCT((Inputs!$E$5:$E$230=$B88)*ISNUMBER(INDEX(Inputs!$K$5:$AJ$230,0,MATCH(D$2,Inputs!$K$4:$AJ$4,0))))=0,NA(),SUMPRODUCT((Inputs!$A$5:$A$230=$B88)*Inputs!$B$5:$B$230*(((Inputs!$G$5:$G$230="moeda")+(Inputs!$G$5:$G$230="acoes"))*Inputs!$B$1+((Inputs!$G$5:$G$230&lt;&gt;"moeda")*(Inputs!$G$5:$G$230&lt;&gt;"acoes")))*INDEX(Inputs!$K$5:$AJ$230,0,MATCH(D$2,Inputs!$K$4:$AJ$4,0)))+SUMPRODUCT((Inputs!$C$5:$C$230=$B88)*Inputs!$D$5:$D$230*(((Inputs!$G$5:$G$230="moeda")+(Inputs!$G$5:$G$230="acoes"))*Inputs!$B$1+((Inputs!$G$5:$G$230&lt;&gt;"moeda")*(Inputs!$G$5:$G$230&lt;&gt;"acoes")))*INDEX(Inputs!$K$5:$AJ$230,0,MATCH(D$2,Inputs!$K$4:$AJ$4,0)))+SUMPRODUCT((Inputs!$E$5:$E$230=$B88)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88" s="6" t="e">
        <f>IF(ISNA(MATCH(E$2,Inputs!$K$4:$AJ$4,0)),NA(),IF(SUMPRODUCT((Inputs!$A$5:$A$230=$B88)*ISNUMBER(INDEX(Inputs!$K$5:$AJ$230,0,MATCH(E$2,Inputs!$K$4:$AJ$4,0))))+SUMPRODUCT((Inputs!$C$5:$C$230=$B88)*ISNUMBER(INDEX(Inputs!$K$5:$AJ$230,0,MATCH(E$2,Inputs!$K$4:$AJ$4,0))))+SUMPRODUCT((Inputs!$E$5:$E$230=$B88)*ISNUMBER(INDEX(Inputs!$K$5:$AJ$230,0,MATCH(E$2,Inputs!$K$4:$AJ$4,0))))=0,NA(),SUMPRODUCT((Inputs!$A$5:$A$230=$B88)*Inputs!$B$5:$B$230*(((Inputs!$G$5:$G$230="moeda")+(Inputs!$G$5:$G$230="acoes"))*Inputs!$B$1+((Inputs!$G$5:$G$230&lt;&gt;"moeda")*(Inputs!$G$5:$G$230&lt;&gt;"acoes")))*INDEX(Inputs!$K$5:$AJ$230,0,MATCH(E$2,Inputs!$K$4:$AJ$4,0)))+SUMPRODUCT((Inputs!$C$5:$C$230=$B88)*Inputs!$D$5:$D$230*(((Inputs!$G$5:$G$230="moeda")+(Inputs!$G$5:$G$230="acoes"))*Inputs!$B$1+((Inputs!$G$5:$G$230&lt;&gt;"moeda")*(Inputs!$G$5:$G$230&lt;&gt;"acoes")))*INDEX(Inputs!$K$5:$AJ$230,0,MATCH(E$2,Inputs!$K$4:$AJ$4,0)))+SUMPRODUCT((Inputs!$E$5:$E$230=$B88)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88" s="6" t="e">
        <f>IF(ISNA(MATCH(F$2,Inputs!$K$4:$AJ$4,0)),NA(),IF(SUMPRODUCT((Inputs!$A$5:$A$230=$B88)*ISNUMBER(INDEX(Inputs!$K$5:$AJ$230,0,MATCH(F$2,Inputs!$K$4:$AJ$4,0))))+SUMPRODUCT((Inputs!$C$5:$C$230=$B88)*ISNUMBER(INDEX(Inputs!$K$5:$AJ$230,0,MATCH(F$2,Inputs!$K$4:$AJ$4,0))))+SUMPRODUCT((Inputs!$E$5:$E$230=$B88)*ISNUMBER(INDEX(Inputs!$K$5:$AJ$230,0,MATCH(F$2,Inputs!$K$4:$AJ$4,0))))=0,NA(),SUMPRODUCT((Inputs!$A$5:$A$230=$B88)*Inputs!$B$5:$B$230*(((Inputs!$G$5:$G$230="moeda")+(Inputs!$G$5:$G$230="acoes"))*Inputs!$B$1+((Inputs!$G$5:$G$230&lt;&gt;"moeda")*(Inputs!$G$5:$G$230&lt;&gt;"acoes")))*INDEX(Inputs!$K$5:$AJ$230,0,MATCH(F$2,Inputs!$K$4:$AJ$4,0)))+SUMPRODUCT((Inputs!$C$5:$C$230=$B88)*Inputs!$D$5:$D$230*(((Inputs!$G$5:$G$230="moeda")+(Inputs!$G$5:$G$230="acoes"))*Inputs!$B$1+((Inputs!$G$5:$G$230&lt;&gt;"moeda")*(Inputs!$G$5:$G$230&lt;&gt;"acoes")))*INDEX(Inputs!$K$5:$AJ$230,0,MATCH(F$2,Inputs!$K$4:$AJ$4,0)))+SUMPRODUCT((Inputs!$E$5:$E$230=$B88)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88" s="6" t="e">
        <f>IF(ISNA(MATCH(G$2,Inputs!$K$4:$AJ$4,0)),NA(),IF(SUMPRODUCT((Inputs!$A$5:$A$230=$B88)*ISNUMBER(INDEX(Inputs!$K$5:$AJ$230,0,MATCH(G$2,Inputs!$K$4:$AJ$4,0))))+SUMPRODUCT((Inputs!$C$5:$C$230=$B88)*ISNUMBER(INDEX(Inputs!$K$5:$AJ$230,0,MATCH(G$2,Inputs!$K$4:$AJ$4,0))))+SUMPRODUCT((Inputs!$E$5:$E$230=$B88)*ISNUMBER(INDEX(Inputs!$K$5:$AJ$230,0,MATCH(G$2,Inputs!$K$4:$AJ$4,0))))=0,NA(),SUMPRODUCT((Inputs!$A$5:$A$230=$B88)*Inputs!$B$5:$B$230*(((Inputs!$G$5:$G$230="moeda")+(Inputs!$G$5:$G$230="acoes"))*Inputs!$B$1+((Inputs!$G$5:$G$230&lt;&gt;"moeda")*(Inputs!$G$5:$G$230&lt;&gt;"acoes")))*INDEX(Inputs!$K$5:$AJ$230,0,MATCH(G$2,Inputs!$K$4:$AJ$4,0)))+SUMPRODUCT((Inputs!$C$5:$C$230=$B88)*Inputs!$D$5:$D$230*(((Inputs!$G$5:$G$230="moeda")+(Inputs!$G$5:$G$230="acoes"))*Inputs!$B$1+((Inputs!$G$5:$G$230&lt;&gt;"moeda")*(Inputs!$G$5:$G$230&lt;&gt;"acoes")))*INDEX(Inputs!$K$5:$AJ$230,0,MATCH(G$2,Inputs!$K$4:$AJ$4,0)))+SUMPRODUCT((Inputs!$E$5:$E$230=$B88)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88" s="3" t="e">
        <f>SUM(D88:G88)</f>
        <v>#N/A</v>
      </c>
      <c r="I88" s="6" t="e">
        <f>IF(ISNA(MATCH(I$2,Inputs!$K$4:$AJ$4,0)),NA(),IF(SUMPRODUCT((Inputs!$A$5:$A$230=$B88)*ISNUMBER(INDEX(Inputs!$K$5:$AJ$230,0,MATCH(I$2,Inputs!$K$4:$AJ$4,0))))+SUMPRODUCT((Inputs!$C$5:$C$230=$B88)*ISNUMBER(INDEX(Inputs!$K$5:$AJ$230,0,MATCH(I$2,Inputs!$K$4:$AJ$4,0))))+SUMPRODUCT((Inputs!$E$5:$E$230=$B88)*ISNUMBER(INDEX(Inputs!$K$5:$AJ$230,0,MATCH(I$2,Inputs!$K$4:$AJ$4,0))))=0,NA(),SUMPRODUCT((Inputs!$A$5:$A$230=$B88)*Inputs!$B$5:$B$230*(((Inputs!$G$5:$G$230="moeda")+(Inputs!$G$5:$G$230="acoes"))*Inputs!$B$1+((Inputs!$G$5:$G$230&lt;&gt;"moeda")*(Inputs!$G$5:$G$230&lt;&gt;"acoes")))*INDEX(Inputs!$K$5:$AJ$230,0,MATCH(I$2,Inputs!$K$4:$AJ$4,0)))+SUMPRODUCT((Inputs!$C$5:$C$230=$B88)*Inputs!$D$5:$D$230*(((Inputs!$G$5:$G$230="moeda")+(Inputs!$G$5:$G$230="acoes"))*Inputs!$B$1+((Inputs!$G$5:$G$230&lt;&gt;"moeda")*(Inputs!$G$5:$G$230&lt;&gt;"acoes")))*INDEX(Inputs!$K$5:$AJ$230,0,MATCH(I$2,Inputs!$K$4:$AJ$4,0)))+SUMPRODUCT((Inputs!$E$5:$E$230=$B88)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88" s="6" t="e">
        <f>IF(ISNA(MATCH(J$2,Inputs!$K$4:$AJ$4,0)),NA(),IF(SUMPRODUCT((Inputs!$A$5:$A$230=$B88)*ISNUMBER(INDEX(Inputs!$K$5:$AJ$230,0,MATCH(J$2,Inputs!$K$4:$AJ$4,0))))+SUMPRODUCT((Inputs!$C$5:$C$230=$B88)*ISNUMBER(INDEX(Inputs!$K$5:$AJ$230,0,MATCH(J$2,Inputs!$K$4:$AJ$4,0))))+SUMPRODUCT((Inputs!$E$5:$E$230=$B88)*ISNUMBER(INDEX(Inputs!$K$5:$AJ$230,0,MATCH(J$2,Inputs!$K$4:$AJ$4,0))))=0,NA(),SUMPRODUCT((Inputs!$A$5:$A$230=$B88)*Inputs!$B$5:$B$230*(((Inputs!$G$5:$G$230="moeda")+(Inputs!$G$5:$G$230="acoes"))*Inputs!$B$1+((Inputs!$G$5:$G$230&lt;&gt;"moeda")*(Inputs!$G$5:$G$230&lt;&gt;"acoes")))*INDEX(Inputs!$K$5:$AJ$230,0,MATCH(J$2,Inputs!$K$4:$AJ$4,0)))+SUMPRODUCT((Inputs!$C$5:$C$230=$B88)*Inputs!$D$5:$D$230*(((Inputs!$G$5:$G$230="moeda")+(Inputs!$G$5:$G$230="acoes"))*Inputs!$B$1+((Inputs!$G$5:$G$230&lt;&gt;"moeda")*(Inputs!$G$5:$G$230&lt;&gt;"acoes")))*INDEX(Inputs!$K$5:$AJ$230,0,MATCH(J$2,Inputs!$K$4:$AJ$4,0)))+SUMPRODUCT((Inputs!$E$5:$E$230=$B88)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88" s="6" t="e">
        <f>IF(ISNA(MATCH(K$2,Inputs!$K$4:$AJ$4,0)),NA(),IF(SUMPRODUCT((Inputs!$A$5:$A$230=$B88)*ISNUMBER(INDEX(Inputs!$K$5:$AJ$230,0,MATCH(K$2,Inputs!$K$4:$AJ$4,0))))+SUMPRODUCT((Inputs!$C$5:$C$230=$B88)*ISNUMBER(INDEX(Inputs!$K$5:$AJ$230,0,MATCH(K$2,Inputs!$K$4:$AJ$4,0))))+SUMPRODUCT((Inputs!$E$5:$E$230=$B88)*ISNUMBER(INDEX(Inputs!$K$5:$AJ$230,0,MATCH(K$2,Inputs!$K$4:$AJ$4,0))))=0,NA(),SUMPRODUCT((Inputs!$A$5:$A$230=$B88)*Inputs!$B$5:$B$230*(((Inputs!$G$5:$G$230="moeda")+(Inputs!$G$5:$G$230="acoes"))*Inputs!$B$1+((Inputs!$G$5:$G$230&lt;&gt;"moeda")*(Inputs!$G$5:$G$230&lt;&gt;"acoes")))*INDEX(Inputs!$K$5:$AJ$230,0,MATCH(K$2,Inputs!$K$4:$AJ$4,0)))+SUMPRODUCT((Inputs!$C$5:$C$230=$B88)*Inputs!$D$5:$D$230*(((Inputs!$G$5:$G$230="moeda")+(Inputs!$G$5:$G$230="acoes"))*Inputs!$B$1+((Inputs!$G$5:$G$230&lt;&gt;"moeda")*(Inputs!$G$5:$G$230&lt;&gt;"acoes")))*INDEX(Inputs!$K$5:$AJ$230,0,MATCH(K$2,Inputs!$K$4:$AJ$4,0)))+SUMPRODUCT((Inputs!$E$5:$E$230=$B88)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88" s="6" t="e">
        <f>IF(ISNA(MATCH(L$2,Inputs!$K$4:$AJ$4,0)),NA(),IF(SUMPRODUCT((Inputs!$A$5:$A$230=$B88)*ISNUMBER(INDEX(Inputs!$K$5:$AJ$230,0,MATCH(L$2,Inputs!$K$4:$AJ$4,0))))+SUMPRODUCT((Inputs!$C$5:$C$230=$B88)*ISNUMBER(INDEX(Inputs!$K$5:$AJ$230,0,MATCH(L$2,Inputs!$K$4:$AJ$4,0))))+SUMPRODUCT((Inputs!$E$5:$E$230=$B88)*ISNUMBER(INDEX(Inputs!$K$5:$AJ$230,0,MATCH(L$2,Inputs!$K$4:$AJ$4,0))))=0,NA(),SUMPRODUCT((Inputs!$A$5:$A$230=$B88)*Inputs!$B$5:$B$230*(((Inputs!$G$5:$G$230="moeda")+(Inputs!$G$5:$G$230="acoes"))*Inputs!$B$1+((Inputs!$G$5:$G$230&lt;&gt;"moeda")*(Inputs!$G$5:$G$230&lt;&gt;"acoes")))*INDEX(Inputs!$K$5:$AJ$230,0,MATCH(L$2,Inputs!$K$4:$AJ$4,0)))+SUMPRODUCT((Inputs!$C$5:$C$230=$B88)*Inputs!$D$5:$D$230*(((Inputs!$G$5:$G$230="moeda")+(Inputs!$G$5:$G$230="acoes"))*Inputs!$B$1+((Inputs!$G$5:$G$230&lt;&gt;"moeda")*(Inputs!$G$5:$G$230&lt;&gt;"acoes")))*INDEX(Inputs!$K$5:$AJ$230,0,MATCH(L$2,Inputs!$K$4:$AJ$4,0)))+SUMPRODUCT((Inputs!$E$5:$E$230=$B88)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88" s="3" t="e">
        <f>SUM(I88:L88)</f>
        <v>#N/A</v>
      </c>
      <c r="N88" s="6" t="e">
        <f>IF(ISNA(MATCH(N$2,Inputs!$K$4:$AJ$4,0)),NA(),IF(SUMPRODUCT((Inputs!$A$5:$A$230=$B88)*ISNUMBER(INDEX(Inputs!$K$5:$AJ$230,0,MATCH(N$2,Inputs!$K$4:$AJ$4,0))))+SUMPRODUCT((Inputs!$C$5:$C$230=$B88)*ISNUMBER(INDEX(Inputs!$K$5:$AJ$230,0,MATCH(N$2,Inputs!$K$4:$AJ$4,0))))+SUMPRODUCT((Inputs!$E$5:$E$230=$B88)*ISNUMBER(INDEX(Inputs!$K$5:$AJ$230,0,MATCH(N$2,Inputs!$K$4:$AJ$4,0))))=0,NA(),SUMPRODUCT((Inputs!$A$5:$A$230=$B88)*Inputs!$B$5:$B$230*(((Inputs!$G$5:$G$230="moeda")+(Inputs!$G$5:$G$230="acoes"))*Inputs!$B$1+((Inputs!$G$5:$G$230&lt;&gt;"moeda")*(Inputs!$G$5:$G$230&lt;&gt;"acoes")))*INDEX(Inputs!$K$5:$AJ$230,0,MATCH(N$2,Inputs!$K$4:$AJ$4,0)))+SUMPRODUCT((Inputs!$C$5:$C$230=$B88)*Inputs!$D$5:$D$230*(((Inputs!$G$5:$G$230="moeda")+(Inputs!$G$5:$G$230="acoes"))*Inputs!$B$1+((Inputs!$G$5:$G$230&lt;&gt;"moeda")*(Inputs!$G$5:$G$230&lt;&gt;"acoes")))*INDEX(Inputs!$K$5:$AJ$230,0,MATCH(N$2,Inputs!$K$4:$AJ$4,0)))+SUMPRODUCT((Inputs!$E$5:$E$230=$B88)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88" s="6" t="e">
        <f>IF(ISNA(MATCH(O$2,Inputs!$K$4:$AJ$4,0)),NA(),IF(SUMPRODUCT((Inputs!$A$5:$A$230=$B88)*ISNUMBER(INDEX(Inputs!$K$5:$AJ$230,0,MATCH(O$2,Inputs!$K$4:$AJ$4,0))))+SUMPRODUCT((Inputs!$C$5:$C$230=$B88)*ISNUMBER(INDEX(Inputs!$K$5:$AJ$230,0,MATCH(O$2,Inputs!$K$4:$AJ$4,0))))+SUMPRODUCT((Inputs!$E$5:$E$230=$B88)*ISNUMBER(INDEX(Inputs!$K$5:$AJ$230,0,MATCH(O$2,Inputs!$K$4:$AJ$4,0))))=0,NA(),SUMPRODUCT((Inputs!$A$5:$A$230=$B88)*Inputs!$B$5:$B$230*(((Inputs!$G$5:$G$230="moeda")+(Inputs!$G$5:$G$230="acoes"))*Inputs!$B$1+((Inputs!$G$5:$G$230&lt;&gt;"moeda")*(Inputs!$G$5:$G$230&lt;&gt;"acoes")))*INDEX(Inputs!$K$5:$AJ$230,0,MATCH(O$2,Inputs!$K$4:$AJ$4,0)))+SUMPRODUCT((Inputs!$C$5:$C$230=$B88)*Inputs!$D$5:$D$230*(((Inputs!$G$5:$G$230="moeda")+(Inputs!$G$5:$G$230="acoes"))*Inputs!$B$1+((Inputs!$G$5:$G$230&lt;&gt;"moeda")*(Inputs!$G$5:$G$230&lt;&gt;"acoes")))*INDEX(Inputs!$K$5:$AJ$230,0,MATCH(O$2,Inputs!$K$4:$AJ$4,0)))+SUMPRODUCT((Inputs!$E$5:$E$230=$B88)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88" s="6" t="e">
        <f>IF(ISNA(MATCH(P$2,Inputs!$K$4:$AJ$4,0)),NA(),IF(SUMPRODUCT((Inputs!$A$5:$A$230=$B88)*ISNUMBER(INDEX(Inputs!$K$5:$AJ$230,0,MATCH(P$2,Inputs!$K$4:$AJ$4,0))))+SUMPRODUCT((Inputs!$C$5:$C$230=$B88)*ISNUMBER(INDEX(Inputs!$K$5:$AJ$230,0,MATCH(P$2,Inputs!$K$4:$AJ$4,0))))+SUMPRODUCT((Inputs!$E$5:$E$230=$B88)*ISNUMBER(INDEX(Inputs!$K$5:$AJ$230,0,MATCH(P$2,Inputs!$K$4:$AJ$4,0))))=0,NA(),SUMPRODUCT((Inputs!$A$5:$A$230=$B88)*Inputs!$B$5:$B$230*(((Inputs!$G$5:$G$230="moeda")+(Inputs!$G$5:$G$230="acoes"))*Inputs!$B$1+((Inputs!$G$5:$G$230&lt;&gt;"moeda")*(Inputs!$G$5:$G$230&lt;&gt;"acoes")))*INDEX(Inputs!$K$5:$AJ$230,0,MATCH(P$2,Inputs!$K$4:$AJ$4,0)))+SUMPRODUCT((Inputs!$C$5:$C$230=$B88)*Inputs!$D$5:$D$230*(((Inputs!$G$5:$G$230="moeda")+(Inputs!$G$5:$G$230="acoes"))*Inputs!$B$1+((Inputs!$G$5:$G$230&lt;&gt;"moeda")*(Inputs!$G$5:$G$230&lt;&gt;"acoes")))*INDEX(Inputs!$K$5:$AJ$230,0,MATCH(P$2,Inputs!$K$4:$AJ$4,0)))+SUMPRODUCT((Inputs!$E$5:$E$230=$B88)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88" s="6" t="e">
        <f>IF(ISNA(MATCH(Q$2,Inputs!$K$4:$AJ$4,0)),NA(),IF(SUMPRODUCT((Inputs!$A$5:$A$230=$B88)*ISNUMBER(INDEX(Inputs!$K$5:$AJ$230,0,MATCH(Q$2,Inputs!$K$4:$AJ$4,0))))+SUMPRODUCT((Inputs!$C$5:$C$230=$B88)*ISNUMBER(INDEX(Inputs!$K$5:$AJ$230,0,MATCH(Q$2,Inputs!$K$4:$AJ$4,0))))+SUMPRODUCT((Inputs!$E$5:$E$230=$B88)*ISNUMBER(INDEX(Inputs!$K$5:$AJ$230,0,MATCH(Q$2,Inputs!$K$4:$AJ$4,0))))=0,NA(),SUMPRODUCT((Inputs!$A$5:$A$230=$B88)*Inputs!$B$5:$B$230*(((Inputs!$G$5:$G$230="moeda")+(Inputs!$G$5:$G$230="acoes"))*Inputs!$B$1+((Inputs!$G$5:$G$230&lt;&gt;"moeda")*(Inputs!$G$5:$G$230&lt;&gt;"acoes")))*INDEX(Inputs!$K$5:$AJ$230,0,MATCH(Q$2,Inputs!$K$4:$AJ$4,0)))+SUMPRODUCT((Inputs!$C$5:$C$230=$B88)*Inputs!$D$5:$D$230*(((Inputs!$G$5:$G$230="moeda")+(Inputs!$G$5:$G$230="acoes"))*Inputs!$B$1+((Inputs!$G$5:$G$230&lt;&gt;"moeda")*(Inputs!$G$5:$G$230&lt;&gt;"acoes")))*INDEX(Inputs!$K$5:$AJ$230,0,MATCH(Q$2,Inputs!$K$4:$AJ$4,0)))+SUMPRODUCT((Inputs!$E$5:$E$230=$B88)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88" s="3" t="e">
        <f>SUM(N88:Q88)</f>
        <v>#N/A</v>
      </c>
      <c r="S88" s="6">
        <f>IF(ISNA(MATCH(S$2,Inputs!$K$4:$AJ$4,0)),NA(),IF(SUMPRODUCT((Inputs!$A$5:$A$230=$B88)*ISNUMBER(INDEX(Inputs!$K$5:$AJ$230,0,MATCH(S$2,Inputs!$K$4:$AJ$4,0))))+SUMPRODUCT((Inputs!$C$5:$C$230=$B88)*ISNUMBER(INDEX(Inputs!$K$5:$AJ$230,0,MATCH(S$2,Inputs!$K$4:$AJ$4,0))))+SUMPRODUCT((Inputs!$E$5:$E$230=$B88)*ISNUMBER(INDEX(Inputs!$K$5:$AJ$230,0,MATCH(S$2,Inputs!$K$4:$AJ$4,0))))=0,NA(),SUMPRODUCT((Inputs!$A$5:$A$230=$B88)*Inputs!$B$5:$B$230*(((Inputs!$G$5:$G$230="moeda")+(Inputs!$G$5:$G$230="acoes"))*Inputs!$B$1+((Inputs!$G$5:$G$230&lt;&gt;"moeda")*(Inputs!$G$5:$G$230&lt;&gt;"acoes")))*INDEX(Inputs!$K$5:$AJ$230,0,MATCH(S$2,Inputs!$K$4:$AJ$4,0)))+SUMPRODUCT((Inputs!$C$5:$C$230=$B88)*Inputs!$D$5:$D$230*(((Inputs!$G$5:$G$230="moeda")+(Inputs!$G$5:$G$230="acoes"))*Inputs!$B$1+((Inputs!$G$5:$G$230&lt;&gt;"moeda")*(Inputs!$G$5:$G$230&lt;&gt;"acoes")))*INDEX(Inputs!$K$5:$AJ$230,0,MATCH(S$2,Inputs!$K$4:$AJ$4,0)))+SUMPRODUCT((Inputs!$E$5:$E$230=$B88)*Inputs!$F$5:$F$230*(((Inputs!$G$5:$G$230="moeda")+(Inputs!$G$5:$G$230="acoes"))*Inputs!$B$1+((Inputs!$G$5:$G$230&lt;&gt;"moeda")*(Inputs!$G$5:$G$230&lt;&gt;"acoes")))*INDEX(Inputs!$K$5:$AJ$230,0,MATCH(S$2,Inputs!$K$4:$AJ$4,0)))))</f>
        <v>0</v>
      </c>
      <c r="T88" s="6">
        <f>IF(ISNA(MATCH(T$2,Inputs!$K$4:$AJ$4,0)),NA(),IF(SUMPRODUCT((Inputs!$A$5:$A$230=$B88)*ISNUMBER(INDEX(Inputs!$K$5:$AJ$230,0,MATCH(T$2,Inputs!$K$4:$AJ$4,0))))+SUMPRODUCT((Inputs!$C$5:$C$230=$B88)*ISNUMBER(INDEX(Inputs!$K$5:$AJ$230,0,MATCH(T$2,Inputs!$K$4:$AJ$4,0))))+SUMPRODUCT((Inputs!$E$5:$E$230=$B88)*ISNUMBER(INDEX(Inputs!$K$5:$AJ$230,0,MATCH(T$2,Inputs!$K$4:$AJ$4,0))))=0,NA(),SUMPRODUCT((Inputs!$A$5:$A$230=$B88)*Inputs!$B$5:$B$230*(((Inputs!$G$5:$G$230="moeda")+(Inputs!$G$5:$G$230="acoes"))*Inputs!$B$1+((Inputs!$G$5:$G$230&lt;&gt;"moeda")*(Inputs!$G$5:$G$230&lt;&gt;"acoes")))*INDEX(Inputs!$K$5:$AJ$230,0,MATCH(T$2,Inputs!$K$4:$AJ$4,0)))+SUMPRODUCT((Inputs!$C$5:$C$230=$B88)*Inputs!$D$5:$D$230*(((Inputs!$G$5:$G$230="moeda")+(Inputs!$G$5:$G$230="acoes"))*Inputs!$B$1+((Inputs!$G$5:$G$230&lt;&gt;"moeda")*(Inputs!$G$5:$G$230&lt;&gt;"acoes")))*INDEX(Inputs!$K$5:$AJ$230,0,MATCH(T$2,Inputs!$K$4:$AJ$4,0)))+SUMPRODUCT((Inputs!$E$5:$E$230=$B88)*Inputs!$F$5:$F$230*(((Inputs!$G$5:$G$230="moeda")+(Inputs!$G$5:$G$230="acoes"))*Inputs!$B$1+((Inputs!$G$5:$G$230&lt;&gt;"moeda")*(Inputs!$G$5:$G$230&lt;&gt;"acoes")))*INDEX(Inputs!$K$5:$AJ$230,0,MATCH(T$2,Inputs!$K$4:$AJ$4,0)))))</f>
        <v>0</v>
      </c>
      <c r="U88" s="6">
        <f>IF(ISNA(MATCH(U$2,Inputs!$K$4:$AJ$4,0)),NA(),IF(SUMPRODUCT((Inputs!$A$5:$A$230=$B88)*ISNUMBER(INDEX(Inputs!$K$5:$AJ$230,0,MATCH(U$2,Inputs!$K$4:$AJ$4,0))))+SUMPRODUCT((Inputs!$C$5:$C$230=$B88)*ISNUMBER(INDEX(Inputs!$K$5:$AJ$230,0,MATCH(U$2,Inputs!$K$4:$AJ$4,0))))+SUMPRODUCT((Inputs!$E$5:$E$230=$B88)*ISNUMBER(INDEX(Inputs!$K$5:$AJ$230,0,MATCH(U$2,Inputs!$K$4:$AJ$4,0))))=0,NA(),SUMPRODUCT((Inputs!$A$5:$A$230=$B88)*Inputs!$B$5:$B$230*(((Inputs!$G$5:$G$230="moeda")+(Inputs!$G$5:$G$230="acoes"))*Inputs!$B$1+((Inputs!$G$5:$G$230&lt;&gt;"moeda")*(Inputs!$G$5:$G$230&lt;&gt;"acoes")))*INDEX(Inputs!$K$5:$AJ$230,0,MATCH(U$2,Inputs!$K$4:$AJ$4,0)))+SUMPRODUCT((Inputs!$C$5:$C$230=$B88)*Inputs!$D$5:$D$230*(((Inputs!$G$5:$G$230="moeda")+(Inputs!$G$5:$G$230="acoes"))*Inputs!$B$1+((Inputs!$G$5:$G$230&lt;&gt;"moeda")*(Inputs!$G$5:$G$230&lt;&gt;"acoes")))*INDEX(Inputs!$K$5:$AJ$230,0,MATCH(U$2,Inputs!$K$4:$AJ$4,0)))+SUMPRODUCT((Inputs!$E$5:$E$230=$B88)*Inputs!$F$5:$F$230*(((Inputs!$G$5:$G$230="moeda")+(Inputs!$G$5:$G$230="acoes"))*Inputs!$B$1+((Inputs!$G$5:$G$230&lt;&gt;"moeda")*(Inputs!$G$5:$G$230&lt;&gt;"acoes")))*INDEX(Inputs!$K$5:$AJ$230,0,MATCH(U$2,Inputs!$K$4:$AJ$4,0)))))</f>
        <v>1.051</v>
      </c>
      <c r="V88" s="6">
        <f>IF(ISNA(MATCH(V$2,Inputs!$K$4:$AJ$4,0)),NA(),IF(SUMPRODUCT((Inputs!$A$5:$A$230=$B88)*ISNUMBER(INDEX(Inputs!$K$5:$AJ$230,0,MATCH(V$2,Inputs!$K$4:$AJ$4,0))))+SUMPRODUCT((Inputs!$C$5:$C$230=$B88)*ISNUMBER(INDEX(Inputs!$K$5:$AJ$230,0,MATCH(V$2,Inputs!$K$4:$AJ$4,0))))+SUMPRODUCT((Inputs!$E$5:$E$230=$B88)*ISNUMBER(INDEX(Inputs!$K$5:$AJ$230,0,MATCH(V$2,Inputs!$K$4:$AJ$4,0))))=0,NA(),SUMPRODUCT((Inputs!$A$5:$A$230=$B88)*Inputs!$B$5:$B$230*(((Inputs!$G$5:$G$230="moeda")+(Inputs!$G$5:$G$230="acoes"))*Inputs!$B$1+((Inputs!$G$5:$G$230&lt;&gt;"moeda")*(Inputs!$G$5:$G$230&lt;&gt;"acoes")))*INDEX(Inputs!$K$5:$AJ$230,0,MATCH(V$2,Inputs!$K$4:$AJ$4,0)))+SUMPRODUCT((Inputs!$C$5:$C$230=$B88)*Inputs!$D$5:$D$230*(((Inputs!$G$5:$G$230="moeda")+(Inputs!$G$5:$G$230="acoes"))*Inputs!$B$1+((Inputs!$G$5:$G$230&lt;&gt;"moeda")*(Inputs!$G$5:$G$230&lt;&gt;"acoes")))*INDEX(Inputs!$K$5:$AJ$230,0,MATCH(V$2,Inputs!$K$4:$AJ$4,0)))+SUMPRODUCT((Inputs!$E$5:$E$230=$B88)*Inputs!$F$5:$F$230*(((Inputs!$G$5:$G$230="moeda")+(Inputs!$G$5:$G$230="acoes"))*Inputs!$B$1+((Inputs!$G$5:$G$230&lt;&gt;"moeda")*(Inputs!$G$5:$G$230&lt;&gt;"acoes")))*INDEX(Inputs!$K$5:$AJ$230,0,MATCH(V$2,Inputs!$K$4:$AJ$4,0)))))</f>
        <v>1.163</v>
      </c>
      <c r="W88" s="3">
        <f>SUM(S88:V88)</f>
        <v>2.214</v>
      </c>
      <c r="X88" s="6">
        <f>IF(ISNA(MATCH(X$2,Inputs!$K$4:$AJ$4,0)),NA(),IF(SUMPRODUCT((Inputs!$A$5:$A$230=$B88)*ISNUMBER(INDEX(Inputs!$K$5:$AJ$230,0,MATCH(X$2,Inputs!$K$4:$AJ$4,0))))+SUMPRODUCT((Inputs!$C$5:$C$230=$B88)*ISNUMBER(INDEX(Inputs!$K$5:$AJ$230,0,MATCH(X$2,Inputs!$K$4:$AJ$4,0))))+SUMPRODUCT((Inputs!$E$5:$E$230=$B88)*ISNUMBER(INDEX(Inputs!$K$5:$AJ$230,0,MATCH(X$2,Inputs!$K$4:$AJ$4,0))))=0,NA(),SUMPRODUCT((Inputs!$A$5:$A$230=$B88)*Inputs!$B$5:$B$230*(((Inputs!$G$5:$G$230="moeda")+(Inputs!$G$5:$G$230="acoes"))*Inputs!$B$1+((Inputs!$G$5:$G$230&lt;&gt;"moeda")*(Inputs!$G$5:$G$230&lt;&gt;"acoes")))*INDEX(Inputs!$K$5:$AJ$230,0,MATCH(X$2,Inputs!$K$4:$AJ$4,0)))+SUMPRODUCT((Inputs!$C$5:$C$230=$B88)*Inputs!$D$5:$D$230*(((Inputs!$G$5:$G$230="moeda")+(Inputs!$G$5:$G$230="acoes"))*Inputs!$B$1+((Inputs!$G$5:$G$230&lt;&gt;"moeda")*(Inputs!$G$5:$G$230&lt;&gt;"acoes")))*INDEX(Inputs!$K$5:$AJ$230,0,MATCH(X$2,Inputs!$K$4:$AJ$4,0)))+SUMPRODUCT((Inputs!$E$5:$E$230=$B88)*Inputs!$F$5:$F$230*(((Inputs!$G$5:$G$230="moeda")+(Inputs!$G$5:$G$230="acoes"))*Inputs!$B$1+((Inputs!$G$5:$G$230&lt;&gt;"moeda")*(Inputs!$G$5:$G$230&lt;&gt;"acoes")))*INDEX(Inputs!$K$5:$AJ$230,0,MATCH(X$2,Inputs!$K$4:$AJ$4,0)))))</f>
        <v>2.755</v>
      </c>
      <c r="Y88" s="6">
        <f>IF(ISNA(MATCH(Y$2,Inputs!$K$4:$AJ$4,0)),NA(),IF(SUMPRODUCT((Inputs!$A$5:$A$230=$B88)*ISNUMBER(INDEX(Inputs!$K$5:$AJ$230,0,MATCH(Y$2,Inputs!$K$4:$AJ$4,0))))+SUMPRODUCT((Inputs!$C$5:$C$230=$B88)*ISNUMBER(INDEX(Inputs!$K$5:$AJ$230,0,MATCH(Y$2,Inputs!$K$4:$AJ$4,0))))+SUMPRODUCT((Inputs!$E$5:$E$230=$B88)*ISNUMBER(INDEX(Inputs!$K$5:$AJ$230,0,MATCH(Y$2,Inputs!$K$4:$AJ$4,0))))=0,NA(),SUMPRODUCT((Inputs!$A$5:$A$230=$B88)*Inputs!$B$5:$B$230*(((Inputs!$G$5:$G$230="moeda")+(Inputs!$G$5:$G$230="acoes"))*Inputs!$B$1+((Inputs!$G$5:$G$230&lt;&gt;"moeda")*(Inputs!$G$5:$G$230&lt;&gt;"acoes")))*INDEX(Inputs!$K$5:$AJ$230,0,MATCH(Y$2,Inputs!$K$4:$AJ$4,0)))+SUMPRODUCT((Inputs!$C$5:$C$230=$B88)*Inputs!$D$5:$D$230*(((Inputs!$G$5:$G$230="moeda")+(Inputs!$G$5:$G$230="acoes"))*Inputs!$B$1+((Inputs!$G$5:$G$230&lt;&gt;"moeda")*(Inputs!$G$5:$G$230&lt;&gt;"acoes")))*INDEX(Inputs!$K$5:$AJ$230,0,MATCH(Y$2,Inputs!$K$4:$AJ$4,0)))+SUMPRODUCT((Inputs!$E$5:$E$230=$B88)*Inputs!$F$5:$F$230*(((Inputs!$G$5:$G$230="moeda")+(Inputs!$G$5:$G$230="acoes"))*Inputs!$B$1+((Inputs!$G$5:$G$230&lt;&gt;"moeda")*(Inputs!$G$5:$G$230&lt;&gt;"acoes")))*INDEX(Inputs!$K$5:$AJ$230,0,MATCH(Y$2,Inputs!$K$4:$AJ$4,0)))))</f>
        <v>2.785</v>
      </c>
      <c r="Z88" s="6">
        <f>IF(ISNA(MATCH(Z$2,Inputs!$K$4:$AJ$4,0)),NA(),IF(SUMPRODUCT((Inputs!$A$5:$A$230=$B88)*ISNUMBER(INDEX(Inputs!$K$5:$AJ$230,0,MATCH(Z$2,Inputs!$K$4:$AJ$4,0))))+SUMPRODUCT((Inputs!$C$5:$C$230=$B88)*ISNUMBER(INDEX(Inputs!$K$5:$AJ$230,0,MATCH(Z$2,Inputs!$K$4:$AJ$4,0))))+SUMPRODUCT((Inputs!$E$5:$E$230=$B88)*ISNUMBER(INDEX(Inputs!$K$5:$AJ$230,0,MATCH(Z$2,Inputs!$K$4:$AJ$4,0))))=0,NA(),SUMPRODUCT((Inputs!$A$5:$A$230=$B88)*Inputs!$B$5:$B$230*(((Inputs!$G$5:$G$230="moeda")+(Inputs!$G$5:$G$230="acoes"))*Inputs!$B$1+((Inputs!$G$5:$G$230&lt;&gt;"moeda")*(Inputs!$G$5:$G$230&lt;&gt;"acoes")))*INDEX(Inputs!$K$5:$AJ$230,0,MATCH(Z$2,Inputs!$K$4:$AJ$4,0)))+SUMPRODUCT((Inputs!$C$5:$C$230=$B88)*Inputs!$D$5:$D$230*(((Inputs!$G$5:$G$230="moeda")+(Inputs!$G$5:$G$230="acoes"))*Inputs!$B$1+((Inputs!$G$5:$G$230&lt;&gt;"moeda")*(Inputs!$G$5:$G$230&lt;&gt;"acoes")))*INDEX(Inputs!$K$5:$AJ$230,0,MATCH(Z$2,Inputs!$K$4:$AJ$4,0)))+SUMPRODUCT((Inputs!$E$5:$E$230=$B88)*Inputs!$F$5:$F$230*(((Inputs!$G$5:$G$230="moeda")+(Inputs!$G$5:$G$230="acoes"))*Inputs!$B$1+((Inputs!$G$5:$G$230&lt;&gt;"moeda")*(Inputs!$G$5:$G$230&lt;&gt;"acoes")))*INDEX(Inputs!$K$5:$AJ$230,0,MATCH(Z$2,Inputs!$K$4:$AJ$4,0)))))</f>
        <v>3.856</v>
      </c>
      <c r="AA88" s="6">
        <f>IF(ISNA(MATCH(AA$2,Inputs!$K$4:$AJ$4,0)),NA(),IF(SUMPRODUCT((Inputs!$A$5:$A$230=$B88)*ISNUMBER(INDEX(Inputs!$K$5:$AJ$230,0,MATCH(AA$2,Inputs!$K$4:$AJ$4,0))))+SUMPRODUCT((Inputs!$C$5:$C$230=$B88)*ISNUMBER(INDEX(Inputs!$K$5:$AJ$230,0,MATCH(AA$2,Inputs!$K$4:$AJ$4,0))))+SUMPRODUCT((Inputs!$E$5:$E$230=$B88)*ISNUMBER(INDEX(Inputs!$K$5:$AJ$230,0,MATCH(AA$2,Inputs!$K$4:$AJ$4,0))))=0,NA(),SUMPRODUCT((Inputs!$A$5:$A$230=$B88)*Inputs!$B$5:$B$230*(((Inputs!$G$5:$G$230="moeda")+(Inputs!$G$5:$G$230="acoes"))*Inputs!$B$1+((Inputs!$G$5:$G$230&lt;&gt;"moeda")*(Inputs!$G$5:$G$230&lt;&gt;"acoes")))*INDEX(Inputs!$K$5:$AJ$230,0,MATCH(AA$2,Inputs!$K$4:$AJ$4,0)))+SUMPRODUCT((Inputs!$C$5:$C$230=$B88)*Inputs!$D$5:$D$230*(((Inputs!$G$5:$G$230="moeda")+(Inputs!$G$5:$G$230="acoes"))*Inputs!$B$1+((Inputs!$G$5:$G$230&lt;&gt;"moeda")*(Inputs!$G$5:$G$230&lt;&gt;"acoes")))*INDEX(Inputs!$K$5:$AJ$230,0,MATCH(AA$2,Inputs!$K$4:$AJ$4,0)))+SUMPRODUCT((Inputs!$E$5:$E$230=$B88)*Inputs!$F$5:$F$230*(((Inputs!$G$5:$G$230="moeda")+(Inputs!$G$5:$G$230="acoes"))*Inputs!$B$1+((Inputs!$G$5:$G$230&lt;&gt;"moeda")*(Inputs!$G$5:$G$230&lt;&gt;"acoes")))*INDEX(Inputs!$K$5:$AJ$230,0,MATCH(AA$2,Inputs!$K$4:$AJ$4,0)))))</f>
        <v>7.902</v>
      </c>
      <c r="AB88" s="3">
        <f>SUM(X88:AA88)</f>
        <v>17.298</v>
      </c>
      <c r="AC88" s="6">
        <f>IF(ISNA(MATCH(AC$2,Inputs!$K$4:$AJ$4,0)),NA(),IF(SUMPRODUCT((Inputs!$A$5:$A$230=$B88)*ISNUMBER(INDEX(Inputs!$K$5:$AJ$230,0,MATCH(AC$2,Inputs!$K$4:$AJ$4,0))))+SUMPRODUCT((Inputs!$C$5:$C$230=$B88)*ISNUMBER(INDEX(Inputs!$K$5:$AJ$230,0,MATCH(AC$2,Inputs!$K$4:$AJ$4,0))))+SUMPRODUCT((Inputs!$E$5:$E$230=$B88)*ISNUMBER(INDEX(Inputs!$K$5:$AJ$230,0,MATCH(AC$2,Inputs!$K$4:$AJ$4,0))))=0,NA(),SUMPRODUCT((Inputs!$A$5:$A$230=$B88)*Inputs!$B$5:$B$230*(((Inputs!$G$5:$G$230="moeda")+(Inputs!$G$5:$G$230="acoes"))*Inputs!$B$1+((Inputs!$G$5:$G$230&lt;&gt;"moeda")*(Inputs!$G$5:$G$230&lt;&gt;"acoes")))*INDEX(Inputs!$K$5:$AJ$230,0,MATCH(AC$2,Inputs!$K$4:$AJ$4,0)))+SUMPRODUCT((Inputs!$C$5:$C$230=$B88)*Inputs!$D$5:$D$230*(((Inputs!$G$5:$G$230="moeda")+(Inputs!$G$5:$G$230="acoes"))*Inputs!$B$1+((Inputs!$G$5:$G$230&lt;&gt;"moeda")*(Inputs!$G$5:$G$230&lt;&gt;"acoes")))*INDEX(Inputs!$K$5:$AJ$230,0,MATCH(AC$2,Inputs!$K$4:$AJ$4,0)))+SUMPRODUCT((Inputs!$E$5:$E$230=$B88)*Inputs!$F$5:$F$230*(((Inputs!$G$5:$G$230="moeda")+(Inputs!$G$5:$G$230="acoes"))*Inputs!$B$1+((Inputs!$G$5:$G$230&lt;&gt;"moeda")*(Inputs!$G$5:$G$230&lt;&gt;"acoes")))*INDEX(Inputs!$K$5:$AJ$230,0,MATCH(AC$2,Inputs!$K$4:$AJ$4,0)))))</f>
        <v>10.13</v>
      </c>
      <c r="AD88" s="6">
        <f>IF(ISNA(MATCH(AD$2,Inputs!$K$4:$AJ$4,0)),NA(),IF(SUMPRODUCT((Inputs!$A$5:$A$230=$B88)*ISNUMBER(INDEX(Inputs!$K$5:$AJ$230,0,MATCH(AD$2,Inputs!$K$4:$AJ$4,0))))+SUMPRODUCT((Inputs!$C$5:$C$230=$B88)*ISNUMBER(INDEX(Inputs!$K$5:$AJ$230,0,MATCH(AD$2,Inputs!$K$4:$AJ$4,0))))+SUMPRODUCT((Inputs!$E$5:$E$230=$B88)*ISNUMBER(INDEX(Inputs!$K$5:$AJ$230,0,MATCH(AD$2,Inputs!$K$4:$AJ$4,0))))=0,NA(),SUMPRODUCT((Inputs!$A$5:$A$230=$B88)*Inputs!$B$5:$B$230*(((Inputs!$G$5:$G$230="moeda")+(Inputs!$G$5:$G$230="acoes"))*Inputs!$B$1+((Inputs!$G$5:$G$230&lt;&gt;"moeda")*(Inputs!$G$5:$G$230&lt;&gt;"acoes")))*INDEX(Inputs!$K$5:$AJ$230,0,MATCH(AD$2,Inputs!$K$4:$AJ$4,0)))+SUMPRODUCT((Inputs!$C$5:$C$230=$B88)*Inputs!$D$5:$D$230*(((Inputs!$G$5:$G$230="moeda")+(Inputs!$G$5:$G$230="acoes"))*Inputs!$B$1+((Inputs!$G$5:$G$230&lt;&gt;"moeda")*(Inputs!$G$5:$G$230&lt;&gt;"acoes")))*INDEX(Inputs!$K$5:$AJ$230,0,MATCH(AD$2,Inputs!$K$4:$AJ$4,0)))+SUMPRODUCT((Inputs!$E$5:$E$230=$B88)*Inputs!$F$5:$F$230*(((Inputs!$G$5:$G$230="moeda")+(Inputs!$G$5:$G$230="acoes"))*Inputs!$B$1+((Inputs!$G$5:$G$230&lt;&gt;"moeda")*(Inputs!$G$5:$G$230&lt;&gt;"acoes")))*INDEX(Inputs!$K$5:$AJ$230,0,MATCH(AD$2,Inputs!$K$4:$AJ$4,0)))))</f>
        <v>10.703</v>
      </c>
      <c r="AE88" s="6" t="e">
        <f>IF(ISNA(MATCH(AE$2,Inputs!$K$4:$AJ$4,0)),NA(),IF(SUMPRODUCT((Inputs!$A$5:$A$230=$B88)*ISNUMBER(INDEX(Inputs!$K$5:$AJ$230,0,MATCH(AE$2,Inputs!$K$4:$AJ$4,0))))+SUMPRODUCT((Inputs!$C$5:$C$230=$B88)*ISNUMBER(INDEX(Inputs!$K$5:$AJ$230,0,MATCH(AE$2,Inputs!$K$4:$AJ$4,0))))+SUMPRODUCT((Inputs!$E$5:$E$230=$B88)*ISNUMBER(INDEX(Inputs!$K$5:$AJ$230,0,MATCH(AE$2,Inputs!$K$4:$AJ$4,0))))=0,NA(),SUMPRODUCT((Inputs!$A$5:$A$230=$B88)*Inputs!$B$5:$B$230*(((Inputs!$G$5:$G$230="moeda")+(Inputs!$G$5:$G$230="acoes"))*Inputs!$B$1+((Inputs!$G$5:$G$230&lt;&gt;"moeda")*(Inputs!$G$5:$G$230&lt;&gt;"acoes")))*INDEX(Inputs!$K$5:$AJ$230,0,MATCH(AE$2,Inputs!$K$4:$AJ$4,0)))+SUMPRODUCT((Inputs!$C$5:$C$230=$B88)*Inputs!$D$5:$D$230*(((Inputs!$G$5:$G$230="moeda")+(Inputs!$G$5:$G$230="acoes"))*Inputs!$B$1+((Inputs!$G$5:$G$230&lt;&gt;"moeda")*(Inputs!$G$5:$G$230&lt;&gt;"acoes")))*INDEX(Inputs!$K$5:$AJ$230,0,MATCH(AE$2,Inputs!$K$4:$AJ$4,0)))+SUMPRODUCT((Inputs!$E$5:$E$230=$B88)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8" s="6" t="e">
        <f>IF(ISNA(MATCH(AF$2,Inputs!$K$4:$AJ$4,0)),NA(),IF(SUMPRODUCT((Inputs!$A$5:$A$230=$B88)*ISNUMBER(INDEX(Inputs!$K$5:$AJ$230,0,MATCH(AF$2,Inputs!$K$4:$AJ$4,0))))+SUMPRODUCT((Inputs!$C$5:$C$230=$B88)*ISNUMBER(INDEX(Inputs!$K$5:$AJ$230,0,MATCH(AF$2,Inputs!$K$4:$AJ$4,0))))+SUMPRODUCT((Inputs!$E$5:$E$230=$B88)*ISNUMBER(INDEX(Inputs!$K$5:$AJ$230,0,MATCH(AF$2,Inputs!$K$4:$AJ$4,0))))=0,NA(),SUMPRODUCT((Inputs!$A$5:$A$230=$B88)*Inputs!$B$5:$B$230*(((Inputs!$G$5:$G$230="moeda")+(Inputs!$G$5:$G$230="acoes"))*Inputs!$B$1+((Inputs!$G$5:$G$230&lt;&gt;"moeda")*(Inputs!$G$5:$G$230&lt;&gt;"acoes")))*INDEX(Inputs!$K$5:$AJ$230,0,MATCH(AF$2,Inputs!$K$4:$AJ$4,0)))+SUMPRODUCT((Inputs!$C$5:$C$230=$B88)*Inputs!$D$5:$D$230*(((Inputs!$G$5:$G$230="moeda")+(Inputs!$G$5:$G$230="acoes"))*Inputs!$B$1+((Inputs!$G$5:$G$230&lt;&gt;"moeda")*(Inputs!$G$5:$G$230&lt;&gt;"acoes")))*INDEX(Inputs!$K$5:$AJ$230,0,MATCH(AF$2,Inputs!$K$4:$AJ$4,0)))+SUMPRODUCT((Inputs!$E$5:$E$230=$B88)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8" s="3" t="e">
        <f>SUM(AC88:AF88)</f>
        <v>#N/A</v>
      </c>
      <c r="AH88" s="6" t="e">
        <f>IF(ISNA(MATCH(AH$2,Inputs!$K$4:$AJ$4,0)),NA(),IF(SUMPRODUCT((Inputs!$A$5:$A$230=$B88)*ISNUMBER(INDEX(Inputs!$K$5:$AJ$230,0,MATCH(AH$2,Inputs!$K$4:$AJ$4,0))))+SUMPRODUCT((Inputs!$C$5:$C$230=$B88)*ISNUMBER(INDEX(Inputs!$K$5:$AJ$230,0,MATCH(AH$2,Inputs!$K$4:$AJ$4,0))))+SUMPRODUCT((Inputs!$E$5:$E$230=$B88)*ISNUMBER(INDEX(Inputs!$K$5:$AJ$230,0,MATCH(AH$2,Inputs!$K$4:$AJ$4,0))))=0,NA(),SUMPRODUCT((Inputs!$A$5:$A$230=$B88)*Inputs!$B$5:$B$230*(((Inputs!$G$5:$G$230="moeda")+(Inputs!$G$5:$G$230="acoes"))*Inputs!$B$1+((Inputs!$G$5:$G$230&lt;&gt;"moeda")*(Inputs!$G$5:$G$230&lt;&gt;"acoes")))*INDEX(Inputs!$K$5:$AJ$230,0,MATCH(AH$2,Inputs!$K$4:$AJ$4,0)))+SUMPRODUCT((Inputs!$C$5:$C$230=$B88)*Inputs!$D$5:$D$230*(((Inputs!$G$5:$G$230="moeda")+(Inputs!$G$5:$G$230="acoes"))*Inputs!$B$1+((Inputs!$G$5:$G$230&lt;&gt;"moeda")*(Inputs!$G$5:$G$230&lt;&gt;"acoes")))*INDEX(Inputs!$K$5:$AJ$230,0,MATCH(AH$2,Inputs!$K$4:$AJ$4,0)))+SUMPRODUCT((Inputs!$E$5:$E$230=$B88)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88" s="6" t="e">
        <f>IF(ISNA(MATCH(AI$2,Inputs!$K$4:$AJ$4,0)),NA(),IF(SUMPRODUCT((Inputs!$A$5:$A$230=$B88)*ISNUMBER(INDEX(Inputs!$K$5:$AJ$230,0,MATCH(AI$2,Inputs!$K$4:$AJ$4,0))))+SUMPRODUCT((Inputs!$C$5:$C$230=$B88)*ISNUMBER(INDEX(Inputs!$K$5:$AJ$230,0,MATCH(AI$2,Inputs!$K$4:$AJ$4,0))))+SUMPRODUCT((Inputs!$E$5:$E$230=$B88)*ISNUMBER(INDEX(Inputs!$K$5:$AJ$230,0,MATCH(AI$2,Inputs!$K$4:$AJ$4,0))))=0,NA(),SUMPRODUCT((Inputs!$A$5:$A$230=$B88)*Inputs!$B$5:$B$230*(((Inputs!$G$5:$G$230="moeda")+(Inputs!$G$5:$G$230="acoes"))*Inputs!$B$1+((Inputs!$G$5:$G$230&lt;&gt;"moeda")*(Inputs!$G$5:$G$230&lt;&gt;"acoes")))*INDEX(Inputs!$K$5:$AJ$230,0,MATCH(AI$2,Inputs!$K$4:$AJ$4,0)))+SUMPRODUCT((Inputs!$C$5:$C$230=$B88)*Inputs!$D$5:$D$230*(((Inputs!$G$5:$G$230="moeda")+(Inputs!$G$5:$G$230="acoes"))*Inputs!$B$1+((Inputs!$G$5:$G$230&lt;&gt;"moeda")*(Inputs!$G$5:$G$230&lt;&gt;"acoes")))*INDEX(Inputs!$K$5:$AJ$230,0,MATCH(AI$2,Inputs!$K$4:$AJ$4,0)))+SUMPRODUCT((Inputs!$E$5:$E$230=$B88)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88" s="6" t="e">
        <f>IF(ISNA(MATCH(AJ$2,Inputs!$K$4:$AJ$4,0)),NA(),IF(SUMPRODUCT((Inputs!$A$5:$A$230=$B88)*ISNUMBER(INDEX(Inputs!$K$5:$AJ$230,0,MATCH(AJ$2,Inputs!$K$4:$AJ$4,0))))+SUMPRODUCT((Inputs!$C$5:$C$230=$B88)*ISNUMBER(INDEX(Inputs!$K$5:$AJ$230,0,MATCH(AJ$2,Inputs!$K$4:$AJ$4,0))))+SUMPRODUCT((Inputs!$E$5:$E$230=$B88)*ISNUMBER(INDEX(Inputs!$K$5:$AJ$230,0,MATCH(AJ$2,Inputs!$K$4:$AJ$4,0))))=0,NA(),SUMPRODUCT((Inputs!$A$5:$A$230=$B88)*Inputs!$B$5:$B$230*(((Inputs!$G$5:$G$230="moeda")+(Inputs!$G$5:$G$230="acoes"))*Inputs!$B$1+((Inputs!$G$5:$G$230&lt;&gt;"moeda")*(Inputs!$G$5:$G$230&lt;&gt;"acoes")))*INDEX(Inputs!$K$5:$AJ$230,0,MATCH(AJ$2,Inputs!$K$4:$AJ$4,0)))+SUMPRODUCT((Inputs!$C$5:$C$230=$B88)*Inputs!$D$5:$D$230*(((Inputs!$G$5:$G$230="moeda")+(Inputs!$G$5:$G$230="acoes"))*Inputs!$B$1+((Inputs!$G$5:$G$230&lt;&gt;"moeda")*(Inputs!$G$5:$G$230&lt;&gt;"acoes")))*INDEX(Inputs!$K$5:$AJ$230,0,MATCH(AJ$2,Inputs!$K$4:$AJ$4,0)))+SUMPRODUCT((Inputs!$E$5:$E$230=$B88)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88" s="6" t="e">
        <f>IF(ISNA(MATCH(AK$2,Inputs!$K$4:$AJ$4,0)),NA(),IF(SUMPRODUCT((Inputs!$A$5:$A$230=$B88)*ISNUMBER(INDEX(Inputs!$K$5:$AJ$230,0,MATCH(AK$2,Inputs!$K$4:$AJ$4,0))))+SUMPRODUCT((Inputs!$C$5:$C$230=$B88)*ISNUMBER(INDEX(Inputs!$K$5:$AJ$230,0,MATCH(AK$2,Inputs!$K$4:$AJ$4,0))))+SUMPRODUCT((Inputs!$E$5:$E$230=$B88)*ISNUMBER(INDEX(Inputs!$K$5:$AJ$230,0,MATCH(AK$2,Inputs!$K$4:$AJ$4,0))))=0,NA(),SUMPRODUCT((Inputs!$A$5:$A$230=$B88)*Inputs!$B$5:$B$230*(((Inputs!$G$5:$G$230="moeda")+(Inputs!$G$5:$G$230="acoes"))*Inputs!$B$1+((Inputs!$G$5:$G$230&lt;&gt;"moeda")*(Inputs!$G$5:$G$230&lt;&gt;"acoes")))*INDEX(Inputs!$K$5:$AJ$230,0,MATCH(AK$2,Inputs!$K$4:$AJ$4,0)))+SUMPRODUCT((Inputs!$C$5:$C$230=$B88)*Inputs!$D$5:$D$230*(((Inputs!$G$5:$G$230="moeda")+(Inputs!$G$5:$G$230="acoes"))*Inputs!$B$1+((Inputs!$G$5:$G$230&lt;&gt;"moeda")*(Inputs!$G$5:$G$230&lt;&gt;"acoes")))*INDEX(Inputs!$K$5:$AJ$230,0,MATCH(AK$2,Inputs!$K$4:$AJ$4,0)))+SUMPRODUCT((Inputs!$E$5:$E$230=$B88)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88" s="3" t="e">
        <f>SUM(AH88:AK88)</f>
        <v>#N/A</v>
      </c>
    </row>
    <row r="89">
      <c r="B89" s="46" t="n">
        <v>81</v>
      </c>
      <c r="C89" s="29" t="inlineStr">
        <is>
          <t>Transmissao | TSA</t>
        </is>
      </c>
      <c r="D89" s="6" t="e">
        <f>IF(ISNA(MATCH(D$2,Inputs!$K$4:$AJ$4,0)),NA(),IF(SUMPRODUCT((Inputs!$A$5:$A$230=$B89)*ISNUMBER(INDEX(Inputs!$K$5:$AJ$230,0,MATCH(D$2,Inputs!$K$4:$AJ$4,0))))+SUMPRODUCT((Inputs!$C$5:$C$230=$B89)*ISNUMBER(INDEX(Inputs!$K$5:$AJ$230,0,MATCH(D$2,Inputs!$K$4:$AJ$4,0))))+SUMPRODUCT((Inputs!$E$5:$E$230=$B89)*ISNUMBER(INDEX(Inputs!$K$5:$AJ$230,0,MATCH(D$2,Inputs!$K$4:$AJ$4,0))))=0,NA(),SUMPRODUCT((Inputs!$A$5:$A$230=$B89)*Inputs!$B$5:$B$230*(((Inputs!$G$5:$G$230="moeda")+(Inputs!$G$5:$G$230="acoes"))*Inputs!$B$1+((Inputs!$G$5:$G$230&lt;&gt;"moeda")*(Inputs!$G$5:$G$230&lt;&gt;"acoes")))*INDEX(Inputs!$K$5:$AJ$230,0,MATCH(D$2,Inputs!$K$4:$AJ$4,0)))+SUMPRODUCT((Inputs!$C$5:$C$230=$B89)*Inputs!$D$5:$D$230*(((Inputs!$G$5:$G$230="moeda")+(Inputs!$G$5:$G$230="acoes"))*Inputs!$B$1+((Inputs!$G$5:$G$230&lt;&gt;"moeda")*(Inputs!$G$5:$G$230&lt;&gt;"acoes")))*INDEX(Inputs!$K$5:$AJ$230,0,MATCH(D$2,Inputs!$K$4:$AJ$4,0)))+SUMPRODUCT((Inputs!$E$5:$E$230=$B89)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89" s="6" t="e">
        <f>IF(ISNA(MATCH(E$2,Inputs!$K$4:$AJ$4,0)),NA(),IF(SUMPRODUCT((Inputs!$A$5:$A$230=$B89)*ISNUMBER(INDEX(Inputs!$K$5:$AJ$230,0,MATCH(E$2,Inputs!$K$4:$AJ$4,0))))+SUMPRODUCT((Inputs!$C$5:$C$230=$B89)*ISNUMBER(INDEX(Inputs!$K$5:$AJ$230,0,MATCH(E$2,Inputs!$K$4:$AJ$4,0))))+SUMPRODUCT((Inputs!$E$5:$E$230=$B89)*ISNUMBER(INDEX(Inputs!$K$5:$AJ$230,0,MATCH(E$2,Inputs!$K$4:$AJ$4,0))))=0,NA(),SUMPRODUCT((Inputs!$A$5:$A$230=$B89)*Inputs!$B$5:$B$230*(((Inputs!$G$5:$G$230="moeda")+(Inputs!$G$5:$G$230="acoes"))*Inputs!$B$1+((Inputs!$G$5:$G$230&lt;&gt;"moeda")*(Inputs!$G$5:$G$230&lt;&gt;"acoes")))*INDEX(Inputs!$K$5:$AJ$230,0,MATCH(E$2,Inputs!$K$4:$AJ$4,0)))+SUMPRODUCT((Inputs!$C$5:$C$230=$B89)*Inputs!$D$5:$D$230*(((Inputs!$G$5:$G$230="moeda")+(Inputs!$G$5:$G$230="acoes"))*Inputs!$B$1+((Inputs!$G$5:$G$230&lt;&gt;"moeda")*(Inputs!$G$5:$G$230&lt;&gt;"acoes")))*INDEX(Inputs!$K$5:$AJ$230,0,MATCH(E$2,Inputs!$K$4:$AJ$4,0)))+SUMPRODUCT((Inputs!$E$5:$E$230=$B89)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89" s="6" t="e">
        <f>IF(ISNA(MATCH(F$2,Inputs!$K$4:$AJ$4,0)),NA(),IF(SUMPRODUCT((Inputs!$A$5:$A$230=$B89)*ISNUMBER(INDEX(Inputs!$K$5:$AJ$230,0,MATCH(F$2,Inputs!$K$4:$AJ$4,0))))+SUMPRODUCT((Inputs!$C$5:$C$230=$B89)*ISNUMBER(INDEX(Inputs!$K$5:$AJ$230,0,MATCH(F$2,Inputs!$K$4:$AJ$4,0))))+SUMPRODUCT((Inputs!$E$5:$E$230=$B89)*ISNUMBER(INDEX(Inputs!$K$5:$AJ$230,0,MATCH(F$2,Inputs!$K$4:$AJ$4,0))))=0,NA(),SUMPRODUCT((Inputs!$A$5:$A$230=$B89)*Inputs!$B$5:$B$230*(((Inputs!$G$5:$G$230="moeda")+(Inputs!$G$5:$G$230="acoes"))*Inputs!$B$1+((Inputs!$G$5:$G$230&lt;&gt;"moeda")*(Inputs!$G$5:$G$230&lt;&gt;"acoes")))*INDEX(Inputs!$K$5:$AJ$230,0,MATCH(F$2,Inputs!$K$4:$AJ$4,0)))+SUMPRODUCT((Inputs!$C$5:$C$230=$B89)*Inputs!$D$5:$D$230*(((Inputs!$G$5:$G$230="moeda")+(Inputs!$G$5:$G$230="acoes"))*Inputs!$B$1+((Inputs!$G$5:$G$230&lt;&gt;"moeda")*(Inputs!$G$5:$G$230&lt;&gt;"acoes")))*INDEX(Inputs!$K$5:$AJ$230,0,MATCH(F$2,Inputs!$K$4:$AJ$4,0)))+SUMPRODUCT((Inputs!$E$5:$E$230=$B89)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89" s="6" t="e">
        <f>IF(ISNA(MATCH(G$2,Inputs!$K$4:$AJ$4,0)),NA(),IF(SUMPRODUCT((Inputs!$A$5:$A$230=$B89)*ISNUMBER(INDEX(Inputs!$K$5:$AJ$230,0,MATCH(G$2,Inputs!$K$4:$AJ$4,0))))+SUMPRODUCT((Inputs!$C$5:$C$230=$B89)*ISNUMBER(INDEX(Inputs!$K$5:$AJ$230,0,MATCH(G$2,Inputs!$K$4:$AJ$4,0))))+SUMPRODUCT((Inputs!$E$5:$E$230=$B89)*ISNUMBER(INDEX(Inputs!$K$5:$AJ$230,0,MATCH(G$2,Inputs!$K$4:$AJ$4,0))))=0,NA(),SUMPRODUCT((Inputs!$A$5:$A$230=$B89)*Inputs!$B$5:$B$230*(((Inputs!$G$5:$G$230="moeda")+(Inputs!$G$5:$G$230="acoes"))*Inputs!$B$1+((Inputs!$G$5:$G$230&lt;&gt;"moeda")*(Inputs!$G$5:$G$230&lt;&gt;"acoes")))*INDEX(Inputs!$K$5:$AJ$230,0,MATCH(G$2,Inputs!$K$4:$AJ$4,0)))+SUMPRODUCT((Inputs!$C$5:$C$230=$B89)*Inputs!$D$5:$D$230*(((Inputs!$G$5:$G$230="moeda")+(Inputs!$G$5:$G$230="acoes"))*Inputs!$B$1+((Inputs!$G$5:$G$230&lt;&gt;"moeda")*(Inputs!$G$5:$G$230&lt;&gt;"acoes")))*INDEX(Inputs!$K$5:$AJ$230,0,MATCH(G$2,Inputs!$K$4:$AJ$4,0)))+SUMPRODUCT((Inputs!$E$5:$E$230=$B89)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89" s="3" t="e">
        <f>SUM(D89:G89)</f>
        <v>#N/A</v>
      </c>
      <c r="I89" s="6" t="e">
        <f>IF(ISNA(MATCH(I$2,Inputs!$K$4:$AJ$4,0)),NA(),IF(SUMPRODUCT((Inputs!$A$5:$A$230=$B89)*ISNUMBER(INDEX(Inputs!$K$5:$AJ$230,0,MATCH(I$2,Inputs!$K$4:$AJ$4,0))))+SUMPRODUCT((Inputs!$C$5:$C$230=$B89)*ISNUMBER(INDEX(Inputs!$K$5:$AJ$230,0,MATCH(I$2,Inputs!$K$4:$AJ$4,0))))+SUMPRODUCT((Inputs!$E$5:$E$230=$B89)*ISNUMBER(INDEX(Inputs!$K$5:$AJ$230,0,MATCH(I$2,Inputs!$K$4:$AJ$4,0))))=0,NA(),SUMPRODUCT((Inputs!$A$5:$A$230=$B89)*Inputs!$B$5:$B$230*(((Inputs!$G$5:$G$230="moeda")+(Inputs!$G$5:$G$230="acoes"))*Inputs!$B$1+((Inputs!$G$5:$G$230&lt;&gt;"moeda")*(Inputs!$G$5:$G$230&lt;&gt;"acoes")))*INDEX(Inputs!$K$5:$AJ$230,0,MATCH(I$2,Inputs!$K$4:$AJ$4,0)))+SUMPRODUCT((Inputs!$C$5:$C$230=$B89)*Inputs!$D$5:$D$230*(((Inputs!$G$5:$G$230="moeda")+(Inputs!$G$5:$G$230="acoes"))*Inputs!$B$1+((Inputs!$G$5:$G$230&lt;&gt;"moeda")*(Inputs!$G$5:$G$230&lt;&gt;"acoes")))*INDEX(Inputs!$K$5:$AJ$230,0,MATCH(I$2,Inputs!$K$4:$AJ$4,0)))+SUMPRODUCT((Inputs!$E$5:$E$230=$B89)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89" s="6" t="e">
        <f>IF(ISNA(MATCH(J$2,Inputs!$K$4:$AJ$4,0)),NA(),IF(SUMPRODUCT((Inputs!$A$5:$A$230=$B89)*ISNUMBER(INDEX(Inputs!$K$5:$AJ$230,0,MATCH(J$2,Inputs!$K$4:$AJ$4,0))))+SUMPRODUCT((Inputs!$C$5:$C$230=$B89)*ISNUMBER(INDEX(Inputs!$K$5:$AJ$230,0,MATCH(J$2,Inputs!$K$4:$AJ$4,0))))+SUMPRODUCT((Inputs!$E$5:$E$230=$B89)*ISNUMBER(INDEX(Inputs!$K$5:$AJ$230,0,MATCH(J$2,Inputs!$K$4:$AJ$4,0))))=0,NA(),SUMPRODUCT((Inputs!$A$5:$A$230=$B89)*Inputs!$B$5:$B$230*(((Inputs!$G$5:$G$230="moeda")+(Inputs!$G$5:$G$230="acoes"))*Inputs!$B$1+((Inputs!$G$5:$G$230&lt;&gt;"moeda")*(Inputs!$G$5:$G$230&lt;&gt;"acoes")))*INDEX(Inputs!$K$5:$AJ$230,0,MATCH(J$2,Inputs!$K$4:$AJ$4,0)))+SUMPRODUCT((Inputs!$C$5:$C$230=$B89)*Inputs!$D$5:$D$230*(((Inputs!$G$5:$G$230="moeda")+(Inputs!$G$5:$G$230="acoes"))*Inputs!$B$1+((Inputs!$G$5:$G$230&lt;&gt;"moeda")*(Inputs!$G$5:$G$230&lt;&gt;"acoes")))*INDEX(Inputs!$K$5:$AJ$230,0,MATCH(J$2,Inputs!$K$4:$AJ$4,0)))+SUMPRODUCT((Inputs!$E$5:$E$230=$B89)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89" s="6" t="e">
        <f>IF(ISNA(MATCH(K$2,Inputs!$K$4:$AJ$4,0)),NA(),IF(SUMPRODUCT((Inputs!$A$5:$A$230=$B89)*ISNUMBER(INDEX(Inputs!$K$5:$AJ$230,0,MATCH(K$2,Inputs!$K$4:$AJ$4,0))))+SUMPRODUCT((Inputs!$C$5:$C$230=$B89)*ISNUMBER(INDEX(Inputs!$K$5:$AJ$230,0,MATCH(K$2,Inputs!$K$4:$AJ$4,0))))+SUMPRODUCT((Inputs!$E$5:$E$230=$B89)*ISNUMBER(INDEX(Inputs!$K$5:$AJ$230,0,MATCH(K$2,Inputs!$K$4:$AJ$4,0))))=0,NA(),SUMPRODUCT((Inputs!$A$5:$A$230=$B89)*Inputs!$B$5:$B$230*(((Inputs!$G$5:$G$230="moeda")+(Inputs!$G$5:$G$230="acoes"))*Inputs!$B$1+((Inputs!$G$5:$G$230&lt;&gt;"moeda")*(Inputs!$G$5:$G$230&lt;&gt;"acoes")))*INDEX(Inputs!$K$5:$AJ$230,0,MATCH(K$2,Inputs!$K$4:$AJ$4,0)))+SUMPRODUCT((Inputs!$C$5:$C$230=$B89)*Inputs!$D$5:$D$230*(((Inputs!$G$5:$G$230="moeda")+(Inputs!$G$5:$G$230="acoes"))*Inputs!$B$1+((Inputs!$G$5:$G$230&lt;&gt;"moeda")*(Inputs!$G$5:$G$230&lt;&gt;"acoes")))*INDEX(Inputs!$K$5:$AJ$230,0,MATCH(K$2,Inputs!$K$4:$AJ$4,0)))+SUMPRODUCT((Inputs!$E$5:$E$230=$B89)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89" s="6" t="e">
        <f>IF(ISNA(MATCH(L$2,Inputs!$K$4:$AJ$4,0)),NA(),IF(SUMPRODUCT((Inputs!$A$5:$A$230=$B89)*ISNUMBER(INDEX(Inputs!$K$5:$AJ$230,0,MATCH(L$2,Inputs!$K$4:$AJ$4,0))))+SUMPRODUCT((Inputs!$C$5:$C$230=$B89)*ISNUMBER(INDEX(Inputs!$K$5:$AJ$230,0,MATCH(L$2,Inputs!$K$4:$AJ$4,0))))+SUMPRODUCT((Inputs!$E$5:$E$230=$B89)*ISNUMBER(INDEX(Inputs!$K$5:$AJ$230,0,MATCH(L$2,Inputs!$K$4:$AJ$4,0))))=0,NA(),SUMPRODUCT((Inputs!$A$5:$A$230=$B89)*Inputs!$B$5:$B$230*(((Inputs!$G$5:$G$230="moeda")+(Inputs!$G$5:$G$230="acoes"))*Inputs!$B$1+((Inputs!$G$5:$G$230&lt;&gt;"moeda")*(Inputs!$G$5:$G$230&lt;&gt;"acoes")))*INDEX(Inputs!$K$5:$AJ$230,0,MATCH(L$2,Inputs!$K$4:$AJ$4,0)))+SUMPRODUCT((Inputs!$C$5:$C$230=$B89)*Inputs!$D$5:$D$230*(((Inputs!$G$5:$G$230="moeda")+(Inputs!$G$5:$G$230="acoes"))*Inputs!$B$1+((Inputs!$G$5:$G$230&lt;&gt;"moeda")*(Inputs!$G$5:$G$230&lt;&gt;"acoes")))*INDEX(Inputs!$K$5:$AJ$230,0,MATCH(L$2,Inputs!$K$4:$AJ$4,0)))+SUMPRODUCT((Inputs!$E$5:$E$230=$B89)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89" s="3" t="e">
        <f>SUM(I89:L89)</f>
        <v>#N/A</v>
      </c>
      <c r="N89" s="6" t="e">
        <f>IF(ISNA(MATCH(N$2,Inputs!$K$4:$AJ$4,0)),NA(),IF(SUMPRODUCT((Inputs!$A$5:$A$230=$B89)*ISNUMBER(INDEX(Inputs!$K$5:$AJ$230,0,MATCH(N$2,Inputs!$K$4:$AJ$4,0))))+SUMPRODUCT((Inputs!$C$5:$C$230=$B89)*ISNUMBER(INDEX(Inputs!$K$5:$AJ$230,0,MATCH(N$2,Inputs!$K$4:$AJ$4,0))))+SUMPRODUCT((Inputs!$E$5:$E$230=$B89)*ISNUMBER(INDEX(Inputs!$K$5:$AJ$230,0,MATCH(N$2,Inputs!$K$4:$AJ$4,0))))=0,NA(),SUMPRODUCT((Inputs!$A$5:$A$230=$B89)*Inputs!$B$5:$B$230*(((Inputs!$G$5:$G$230="moeda")+(Inputs!$G$5:$G$230="acoes"))*Inputs!$B$1+((Inputs!$G$5:$G$230&lt;&gt;"moeda")*(Inputs!$G$5:$G$230&lt;&gt;"acoes")))*INDEX(Inputs!$K$5:$AJ$230,0,MATCH(N$2,Inputs!$K$4:$AJ$4,0)))+SUMPRODUCT((Inputs!$C$5:$C$230=$B89)*Inputs!$D$5:$D$230*(((Inputs!$G$5:$G$230="moeda")+(Inputs!$G$5:$G$230="acoes"))*Inputs!$B$1+((Inputs!$G$5:$G$230&lt;&gt;"moeda")*(Inputs!$G$5:$G$230&lt;&gt;"acoes")))*INDEX(Inputs!$K$5:$AJ$230,0,MATCH(N$2,Inputs!$K$4:$AJ$4,0)))+SUMPRODUCT((Inputs!$E$5:$E$230=$B89)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89" s="6" t="e">
        <f>IF(ISNA(MATCH(O$2,Inputs!$K$4:$AJ$4,0)),NA(),IF(SUMPRODUCT((Inputs!$A$5:$A$230=$B89)*ISNUMBER(INDEX(Inputs!$K$5:$AJ$230,0,MATCH(O$2,Inputs!$K$4:$AJ$4,0))))+SUMPRODUCT((Inputs!$C$5:$C$230=$B89)*ISNUMBER(INDEX(Inputs!$K$5:$AJ$230,0,MATCH(O$2,Inputs!$K$4:$AJ$4,0))))+SUMPRODUCT((Inputs!$E$5:$E$230=$B89)*ISNUMBER(INDEX(Inputs!$K$5:$AJ$230,0,MATCH(O$2,Inputs!$K$4:$AJ$4,0))))=0,NA(),SUMPRODUCT((Inputs!$A$5:$A$230=$B89)*Inputs!$B$5:$B$230*(((Inputs!$G$5:$G$230="moeda")+(Inputs!$G$5:$G$230="acoes"))*Inputs!$B$1+((Inputs!$G$5:$G$230&lt;&gt;"moeda")*(Inputs!$G$5:$G$230&lt;&gt;"acoes")))*INDEX(Inputs!$K$5:$AJ$230,0,MATCH(O$2,Inputs!$K$4:$AJ$4,0)))+SUMPRODUCT((Inputs!$C$5:$C$230=$B89)*Inputs!$D$5:$D$230*(((Inputs!$G$5:$G$230="moeda")+(Inputs!$G$5:$G$230="acoes"))*Inputs!$B$1+((Inputs!$G$5:$G$230&lt;&gt;"moeda")*(Inputs!$G$5:$G$230&lt;&gt;"acoes")))*INDEX(Inputs!$K$5:$AJ$230,0,MATCH(O$2,Inputs!$K$4:$AJ$4,0)))+SUMPRODUCT((Inputs!$E$5:$E$230=$B89)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89" s="6" t="e">
        <f>IF(ISNA(MATCH(P$2,Inputs!$K$4:$AJ$4,0)),NA(),IF(SUMPRODUCT((Inputs!$A$5:$A$230=$B89)*ISNUMBER(INDEX(Inputs!$K$5:$AJ$230,0,MATCH(P$2,Inputs!$K$4:$AJ$4,0))))+SUMPRODUCT((Inputs!$C$5:$C$230=$B89)*ISNUMBER(INDEX(Inputs!$K$5:$AJ$230,0,MATCH(P$2,Inputs!$K$4:$AJ$4,0))))+SUMPRODUCT((Inputs!$E$5:$E$230=$B89)*ISNUMBER(INDEX(Inputs!$K$5:$AJ$230,0,MATCH(P$2,Inputs!$K$4:$AJ$4,0))))=0,NA(),SUMPRODUCT((Inputs!$A$5:$A$230=$B89)*Inputs!$B$5:$B$230*(((Inputs!$G$5:$G$230="moeda")+(Inputs!$G$5:$G$230="acoes"))*Inputs!$B$1+((Inputs!$G$5:$G$230&lt;&gt;"moeda")*(Inputs!$G$5:$G$230&lt;&gt;"acoes")))*INDEX(Inputs!$K$5:$AJ$230,0,MATCH(P$2,Inputs!$K$4:$AJ$4,0)))+SUMPRODUCT((Inputs!$C$5:$C$230=$B89)*Inputs!$D$5:$D$230*(((Inputs!$G$5:$G$230="moeda")+(Inputs!$G$5:$G$230="acoes"))*Inputs!$B$1+((Inputs!$G$5:$G$230&lt;&gt;"moeda")*(Inputs!$G$5:$G$230&lt;&gt;"acoes")))*INDEX(Inputs!$K$5:$AJ$230,0,MATCH(P$2,Inputs!$K$4:$AJ$4,0)))+SUMPRODUCT((Inputs!$E$5:$E$230=$B89)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89" s="6" t="e">
        <f>IF(ISNA(MATCH(Q$2,Inputs!$K$4:$AJ$4,0)),NA(),IF(SUMPRODUCT((Inputs!$A$5:$A$230=$B89)*ISNUMBER(INDEX(Inputs!$K$5:$AJ$230,0,MATCH(Q$2,Inputs!$K$4:$AJ$4,0))))+SUMPRODUCT((Inputs!$C$5:$C$230=$B89)*ISNUMBER(INDEX(Inputs!$K$5:$AJ$230,0,MATCH(Q$2,Inputs!$K$4:$AJ$4,0))))+SUMPRODUCT((Inputs!$E$5:$E$230=$B89)*ISNUMBER(INDEX(Inputs!$K$5:$AJ$230,0,MATCH(Q$2,Inputs!$K$4:$AJ$4,0))))=0,NA(),SUMPRODUCT((Inputs!$A$5:$A$230=$B89)*Inputs!$B$5:$B$230*(((Inputs!$G$5:$G$230="moeda")+(Inputs!$G$5:$G$230="acoes"))*Inputs!$B$1+((Inputs!$G$5:$G$230&lt;&gt;"moeda")*(Inputs!$G$5:$G$230&lt;&gt;"acoes")))*INDEX(Inputs!$K$5:$AJ$230,0,MATCH(Q$2,Inputs!$K$4:$AJ$4,0)))+SUMPRODUCT((Inputs!$C$5:$C$230=$B89)*Inputs!$D$5:$D$230*(((Inputs!$G$5:$G$230="moeda")+(Inputs!$G$5:$G$230="acoes"))*Inputs!$B$1+((Inputs!$G$5:$G$230&lt;&gt;"moeda")*(Inputs!$G$5:$G$230&lt;&gt;"acoes")))*INDEX(Inputs!$K$5:$AJ$230,0,MATCH(Q$2,Inputs!$K$4:$AJ$4,0)))+SUMPRODUCT((Inputs!$E$5:$E$230=$B89)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89" s="3" t="e">
        <f>SUM(N89:Q89)</f>
        <v>#N/A</v>
      </c>
      <c r="S89" s="6" t="e">
        <f>IF(ISNA(MATCH(S$2,Inputs!$K$4:$AJ$4,0)),NA(),IF(SUMPRODUCT((Inputs!$A$5:$A$230=$B89)*ISNUMBER(INDEX(Inputs!$K$5:$AJ$230,0,MATCH(S$2,Inputs!$K$4:$AJ$4,0))))+SUMPRODUCT((Inputs!$C$5:$C$230=$B89)*ISNUMBER(INDEX(Inputs!$K$5:$AJ$230,0,MATCH(S$2,Inputs!$K$4:$AJ$4,0))))+SUMPRODUCT((Inputs!$E$5:$E$230=$B89)*ISNUMBER(INDEX(Inputs!$K$5:$AJ$230,0,MATCH(S$2,Inputs!$K$4:$AJ$4,0))))=0,NA(),SUMPRODUCT((Inputs!$A$5:$A$230=$B89)*Inputs!$B$5:$B$230*(((Inputs!$G$5:$G$230="moeda")+(Inputs!$G$5:$G$230="acoes"))*Inputs!$B$1+((Inputs!$G$5:$G$230&lt;&gt;"moeda")*(Inputs!$G$5:$G$230&lt;&gt;"acoes")))*INDEX(Inputs!$K$5:$AJ$230,0,MATCH(S$2,Inputs!$K$4:$AJ$4,0)))+SUMPRODUCT((Inputs!$C$5:$C$230=$B89)*Inputs!$D$5:$D$230*(((Inputs!$G$5:$G$230="moeda")+(Inputs!$G$5:$G$230="acoes"))*Inputs!$B$1+((Inputs!$G$5:$G$230&lt;&gt;"moeda")*(Inputs!$G$5:$G$230&lt;&gt;"acoes")))*INDEX(Inputs!$K$5:$AJ$230,0,MATCH(S$2,Inputs!$K$4:$AJ$4,0)))+SUMPRODUCT((Inputs!$E$5:$E$230=$B89)*Inputs!$F$5:$F$230*(((Inputs!$G$5:$G$230="moeda")+(Inputs!$G$5:$G$230="acoes"))*Inputs!$B$1+((Inputs!$G$5:$G$230&lt;&gt;"moeda")*(Inputs!$G$5:$G$230&lt;&gt;"acoes")))*INDEX(Inputs!$K$5:$AJ$230,0,MATCH(S$2,Inputs!$K$4:$AJ$4,0)))))</f>
        <v>#N/A</v>
      </c>
      <c r="T89" s="6" t="e">
        <f>IF(ISNA(MATCH(T$2,Inputs!$K$4:$AJ$4,0)),NA(),IF(SUMPRODUCT((Inputs!$A$5:$A$230=$B89)*ISNUMBER(INDEX(Inputs!$K$5:$AJ$230,0,MATCH(T$2,Inputs!$K$4:$AJ$4,0))))+SUMPRODUCT((Inputs!$C$5:$C$230=$B89)*ISNUMBER(INDEX(Inputs!$K$5:$AJ$230,0,MATCH(T$2,Inputs!$K$4:$AJ$4,0))))+SUMPRODUCT((Inputs!$E$5:$E$230=$B89)*ISNUMBER(INDEX(Inputs!$K$5:$AJ$230,0,MATCH(T$2,Inputs!$K$4:$AJ$4,0))))=0,NA(),SUMPRODUCT((Inputs!$A$5:$A$230=$B89)*Inputs!$B$5:$B$230*(((Inputs!$G$5:$G$230="moeda")+(Inputs!$G$5:$G$230="acoes"))*Inputs!$B$1+((Inputs!$G$5:$G$230&lt;&gt;"moeda")*(Inputs!$G$5:$G$230&lt;&gt;"acoes")))*INDEX(Inputs!$K$5:$AJ$230,0,MATCH(T$2,Inputs!$K$4:$AJ$4,0)))+SUMPRODUCT((Inputs!$C$5:$C$230=$B89)*Inputs!$D$5:$D$230*(((Inputs!$G$5:$G$230="moeda")+(Inputs!$G$5:$G$230="acoes"))*Inputs!$B$1+((Inputs!$G$5:$G$230&lt;&gt;"moeda")*(Inputs!$G$5:$G$230&lt;&gt;"acoes")))*INDEX(Inputs!$K$5:$AJ$230,0,MATCH(T$2,Inputs!$K$4:$AJ$4,0)))+SUMPRODUCT((Inputs!$E$5:$E$230=$B89)*Inputs!$F$5:$F$230*(((Inputs!$G$5:$G$230="moeda")+(Inputs!$G$5:$G$230="acoes"))*Inputs!$B$1+((Inputs!$G$5:$G$230&lt;&gt;"moeda")*(Inputs!$G$5:$G$230&lt;&gt;"acoes")))*INDEX(Inputs!$K$5:$AJ$230,0,MATCH(T$2,Inputs!$K$4:$AJ$4,0)))))</f>
        <v>#N/A</v>
      </c>
      <c r="U89" s="6">
        <f>IF(ISNA(MATCH(U$2,Inputs!$K$4:$AJ$4,0)),NA(),IF(SUMPRODUCT((Inputs!$A$5:$A$230=$B89)*ISNUMBER(INDEX(Inputs!$K$5:$AJ$230,0,MATCH(U$2,Inputs!$K$4:$AJ$4,0))))+SUMPRODUCT((Inputs!$C$5:$C$230=$B89)*ISNUMBER(INDEX(Inputs!$K$5:$AJ$230,0,MATCH(U$2,Inputs!$K$4:$AJ$4,0))))+SUMPRODUCT((Inputs!$E$5:$E$230=$B89)*ISNUMBER(INDEX(Inputs!$K$5:$AJ$230,0,MATCH(U$2,Inputs!$K$4:$AJ$4,0))))=0,NA(),SUMPRODUCT((Inputs!$A$5:$A$230=$B89)*Inputs!$B$5:$B$230*(((Inputs!$G$5:$G$230="moeda")+(Inputs!$G$5:$G$230="acoes"))*Inputs!$B$1+((Inputs!$G$5:$G$230&lt;&gt;"moeda")*(Inputs!$G$5:$G$230&lt;&gt;"acoes")))*INDEX(Inputs!$K$5:$AJ$230,0,MATCH(U$2,Inputs!$K$4:$AJ$4,0)))+SUMPRODUCT((Inputs!$C$5:$C$230=$B89)*Inputs!$D$5:$D$230*(((Inputs!$G$5:$G$230="moeda")+(Inputs!$G$5:$G$230="acoes"))*Inputs!$B$1+((Inputs!$G$5:$G$230&lt;&gt;"moeda")*(Inputs!$G$5:$G$230&lt;&gt;"acoes")))*INDEX(Inputs!$K$5:$AJ$230,0,MATCH(U$2,Inputs!$K$4:$AJ$4,0)))+SUMPRODUCT((Inputs!$E$5:$E$230=$B89)*Inputs!$F$5:$F$230*(((Inputs!$G$5:$G$230="moeda")+(Inputs!$G$5:$G$230="acoes"))*Inputs!$B$1+((Inputs!$G$5:$G$230&lt;&gt;"moeda")*(Inputs!$G$5:$G$230&lt;&gt;"acoes")))*INDEX(Inputs!$K$5:$AJ$230,0,MATCH(U$2,Inputs!$K$4:$AJ$4,0)))))</f>
        <v>0</v>
      </c>
      <c r="V89" s="6">
        <f>IF(ISNA(MATCH(V$2,Inputs!$K$4:$AJ$4,0)),NA(),IF(SUMPRODUCT((Inputs!$A$5:$A$230=$B89)*ISNUMBER(INDEX(Inputs!$K$5:$AJ$230,0,MATCH(V$2,Inputs!$K$4:$AJ$4,0))))+SUMPRODUCT((Inputs!$C$5:$C$230=$B89)*ISNUMBER(INDEX(Inputs!$K$5:$AJ$230,0,MATCH(V$2,Inputs!$K$4:$AJ$4,0))))+SUMPRODUCT((Inputs!$E$5:$E$230=$B89)*ISNUMBER(INDEX(Inputs!$K$5:$AJ$230,0,MATCH(V$2,Inputs!$K$4:$AJ$4,0))))=0,NA(),SUMPRODUCT((Inputs!$A$5:$A$230=$B89)*Inputs!$B$5:$B$230*(((Inputs!$G$5:$G$230="moeda")+(Inputs!$G$5:$G$230="acoes"))*Inputs!$B$1+((Inputs!$G$5:$G$230&lt;&gt;"moeda")*(Inputs!$G$5:$G$230&lt;&gt;"acoes")))*INDEX(Inputs!$K$5:$AJ$230,0,MATCH(V$2,Inputs!$K$4:$AJ$4,0)))+SUMPRODUCT((Inputs!$C$5:$C$230=$B89)*Inputs!$D$5:$D$230*(((Inputs!$G$5:$G$230="moeda")+(Inputs!$G$5:$G$230="acoes"))*Inputs!$B$1+((Inputs!$G$5:$G$230&lt;&gt;"moeda")*(Inputs!$G$5:$G$230&lt;&gt;"acoes")))*INDEX(Inputs!$K$5:$AJ$230,0,MATCH(V$2,Inputs!$K$4:$AJ$4,0)))+SUMPRODUCT((Inputs!$E$5:$E$230=$B89)*Inputs!$F$5:$F$230*(((Inputs!$G$5:$G$230="moeda")+(Inputs!$G$5:$G$230="acoes"))*Inputs!$B$1+((Inputs!$G$5:$G$230&lt;&gt;"moeda")*(Inputs!$G$5:$G$230&lt;&gt;"acoes")))*INDEX(Inputs!$K$5:$AJ$230,0,MATCH(V$2,Inputs!$K$4:$AJ$4,0)))))</f>
        <v>51.793</v>
      </c>
      <c r="W89" s="3" t="e">
        <f>SUM(S89:V89)</f>
        <v>#N/A</v>
      </c>
      <c r="X89" s="6">
        <f>IF(ISNA(MATCH(X$2,Inputs!$K$4:$AJ$4,0)),NA(),IF(SUMPRODUCT((Inputs!$A$5:$A$230=$B89)*ISNUMBER(INDEX(Inputs!$K$5:$AJ$230,0,MATCH(X$2,Inputs!$K$4:$AJ$4,0))))+SUMPRODUCT((Inputs!$C$5:$C$230=$B89)*ISNUMBER(INDEX(Inputs!$K$5:$AJ$230,0,MATCH(X$2,Inputs!$K$4:$AJ$4,0))))+SUMPRODUCT((Inputs!$E$5:$E$230=$B89)*ISNUMBER(INDEX(Inputs!$K$5:$AJ$230,0,MATCH(X$2,Inputs!$K$4:$AJ$4,0))))=0,NA(),SUMPRODUCT((Inputs!$A$5:$A$230=$B89)*Inputs!$B$5:$B$230*(((Inputs!$G$5:$G$230="moeda")+(Inputs!$G$5:$G$230="acoes"))*Inputs!$B$1+((Inputs!$G$5:$G$230&lt;&gt;"moeda")*(Inputs!$G$5:$G$230&lt;&gt;"acoes")))*INDEX(Inputs!$K$5:$AJ$230,0,MATCH(X$2,Inputs!$K$4:$AJ$4,0)))+SUMPRODUCT((Inputs!$C$5:$C$230=$B89)*Inputs!$D$5:$D$230*(((Inputs!$G$5:$G$230="moeda")+(Inputs!$G$5:$G$230="acoes"))*Inputs!$B$1+((Inputs!$G$5:$G$230&lt;&gt;"moeda")*(Inputs!$G$5:$G$230&lt;&gt;"acoes")))*INDEX(Inputs!$K$5:$AJ$230,0,MATCH(X$2,Inputs!$K$4:$AJ$4,0)))+SUMPRODUCT((Inputs!$E$5:$E$230=$B89)*Inputs!$F$5:$F$230*(((Inputs!$G$5:$G$230="moeda")+(Inputs!$G$5:$G$230="acoes"))*Inputs!$B$1+((Inputs!$G$5:$G$230&lt;&gt;"moeda")*(Inputs!$G$5:$G$230&lt;&gt;"acoes")))*INDEX(Inputs!$K$5:$AJ$230,0,MATCH(X$2,Inputs!$K$4:$AJ$4,0)))))</f>
        <v>0.502</v>
      </c>
      <c r="Y89" s="6">
        <f>IF(ISNA(MATCH(Y$2,Inputs!$K$4:$AJ$4,0)),NA(),IF(SUMPRODUCT((Inputs!$A$5:$A$230=$B89)*ISNUMBER(INDEX(Inputs!$K$5:$AJ$230,0,MATCH(Y$2,Inputs!$K$4:$AJ$4,0))))+SUMPRODUCT((Inputs!$C$5:$C$230=$B89)*ISNUMBER(INDEX(Inputs!$K$5:$AJ$230,0,MATCH(Y$2,Inputs!$K$4:$AJ$4,0))))+SUMPRODUCT((Inputs!$E$5:$E$230=$B89)*ISNUMBER(INDEX(Inputs!$K$5:$AJ$230,0,MATCH(Y$2,Inputs!$K$4:$AJ$4,0))))=0,NA(),SUMPRODUCT((Inputs!$A$5:$A$230=$B89)*Inputs!$B$5:$B$230*(((Inputs!$G$5:$G$230="moeda")+(Inputs!$G$5:$G$230="acoes"))*Inputs!$B$1+((Inputs!$G$5:$G$230&lt;&gt;"moeda")*(Inputs!$G$5:$G$230&lt;&gt;"acoes")))*INDEX(Inputs!$K$5:$AJ$230,0,MATCH(Y$2,Inputs!$K$4:$AJ$4,0)))+SUMPRODUCT((Inputs!$C$5:$C$230=$B89)*Inputs!$D$5:$D$230*(((Inputs!$G$5:$G$230="moeda")+(Inputs!$G$5:$G$230="acoes"))*Inputs!$B$1+((Inputs!$G$5:$G$230&lt;&gt;"moeda")*(Inputs!$G$5:$G$230&lt;&gt;"acoes")))*INDEX(Inputs!$K$5:$AJ$230,0,MATCH(Y$2,Inputs!$K$4:$AJ$4,0)))+SUMPRODUCT((Inputs!$E$5:$E$230=$B89)*Inputs!$F$5:$F$230*(((Inputs!$G$5:$G$230="moeda")+(Inputs!$G$5:$G$230="acoes"))*Inputs!$B$1+((Inputs!$G$5:$G$230&lt;&gt;"moeda")*(Inputs!$G$5:$G$230&lt;&gt;"acoes")))*INDEX(Inputs!$K$5:$AJ$230,0,MATCH(Y$2,Inputs!$K$4:$AJ$4,0)))))</f>
        <v>2.806</v>
      </c>
      <c r="Z89" s="6">
        <f>IF(ISNA(MATCH(Z$2,Inputs!$K$4:$AJ$4,0)),NA(),IF(SUMPRODUCT((Inputs!$A$5:$A$230=$B89)*ISNUMBER(INDEX(Inputs!$K$5:$AJ$230,0,MATCH(Z$2,Inputs!$K$4:$AJ$4,0))))+SUMPRODUCT((Inputs!$C$5:$C$230=$B89)*ISNUMBER(INDEX(Inputs!$K$5:$AJ$230,0,MATCH(Z$2,Inputs!$K$4:$AJ$4,0))))+SUMPRODUCT((Inputs!$E$5:$E$230=$B89)*ISNUMBER(INDEX(Inputs!$K$5:$AJ$230,0,MATCH(Z$2,Inputs!$K$4:$AJ$4,0))))=0,NA(),SUMPRODUCT((Inputs!$A$5:$A$230=$B89)*Inputs!$B$5:$B$230*(((Inputs!$G$5:$G$230="moeda")+(Inputs!$G$5:$G$230="acoes"))*Inputs!$B$1+((Inputs!$G$5:$G$230&lt;&gt;"moeda")*(Inputs!$G$5:$G$230&lt;&gt;"acoes")))*INDEX(Inputs!$K$5:$AJ$230,0,MATCH(Z$2,Inputs!$K$4:$AJ$4,0)))+SUMPRODUCT((Inputs!$C$5:$C$230=$B89)*Inputs!$D$5:$D$230*(((Inputs!$G$5:$G$230="moeda")+(Inputs!$G$5:$G$230="acoes"))*Inputs!$B$1+((Inputs!$G$5:$G$230&lt;&gt;"moeda")*(Inputs!$G$5:$G$230&lt;&gt;"acoes")))*INDEX(Inputs!$K$5:$AJ$230,0,MATCH(Z$2,Inputs!$K$4:$AJ$4,0)))+SUMPRODUCT((Inputs!$E$5:$E$230=$B89)*Inputs!$F$5:$F$230*(((Inputs!$G$5:$G$230="moeda")+(Inputs!$G$5:$G$230="acoes"))*Inputs!$B$1+((Inputs!$G$5:$G$230&lt;&gt;"moeda")*(Inputs!$G$5:$G$230&lt;&gt;"acoes")))*INDEX(Inputs!$K$5:$AJ$230,0,MATCH(Z$2,Inputs!$K$4:$AJ$4,0)))))</f>
        <v>8.948</v>
      </c>
      <c r="AA89" s="6">
        <f>IF(ISNA(MATCH(AA$2,Inputs!$K$4:$AJ$4,0)),NA(),IF(SUMPRODUCT((Inputs!$A$5:$A$230=$B89)*ISNUMBER(INDEX(Inputs!$K$5:$AJ$230,0,MATCH(AA$2,Inputs!$K$4:$AJ$4,0))))+SUMPRODUCT((Inputs!$C$5:$C$230=$B89)*ISNUMBER(INDEX(Inputs!$K$5:$AJ$230,0,MATCH(AA$2,Inputs!$K$4:$AJ$4,0))))+SUMPRODUCT((Inputs!$E$5:$E$230=$B89)*ISNUMBER(INDEX(Inputs!$K$5:$AJ$230,0,MATCH(AA$2,Inputs!$K$4:$AJ$4,0))))=0,NA(),SUMPRODUCT((Inputs!$A$5:$A$230=$B89)*Inputs!$B$5:$B$230*(((Inputs!$G$5:$G$230="moeda")+(Inputs!$G$5:$G$230="acoes"))*Inputs!$B$1+((Inputs!$G$5:$G$230&lt;&gt;"moeda")*(Inputs!$G$5:$G$230&lt;&gt;"acoes")))*INDEX(Inputs!$K$5:$AJ$230,0,MATCH(AA$2,Inputs!$K$4:$AJ$4,0)))+SUMPRODUCT((Inputs!$C$5:$C$230=$B89)*Inputs!$D$5:$D$230*(((Inputs!$G$5:$G$230="moeda")+(Inputs!$G$5:$G$230="acoes"))*Inputs!$B$1+((Inputs!$G$5:$G$230&lt;&gt;"moeda")*(Inputs!$G$5:$G$230&lt;&gt;"acoes")))*INDEX(Inputs!$K$5:$AJ$230,0,MATCH(AA$2,Inputs!$K$4:$AJ$4,0)))+SUMPRODUCT((Inputs!$E$5:$E$230=$B89)*Inputs!$F$5:$F$230*(((Inputs!$G$5:$G$230="moeda")+(Inputs!$G$5:$G$230="acoes"))*Inputs!$B$1+((Inputs!$G$5:$G$230&lt;&gt;"moeda")*(Inputs!$G$5:$G$230&lt;&gt;"acoes")))*INDEX(Inputs!$K$5:$AJ$230,0,MATCH(AA$2,Inputs!$K$4:$AJ$4,0)))))</f>
        <v>12.498</v>
      </c>
      <c r="AB89" s="3">
        <f>SUM(X89:AA89)</f>
        <v>24.754</v>
      </c>
      <c r="AC89" s="6">
        <f>IF(ISNA(MATCH(AC$2,Inputs!$K$4:$AJ$4,0)),NA(),IF(SUMPRODUCT((Inputs!$A$5:$A$230=$B89)*ISNUMBER(INDEX(Inputs!$K$5:$AJ$230,0,MATCH(AC$2,Inputs!$K$4:$AJ$4,0))))+SUMPRODUCT((Inputs!$C$5:$C$230=$B89)*ISNUMBER(INDEX(Inputs!$K$5:$AJ$230,0,MATCH(AC$2,Inputs!$K$4:$AJ$4,0))))+SUMPRODUCT((Inputs!$E$5:$E$230=$B89)*ISNUMBER(INDEX(Inputs!$K$5:$AJ$230,0,MATCH(AC$2,Inputs!$K$4:$AJ$4,0))))=0,NA(),SUMPRODUCT((Inputs!$A$5:$A$230=$B89)*Inputs!$B$5:$B$230*(((Inputs!$G$5:$G$230="moeda")+(Inputs!$G$5:$G$230="acoes"))*Inputs!$B$1+((Inputs!$G$5:$G$230&lt;&gt;"moeda")*(Inputs!$G$5:$G$230&lt;&gt;"acoes")))*INDEX(Inputs!$K$5:$AJ$230,0,MATCH(AC$2,Inputs!$K$4:$AJ$4,0)))+SUMPRODUCT((Inputs!$C$5:$C$230=$B89)*Inputs!$D$5:$D$230*(((Inputs!$G$5:$G$230="moeda")+(Inputs!$G$5:$G$230="acoes"))*Inputs!$B$1+((Inputs!$G$5:$G$230&lt;&gt;"moeda")*(Inputs!$G$5:$G$230&lt;&gt;"acoes")))*INDEX(Inputs!$K$5:$AJ$230,0,MATCH(AC$2,Inputs!$K$4:$AJ$4,0)))+SUMPRODUCT((Inputs!$E$5:$E$230=$B89)*Inputs!$F$5:$F$230*(((Inputs!$G$5:$G$230="moeda")+(Inputs!$G$5:$G$230="acoes"))*Inputs!$B$1+((Inputs!$G$5:$G$230&lt;&gt;"moeda")*(Inputs!$G$5:$G$230&lt;&gt;"acoes")))*INDEX(Inputs!$K$5:$AJ$230,0,MATCH(AC$2,Inputs!$K$4:$AJ$4,0)))))</f>
        <v>10.483</v>
      </c>
      <c r="AD89" s="6">
        <f>IF(ISNA(MATCH(AD$2,Inputs!$K$4:$AJ$4,0)),NA(),IF(SUMPRODUCT((Inputs!$A$5:$A$230=$B89)*ISNUMBER(INDEX(Inputs!$K$5:$AJ$230,0,MATCH(AD$2,Inputs!$K$4:$AJ$4,0))))+SUMPRODUCT((Inputs!$C$5:$C$230=$B89)*ISNUMBER(INDEX(Inputs!$K$5:$AJ$230,0,MATCH(AD$2,Inputs!$K$4:$AJ$4,0))))+SUMPRODUCT((Inputs!$E$5:$E$230=$B89)*ISNUMBER(INDEX(Inputs!$K$5:$AJ$230,0,MATCH(AD$2,Inputs!$K$4:$AJ$4,0))))=0,NA(),SUMPRODUCT((Inputs!$A$5:$A$230=$B89)*Inputs!$B$5:$B$230*(((Inputs!$G$5:$G$230="moeda")+(Inputs!$G$5:$G$230="acoes"))*Inputs!$B$1+((Inputs!$G$5:$G$230&lt;&gt;"moeda")*(Inputs!$G$5:$G$230&lt;&gt;"acoes")))*INDEX(Inputs!$K$5:$AJ$230,0,MATCH(AD$2,Inputs!$K$4:$AJ$4,0)))+SUMPRODUCT((Inputs!$C$5:$C$230=$B89)*Inputs!$D$5:$D$230*(((Inputs!$G$5:$G$230="moeda")+(Inputs!$G$5:$G$230="acoes"))*Inputs!$B$1+((Inputs!$G$5:$G$230&lt;&gt;"moeda")*(Inputs!$G$5:$G$230&lt;&gt;"acoes")))*INDEX(Inputs!$K$5:$AJ$230,0,MATCH(AD$2,Inputs!$K$4:$AJ$4,0)))+SUMPRODUCT((Inputs!$E$5:$E$230=$B89)*Inputs!$F$5:$F$230*(((Inputs!$G$5:$G$230="moeda")+(Inputs!$G$5:$G$230="acoes"))*Inputs!$B$1+((Inputs!$G$5:$G$230&lt;&gt;"moeda")*(Inputs!$G$5:$G$230&lt;&gt;"acoes")))*INDEX(Inputs!$K$5:$AJ$230,0,MATCH(AD$2,Inputs!$K$4:$AJ$4,0)))))</f>
        <v>7.295</v>
      </c>
      <c r="AE89" s="6" t="e">
        <f>IF(ISNA(MATCH(AE$2,Inputs!$K$4:$AJ$4,0)),NA(),IF(SUMPRODUCT((Inputs!$A$5:$A$230=$B89)*ISNUMBER(INDEX(Inputs!$K$5:$AJ$230,0,MATCH(AE$2,Inputs!$K$4:$AJ$4,0))))+SUMPRODUCT((Inputs!$C$5:$C$230=$B89)*ISNUMBER(INDEX(Inputs!$K$5:$AJ$230,0,MATCH(AE$2,Inputs!$K$4:$AJ$4,0))))+SUMPRODUCT((Inputs!$E$5:$E$230=$B89)*ISNUMBER(INDEX(Inputs!$K$5:$AJ$230,0,MATCH(AE$2,Inputs!$K$4:$AJ$4,0))))=0,NA(),SUMPRODUCT((Inputs!$A$5:$A$230=$B89)*Inputs!$B$5:$B$230*(((Inputs!$G$5:$G$230="moeda")+(Inputs!$G$5:$G$230="acoes"))*Inputs!$B$1+((Inputs!$G$5:$G$230&lt;&gt;"moeda")*(Inputs!$G$5:$G$230&lt;&gt;"acoes")))*INDEX(Inputs!$K$5:$AJ$230,0,MATCH(AE$2,Inputs!$K$4:$AJ$4,0)))+SUMPRODUCT((Inputs!$C$5:$C$230=$B89)*Inputs!$D$5:$D$230*(((Inputs!$G$5:$G$230="moeda")+(Inputs!$G$5:$G$230="acoes"))*Inputs!$B$1+((Inputs!$G$5:$G$230&lt;&gt;"moeda")*(Inputs!$G$5:$G$230&lt;&gt;"acoes")))*INDEX(Inputs!$K$5:$AJ$230,0,MATCH(AE$2,Inputs!$K$4:$AJ$4,0)))+SUMPRODUCT((Inputs!$E$5:$E$230=$B89)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89" s="6" t="e">
        <f>IF(ISNA(MATCH(AF$2,Inputs!$K$4:$AJ$4,0)),NA(),IF(SUMPRODUCT((Inputs!$A$5:$A$230=$B89)*ISNUMBER(INDEX(Inputs!$K$5:$AJ$230,0,MATCH(AF$2,Inputs!$K$4:$AJ$4,0))))+SUMPRODUCT((Inputs!$C$5:$C$230=$B89)*ISNUMBER(INDEX(Inputs!$K$5:$AJ$230,0,MATCH(AF$2,Inputs!$K$4:$AJ$4,0))))+SUMPRODUCT((Inputs!$E$5:$E$230=$B89)*ISNUMBER(INDEX(Inputs!$K$5:$AJ$230,0,MATCH(AF$2,Inputs!$K$4:$AJ$4,0))))=0,NA(),SUMPRODUCT((Inputs!$A$5:$A$230=$B89)*Inputs!$B$5:$B$230*(((Inputs!$G$5:$G$230="moeda")+(Inputs!$G$5:$G$230="acoes"))*Inputs!$B$1+((Inputs!$G$5:$G$230&lt;&gt;"moeda")*(Inputs!$G$5:$G$230&lt;&gt;"acoes")))*INDEX(Inputs!$K$5:$AJ$230,0,MATCH(AF$2,Inputs!$K$4:$AJ$4,0)))+SUMPRODUCT((Inputs!$C$5:$C$230=$B89)*Inputs!$D$5:$D$230*(((Inputs!$G$5:$G$230="moeda")+(Inputs!$G$5:$G$230="acoes"))*Inputs!$B$1+((Inputs!$G$5:$G$230&lt;&gt;"moeda")*(Inputs!$G$5:$G$230&lt;&gt;"acoes")))*INDEX(Inputs!$K$5:$AJ$230,0,MATCH(AF$2,Inputs!$K$4:$AJ$4,0)))+SUMPRODUCT((Inputs!$E$5:$E$230=$B89)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89" s="3" t="e">
        <f>SUM(AC89:AF89)</f>
        <v>#N/A</v>
      </c>
      <c r="AH89" s="6" t="e">
        <f>IF(ISNA(MATCH(AH$2,Inputs!$K$4:$AJ$4,0)),NA(),IF(SUMPRODUCT((Inputs!$A$5:$A$230=$B89)*ISNUMBER(INDEX(Inputs!$K$5:$AJ$230,0,MATCH(AH$2,Inputs!$K$4:$AJ$4,0))))+SUMPRODUCT((Inputs!$C$5:$C$230=$B89)*ISNUMBER(INDEX(Inputs!$K$5:$AJ$230,0,MATCH(AH$2,Inputs!$K$4:$AJ$4,0))))+SUMPRODUCT((Inputs!$E$5:$E$230=$B89)*ISNUMBER(INDEX(Inputs!$K$5:$AJ$230,0,MATCH(AH$2,Inputs!$K$4:$AJ$4,0))))=0,NA(),SUMPRODUCT((Inputs!$A$5:$A$230=$B89)*Inputs!$B$5:$B$230*(((Inputs!$G$5:$G$230="moeda")+(Inputs!$G$5:$G$230="acoes"))*Inputs!$B$1+((Inputs!$G$5:$G$230&lt;&gt;"moeda")*(Inputs!$G$5:$G$230&lt;&gt;"acoes")))*INDEX(Inputs!$K$5:$AJ$230,0,MATCH(AH$2,Inputs!$K$4:$AJ$4,0)))+SUMPRODUCT((Inputs!$C$5:$C$230=$B89)*Inputs!$D$5:$D$230*(((Inputs!$G$5:$G$230="moeda")+(Inputs!$G$5:$G$230="acoes"))*Inputs!$B$1+((Inputs!$G$5:$G$230&lt;&gt;"moeda")*(Inputs!$G$5:$G$230&lt;&gt;"acoes")))*INDEX(Inputs!$K$5:$AJ$230,0,MATCH(AH$2,Inputs!$K$4:$AJ$4,0)))+SUMPRODUCT((Inputs!$E$5:$E$230=$B89)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89" s="6" t="e">
        <f>IF(ISNA(MATCH(AI$2,Inputs!$K$4:$AJ$4,0)),NA(),IF(SUMPRODUCT((Inputs!$A$5:$A$230=$B89)*ISNUMBER(INDEX(Inputs!$K$5:$AJ$230,0,MATCH(AI$2,Inputs!$K$4:$AJ$4,0))))+SUMPRODUCT((Inputs!$C$5:$C$230=$B89)*ISNUMBER(INDEX(Inputs!$K$5:$AJ$230,0,MATCH(AI$2,Inputs!$K$4:$AJ$4,0))))+SUMPRODUCT((Inputs!$E$5:$E$230=$B89)*ISNUMBER(INDEX(Inputs!$K$5:$AJ$230,0,MATCH(AI$2,Inputs!$K$4:$AJ$4,0))))=0,NA(),SUMPRODUCT((Inputs!$A$5:$A$230=$B89)*Inputs!$B$5:$B$230*(((Inputs!$G$5:$G$230="moeda")+(Inputs!$G$5:$G$230="acoes"))*Inputs!$B$1+((Inputs!$G$5:$G$230&lt;&gt;"moeda")*(Inputs!$G$5:$G$230&lt;&gt;"acoes")))*INDEX(Inputs!$K$5:$AJ$230,0,MATCH(AI$2,Inputs!$K$4:$AJ$4,0)))+SUMPRODUCT((Inputs!$C$5:$C$230=$B89)*Inputs!$D$5:$D$230*(((Inputs!$G$5:$G$230="moeda")+(Inputs!$G$5:$G$230="acoes"))*Inputs!$B$1+((Inputs!$G$5:$G$230&lt;&gt;"moeda")*(Inputs!$G$5:$G$230&lt;&gt;"acoes")))*INDEX(Inputs!$K$5:$AJ$230,0,MATCH(AI$2,Inputs!$K$4:$AJ$4,0)))+SUMPRODUCT((Inputs!$E$5:$E$230=$B89)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89" s="6" t="e">
        <f>IF(ISNA(MATCH(AJ$2,Inputs!$K$4:$AJ$4,0)),NA(),IF(SUMPRODUCT((Inputs!$A$5:$A$230=$B89)*ISNUMBER(INDEX(Inputs!$K$5:$AJ$230,0,MATCH(AJ$2,Inputs!$K$4:$AJ$4,0))))+SUMPRODUCT((Inputs!$C$5:$C$230=$B89)*ISNUMBER(INDEX(Inputs!$K$5:$AJ$230,0,MATCH(AJ$2,Inputs!$K$4:$AJ$4,0))))+SUMPRODUCT((Inputs!$E$5:$E$230=$B89)*ISNUMBER(INDEX(Inputs!$K$5:$AJ$230,0,MATCH(AJ$2,Inputs!$K$4:$AJ$4,0))))=0,NA(),SUMPRODUCT((Inputs!$A$5:$A$230=$B89)*Inputs!$B$5:$B$230*(((Inputs!$G$5:$G$230="moeda")+(Inputs!$G$5:$G$230="acoes"))*Inputs!$B$1+((Inputs!$G$5:$G$230&lt;&gt;"moeda")*(Inputs!$G$5:$G$230&lt;&gt;"acoes")))*INDEX(Inputs!$K$5:$AJ$230,0,MATCH(AJ$2,Inputs!$K$4:$AJ$4,0)))+SUMPRODUCT((Inputs!$C$5:$C$230=$B89)*Inputs!$D$5:$D$230*(((Inputs!$G$5:$G$230="moeda")+(Inputs!$G$5:$G$230="acoes"))*Inputs!$B$1+((Inputs!$G$5:$G$230&lt;&gt;"moeda")*(Inputs!$G$5:$G$230&lt;&gt;"acoes")))*INDEX(Inputs!$K$5:$AJ$230,0,MATCH(AJ$2,Inputs!$K$4:$AJ$4,0)))+SUMPRODUCT((Inputs!$E$5:$E$230=$B89)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89" s="6" t="e">
        <f>IF(ISNA(MATCH(AK$2,Inputs!$K$4:$AJ$4,0)),NA(),IF(SUMPRODUCT((Inputs!$A$5:$A$230=$B89)*ISNUMBER(INDEX(Inputs!$K$5:$AJ$230,0,MATCH(AK$2,Inputs!$K$4:$AJ$4,0))))+SUMPRODUCT((Inputs!$C$5:$C$230=$B89)*ISNUMBER(INDEX(Inputs!$K$5:$AJ$230,0,MATCH(AK$2,Inputs!$K$4:$AJ$4,0))))+SUMPRODUCT((Inputs!$E$5:$E$230=$B89)*ISNUMBER(INDEX(Inputs!$K$5:$AJ$230,0,MATCH(AK$2,Inputs!$K$4:$AJ$4,0))))=0,NA(),SUMPRODUCT((Inputs!$A$5:$A$230=$B89)*Inputs!$B$5:$B$230*(((Inputs!$G$5:$G$230="moeda")+(Inputs!$G$5:$G$230="acoes"))*Inputs!$B$1+((Inputs!$G$5:$G$230&lt;&gt;"moeda")*(Inputs!$G$5:$G$230&lt;&gt;"acoes")))*INDEX(Inputs!$K$5:$AJ$230,0,MATCH(AK$2,Inputs!$K$4:$AJ$4,0)))+SUMPRODUCT((Inputs!$C$5:$C$230=$B89)*Inputs!$D$5:$D$230*(((Inputs!$G$5:$G$230="moeda")+(Inputs!$G$5:$G$230="acoes"))*Inputs!$B$1+((Inputs!$G$5:$G$230&lt;&gt;"moeda")*(Inputs!$G$5:$G$230&lt;&gt;"acoes")))*INDEX(Inputs!$K$5:$AJ$230,0,MATCH(AK$2,Inputs!$K$4:$AJ$4,0)))+SUMPRODUCT((Inputs!$E$5:$E$230=$B89)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89" s="3" t="e">
        <f>SUM(AH89:AK89)</f>
        <v>#N/A</v>
      </c>
    </row>
    <row r="90">
      <c r="B90" s="46" t="n">
        <v>82</v>
      </c>
      <c r="C90" s="29" t="inlineStr">
        <is>
          <t>Transmissao | TBO</t>
        </is>
      </c>
      <c r="D90" s="6" t="e">
        <f>IF(ISNA(MATCH(D$2,Inputs!$K$4:$AJ$4,0)),NA(),IF(SUMPRODUCT((Inputs!$A$5:$A$230=$B90)*ISNUMBER(INDEX(Inputs!$K$5:$AJ$230,0,MATCH(D$2,Inputs!$K$4:$AJ$4,0))))+SUMPRODUCT((Inputs!$C$5:$C$230=$B90)*ISNUMBER(INDEX(Inputs!$K$5:$AJ$230,0,MATCH(D$2,Inputs!$K$4:$AJ$4,0))))+SUMPRODUCT((Inputs!$E$5:$E$230=$B90)*ISNUMBER(INDEX(Inputs!$K$5:$AJ$230,0,MATCH(D$2,Inputs!$K$4:$AJ$4,0))))=0,NA(),SUMPRODUCT((Inputs!$A$5:$A$230=$B90)*Inputs!$B$5:$B$230*(((Inputs!$G$5:$G$230="moeda")+(Inputs!$G$5:$G$230="acoes"))*Inputs!$B$1+((Inputs!$G$5:$G$230&lt;&gt;"moeda")*(Inputs!$G$5:$G$230&lt;&gt;"acoes")))*INDEX(Inputs!$K$5:$AJ$230,0,MATCH(D$2,Inputs!$K$4:$AJ$4,0)))+SUMPRODUCT((Inputs!$C$5:$C$230=$B90)*Inputs!$D$5:$D$230*(((Inputs!$G$5:$G$230="moeda")+(Inputs!$G$5:$G$230="acoes"))*Inputs!$B$1+((Inputs!$G$5:$G$230&lt;&gt;"moeda")*(Inputs!$G$5:$G$230&lt;&gt;"acoes")))*INDEX(Inputs!$K$5:$AJ$230,0,MATCH(D$2,Inputs!$K$4:$AJ$4,0)))+SUMPRODUCT((Inputs!$E$5:$E$230=$B90)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90" s="6" t="e">
        <f>IF(ISNA(MATCH(E$2,Inputs!$K$4:$AJ$4,0)),NA(),IF(SUMPRODUCT((Inputs!$A$5:$A$230=$B90)*ISNUMBER(INDEX(Inputs!$K$5:$AJ$230,0,MATCH(E$2,Inputs!$K$4:$AJ$4,0))))+SUMPRODUCT((Inputs!$C$5:$C$230=$B90)*ISNUMBER(INDEX(Inputs!$K$5:$AJ$230,0,MATCH(E$2,Inputs!$K$4:$AJ$4,0))))+SUMPRODUCT((Inputs!$E$5:$E$230=$B90)*ISNUMBER(INDEX(Inputs!$K$5:$AJ$230,0,MATCH(E$2,Inputs!$K$4:$AJ$4,0))))=0,NA(),SUMPRODUCT((Inputs!$A$5:$A$230=$B90)*Inputs!$B$5:$B$230*(((Inputs!$G$5:$G$230="moeda")+(Inputs!$G$5:$G$230="acoes"))*Inputs!$B$1+((Inputs!$G$5:$G$230&lt;&gt;"moeda")*(Inputs!$G$5:$G$230&lt;&gt;"acoes")))*INDEX(Inputs!$K$5:$AJ$230,0,MATCH(E$2,Inputs!$K$4:$AJ$4,0)))+SUMPRODUCT((Inputs!$C$5:$C$230=$B90)*Inputs!$D$5:$D$230*(((Inputs!$G$5:$G$230="moeda")+(Inputs!$G$5:$G$230="acoes"))*Inputs!$B$1+((Inputs!$G$5:$G$230&lt;&gt;"moeda")*(Inputs!$G$5:$G$230&lt;&gt;"acoes")))*INDEX(Inputs!$K$5:$AJ$230,0,MATCH(E$2,Inputs!$K$4:$AJ$4,0)))+SUMPRODUCT((Inputs!$E$5:$E$230=$B90)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90" s="6" t="e">
        <f>IF(ISNA(MATCH(F$2,Inputs!$K$4:$AJ$4,0)),NA(),IF(SUMPRODUCT((Inputs!$A$5:$A$230=$B90)*ISNUMBER(INDEX(Inputs!$K$5:$AJ$230,0,MATCH(F$2,Inputs!$K$4:$AJ$4,0))))+SUMPRODUCT((Inputs!$C$5:$C$230=$B90)*ISNUMBER(INDEX(Inputs!$K$5:$AJ$230,0,MATCH(F$2,Inputs!$K$4:$AJ$4,0))))+SUMPRODUCT((Inputs!$E$5:$E$230=$B90)*ISNUMBER(INDEX(Inputs!$K$5:$AJ$230,0,MATCH(F$2,Inputs!$K$4:$AJ$4,0))))=0,NA(),SUMPRODUCT((Inputs!$A$5:$A$230=$B90)*Inputs!$B$5:$B$230*(((Inputs!$G$5:$G$230="moeda")+(Inputs!$G$5:$G$230="acoes"))*Inputs!$B$1+((Inputs!$G$5:$G$230&lt;&gt;"moeda")*(Inputs!$G$5:$G$230&lt;&gt;"acoes")))*INDEX(Inputs!$K$5:$AJ$230,0,MATCH(F$2,Inputs!$K$4:$AJ$4,0)))+SUMPRODUCT((Inputs!$C$5:$C$230=$B90)*Inputs!$D$5:$D$230*(((Inputs!$G$5:$G$230="moeda")+(Inputs!$G$5:$G$230="acoes"))*Inputs!$B$1+((Inputs!$G$5:$G$230&lt;&gt;"moeda")*(Inputs!$G$5:$G$230&lt;&gt;"acoes")))*INDEX(Inputs!$K$5:$AJ$230,0,MATCH(F$2,Inputs!$K$4:$AJ$4,0)))+SUMPRODUCT((Inputs!$E$5:$E$230=$B90)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90" s="6" t="e">
        <f>IF(ISNA(MATCH(G$2,Inputs!$K$4:$AJ$4,0)),NA(),IF(SUMPRODUCT((Inputs!$A$5:$A$230=$B90)*ISNUMBER(INDEX(Inputs!$K$5:$AJ$230,0,MATCH(G$2,Inputs!$K$4:$AJ$4,0))))+SUMPRODUCT((Inputs!$C$5:$C$230=$B90)*ISNUMBER(INDEX(Inputs!$K$5:$AJ$230,0,MATCH(G$2,Inputs!$K$4:$AJ$4,0))))+SUMPRODUCT((Inputs!$E$5:$E$230=$B90)*ISNUMBER(INDEX(Inputs!$K$5:$AJ$230,0,MATCH(G$2,Inputs!$K$4:$AJ$4,0))))=0,NA(),SUMPRODUCT((Inputs!$A$5:$A$230=$B90)*Inputs!$B$5:$B$230*(((Inputs!$G$5:$G$230="moeda")+(Inputs!$G$5:$G$230="acoes"))*Inputs!$B$1+((Inputs!$G$5:$G$230&lt;&gt;"moeda")*(Inputs!$G$5:$G$230&lt;&gt;"acoes")))*INDEX(Inputs!$K$5:$AJ$230,0,MATCH(G$2,Inputs!$K$4:$AJ$4,0)))+SUMPRODUCT((Inputs!$C$5:$C$230=$B90)*Inputs!$D$5:$D$230*(((Inputs!$G$5:$G$230="moeda")+(Inputs!$G$5:$G$230="acoes"))*Inputs!$B$1+((Inputs!$G$5:$G$230&lt;&gt;"moeda")*(Inputs!$G$5:$G$230&lt;&gt;"acoes")))*INDEX(Inputs!$K$5:$AJ$230,0,MATCH(G$2,Inputs!$K$4:$AJ$4,0)))+SUMPRODUCT((Inputs!$E$5:$E$230=$B90)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90" s="3" t="e">
        <f>SUM(D90:G90)</f>
        <v>#N/A</v>
      </c>
      <c r="I90" s="6" t="e">
        <f>IF(ISNA(MATCH(I$2,Inputs!$K$4:$AJ$4,0)),NA(),IF(SUMPRODUCT((Inputs!$A$5:$A$230=$B90)*ISNUMBER(INDEX(Inputs!$K$5:$AJ$230,0,MATCH(I$2,Inputs!$K$4:$AJ$4,0))))+SUMPRODUCT((Inputs!$C$5:$C$230=$B90)*ISNUMBER(INDEX(Inputs!$K$5:$AJ$230,0,MATCH(I$2,Inputs!$K$4:$AJ$4,0))))+SUMPRODUCT((Inputs!$E$5:$E$230=$B90)*ISNUMBER(INDEX(Inputs!$K$5:$AJ$230,0,MATCH(I$2,Inputs!$K$4:$AJ$4,0))))=0,NA(),SUMPRODUCT((Inputs!$A$5:$A$230=$B90)*Inputs!$B$5:$B$230*(((Inputs!$G$5:$G$230="moeda")+(Inputs!$G$5:$G$230="acoes"))*Inputs!$B$1+((Inputs!$G$5:$G$230&lt;&gt;"moeda")*(Inputs!$G$5:$G$230&lt;&gt;"acoes")))*INDEX(Inputs!$K$5:$AJ$230,0,MATCH(I$2,Inputs!$K$4:$AJ$4,0)))+SUMPRODUCT((Inputs!$C$5:$C$230=$B90)*Inputs!$D$5:$D$230*(((Inputs!$G$5:$G$230="moeda")+(Inputs!$G$5:$G$230="acoes"))*Inputs!$B$1+((Inputs!$G$5:$G$230&lt;&gt;"moeda")*(Inputs!$G$5:$G$230&lt;&gt;"acoes")))*INDEX(Inputs!$K$5:$AJ$230,0,MATCH(I$2,Inputs!$K$4:$AJ$4,0)))+SUMPRODUCT((Inputs!$E$5:$E$230=$B90)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90" s="6" t="e">
        <f>IF(ISNA(MATCH(J$2,Inputs!$K$4:$AJ$4,0)),NA(),IF(SUMPRODUCT((Inputs!$A$5:$A$230=$B90)*ISNUMBER(INDEX(Inputs!$K$5:$AJ$230,0,MATCH(J$2,Inputs!$K$4:$AJ$4,0))))+SUMPRODUCT((Inputs!$C$5:$C$230=$B90)*ISNUMBER(INDEX(Inputs!$K$5:$AJ$230,0,MATCH(J$2,Inputs!$K$4:$AJ$4,0))))+SUMPRODUCT((Inputs!$E$5:$E$230=$B90)*ISNUMBER(INDEX(Inputs!$K$5:$AJ$230,0,MATCH(J$2,Inputs!$K$4:$AJ$4,0))))=0,NA(),SUMPRODUCT((Inputs!$A$5:$A$230=$B90)*Inputs!$B$5:$B$230*(((Inputs!$G$5:$G$230="moeda")+(Inputs!$G$5:$G$230="acoes"))*Inputs!$B$1+((Inputs!$G$5:$G$230&lt;&gt;"moeda")*(Inputs!$G$5:$G$230&lt;&gt;"acoes")))*INDEX(Inputs!$K$5:$AJ$230,0,MATCH(J$2,Inputs!$K$4:$AJ$4,0)))+SUMPRODUCT((Inputs!$C$5:$C$230=$B90)*Inputs!$D$5:$D$230*(((Inputs!$G$5:$G$230="moeda")+(Inputs!$G$5:$G$230="acoes"))*Inputs!$B$1+((Inputs!$G$5:$G$230&lt;&gt;"moeda")*(Inputs!$G$5:$G$230&lt;&gt;"acoes")))*INDEX(Inputs!$K$5:$AJ$230,0,MATCH(J$2,Inputs!$K$4:$AJ$4,0)))+SUMPRODUCT((Inputs!$E$5:$E$230=$B90)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90" s="6" t="e">
        <f>IF(ISNA(MATCH(K$2,Inputs!$K$4:$AJ$4,0)),NA(),IF(SUMPRODUCT((Inputs!$A$5:$A$230=$B90)*ISNUMBER(INDEX(Inputs!$K$5:$AJ$230,0,MATCH(K$2,Inputs!$K$4:$AJ$4,0))))+SUMPRODUCT((Inputs!$C$5:$C$230=$B90)*ISNUMBER(INDEX(Inputs!$K$5:$AJ$230,0,MATCH(K$2,Inputs!$K$4:$AJ$4,0))))+SUMPRODUCT((Inputs!$E$5:$E$230=$B90)*ISNUMBER(INDEX(Inputs!$K$5:$AJ$230,0,MATCH(K$2,Inputs!$K$4:$AJ$4,0))))=0,NA(),SUMPRODUCT((Inputs!$A$5:$A$230=$B90)*Inputs!$B$5:$B$230*(((Inputs!$G$5:$G$230="moeda")+(Inputs!$G$5:$G$230="acoes"))*Inputs!$B$1+((Inputs!$G$5:$G$230&lt;&gt;"moeda")*(Inputs!$G$5:$G$230&lt;&gt;"acoes")))*INDEX(Inputs!$K$5:$AJ$230,0,MATCH(K$2,Inputs!$K$4:$AJ$4,0)))+SUMPRODUCT((Inputs!$C$5:$C$230=$B90)*Inputs!$D$5:$D$230*(((Inputs!$G$5:$G$230="moeda")+(Inputs!$G$5:$G$230="acoes"))*Inputs!$B$1+((Inputs!$G$5:$G$230&lt;&gt;"moeda")*(Inputs!$G$5:$G$230&lt;&gt;"acoes")))*INDEX(Inputs!$K$5:$AJ$230,0,MATCH(K$2,Inputs!$K$4:$AJ$4,0)))+SUMPRODUCT((Inputs!$E$5:$E$230=$B90)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90" s="6" t="e">
        <f>IF(ISNA(MATCH(L$2,Inputs!$K$4:$AJ$4,0)),NA(),IF(SUMPRODUCT((Inputs!$A$5:$A$230=$B90)*ISNUMBER(INDEX(Inputs!$K$5:$AJ$230,0,MATCH(L$2,Inputs!$K$4:$AJ$4,0))))+SUMPRODUCT((Inputs!$C$5:$C$230=$B90)*ISNUMBER(INDEX(Inputs!$K$5:$AJ$230,0,MATCH(L$2,Inputs!$K$4:$AJ$4,0))))+SUMPRODUCT((Inputs!$E$5:$E$230=$B90)*ISNUMBER(INDEX(Inputs!$K$5:$AJ$230,0,MATCH(L$2,Inputs!$K$4:$AJ$4,0))))=0,NA(),SUMPRODUCT((Inputs!$A$5:$A$230=$B90)*Inputs!$B$5:$B$230*(((Inputs!$G$5:$G$230="moeda")+(Inputs!$G$5:$G$230="acoes"))*Inputs!$B$1+((Inputs!$G$5:$G$230&lt;&gt;"moeda")*(Inputs!$G$5:$G$230&lt;&gt;"acoes")))*INDEX(Inputs!$K$5:$AJ$230,0,MATCH(L$2,Inputs!$K$4:$AJ$4,0)))+SUMPRODUCT((Inputs!$C$5:$C$230=$B90)*Inputs!$D$5:$D$230*(((Inputs!$G$5:$G$230="moeda")+(Inputs!$G$5:$G$230="acoes"))*Inputs!$B$1+((Inputs!$G$5:$G$230&lt;&gt;"moeda")*(Inputs!$G$5:$G$230&lt;&gt;"acoes")))*INDEX(Inputs!$K$5:$AJ$230,0,MATCH(L$2,Inputs!$K$4:$AJ$4,0)))+SUMPRODUCT((Inputs!$E$5:$E$230=$B90)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90" s="3" t="e">
        <f>SUM(I90:L90)</f>
        <v>#N/A</v>
      </c>
      <c r="N90" s="6" t="e">
        <f>IF(ISNA(MATCH(N$2,Inputs!$K$4:$AJ$4,0)),NA(),IF(SUMPRODUCT((Inputs!$A$5:$A$230=$B90)*ISNUMBER(INDEX(Inputs!$K$5:$AJ$230,0,MATCH(N$2,Inputs!$K$4:$AJ$4,0))))+SUMPRODUCT((Inputs!$C$5:$C$230=$B90)*ISNUMBER(INDEX(Inputs!$K$5:$AJ$230,0,MATCH(N$2,Inputs!$K$4:$AJ$4,0))))+SUMPRODUCT((Inputs!$E$5:$E$230=$B90)*ISNUMBER(INDEX(Inputs!$K$5:$AJ$230,0,MATCH(N$2,Inputs!$K$4:$AJ$4,0))))=0,NA(),SUMPRODUCT((Inputs!$A$5:$A$230=$B90)*Inputs!$B$5:$B$230*(((Inputs!$G$5:$G$230="moeda")+(Inputs!$G$5:$G$230="acoes"))*Inputs!$B$1+((Inputs!$G$5:$G$230&lt;&gt;"moeda")*(Inputs!$G$5:$G$230&lt;&gt;"acoes")))*INDEX(Inputs!$K$5:$AJ$230,0,MATCH(N$2,Inputs!$K$4:$AJ$4,0)))+SUMPRODUCT((Inputs!$C$5:$C$230=$B90)*Inputs!$D$5:$D$230*(((Inputs!$G$5:$G$230="moeda")+(Inputs!$G$5:$G$230="acoes"))*Inputs!$B$1+((Inputs!$G$5:$G$230&lt;&gt;"moeda")*(Inputs!$G$5:$G$230&lt;&gt;"acoes")))*INDEX(Inputs!$K$5:$AJ$230,0,MATCH(N$2,Inputs!$K$4:$AJ$4,0)))+SUMPRODUCT((Inputs!$E$5:$E$230=$B90)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90" s="6" t="e">
        <f>IF(ISNA(MATCH(O$2,Inputs!$K$4:$AJ$4,0)),NA(),IF(SUMPRODUCT((Inputs!$A$5:$A$230=$B90)*ISNUMBER(INDEX(Inputs!$K$5:$AJ$230,0,MATCH(O$2,Inputs!$K$4:$AJ$4,0))))+SUMPRODUCT((Inputs!$C$5:$C$230=$B90)*ISNUMBER(INDEX(Inputs!$K$5:$AJ$230,0,MATCH(O$2,Inputs!$K$4:$AJ$4,0))))+SUMPRODUCT((Inputs!$E$5:$E$230=$B90)*ISNUMBER(INDEX(Inputs!$K$5:$AJ$230,0,MATCH(O$2,Inputs!$K$4:$AJ$4,0))))=0,NA(),SUMPRODUCT((Inputs!$A$5:$A$230=$B90)*Inputs!$B$5:$B$230*(((Inputs!$G$5:$G$230="moeda")+(Inputs!$G$5:$G$230="acoes"))*Inputs!$B$1+((Inputs!$G$5:$G$230&lt;&gt;"moeda")*(Inputs!$G$5:$G$230&lt;&gt;"acoes")))*INDEX(Inputs!$K$5:$AJ$230,0,MATCH(O$2,Inputs!$K$4:$AJ$4,0)))+SUMPRODUCT((Inputs!$C$5:$C$230=$B90)*Inputs!$D$5:$D$230*(((Inputs!$G$5:$G$230="moeda")+(Inputs!$G$5:$G$230="acoes"))*Inputs!$B$1+((Inputs!$G$5:$G$230&lt;&gt;"moeda")*(Inputs!$G$5:$G$230&lt;&gt;"acoes")))*INDEX(Inputs!$K$5:$AJ$230,0,MATCH(O$2,Inputs!$K$4:$AJ$4,0)))+SUMPRODUCT((Inputs!$E$5:$E$230=$B90)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90" s="6" t="e">
        <f>IF(ISNA(MATCH(P$2,Inputs!$K$4:$AJ$4,0)),NA(),IF(SUMPRODUCT((Inputs!$A$5:$A$230=$B90)*ISNUMBER(INDEX(Inputs!$K$5:$AJ$230,0,MATCH(P$2,Inputs!$K$4:$AJ$4,0))))+SUMPRODUCT((Inputs!$C$5:$C$230=$B90)*ISNUMBER(INDEX(Inputs!$K$5:$AJ$230,0,MATCH(P$2,Inputs!$K$4:$AJ$4,0))))+SUMPRODUCT((Inputs!$E$5:$E$230=$B90)*ISNUMBER(INDEX(Inputs!$K$5:$AJ$230,0,MATCH(P$2,Inputs!$K$4:$AJ$4,0))))=0,NA(),SUMPRODUCT((Inputs!$A$5:$A$230=$B90)*Inputs!$B$5:$B$230*(((Inputs!$G$5:$G$230="moeda")+(Inputs!$G$5:$G$230="acoes"))*Inputs!$B$1+((Inputs!$G$5:$G$230&lt;&gt;"moeda")*(Inputs!$G$5:$G$230&lt;&gt;"acoes")))*INDEX(Inputs!$K$5:$AJ$230,0,MATCH(P$2,Inputs!$K$4:$AJ$4,0)))+SUMPRODUCT((Inputs!$C$5:$C$230=$B90)*Inputs!$D$5:$D$230*(((Inputs!$G$5:$G$230="moeda")+(Inputs!$G$5:$G$230="acoes"))*Inputs!$B$1+((Inputs!$G$5:$G$230&lt;&gt;"moeda")*(Inputs!$G$5:$G$230&lt;&gt;"acoes")))*INDEX(Inputs!$K$5:$AJ$230,0,MATCH(P$2,Inputs!$K$4:$AJ$4,0)))+SUMPRODUCT((Inputs!$E$5:$E$230=$B90)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90" s="6" t="e">
        <f>IF(ISNA(MATCH(Q$2,Inputs!$K$4:$AJ$4,0)),NA(),IF(SUMPRODUCT((Inputs!$A$5:$A$230=$B90)*ISNUMBER(INDEX(Inputs!$K$5:$AJ$230,0,MATCH(Q$2,Inputs!$K$4:$AJ$4,0))))+SUMPRODUCT((Inputs!$C$5:$C$230=$B90)*ISNUMBER(INDEX(Inputs!$K$5:$AJ$230,0,MATCH(Q$2,Inputs!$K$4:$AJ$4,0))))+SUMPRODUCT((Inputs!$E$5:$E$230=$B90)*ISNUMBER(INDEX(Inputs!$K$5:$AJ$230,0,MATCH(Q$2,Inputs!$K$4:$AJ$4,0))))=0,NA(),SUMPRODUCT((Inputs!$A$5:$A$230=$B90)*Inputs!$B$5:$B$230*(((Inputs!$G$5:$G$230="moeda")+(Inputs!$G$5:$G$230="acoes"))*Inputs!$B$1+((Inputs!$G$5:$G$230&lt;&gt;"moeda")*(Inputs!$G$5:$G$230&lt;&gt;"acoes")))*INDEX(Inputs!$K$5:$AJ$230,0,MATCH(Q$2,Inputs!$K$4:$AJ$4,0)))+SUMPRODUCT((Inputs!$C$5:$C$230=$B90)*Inputs!$D$5:$D$230*(((Inputs!$G$5:$G$230="moeda")+(Inputs!$G$5:$G$230="acoes"))*Inputs!$B$1+((Inputs!$G$5:$G$230&lt;&gt;"moeda")*(Inputs!$G$5:$G$230&lt;&gt;"acoes")))*INDEX(Inputs!$K$5:$AJ$230,0,MATCH(Q$2,Inputs!$K$4:$AJ$4,0)))+SUMPRODUCT((Inputs!$E$5:$E$230=$B90)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90" s="3" t="e">
        <f>SUM(N90:Q90)</f>
        <v>#N/A</v>
      </c>
      <c r="S90" s="6" t="e">
        <f>IF(ISNA(MATCH(S$2,Inputs!$K$4:$AJ$4,0)),NA(),IF(SUMPRODUCT((Inputs!$A$5:$A$230=$B90)*ISNUMBER(INDEX(Inputs!$K$5:$AJ$230,0,MATCH(S$2,Inputs!$K$4:$AJ$4,0))))+SUMPRODUCT((Inputs!$C$5:$C$230=$B90)*ISNUMBER(INDEX(Inputs!$K$5:$AJ$230,0,MATCH(S$2,Inputs!$K$4:$AJ$4,0))))+SUMPRODUCT((Inputs!$E$5:$E$230=$B90)*ISNUMBER(INDEX(Inputs!$K$5:$AJ$230,0,MATCH(S$2,Inputs!$K$4:$AJ$4,0))))=0,NA(),SUMPRODUCT((Inputs!$A$5:$A$230=$B90)*Inputs!$B$5:$B$230*(((Inputs!$G$5:$G$230="moeda")+(Inputs!$G$5:$G$230="acoes"))*Inputs!$B$1+((Inputs!$G$5:$G$230&lt;&gt;"moeda")*(Inputs!$G$5:$G$230&lt;&gt;"acoes")))*INDEX(Inputs!$K$5:$AJ$230,0,MATCH(S$2,Inputs!$K$4:$AJ$4,0)))+SUMPRODUCT((Inputs!$C$5:$C$230=$B90)*Inputs!$D$5:$D$230*(((Inputs!$G$5:$G$230="moeda")+(Inputs!$G$5:$G$230="acoes"))*Inputs!$B$1+((Inputs!$G$5:$G$230&lt;&gt;"moeda")*(Inputs!$G$5:$G$230&lt;&gt;"acoes")))*INDEX(Inputs!$K$5:$AJ$230,0,MATCH(S$2,Inputs!$K$4:$AJ$4,0)))+SUMPRODUCT((Inputs!$E$5:$E$230=$B90)*Inputs!$F$5:$F$230*(((Inputs!$G$5:$G$230="moeda")+(Inputs!$G$5:$G$230="acoes"))*Inputs!$B$1+((Inputs!$G$5:$G$230&lt;&gt;"moeda")*(Inputs!$G$5:$G$230&lt;&gt;"acoes")))*INDEX(Inputs!$K$5:$AJ$230,0,MATCH(S$2,Inputs!$K$4:$AJ$4,0)))))</f>
        <v>#N/A</v>
      </c>
      <c r="T90" s="6" t="e">
        <f>IF(ISNA(MATCH(T$2,Inputs!$K$4:$AJ$4,0)),NA(),IF(SUMPRODUCT((Inputs!$A$5:$A$230=$B90)*ISNUMBER(INDEX(Inputs!$K$5:$AJ$230,0,MATCH(T$2,Inputs!$K$4:$AJ$4,0))))+SUMPRODUCT((Inputs!$C$5:$C$230=$B90)*ISNUMBER(INDEX(Inputs!$K$5:$AJ$230,0,MATCH(T$2,Inputs!$K$4:$AJ$4,0))))+SUMPRODUCT((Inputs!$E$5:$E$230=$B90)*ISNUMBER(INDEX(Inputs!$K$5:$AJ$230,0,MATCH(T$2,Inputs!$K$4:$AJ$4,0))))=0,NA(),SUMPRODUCT((Inputs!$A$5:$A$230=$B90)*Inputs!$B$5:$B$230*(((Inputs!$G$5:$G$230="moeda")+(Inputs!$G$5:$G$230="acoes"))*Inputs!$B$1+((Inputs!$G$5:$G$230&lt;&gt;"moeda")*(Inputs!$G$5:$G$230&lt;&gt;"acoes")))*INDEX(Inputs!$K$5:$AJ$230,0,MATCH(T$2,Inputs!$K$4:$AJ$4,0)))+SUMPRODUCT((Inputs!$C$5:$C$230=$B90)*Inputs!$D$5:$D$230*(((Inputs!$G$5:$G$230="moeda")+(Inputs!$G$5:$G$230="acoes"))*Inputs!$B$1+((Inputs!$G$5:$G$230&lt;&gt;"moeda")*(Inputs!$G$5:$G$230&lt;&gt;"acoes")))*INDEX(Inputs!$K$5:$AJ$230,0,MATCH(T$2,Inputs!$K$4:$AJ$4,0)))+SUMPRODUCT((Inputs!$E$5:$E$230=$B90)*Inputs!$F$5:$F$230*(((Inputs!$G$5:$G$230="moeda")+(Inputs!$G$5:$G$230="acoes"))*Inputs!$B$1+((Inputs!$G$5:$G$230&lt;&gt;"moeda")*(Inputs!$G$5:$G$230&lt;&gt;"acoes")))*INDEX(Inputs!$K$5:$AJ$230,0,MATCH(T$2,Inputs!$K$4:$AJ$4,0)))))</f>
        <v>#N/A</v>
      </c>
      <c r="U90" s="6" t="e">
        <f>IF(ISNA(MATCH(U$2,Inputs!$K$4:$AJ$4,0)),NA(),IF(SUMPRODUCT((Inputs!$A$5:$A$230=$B90)*ISNUMBER(INDEX(Inputs!$K$5:$AJ$230,0,MATCH(U$2,Inputs!$K$4:$AJ$4,0))))+SUMPRODUCT((Inputs!$C$5:$C$230=$B90)*ISNUMBER(INDEX(Inputs!$K$5:$AJ$230,0,MATCH(U$2,Inputs!$K$4:$AJ$4,0))))+SUMPRODUCT((Inputs!$E$5:$E$230=$B90)*ISNUMBER(INDEX(Inputs!$K$5:$AJ$230,0,MATCH(U$2,Inputs!$K$4:$AJ$4,0))))=0,NA(),SUMPRODUCT((Inputs!$A$5:$A$230=$B90)*Inputs!$B$5:$B$230*(((Inputs!$G$5:$G$230="moeda")+(Inputs!$G$5:$G$230="acoes"))*Inputs!$B$1+((Inputs!$G$5:$G$230&lt;&gt;"moeda")*(Inputs!$G$5:$G$230&lt;&gt;"acoes")))*INDEX(Inputs!$K$5:$AJ$230,0,MATCH(U$2,Inputs!$K$4:$AJ$4,0)))+SUMPRODUCT((Inputs!$C$5:$C$230=$B90)*Inputs!$D$5:$D$230*(((Inputs!$G$5:$G$230="moeda")+(Inputs!$G$5:$G$230="acoes"))*Inputs!$B$1+((Inputs!$G$5:$G$230&lt;&gt;"moeda")*(Inputs!$G$5:$G$230&lt;&gt;"acoes")))*INDEX(Inputs!$K$5:$AJ$230,0,MATCH(U$2,Inputs!$K$4:$AJ$4,0)))+SUMPRODUCT((Inputs!$E$5:$E$230=$B90)*Inputs!$F$5:$F$230*(((Inputs!$G$5:$G$230="moeda")+(Inputs!$G$5:$G$230="acoes"))*Inputs!$B$1+((Inputs!$G$5:$G$230&lt;&gt;"moeda")*(Inputs!$G$5:$G$230&lt;&gt;"acoes")))*INDEX(Inputs!$K$5:$AJ$230,0,MATCH(U$2,Inputs!$K$4:$AJ$4,0)))))</f>
        <v>#N/A</v>
      </c>
      <c r="V90" s="6" t="e">
        <f>IF(ISNA(MATCH(V$2,Inputs!$K$4:$AJ$4,0)),NA(),IF(SUMPRODUCT((Inputs!$A$5:$A$230=$B90)*ISNUMBER(INDEX(Inputs!$K$5:$AJ$230,0,MATCH(V$2,Inputs!$K$4:$AJ$4,0))))+SUMPRODUCT((Inputs!$C$5:$C$230=$B90)*ISNUMBER(INDEX(Inputs!$K$5:$AJ$230,0,MATCH(V$2,Inputs!$K$4:$AJ$4,0))))+SUMPRODUCT((Inputs!$E$5:$E$230=$B90)*ISNUMBER(INDEX(Inputs!$K$5:$AJ$230,0,MATCH(V$2,Inputs!$K$4:$AJ$4,0))))=0,NA(),SUMPRODUCT((Inputs!$A$5:$A$230=$B90)*Inputs!$B$5:$B$230*(((Inputs!$G$5:$G$230="moeda")+(Inputs!$G$5:$G$230="acoes"))*Inputs!$B$1+((Inputs!$G$5:$G$230&lt;&gt;"moeda")*(Inputs!$G$5:$G$230&lt;&gt;"acoes")))*INDEX(Inputs!$K$5:$AJ$230,0,MATCH(V$2,Inputs!$K$4:$AJ$4,0)))+SUMPRODUCT((Inputs!$C$5:$C$230=$B90)*Inputs!$D$5:$D$230*(((Inputs!$G$5:$G$230="moeda")+(Inputs!$G$5:$G$230="acoes"))*Inputs!$B$1+((Inputs!$G$5:$G$230&lt;&gt;"moeda")*(Inputs!$G$5:$G$230&lt;&gt;"acoes")))*INDEX(Inputs!$K$5:$AJ$230,0,MATCH(V$2,Inputs!$K$4:$AJ$4,0)))+SUMPRODUCT((Inputs!$E$5:$E$230=$B90)*Inputs!$F$5:$F$230*(((Inputs!$G$5:$G$230="moeda")+(Inputs!$G$5:$G$230="acoes"))*Inputs!$B$1+((Inputs!$G$5:$G$230&lt;&gt;"moeda")*(Inputs!$G$5:$G$230&lt;&gt;"acoes")))*INDEX(Inputs!$K$5:$AJ$230,0,MATCH(V$2,Inputs!$K$4:$AJ$4,0)))))</f>
        <v>#N/A</v>
      </c>
      <c r="W90" s="3" t="e">
        <f>SUM(S90:V90)</f>
        <v>#N/A</v>
      </c>
      <c r="X90" s="6" t="e">
        <f>IF(ISNA(MATCH(X$2,Inputs!$K$4:$AJ$4,0)),NA(),IF(SUMPRODUCT((Inputs!$A$5:$A$230=$B90)*ISNUMBER(INDEX(Inputs!$K$5:$AJ$230,0,MATCH(X$2,Inputs!$K$4:$AJ$4,0))))+SUMPRODUCT((Inputs!$C$5:$C$230=$B90)*ISNUMBER(INDEX(Inputs!$K$5:$AJ$230,0,MATCH(X$2,Inputs!$K$4:$AJ$4,0))))+SUMPRODUCT((Inputs!$E$5:$E$230=$B90)*ISNUMBER(INDEX(Inputs!$K$5:$AJ$230,0,MATCH(X$2,Inputs!$K$4:$AJ$4,0))))=0,NA(),SUMPRODUCT((Inputs!$A$5:$A$230=$B90)*Inputs!$B$5:$B$230*(((Inputs!$G$5:$G$230="moeda")+(Inputs!$G$5:$G$230="acoes"))*Inputs!$B$1+((Inputs!$G$5:$G$230&lt;&gt;"moeda")*(Inputs!$G$5:$G$230&lt;&gt;"acoes")))*INDEX(Inputs!$K$5:$AJ$230,0,MATCH(X$2,Inputs!$K$4:$AJ$4,0)))+SUMPRODUCT((Inputs!$C$5:$C$230=$B90)*Inputs!$D$5:$D$230*(((Inputs!$G$5:$G$230="moeda")+(Inputs!$G$5:$G$230="acoes"))*Inputs!$B$1+((Inputs!$G$5:$G$230&lt;&gt;"moeda")*(Inputs!$G$5:$G$230&lt;&gt;"acoes")))*INDEX(Inputs!$K$5:$AJ$230,0,MATCH(X$2,Inputs!$K$4:$AJ$4,0)))+SUMPRODUCT((Inputs!$E$5:$E$230=$B90)*Inputs!$F$5:$F$230*(((Inputs!$G$5:$G$230="moeda")+(Inputs!$G$5:$G$230="acoes"))*Inputs!$B$1+((Inputs!$G$5:$G$230&lt;&gt;"moeda")*(Inputs!$G$5:$G$230&lt;&gt;"acoes")))*INDEX(Inputs!$K$5:$AJ$230,0,MATCH(X$2,Inputs!$K$4:$AJ$4,0)))))</f>
        <v>#N/A</v>
      </c>
      <c r="Y90" s="6" t="e">
        <f>IF(ISNA(MATCH(Y$2,Inputs!$K$4:$AJ$4,0)),NA(),IF(SUMPRODUCT((Inputs!$A$5:$A$230=$B90)*ISNUMBER(INDEX(Inputs!$K$5:$AJ$230,0,MATCH(Y$2,Inputs!$K$4:$AJ$4,0))))+SUMPRODUCT((Inputs!$C$5:$C$230=$B90)*ISNUMBER(INDEX(Inputs!$K$5:$AJ$230,0,MATCH(Y$2,Inputs!$K$4:$AJ$4,0))))+SUMPRODUCT((Inputs!$E$5:$E$230=$B90)*ISNUMBER(INDEX(Inputs!$K$5:$AJ$230,0,MATCH(Y$2,Inputs!$K$4:$AJ$4,0))))=0,NA(),SUMPRODUCT((Inputs!$A$5:$A$230=$B90)*Inputs!$B$5:$B$230*(((Inputs!$G$5:$G$230="moeda")+(Inputs!$G$5:$G$230="acoes"))*Inputs!$B$1+((Inputs!$G$5:$G$230&lt;&gt;"moeda")*(Inputs!$G$5:$G$230&lt;&gt;"acoes")))*INDEX(Inputs!$K$5:$AJ$230,0,MATCH(Y$2,Inputs!$K$4:$AJ$4,0)))+SUMPRODUCT((Inputs!$C$5:$C$230=$B90)*Inputs!$D$5:$D$230*(((Inputs!$G$5:$G$230="moeda")+(Inputs!$G$5:$G$230="acoes"))*Inputs!$B$1+((Inputs!$G$5:$G$230&lt;&gt;"moeda")*(Inputs!$G$5:$G$230&lt;&gt;"acoes")))*INDEX(Inputs!$K$5:$AJ$230,0,MATCH(Y$2,Inputs!$K$4:$AJ$4,0)))+SUMPRODUCT((Inputs!$E$5:$E$230=$B90)*Inputs!$F$5:$F$230*(((Inputs!$G$5:$G$230="moeda")+(Inputs!$G$5:$G$230="acoes"))*Inputs!$B$1+((Inputs!$G$5:$G$230&lt;&gt;"moeda")*(Inputs!$G$5:$G$230&lt;&gt;"acoes")))*INDEX(Inputs!$K$5:$AJ$230,0,MATCH(Y$2,Inputs!$K$4:$AJ$4,0)))))</f>
        <v>#N/A</v>
      </c>
      <c r="Z90" s="6">
        <f>IF(ISNA(MATCH(Z$2,Inputs!$K$4:$AJ$4,0)),NA(),IF(SUMPRODUCT((Inputs!$A$5:$A$230=$B90)*ISNUMBER(INDEX(Inputs!$K$5:$AJ$230,0,MATCH(Z$2,Inputs!$K$4:$AJ$4,0))))+SUMPRODUCT((Inputs!$C$5:$C$230=$B90)*ISNUMBER(INDEX(Inputs!$K$5:$AJ$230,0,MATCH(Z$2,Inputs!$K$4:$AJ$4,0))))+SUMPRODUCT((Inputs!$E$5:$E$230=$B90)*ISNUMBER(INDEX(Inputs!$K$5:$AJ$230,0,MATCH(Z$2,Inputs!$K$4:$AJ$4,0))))=0,NA(),SUMPRODUCT((Inputs!$A$5:$A$230=$B90)*Inputs!$B$5:$B$230*(((Inputs!$G$5:$G$230="moeda")+(Inputs!$G$5:$G$230="acoes"))*Inputs!$B$1+((Inputs!$G$5:$G$230&lt;&gt;"moeda")*(Inputs!$G$5:$G$230&lt;&gt;"acoes")))*INDEX(Inputs!$K$5:$AJ$230,0,MATCH(Z$2,Inputs!$K$4:$AJ$4,0)))+SUMPRODUCT((Inputs!$C$5:$C$230=$B90)*Inputs!$D$5:$D$230*(((Inputs!$G$5:$G$230="moeda")+(Inputs!$G$5:$G$230="acoes"))*Inputs!$B$1+((Inputs!$G$5:$G$230&lt;&gt;"moeda")*(Inputs!$G$5:$G$230&lt;&gt;"acoes")))*INDEX(Inputs!$K$5:$AJ$230,0,MATCH(Z$2,Inputs!$K$4:$AJ$4,0)))+SUMPRODUCT((Inputs!$E$5:$E$230=$B90)*Inputs!$F$5:$F$230*(((Inputs!$G$5:$G$230="moeda")+(Inputs!$G$5:$G$230="acoes"))*Inputs!$B$1+((Inputs!$G$5:$G$230&lt;&gt;"moeda")*(Inputs!$G$5:$G$230&lt;&gt;"acoes")))*INDEX(Inputs!$K$5:$AJ$230,0,MATCH(Z$2,Inputs!$K$4:$AJ$4,0)))))</f>
        <v>3.286</v>
      </c>
      <c r="AA90" s="6">
        <f>IF(ISNA(MATCH(AA$2,Inputs!$K$4:$AJ$4,0)),NA(),IF(SUMPRODUCT((Inputs!$A$5:$A$230=$B90)*ISNUMBER(INDEX(Inputs!$K$5:$AJ$230,0,MATCH(AA$2,Inputs!$K$4:$AJ$4,0))))+SUMPRODUCT((Inputs!$C$5:$C$230=$B90)*ISNUMBER(INDEX(Inputs!$K$5:$AJ$230,0,MATCH(AA$2,Inputs!$K$4:$AJ$4,0))))+SUMPRODUCT((Inputs!$E$5:$E$230=$B90)*ISNUMBER(INDEX(Inputs!$K$5:$AJ$230,0,MATCH(AA$2,Inputs!$K$4:$AJ$4,0))))=0,NA(),SUMPRODUCT((Inputs!$A$5:$A$230=$B90)*Inputs!$B$5:$B$230*(((Inputs!$G$5:$G$230="moeda")+(Inputs!$G$5:$G$230="acoes"))*Inputs!$B$1+((Inputs!$G$5:$G$230&lt;&gt;"moeda")*(Inputs!$G$5:$G$230&lt;&gt;"acoes")))*INDEX(Inputs!$K$5:$AJ$230,0,MATCH(AA$2,Inputs!$K$4:$AJ$4,0)))+SUMPRODUCT((Inputs!$C$5:$C$230=$B90)*Inputs!$D$5:$D$230*(((Inputs!$G$5:$G$230="moeda")+(Inputs!$G$5:$G$230="acoes"))*Inputs!$B$1+((Inputs!$G$5:$G$230&lt;&gt;"moeda")*(Inputs!$G$5:$G$230&lt;&gt;"acoes")))*INDEX(Inputs!$K$5:$AJ$230,0,MATCH(AA$2,Inputs!$K$4:$AJ$4,0)))+SUMPRODUCT((Inputs!$E$5:$E$230=$B90)*Inputs!$F$5:$F$230*(((Inputs!$G$5:$G$230="moeda")+(Inputs!$G$5:$G$230="acoes"))*Inputs!$B$1+((Inputs!$G$5:$G$230&lt;&gt;"moeda")*(Inputs!$G$5:$G$230&lt;&gt;"acoes")))*INDEX(Inputs!$K$5:$AJ$230,0,MATCH(AA$2,Inputs!$K$4:$AJ$4,0)))))</f>
        <v>5.897</v>
      </c>
      <c r="AB90" s="3" t="e">
        <f>SUM(X90:AA90)</f>
        <v>#N/A</v>
      </c>
      <c r="AC90" s="6">
        <f>IF(ISNA(MATCH(AC$2,Inputs!$K$4:$AJ$4,0)),NA(),IF(SUMPRODUCT((Inputs!$A$5:$A$230=$B90)*ISNUMBER(INDEX(Inputs!$K$5:$AJ$230,0,MATCH(AC$2,Inputs!$K$4:$AJ$4,0))))+SUMPRODUCT((Inputs!$C$5:$C$230=$B90)*ISNUMBER(INDEX(Inputs!$K$5:$AJ$230,0,MATCH(AC$2,Inputs!$K$4:$AJ$4,0))))+SUMPRODUCT((Inputs!$E$5:$E$230=$B90)*ISNUMBER(INDEX(Inputs!$K$5:$AJ$230,0,MATCH(AC$2,Inputs!$K$4:$AJ$4,0))))=0,NA(),SUMPRODUCT((Inputs!$A$5:$A$230=$B90)*Inputs!$B$5:$B$230*(((Inputs!$G$5:$G$230="moeda")+(Inputs!$G$5:$G$230="acoes"))*Inputs!$B$1+((Inputs!$G$5:$G$230&lt;&gt;"moeda")*(Inputs!$G$5:$G$230&lt;&gt;"acoes")))*INDEX(Inputs!$K$5:$AJ$230,0,MATCH(AC$2,Inputs!$K$4:$AJ$4,0)))+SUMPRODUCT((Inputs!$C$5:$C$230=$B90)*Inputs!$D$5:$D$230*(((Inputs!$G$5:$G$230="moeda")+(Inputs!$G$5:$G$230="acoes"))*Inputs!$B$1+((Inputs!$G$5:$G$230&lt;&gt;"moeda")*(Inputs!$G$5:$G$230&lt;&gt;"acoes")))*INDEX(Inputs!$K$5:$AJ$230,0,MATCH(AC$2,Inputs!$K$4:$AJ$4,0)))+SUMPRODUCT((Inputs!$E$5:$E$230=$B90)*Inputs!$F$5:$F$230*(((Inputs!$G$5:$G$230="moeda")+(Inputs!$G$5:$G$230="acoes"))*Inputs!$B$1+((Inputs!$G$5:$G$230&lt;&gt;"moeda")*(Inputs!$G$5:$G$230&lt;&gt;"acoes")))*INDEX(Inputs!$K$5:$AJ$230,0,MATCH(AC$2,Inputs!$K$4:$AJ$4,0)))))</f>
        <v>7.089</v>
      </c>
      <c r="AD90" s="6">
        <f>IF(ISNA(MATCH(AD$2,Inputs!$K$4:$AJ$4,0)),NA(),IF(SUMPRODUCT((Inputs!$A$5:$A$230=$B90)*ISNUMBER(INDEX(Inputs!$K$5:$AJ$230,0,MATCH(AD$2,Inputs!$K$4:$AJ$4,0))))+SUMPRODUCT((Inputs!$C$5:$C$230=$B90)*ISNUMBER(INDEX(Inputs!$K$5:$AJ$230,0,MATCH(AD$2,Inputs!$K$4:$AJ$4,0))))+SUMPRODUCT((Inputs!$E$5:$E$230=$B90)*ISNUMBER(INDEX(Inputs!$K$5:$AJ$230,0,MATCH(AD$2,Inputs!$K$4:$AJ$4,0))))=0,NA(),SUMPRODUCT((Inputs!$A$5:$A$230=$B90)*Inputs!$B$5:$B$230*(((Inputs!$G$5:$G$230="moeda")+(Inputs!$G$5:$G$230="acoes"))*Inputs!$B$1+((Inputs!$G$5:$G$230&lt;&gt;"moeda")*(Inputs!$G$5:$G$230&lt;&gt;"acoes")))*INDEX(Inputs!$K$5:$AJ$230,0,MATCH(AD$2,Inputs!$K$4:$AJ$4,0)))+SUMPRODUCT((Inputs!$C$5:$C$230=$B90)*Inputs!$D$5:$D$230*(((Inputs!$G$5:$G$230="moeda")+(Inputs!$G$5:$G$230="acoes"))*Inputs!$B$1+((Inputs!$G$5:$G$230&lt;&gt;"moeda")*(Inputs!$G$5:$G$230&lt;&gt;"acoes")))*INDEX(Inputs!$K$5:$AJ$230,0,MATCH(AD$2,Inputs!$K$4:$AJ$4,0)))+SUMPRODUCT((Inputs!$E$5:$E$230=$B90)*Inputs!$F$5:$F$230*(((Inputs!$G$5:$G$230="moeda")+(Inputs!$G$5:$G$230="acoes"))*Inputs!$B$1+((Inputs!$G$5:$G$230&lt;&gt;"moeda")*(Inputs!$G$5:$G$230&lt;&gt;"acoes")))*INDEX(Inputs!$K$5:$AJ$230,0,MATCH(AD$2,Inputs!$K$4:$AJ$4,0)))))</f>
        <v>8.584</v>
      </c>
      <c r="AE90" s="6" t="e">
        <f>IF(ISNA(MATCH(AE$2,Inputs!$K$4:$AJ$4,0)),NA(),IF(SUMPRODUCT((Inputs!$A$5:$A$230=$B90)*ISNUMBER(INDEX(Inputs!$K$5:$AJ$230,0,MATCH(AE$2,Inputs!$K$4:$AJ$4,0))))+SUMPRODUCT((Inputs!$C$5:$C$230=$B90)*ISNUMBER(INDEX(Inputs!$K$5:$AJ$230,0,MATCH(AE$2,Inputs!$K$4:$AJ$4,0))))+SUMPRODUCT((Inputs!$E$5:$E$230=$B90)*ISNUMBER(INDEX(Inputs!$K$5:$AJ$230,0,MATCH(AE$2,Inputs!$K$4:$AJ$4,0))))=0,NA(),SUMPRODUCT((Inputs!$A$5:$A$230=$B90)*Inputs!$B$5:$B$230*(((Inputs!$G$5:$G$230="moeda")+(Inputs!$G$5:$G$230="acoes"))*Inputs!$B$1+((Inputs!$G$5:$G$230&lt;&gt;"moeda")*(Inputs!$G$5:$G$230&lt;&gt;"acoes")))*INDEX(Inputs!$K$5:$AJ$230,0,MATCH(AE$2,Inputs!$K$4:$AJ$4,0)))+SUMPRODUCT((Inputs!$C$5:$C$230=$B90)*Inputs!$D$5:$D$230*(((Inputs!$G$5:$G$230="moeda")+(Inputs!$G$5:$G$230="acoes"))*Inputs!$B$1+((Inputs!$G$5:$G$230&lt;&gt;"moeda")*(Inputs!$G$5:$G$230&lt;&gt;"acoes")))*INDEX(Inputs!$K$5:$AJ$230,0,MATCH(AE$2,Inputs!$K$4:$AJ$4,0)))+SUMPRODUCT((Inputs!$E$5:$E$230=$B90)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0" s="6" t="e">
        <f>IF(ISNA(MATCH(AF$2,Inputs!$K$4:$AJ$4,0)),NA(),IF(SUMPRODUCT((Inputs!$A$5:$A$230=$B90)*ISNUMBER(INDEX(Inputs!$K$5:$AJ$230,0,MATCH(AF$2,Inputs!$K$4:$AJ$4,0))))+SUMPRODUCT((Inputs!$C$5:$C$230=$B90)*ISNUMBER(INDEX(Inputs!$K$5:$AJ$230,0,MATCH(AF$2,Inputs!$K$4:$AJ$4,0))))+SUMPRODUCT((Inputs!$E$5:$E$230=$B90)*ISNUMBER(INDEX(Inputs!$K$5:$AJ$230,0,MATCH(AF$2,Inputs!$K$4:$AJ$4,0))))=0,NA(),SUMPRODUCT((Inputs!$A$5:$A$230=$B90)*Inputs!$B$5:$B$230*(((Inputs!$G$5:$G$230="moeda")+(Inputs!$G$5:$G$230="acoes"))*Inputs!$B$1+((Inputs!$G$5:$G$230&lt;&gt;"moeda")*(Inputs!$G$5:$G$230&lt;&gt;"acoes")))*INDEX(Inputs!$K$5:$AJ$230,0,MATCH(AF$2,Inputs!$K$4:$AJ$4,0)))+SUMPRODUCT((Inputs!$C$5:$C$230=$B90)*Inputs!$D$5:$D$230*(((Inputs!$G$5:$G$230="moeda")+(Inputs!$G$5:$G$230="acoes"))*Inputs!$B$1+((Inputs!$G$5:$G$230&lt;&gt;"moeda")*(Inputs!$G$5:$G$230&lt;&gt;"acoes")))*INDEX(Inputs!$K$5:$AJ$230,0,MATCH(AF$2,Inputs!$K$4:$AJ$4,0)))+SUMPRODUCT((Inputs!$E$5:$E$230=$B90)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0" s="3" t="e">
        <f>SUM(AC90:AF90)</f>
        <v>#N/A</v>
      </c>
      <c r="AH90" s="6" t="e">
        <f>IF(ISNA(MATCH(AH$2,Inputs!$K$4:$AJ$4,0)),NA(),IF(SUMPRODUCT((Inputs!$A$5:$A$230=$B90)*ISNUMBER(INDEX(Inputs!$K$5:$AJ$230,0,MATCH(AH$2,Inputs!$K$4:$AJ$4,0))))+SUMPRODUCT((Inputs!$C$5:$C$230=$B90)*ISNUMBER(INDEX(Inputs!$K$5:$AJ$230,0,MATCH(AH$2,Inputs!$K$4:$AJ$4,0))))+SUMPRODUCT((Inputs!$E$5:$E$230=$B90)*ISNUMBER(INDEX(Inputs!$K$5:$AJ$230,0,MATCH(AH$2,Inputs!$K$4:$AJ$4,0))))=0,NA(),SUMPRODUCT((Inputs!$A$5:$A$230=$B90)*Inputs!$B$5:$B$230*(((Inputs!$G$5:$G$230="moeda")+(Inputs!$G$5:$G$230="acoes"))*Inputs!$B$1+((Inputs!$G$5:$G$230&lt;&gt;"moeda")*(Inputs!$G$5:$G$230&lt;&gt;"acoes")))*INDEX(Inputs!$K$5:$AJ$230,0,MATCH(AH$2,Inputs!$K$4:$AJ$4,0)))+SUMPRODUCT((Inputs!$C$5:$C$230=$B90)*Inputs!$D$5:$D$230*(((Inputs!$G$5:$G$230="moeda")+(Inputs!$G$5:$G$230="acoes"))*Inputs!$B$1+((Inputs!$G$5:$G$230&lt;&gt;"moeda")*(Inputs!$G$5:$G$230&lt;&gt;"acoes")))*INDEX(Inputs!$K$5:$AJ$230,0,MATCH(AH$2,Inputs!$K$4:$AJ$4,0)))+SUMPRODUCT((Inputs!$E$5:$E$230=$B90)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90" s="6" t="e">
        <f>IF(ISNA(MATCH(AI$2,Inputs!$K$4:$AJ$4,0)),NA(),IF(SUMPRODUCT((Inputs!$A$5:$A$230=$B90)*ISNUMBER(INDEX(Inputs!$K$5:$AJ$230,0,MATCH(AI$2,Inputs!$K$4:$AJ$4,0))))+SUMPRODUCT((Inputs!$C$5:$C$230=$B90)*ISNUMBER(INDEX(Inputs!$K$5:$AJ$230,0,MATCH(AI$2,Inputs!$K$4:$AJ$4,0))))+SUMPRODUCT((Inputs!$E$5:$E$230=$B90)*ISNUMBER(INDEX(Inputs!$K$5:$AJ$230,0,MATCH(AI$2,Inputs!$K$4:$AJ$4,0))))=0,NA(),SUMPRODUCT((Inputs!$A$5:$A$230=$B90)*Inputs!$B$5:$B$230*(((Inputs!$G$5:$G$230="moeda")+(Inputs!$G$5:$G$230="acoes"))*Inputs!$B$1+((Inputs!$G$5:$G$230&lt;&gt;"moeda")*(Inputs!$G$5:$G$230&lt;&gt;"acoes")))*INDEX(Inputs!$K$5:$AJ$230,0,MATCH(AI$2,Inputs!$K$4:$AJ$4,0)))+SUMPRODUCT((Inputs!$C$5:$C$230=$B90)*Inputs!$D$5:$D$230*(((Inputs!$G$5:$G$230="moeda")+(Inputs!$G$5:$G$230="acoes"))*Inputs!$B$1+((Inputs!$G$5:$G$230&lt;&gt;"moeda")*(Inputs!$G$5:$G$230&lt;&gt;"acoes")))*INDEX(Inputs!$K$5:$AJ$230,0,MATCH(AI$2,Inputs!$K$4:$AJ$4,0)))+SUMPRODUCT((Inputs!$E$5:$E$230=$B90)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90" s="6" t="e">
        <f>IF(ISNA(MATCH(AJ$2,Inputs!$K$4:$AJ$4,0)),NA(),IF(SUMPRODUCT((Inputs!$A$5:$A$230=$B90)*ISNUMBER(INDEX(Inputs!$K$5:$AJ$230,0,MATCH(AJ$2,Inputs!$K$4:$AJ$4,0))))+SUMPRODUCT((Inputs!$C$5:$C$230=$B90)*ISNUMBER(INDEX(Inputs!$K$5:$AJ$230,0,MATCH(AJ$2,Inputs!$K$4:$AJ$4,0))))+SUMPRODUCT((Inputs!$E$5:$E$230=$B90)*ISNUMBER(INDEX(Inputs!$K$5:$AJ$230,0,MATCH(AJ$2,Inputs!$K$4:$AJ$4,0))))=0,NA(),SUMPRODUCT((Inputs!$A$5:$A$230=$B90)*Inputs!$B$5:$B$230*(((Inputs!$G$5:$G$230="moeda")+(Inputs!$G$5:$G$230="acoes"))*Inputs!$B$1+((Inputs!$G$5:$G$230&lt;&gt;"moeda")*(Inputs!$G$5:$G$230&lt;&gt;"acoes")))*INDEX(Inputs!$K$5:$AJ$230,0,MATCH(AJ$2,Inputs!$K$4:$AJ$4,0)))+SUMPRODUCT((Inputs!$C$5:$C$230=$B90)*Inputs!$D$5:$D$230*(((Inputs!$G$5:$G$230="moeda")+(Inputs!$G$5:$G$230="acoes"))*Inputs!$B$1+((Inputs!$G$5:$G$230&lt;&gt;"moeda")*(Inputs!$G$5:$G$230&lt;&gt;"acoes")))*INDEX(Inputs!$K$5:$AJ$230,0,MATCH(AJ$2,Inputs!$K$4:$AJ$4,0)))+SUMPRODUCT((Inputs!$E$5:$E$230=$B90)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90" s="6" t="e">
        <f>IF(ISNA(MATCH(AK$2,Inputs!$K$4:$AJ$4,0)),NA(),IF(SUMPRODUCT((Inputs!$A$5:$A$230=$B90)*ISNUMBER(INDEX(Inputs!$K$5:$AJ$230,0,MATCH(AK$2,Inputs!$K$4:$AJ$4,0))))+SUMPRODUCT((Inputs!$C$5:$C$230=$B90)*ISNUMBER(INDEX(Inputs!$K$5:$AJ$230,0,MATCH(AK$2,Inputs!$K$4:$AJ$4,0))))+SUMPRODUCT((Inputs!$E$5:$E$230=$B90)*ISNUMBER(INDEX(Inputs!$K$5:$AJ$230,0,MATCH(AK$2,Inputs!$K$4:$AJ$4,0))))=0,NA(),SUMPRODUCT((Inputs!$A$5:$A$230=$B90)*Inputs!$B$5:$B$230*(((Inputs!$G$5:$G$230="moeda")+(Inputs!$G$5:$G$230="acoes"))*Inputs!$B$1+((Inputs!$G$5:$G$230&lt;&gt;"moeda")*(Inputs!$G$5:$G$230&lt;&gt;"acoes")))*INDEX(Inputs!$K$5:$AJ$230,0,MATCH(AK$2,Inputs!$K$4:$AJ$4,0)))+SUMPRODUCT((Inputs!$C$5:$C$230=$B90)*Inputs!$D$5:$D$230*(((Inputs!$G$5:$G$230="moeda")+(Inputs!$G$5:$G$230="acoes"))*Inputs!$B$1+((Inputs!$G$5:$G$230&lt;&gt;"moeda")*(Inputs!$G$5:$G$230&lt;&gt;"acoes")))*INDEX(Inputs!$K$5:$AJ$230,0,MATCH(AK$2,Inputs!$K$4:$AJ$4,0)))+SUMPRODUCT((Inputs!$E$5:$E$230=$B90)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90" s="3" t="e">
        <f>SUM(AH90:AK90)</f>
        <v>#N/A</v>
      </c>
    </row>
    <row r="91">
      <c r="B91" s="46" t="n">
        <v>83</v>
      </c>
      <c r="C91" s="29" t="inlineStr">
        <is>
          <t>Transmissao | PALCA</t>
        </is>
      </c>
      <c r="D91" s="6" t="e">
        <f>IF(ISNA(MATCH(D$2,Inputs!$K$4:$AJ$4,0)),NA(),IF(SUMPRODUCT((Inputs!$A$5:$A$230=$B91)*ISNUMBER(INDEX(Inputs!$K$5:$AJ$230,0,MATCH(D$2,Inputs!$K$4:$AJ$4,0))))+SUMPRODUCT((Inputs!$C$5:$C$230=$B91)*ISNUMBER(INDEX(Inputs!$K$5:$AJ$230,0,MATCH(D$2,Inputs!$K$4:$AJ$4,0))))+SUMPRODUCT((Inputs!$E$5:$E$230=$B91)*ISNUMBER(INDEX(Inputs!$K$5:$AJ$230,0,MATCH(D$2,Inputs!$K$4:$AJ$4,0))))=0,NA(),SUMPRODUCT((Inputs!$A$5:$A$230=$B91)*Inputs!$B$5:$B$230*(((Inputs!$G$5:$G$230="moeda")+(Inputs!$G$5:$G$230="acoes"))*Inputs!$B$1+((Inputs!$G$5:$G$230&lt;&gt;"moeda")*(Inputs!$G$5:$G$230&lt;&gt;"acoes")))*INDEX(Inputs!$K$5:$AJ$230,0,MATCH(D$2,Inputs!$K$4:$AJ$4,0)))+SUMPRODUCT((Inputs!$C$5:$C$230=$B91)*Inputs!$D$5:$D$230*(((Inputs!$G$5:$G$230="moeda")+(Inputs!$G$5:$G$230="acoes"))*Inputs!$B$1+((Inputs!$G$5:$G$230&lt;&gt;"moeda")*(Inputs!$G$5:$G$230&lt;&gt;"acoes")))*INDEX(Inputs!$K$5:$AJ$230,0,MATCH(D$2,Inputs!$K$4:$AJ$4,0)))+SUMPRODUCT((Inputs!$E$5:$E$230=$B91)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91" s="6" t="e">
        <f>IF(ISNA(MATCH(E$2,Inputs!$K$4:$AJ$4,0)),NA(),IF(SUMPRODUCT((Inputs!$A$5:$A$230=$B91)*ISNUMBER(INDEX(Inputs!$K$5:$AJ$230,0,MATCH(E$2,Inputs!$K$4:$AJ$4,0))))+SUMPRODUCT((Inputs!$C$5:$C$230=$B91)*ISNUMBER(INDEX(Inputs!$K$5:$AJ$230,0,MATCH(E$2,Inputs!$K$4:$AJ$4,0))))+SUMPRODUCT((Inputs!$E$5:$E$230=$B91)*ISNUMBER(INDEX(Inputs!$K$5:$AJ$230,0,MATCH(E$2,Inputs!$K$4:$AJ$4,0))))=0,NA(),SUMPRODUCT((Inputs!$A$5:$A$230=$B91)*Inputs!$B$5:$B$230*(((Inputs!$G$5:$G$230="moeda")+(Inputs!$G$5:$G$230="acoes"))*Inputs!$B$1+((Inputs!$G$5:$G$230&lt;&gt;"moeda")*(Inputs!$G$5:$G$230&lt;&gt;"acoes")))*INDEX(Inputs!$K$5:$AJ$230,0,MATCH(E$2,Inputs!$K$4:$AJ$4,0)))+SUMPRODUCT((Inputs!$C$5:$C$230=$B91)*Inputs!$D$5:$D$230*(((Inputs!$G$5:$G$230="moeda")+(Inputs!$G$5:$G$230="acoes"))*Inputs!$B$1+((Inputs!$G$5:$G$230&lt;&gt;"moeda")*(Inputs!$G$5:$G$230&lt;&gt;"acoes")))*INDEX(Inputs!$K$5:$AJ$230,0,MATCH(E$2,Inputs!$K$4:$AJ$4,0)))+SUMPRODUCT((Inputs!$E$5:$E$230=$B91)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91" s="6" t="e">
        <f>IF(ISNA(MATCH(F$2,Inputs!$K$4:$AJ$4,0)),NA(),IF(SUMPRODUCT((Inputs!$A$5:$A$230=$B91)*ISNUMBER(INDEX(Inputs!$K$5:$AJ$230,0,MATCH(F$2,Inputs!$K$4:$AJ$4,0))))+SUMPRODUCT((Inputs!$C$5:$C$230=$B91)*ISNUMBER(INDEX(Inputs!$K$5:$AJ$230,0,MATCH(F$2,Inputs!$K$4:$AJ$4,0))))+SUMPRODUCT((Inputs!$E$5:$E$230=$B91)*ISNUMBER(INDEX(Inputs!$K$5:$AJ$230,0,MATCH(F$2,Inputs!$K$4:$AJ$4,0))))=0,NA(),SUMPRODUCT((Inputs!$A$5:$A$230=$B91)*Inputs!$B$5:$B$230*(((Inputs!$G$5:$G$230="moeda")+(Inputs!$G$5:$G$230="acoes"))*Inputs!$B$1+((Inputs!$G$5:$G$230&lt;&gt;"moeda")*(Inputs!$G$5:$G$230&lt;&gt;"acoes")))*INDEX(Inputs!$K$5:$AJ$230,0,MATCH(F$2,Inputs!$K$4:$AJ$4,0)))+SUMPRODUCT((Inputs!$C$5:$C$230=$B91)*Inputs!$D$5:$D$230*(((Inputs!$G$5:$G$230="moeda")+(Inputs!$G$5:$G$230="acoes"))*Inputs!$B$1+((Inputs!$G$5:$G$230&lt;&gt;"moeda")*(Inputs!$G$5:$G$230&lt;&gt;"acoes")))*INDEX(Inputs!$K$5:$AJ$230,0,MATCH(F$2,Inputs!$K$4:$AJ$4,0)))+SUMPRODUCT((Inputs!$E$5:$E$230=$B91)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91" s="6" t="e">
        <f>IF(ISNA(MATCH(G$2,Inputs!$K$4:$AJ$4,0)),NA(),IF(SUMPRODUCT((Inputs!$A$5:$A$230=$B91)*ISNUMBER(INDEX(Inputs!$K$5:$AJ$230,0,MATCH(G$2,Inputs!$K$4:$AJ$4,0))))+SUMPRODUCT((Inputs!$C$5:$C$230=$B91)*ISNUMBER(INDEX(Inputs!$K$5:$AJ$230,0,MATCH(G$2,Inputs!$K$4:$AJ$4,0))))+SUMPRODUCT((Inputs!$E$5:$E$230=$B91)*ISNUMBER(INDEX(Inputs!$K$5:$AJ$230,0,MATCH(G$2,Inputs!$K$4:$AJ$4,0))))=0,NA(),SUMPRODUCT((Inputs!$A$5:$A$230=$B91)*Inputs!$B$5:$B$230*(((Inputs!$G$5:$G$230="moeda")+(Inputs!$G$5:$G$230="acoes"))*Inputs!$B$1+((Inputs!$G$5:$G$230&lt;&gt;"moeda")*(Inputs!$G$5:$G$230&lt;&gt;"acoes")))*INDEX(Inputs!$K$5:$AJ$230,0,MATCH(G$2,Inputs!$K$4:$AJ$4,0)))+SUMPRODUCT((Inputs!$C$5:$C$230=$B91)*Inputs!$D$5:$D$230*(((Inputs!$G$5:$G$230="moeda")+(Inputs!$G$5:$G$230="acoes"))*Inputs!$B$1+((Inputs!$G$5:$G$230&lt;&gt;"moeda")*(Inputs!$G$5:$G$230&lt;&gt;"acoes")))*INDEX(Inputs!$K$5:$AJ$230,0,MATCH(G$2,Inputs!$K$4:$AJ$4,0)))+SUMPRODUCT((Inputs!$E$5:$E$230=$B91)*Inputs!$F$5:$F$230*(((Inputs!$G$5:$G$230="moeda")+(Inputs!$G$5:$G$230="acoes"))*Inputs!$B$1+((Inputs!$G$5:$G$230&lt;&gt;"moeda")*(Inputs!$G$5:$G$230&lt;&gt;"acoes")))*INDEX(Inputs!$K$5:$AJ$230,0,MATCH(G$2,Inputs!$K$4:$AJ$4,0)))))</f>
        <v>#N/A</v>
      </c>
      <c r="H91" s="3" t="e">
        <f>SUM(D91:G91)</f>
        <v>#N/A</v>
      </c>
      <c r="I91" s="6" t="e">
        <f>IF(ISNA(MATCH(I$2,Inputs!$K$4:$AJ$4,0)),NA(),IF(SUMPRODUCT((Inputs!$A$5:$A$230=$B91)*ISNUMBER(INDEX(Inputs!$K$5:$AJ$230,0,MATCH(I$2,Inputs!$K$4:$AJ$4,0))))+SUMPRODUCT((Inputs!$C$5:$C$230=$B91)*ISNUMBER(INDEX(Inputs!$K$5:$AJ$230,0,MATCH(I$2,Inputs!$K$4:$AJ$4,0))))+SUMPRODUCT((Inputs!$E$5:$E$230=$B91)*ISNUMBER(INDEX(Inputs!$K$5:$AJ$230,0,MATCH(I$2,Inputs!$K$4:$AJ$4,0))))=0,NA(),SUMPRODUCT((Inputs!$A$5:$A$230=$B91)*Inputs!$B$5:$B$230*(((Inputs!$G$5:$G$230="moeda")+(Inputs!$G$5:$G$230="acoes"))*Inputs!$B$1+((Inputs!$G$5:$G$230&lt;&gt;"moeda")*(Inputs!$G$5:$G$230&lt;&gt;"acoes")))*INDEX(Inputs!$K$5:$AJ$230,0,MATCH(I$2,Inputs!$K$4:$AJ$4,0)))+SUMPRODUCT((Inputs!$C$5:$C$230=$B91)*Inputs!$D$5:$D$230*(((Inputs!$G$5:$G$230="moeda")+(Inputs!$G$5:$G$230="acoes"))*Inputs!$B$1+((Inputs!$G$5:$G$230&lt;&gt;"moeda")*(Inputs!$G$5:$G$230&lt;&gt;"acoes")))*INDEX(Inputs!$K$5:$AJ$230,0,MATCH(I$2,Inputs!$K$4:$AJ$4,0)))+SUMPRODUCT((Inputs!$E$5:$E$230=$B91)*Inputs!$F$5:$F$230*(((Inputs!$G$5:$G$230="moeda")+(Inputs!$G$5:$G$230="acoes"))*Inputs!$B$1+((Inputs!$G$5:$G$230&lt;&gt;"moeda")*(Inputs!$G$5:$G$230&lt;&gt;"acoes")))*INDEX(Inputs!$K$5:$AJ$230,0,MATCH(I$2,Inputs!$K$4:$AJ$4,0)))))</f>
        <v>#N/A</v>
      </c>
      <c r="J91" s="6" t="e">
        <f>IF(ISNA(MATCH(J$2,Inputs!$K$4:$AJ$4,0)),NA(),IF(SUMPRODUCT((Inputs!$A$5:$A$230=$B91)*ISNUMBER(INDEX(Inputs!$K$5:$AJ$230,0,MATCH(J$2,Inputs!$K$4:$AJ$4,0))))+SUMPRODUCT((Inputs!$C$5:$C$230=$B91)*ISNUMBER(INDEX(Inputs!$K$5:$AJ$230,0,MATCH(J$2,Inputs!$K$4:$AJ$4,0))))+SUMPRODUCT((Inputs!$E$5:$E$230=$B91)*ISNUMBER(INDEX(Inputs!$K$5:$AJ$230,0,MATCH(J$2,Inputs!$K$4:$AJ$4,0))))=0,NA(),SUMPRODUCT((Inputs!$A$5:$A$230=$B91)*Inputs!$B$5:$B$230*(((Inputs!$G$5:$G$230="moeda")+(Inputs!$G$5:$G$230="acoes"))*Inputs!$B$1+((Inputs!$G$5:$G$230&lt;&gt;"moeda")*(Inputs!$G$5:$G$230&lt;&gt;"acoes")))*INDEX(Inputs!$K$5:$AJ$230,0,MATCH(J$2,Inputs!$K$4:$AJ$4,0)))+SUMPRODUCT((Inputs!$C$5:$C$230=$B91)*Inputs!$D$5:$D$230*(((Inputs!$G$5:$G$230="moeda")+(Inputs!$G$5:$G$230="acoes"))*Inputs!$B$1+((Inputs!$G$5:$G$230&lt;&gt;"moeda")*(Inputs!$G$5:$G$230&lt;&gt;"acoes")))*INDEX(Inputs!$K$5:$AJ$230,0,MATCH(J$2,Inputs!$K$4:$AJ$4,0)))+SUMPRODUCT((Inputs!$E$5:$E$230=$B91)*Inputs!$F$5:$F$230*(((Inputs!$G$5:$G$230="moeda")+(Inputs!$G$5:$G$230="acoes"))*Inputs!$B$1+((Inputs!$G$5:$G$230&lt;&gt;"moeda")*(Inputs!$G$5:$G$230&lt;&gt;"acoes")))*INDEX(Inputs!$K$5:$AJ$230,0,MATCH(J$2,Inputs!$K$4:$AJ$4,0)))))</f>
        <v>#N/A</v>
      </c>
      <c r="K91" s="6" t="e">
        <f>IF(ISNA(MATCH(K$2,Inputs!$K$4:$AJ$4,0)),NA(),IF(SUMPRODUCT((Inputs!$A$5:$A$230=$B91)*ISNUMBER(INDEX(Inputs!$K$5:$AJ$230,0,MATCH(K$2,Inputs!$K$4:$AJ$4,0))))+SUMPRODUCT((Inputs!$C$5:$C$230=$B91)*ISNUMBER(INDEX(Inputs!$K$5:$AJ$230,0,MATCH(K$2,Inputs!$K$4:$AJ$4,0))))+SUMPRODUCT((Inputs!$E$5:$E$230=$B91)*ISNUMBER(INDEX(Inputs!$K$5:$AJ$230,0,MATCH(K$2,Inputs!$K$4:$AJ$4,0))))=0,NA(),SUMPRODUCT((Inputs!$A$5:$A$230=$B91)*Inputs!$B$5:$B$230*(((Inputs!$G$5:$G$230="moeda")+(Inputs!$G$5:$G$230="acoes"))*Inputs!$B$1+((Inputs!$G$5:$G$230&lt;&gt;"moeda")*(Inputs!$G$5:$G$230&lt;&gt;"acoes")))*INDEX(Inputs!$K$5:$AJ$230,0,MATCH(K$2,Inputs!$K$4:$AJ$4,0)))+SUMPRODUCT((Inputs!$C$5:$C$230=$B91)*Inputs!$D$5:$D$230*(((Inputs!$G$5:$G$230="moeda")+(Inputs!$G$5:$G$230="acoes"))*Inputs!$B$1+((Inputs!$G$5:$G$230&lt;&gt;"moeda")*(Inputs!$G$5:$G$230&lt;&gt;"acoes")))*INDEX(Inputs!$K$5:$AJ$230,0,MATCH(K$2,Inputs!$K$4:$AJ$4,0)))+SUMPRODUCT((Inputs!$E$5:$E$230=$B91)*Inputs!$F$5:$F$230*(((Inputs!$G$5:$G$230="moeda")+(Inputs!$G$5:$G$230="acoes"))*Inputs!$B$1+((Inputs!$G$5:$G$230&lt;&gt;"moeda")*(Inputs!$G$5:$G$230&lt;&gt;"acoes")))*INDEX(Inputs!$K$5:$AJ$230,0,MATCH(K$2,Inputs!$K$4:$AJ$4,0)))))</f>
        <v>#N/A</v>
      </c>
      <c r="L91" s="6" t="e">
        <f>IF(ISNA(MATCH(L$2,Inputs!$K$4:$AJ$4,0)),NA(),IF(SUMPRODUCT((Inputs!$A$5:$A$230=$B91)*ISNUMBER(INDEX(Inputs!$K$5:$AJ$230,0,MATCH(L$2,Inputs!$K$4:$AJ$4,0))))+SUMPRODUCT((Inputs!$C$5:$C$230=$B91)*ISNUMBER(INDEX(Inputs!$K$5:$AJ$230,0,MATCH(L$2,Inputs!$K$4:$AJ$4,0))))+SUMPRODUCT((Inputs!$E$5:$E$230=$B91)*ISNUMBER(INDEX(Inputs!$K$5:$AJ$230,0,MATCH(L$2,Inputs!$K$4:$AJ$4,0))))=0,NA(),SUMPRODUCT((Inputs!$A$5:$A$230=$B91)*Inputs!$B$5:$B$230*(((Inputs!$G$5:$G$230="moeda")+(Inputs!$G$5:$G$230="acoes"))*Inputs!$B$1+((Inputs!$G$5:$G$230&lt;&gt;"moeda")*(Inputs!$G$5:$G$230&lt;&gt;"acoes")))*INDEX(Inputs!$K$5:$AJ$230,0,MATCH(L$2,Inputs!$K$4:$AJ$4,0)))+SUMPRODUCT((Inputs!$C$5:$C$230=$B91)*Inputs!$D$5:$D$230*(((Inputs!$G$5:$G$230="moeda")+(Inputs!$G$5:$G$230="acoes"))*Inputs!$B$1+((Inputs!$G$5:$G$230&lt;&gt;"moeda")*(Inputs!$G$5:$G$230&lt;&gt;"acoes")))*INDEX(Inputs!$K$5:$AJ$230,0,MATCH(L$2,Inputs!$K$4:$AJ$4,0)))+SUMPRODUCT((Inputs!$E$5:$E$230=$B91)*Inputs!$F$5:$F$230*(((Inputs!$G$5:$G$230="moeda")+(Inputs!$G$5:$G$230="acoes"))*Inputs!$B$1+((Inputs!$G$5:$G$230&lt;&gt;"moeda")*(Inputs!$G$5:$G$230&lt;&gt;"acoes")))*INDEX(Inputs!$K$5:$AJ$230,0,MATCH(L$2,Inputs!$K$4:$AJ$4,0)))))</f>
        <v>#N/A</v>
      </c>
      <c r="M91" s="3" t="e">
        <f>SUM(I91:L91)</f>
        <v>#N/A</v>
      </c>
      <c r="N91" s="6" t="e">
        <f>IF(ISNA(MATCH(N$2,Inputs!$K$4:$AJ$4,0)),NA(),IF(SUMPRODUCT((Inputs!$A$5:$A$230=$B91)*ISNUMBER(INDEX(Inputs!$K$5:$AJ$230,0,MATCH(N$2,Inputs!$K$4:$AJ$4,0))))+SUMPRODUCT((Inputs!$C$5:$C$230=$B91)*ISNUMBER(INDEX(Inputs!$K$5:$AJ$230,0,MATCH(N$2,Inputs!$K$4:$AJ$4,0))))+SUMPRODUCT((Inputs!$E$5:$E$230=$B91)*ISNUMBER(INDEX(Inputs!$K$5:$AJ$230,0,MATCH(N$2,Inputs!$K$4:$AJ$4,0))))=0,NA(),SUMPRODUCT((Inputs!$A$5:$A$230=$B91)*Inputs!$B$5:$B$230*(((Inputs!$G$5:$G$230="moeda")+(Inputs!$G$5:$G$230="acoes"))*Inputs!$B$1+((Inputs!$G$5:$G$230&lt;&gt;"moeda")*(Inputs!$G$5:$G$230&lt;&gt;"acoes")))*INDEX(Inputs!$K$5:$AJ$230,0,MATCH(N$2,Inputs!$K$4:$AJ$4,0)))+SUMPRODUCT((Inputs!$C$5:$C$230=$B91)*Inputs!$D$5:$D$230*(((Inputs!$G$5:$G$230="moeda")+(Inputs!$G$5:$G$230="acoes"))*Inputs!$B$1+((Inputs!$G$5:$G$230&lt;&gt;"moeda")*(Inputs!$G$5:$G$230&lt;&gt;"acoes")))*INDEX(Inputs!$K$5:$AJ$230,0,MATCH(N$2,Inputs!$K$4:$AJ$4,0)))+SUMPRODUCT((Inputs!$E$5:$E$230=$B91)*Inputs!$F$5:$F$230*(((Inputs!$G$5:$G$230="moeda")+(Inputs!$G$5:$G$230="acoes"))*Inputs!$B$1+((Inputs!$G$5:$G$230&lt;&gt;"moeda")*(Inputs!$G$5:$G$230&lt;&gt;"acoes")))*INDEX(Inputs!$K$5:$AJ$230,0,MATCH(N$2,Inputs!$K$4:$AJ$4,0)))))</f>
        <v>#N/A</v>
      </c>
      <c r="O91" s="6" t="e">
        <f>IF(ISNA(MATCH(O$2,Inputs!$K$4:$AJ$4,0)),NA(),IF(SUMPRODUCT((Inputs!$A$5:$A$230=$B91)*ISNUMBER(INDEX(Inputs!$K$5:$AJ$230,0,MATCH(O$2,Inputs!$K$4:$AJ$4,0))))+SUMPRODUCT((Inputs!$C$5:$C$230=$B91)*ISNUMBER(INDEX(Inputs!$K$5:$AJ$230,0,MATCH(O$2,Inputs!$K$4:$AJ$4,0))))+SUMPRODUCT((Inputs!$E$5:$E$230=$B91)*ISNUMBER(INDEX(Inputs!$K$5:$AJ$230,0,MATCH(O$2,Inputs!$K$4:$AJ$4,0))))=0,NA(),SUMPRODUCT((Inputs!$A$5:$A$230=$B91)*Inputs!$B$5:$B$230*(((Inputs!$G$5:$G$230="moeda")+(Inputs!$G$5:$G$230="acoes"))*Inputs!$B$1+((Inputs!$G$5:$G$230&lt;&gt;"moeda")*(Inputs!$G$5:$G$230&lt;&gt;"acoes")))*INDEX(Inputs!$K$5:$AJ$230,0,MATCH(O$2,Inputs!$K$4:$AJ$4,0)))+SUMPRODUCT((Inputs!$C$5:$C$230=$B91)*Inputs!$D$5:$D$230*(((Inputs!$G$5:$G$230="moeda")+(Inputs!$G$5:$G$230="acoes"))*Inputs!$B$1+((Inputs!$G$5:$G$230&lt;&gt;"moeda")*(Inputs!$G$5:$G$230&lt;&gt;"acoes")))*INDEX(Inputs!$K$5:$AJ$230,0,MATCH(O$2,Inputs!$K$4:$AJ$4,0)))+SUMPRODUCT((Inputs!$E$5:$E$230=$B91)*Inputs!$F$5:$F$230*(((Inputs!$G$5:$G$230="moeda")+(Inputs!$G$5:$G$230="acoes"))*Inputs!$B$1+((Inputs!$G$5:$G$230&lt;&gt;"moeda")*(Inputs!$G$5:$G$230&lt;&gt;"acoes")))*INDEX(Inputs!$K$5:$AJ$230,0,MATCH(O$2,Inputs!$K$4:$AJ$4,0)))))</f>
        <v>#N/A</v>
      </c>
      <c r="P91" s="6" t="e">
        <f>IF(ISNA(MATCH(P$2,Inputs!$K$4:$AJ$4,0)),NA(),IF(SUMPRODUCT((Inputs!$A$5:$A$230=$B91)*ISNUMBER(INDEX(Inputs!$K$5:$AJ$230,0,MATCH(P$2,Inputs!$K$4:$AJ$4,0))))+SUMPRODUCT((Inputs!$C$5:$C$230=$B91)*ISNUMBER(INDEX(Inputs!$K$5:$AJ$230,0,MATCH(P$2,Inputs!$K$4:$AJ$4,0))))+SUMPRODUCT((Inputs!$E$5:$E$230=$B91)*ISNUMBER(INDEX(Inputs!$K$5:$AJ$230,0,MATCH(P$2,Inputs!$K$4:$AJ$4,0))))=0,NA(),SUMPRODUCT((Inputs!$A$5:$A$230=$B91)*Inputs!$B$5:$B$230*(((Inputs!$G$5:$G$230="moeda")+(Inputs!$G$5:$G$230="acoes"))*Inputs!$B$1+((Inputs!$G$5:$G$230&lt;&gt;"moeda")*(Inputs!$G$5:$G$230&lt;&gt;"acoes")))*INDEX(Inputs!$K$5:$AJ$230,0,MATCH(P$2,Inputs!$K$4:$AJ$4,0)))+SUMPRODUCT((Inputs!$C$5:$C$230=$B91)*Inputs!$D$5:$D$230*(((Inputs!$G$5:$G$230="moeda")+(Inputs!$G$5:$G$230="acoes"))*Inputs!$B$1+((Inputs!$G$5:$G$230&lt;&gt;"moeda")*(Inputs!$G$5:$G$230&lt;&gt;"acoes")))*INDEX(Inputs!$K$5:$AJ$230,0,MATCH(P$2,Inputs!$K$4:$AJ$4,0)))+SUMPRODUCT((Inputs!$E$5:$E$230=$B91)*Inputs!$F$5:$F$230*(((Inputs!$G$5:$G$230="moeda")+(Inputs!$G$5:$G$230="acoes"))*Inputs!$B$1+((Inputs!$G$5:$G$230&lt;&gt;"moeda")*(Inputs!$G$5:$G$230&lt;&gt;"acoes")))*INDEX(Inputs!$K$5:$AJ$230,0,MATCH(P$2,Inputs!$K$4:$AJ$4,0)))))</f>
        <v>#N/A</v>
      </c>
      <c r="Q91" s="6" t="e">
        <f>IF(ISNA(MATCH(Q$2,Inputs!$K$4:$AJ$4,0)),NA(),IF(SUMPRODUCT((Inputs!$A$5:$A$230=$B91)*ISNUMBER(INDEX(Inputs!$K$5:$AJ$230,0,MATCH(Q$2,Inputs!$K$4:$AJ$4,0))))+SUMPRODUCT((Inputs!$C$5:$C$230=$B91)*ISNUMBER(INDEX(Inputs!$K$5:$AJ$230,0,MATCH(Q$2,Inputs!$K$4:$AJ$4,0))))+SUMPRODUCT((Inputs!$E$5:$E$230=$B91)*ISNUMBER(INDEX(Inputs!$K$5:$AJ$230,0,MATCH(Q$2,Inputs!$K$4:$AJ$4,0))))=0,NA(),SUMPRODUCT((Inputs!$A$5:$A$230=$B91)*Inputs!$B$5:$B$230*(((Inputs!$G$5:$G$230="moeda")+(Inputs!$G$5:$G$230="acoes"))*Inputs!$B$1+((Inputs!$G$5:$G$230&lt;&gt;"moeda")*(Inputs!$G$5:$G$230&lt;&gt;"acoes")))*INDEX(Inputs!$K$5:$AJ$230,0,MATCH(Q$2,Inputs!$K$4:$AJ$4,0)))+SUMPRODUCT((Inputs!$C$5:$C$230=$B91)*Inputs!$D$5:$D$230*(((Inputs!$G$5:$G$230="moeda")+(Inputs!$G$5:$G$230="acoes"))*Inputs!$B$1+((Inputs!$G$5:$G$230&lt;&gt;"moeda")*(Inputs!$G$5:$G$230&lt;&gt;"acoes")))*INDEX(Inputs!$K$5:$AJ$230,0,MATCH(Q$2,Inputs!$K$4:$AJ$4,0)))+SUMPRODUCT((Inputs!$E$5:$E$230=$B91)*Inputs!$F$5:$F$230*(((Inputs!$G$5:$G$230="moeda")+(Inputs!$G$5:$G$230="acoes"))*Inputs!$B$1+((Inputs!$G$5:$G$230&lt;&gt;"moeda")*(Inputs!$G$5:$G$230&lt;&gt;"acoes")))*INDEX(Inputs!$K$5:$AJ$230,0,MATCH(Q$2,Inputs!$K$4:$AJ$4,0)))))</f>
        <v>#N/A</v>
      </c>
      <c r="R91" s="3" t="e">
        <f>SUM(N91:Q91)</f>
        <v>#N/A</v>
      </c>
      <c r="S91" s="6" t="e">
        <f>IF(ISNA(MATCH(S$2,Inputs!$K$4:$AJ$4,0)),NA(),IF(SUMPRODUCT((Inputs!$A$5:$A$230=$B91)*ISNUMBER(INDEX(Inputs!$K$5:$AJ$230,0,MATCH(S$2,Inputs!$K$4:$AJ$4,0))))+SUMPRODUCT((Inputs!$C$5:$C$230=$B91)*ISNUMBER(INDEX(Inputs!$K$5:$AJ$230,0,MATCH(S$2,Inputs!$K$4:$AJ$4,0))))+SUMPRODUCT((Inputs!$E$5:$E$230=$B91)*ISNUMBER(INDEX(Inputs!$K$5:$AJ$230,0,MATCH(S$2,Inputs!$K$4:$AJ$4,0))))=0,NA(),SUMPRODUCT((Inputs!$A$5:$A$230=$B91)*Inputs!$B$5:$B$230*(((Inputs!$G$5:$G$230="moeda")+(Inputs!$G$5:$G$230="acoes"))*Inputs!$B$1+((Inputs!$G$5:$G$230&lt;&gt;"moeda")*(Inputs!$G$5:$G$230&lt;&gt;"acoes")))*INDEX(Inputs!$K$5:$AJ$230,0,MATCH(S$2,Inputs!$K$4:$AJ$4,0)))+SUMPRODUCT((Inputs!$C$5:$C$230=$B91)*Inputs!$D$5:$D$230*(((Inputs!$G$5:$G$230="moeda")+(Inputs!$G$5:$G$230="acoes"))*Inputs!$B$1+((Inputs!$G$5:$G$230&lt;&gt;"moeda")*(Inputs!$G$5:$G$230&lt;&gt;"acoes")))*INDEX(Inputs!$K$5:$AJ$230,0,MATCH(S$2,Inputs!$K$4:$AJ$4,0)))+SUMPRODUCT((Inputs!$E$5:$E$230=$B91)*Inputs!$F$5:$F$230*(((Inputs!$G$5:$G$230="moeda")+(Inputs!$G$5:$G$230="acoes"))*Inputs!$B$1+((Inputs!$G$5:$G$230&lt;&gt;"moeda")*(Inputs!$G$5:$G$230&lt;&gt;"acoes")))*INDEX(Inputs!$K$5:$AJ$230,0,MATCH(S$2,Inputs!$K$4:$AJ$4,0)))))</f>
        <v>#N/A</v>
      </c>
      <c r="T91" s="6" t="e">
        <f>IF(ISNA(MATCH(T$2,Inputs!$K$4:$AJ$4,0)),NA(),IF(SUMPRODUCT((Inputs!$A$5:$A$230=$B91)*ISNUMBER(INDEX(Inputs!$K$5:$AJ$230,0,MATCH(T$2,Inputs!$K$4:$AJ$4,0))))+SUMPRODUCT((Inputs!$C$5:$C$230=$B91)*ISNUMBER(INDEX(Inputs!$K$5:$AJ$230,0,MATCH(T$2,Inputs!$K$4:$AJ$4,0))))+SUMPRODUCT((Inputs!$E$5:$E$230=$B91)*ISNUMBER(INDEX(Inputs!$K$5:$AJ$230,0,MATCH(T$2,Inputs!$K$4:$AJ$4,0))))=0,NA(),SUMPRODUCT((Inputs!$A$5:$A$230=$B91)*Inputs!$B$5:$B$230*(((Inputs!$G$5:$G$230="moeda")+(Inputs!$G$5:$G$230="acoes"))*Inputs!$B$1+((Inputs!$G$5:$G$230&lt;&gt;"moeda")*(Inputs!$G$5:$G$230&lt;&gt;"acoes")))*INDEX(Inputs!$K$5:$AJ$230,0,MATCH(T$2,Inputs!$K$4:$AJ$4,0)))+SUMPRODUCT((Inputs!$C$5:$C$230=$B91)*Inputs!$D$5:$D$230*(((Inputs!$G$5:$G$230="moeda")+(Inputs!$G$5:$G$230="acoes"))*Inputs!$B$1+((Inputs!$G$5:$G$230&lt;&gt;"moeda")*(Inputs!$G$5:$G$230&lt;&gt;"acoes")))*INDEX(Inputs!$K$5:$AJ$230,0,MATCH(T$2,Inputs!$K$4:$AJ$4,0)))+SUMPRODUCT((Inputs!$E$5:$E$230=$B91)*Inputs!$F$5:$F$230*(((Inputs!$G$5:$G$230="moeda")+(Inputs!$G$5:$G$230="acoes"))*Inputs!$B$1+((Inputs!$G$5:$G$230&lt;&gt;"moeda")*(Inputs!$G$5:$G$230&lt;&gt;"acoes")))*INDEX(Inputs!$K$5:$AJ$230,0,MATCH(T$2,Inputs!$K$4:$AJ$4,0)))))</f>
        <v>#N/A</v>
      </c>
      <c r="U91" s="6" t="e">
        <f>IF(ISNA(MATCH(U$2,Inputs!$K$4:$AJ$4,0)),NA(),IF(SUMPRODUCT((Inputs!$A$5:$A$230=$B91)*ISNUMBER(INDEX(Inputs!$K$5:$AJ$230,0,MATCH(U$2,Inputs!$K$4:$AJ$4,0))))+SUMPRODUCT((Inputs!$C$5:$C$230=$B91)*ISNUMBER(INDEX(Inputs!$K$5:$AJ$230,0,MATCH(U$2,Inputs!$K$4:$AJ$4,0))))+SUMPRODUCT((Inputs!$E$5:$E$230=$B91)*ISNUMBER(INDEX(Inputs!$K$5:$AJ$230,0,MATCH(U$2,Inputs!$K$4:$AJ$4,0))))=0,NA(),SUMPRODUCT((Inputs!$A$5:$A$230=$B91)*Inputs!$B$5:$B$230*(((Inputs!$G$5:$G$230="moeda")+(Inputs!$G$5:$G$230="acoes"))*Inputs!$B$1+((Inputs!$G$5:$G$230&lt;&gt;"moeda")*(Inputs!$G$5:$G$230&lt;&gt;"acoes")))*INDEX(Inputs!$K$5:$AJ$230,0,MATCH(U$2,Inputs!$K$4:$AJ$4,0)))+SUMPRODUCT((Inputs!$C$5:$C$230=$B91)*Inputs!$D$5:$D$230*(((Inputs!$G$5:$G$230="moeda")+(Inputs!$G$5:$G$230="acoes"))*Inputs!$B$1+((Inputs!$G$5:$G$230&lt;&gt;"moeda")*(Inputs!$G$5:$G$230&lt;&gt;"acoes")))*INDEX(Inputs!$K$5:$AJ$230,0,MATCH(U$2,Inputs!$K$4:$AJ$4,0)))+SUMPRODUCT((Inputs!$E$5:$E$230=$B91)*Inputs!$F$5:$F$230*(((Inputs!$G$5:$G$230="moeda")+(Inputs!$G$5:$G$230="acoes"))*Inputs!$B$1+((Inputs!$G$5:$G$230&lt;&gt;"moeda")*(Inputs!$G$5:$G$230&lt;&gt;"acoes")))*INDEX(Inputs!$K$5:$AJ$230,0,MATCH(U$2,Inputs!$K$4:$AJ$4,0)))))</f>
        <v>#N/A</v>
      </c>
      <c r="V91" s="6" t="e">
        <f>IF(ISNA(MATCH(V$2,Inputs!$K$4:$AJ$4,0)),NA(),IF(SUMPRODUCT((Inputs!$A$5:$A$230=$B91)*ISNUMBER(INDEX(Inputs!$K$5:$AJ$230,0,MATCH(V$2,Inputs!$K$4:$AJ$4,0))))+SUMPRODUCT((Inputs!$C$5:$C$230=$B91)*ISNUMBER(INDEX(Inputs!$K$5:$AJ$230,0,MATCH(V$2,Inputs!$K$4:$AJ$4,0))))+SUMPRODUCT((Inputs!$E$5:$E$230=$B91)*ISNUMBER(INDEX(Inputs!$K$5:$AJ$230,0,MATCH(V$2,Inputs!$K$4:$AJ$4,0))))=0,NA(),SUMPRODUCT((Inputs!$A$5:$A$230=$B91)*Inputs!$B$5:$B$230*(((Inputs!$G$5:$G$230="moeda")+(Inputs!$G$5:$G$230="acoes"))*Inputs!$B$1+((Inputs!$G$5:$G$230&lt;&gt;"moeda")*(Inputs!$G$5:$G$230&lt;&gt;"acoes")))*INDEX(Inputs!$K$5:$AJ$230,0,MATCH(V$2,Inputs!$K$4:$AJ$4,0)))+SUMPRODUCT((Inputs!$C$5:$C$230=$B91)*Inputs!$D$5:$D$230*(((Inputs!$G$5:$G$230="moeda")+(Inputs!$G$5:$G$230="acoes"))*Inputs!$B$1+((Inputs!$G$5:$G$230&lt;&gt;"moeda")*(Inputs!$G$5:$G$230&lt;&gt;"acoes")))*INDEX(Inputs!$K$5:$AJ$230,0,MATCH(V$2,Inputs!$K$4:$AJ$4,0)))+SUMPRODUCT((Inputs!$E$5:$E$230=$B91)*Inputs!$F$5:$F$230*(((Inputs!$G$5:$G$230="moeda")+(Inputs!$G$5:$G$230="acoes"))*Inputs!$B$1+((Inputs!$G$5:$G$230&lt;&gt;"moeda")*(Inputs!$G$5:$G$230&lt;&gt;"acoes")))*INDEX(Inputs!$K$5:$AJ$230,0,MATCH(V$2,Inputs!$K$4:$AJ$4,0)))))</f>
        <v>#N/A</v>
      </c>
      <c r="W91" s="3" t="e">
        <f>SUM(S91:V91)</f>
        <v>#N/A</v>
      </c>
      <c r="X91" s="6" t="e">
        <f>IF(ISNA(MATCH(X$2,Inputs!$K$4:$AJ$4,0)),NA(),IF(SUMPRODUCT((Inputs!$A$5:$A$230=$B91)*ISNUMBER(INDEX(Inputs!$K$5:$AJ$230,0,MATCH(X$2,Inputs!$K$4:$AJ$4,0))))+SUMPRODUCT((Inputs!$C$5:$C$230=$B91)*ISNUMBER(INDEX(Inputs!$K$5:$AJ$230,0,MATCH(X$2,Inputs!$K$4:$AJ$4,0))))+SUMPRODUCT((Inputs!$E$5:$E$230=$B91)*ISNUMBER(INDEX(Inputs!$K$5:$AJ$230,0,MATCH(X$2,Inputs!$K$4:$AJ$4,0))))=0,NA(),SUMPRODUCT((Inputs!$A$5:$A$230=$B91)*Inputs!$B$5:$B$230*(((Inputs!$G$5:$G$230="moeda")+(Inputs!$G$5:$G$230="acoes"))*Inputs!$B$1+((Inputs!$G$5:$G$230&lt;&gt;"moeda")*(Inputs!$G$5:$G$230&lt;&gt;"acoes")))*INDEX(Inputs!$K$5:$AJ$230,0,MATCH(X$2,Inputs!$K$4:$AJ$4,0)))+SUMPRODUCT((Inputs!$C$5:$C$230=$B91)*Inputs!$D$5:$D$230*(((Inputs!$G$5:$G$230="moeda")+(Inputs!$G$5:$G$230="acoes"))*Inputs!$B$1+((Inputs!$G$5:$G$230&lt;&gt;"moeda")*(Inputs!$G$5:$G$230&lt;&gt;"acoes")))*INDEX(Inputs!$K$5:$AJ$230,0,MATCH(X$2,Inputs!$K$4:$AJ$4,0)))+SUMPRODUCT((Inputs!$E$5:$E$230=$B91)*Inputs!$F$5:$F$230*(((Inputs!$G$5:$G$230="moeda")+(Inputs!$G$5:$G$230="acoes"))*Inputs!$B$1+((Inputs!$G$5:$G$230&lt;&gt;"moeda")*(Inputs!$G$5:$G$230&lt;&gt;"acoes")))*INDEX(Inputs!$K$5:$AJ$230,0,MATCH(X$2,Inputs!$K$4:$AJ$4,0)))))</f>
        <v>#N/A</v>
      </c>
      <c r="Y91" s="6" t="e">
        <f>IF(ISNA(MATCH(Y$2,Inputs!$K$4:$AJ$4,0)),NA(),IF(SUMPRODUCT((Inputs!$A$5:$A$230=$B91)*ISNUMBER(INDEX(Inputs!$K$5:$AJ$230,0,MATCH(Y$2,Inputs!$K$4:$AJ$4,0))))+SUMPRODUCT((Inputs!$C$5:$C$230=$B91)*ISNUMBER(INDEX(Inputs!$K$5:$AJ$230,0,MATCH(Y$2,Inputs!$K$4:$AJ$4,0))))+SUMPRODUCT((Inputs!$E$5:$E$230=$B91)*ISNUMBER(INDEX(Inputs!$K$5:$AJ$230,0,MATCH(Y$2,Inputs!$K$4:$AJ$4,0))))=0,NA(),SUMPRODUCT((Inputs!$A$5:$A$230=$B91)*Inputs!$B$5:$B$230*(((Inputs!$G$5:$G$230="moeda")+(Inputs!$G$5:$G$230="acoes"))*Inputs!$B$1+((Inputs!$G$5:$G$230&lt;&gt;"moeda")*(Inputs!$G$5:$G$230&lt;&gt;"acoes")))*INDEX(Inputs!$K$5:$AJ$230,0,MATCH(Y$2,Inputs!$K$4:$AJ$4,0)))+SUMPRODUCT((Inputs!$C$5:$C$230=$B91)*Inputs!$D$5:$D$230*(((Inputs!$G$5:$G$230="moeda")+(Inputs!$G$5:$G$230="acoes"))*Inputs!$B$1+((Inputs!$G$5:$G$230&lt;&gt;"moeda")*(Inputs!$G$5:$G$230&lt;&gt;"acoes")))*INDEX(Inputs!$K$5:$AJ$230,0,MATCH(Y$2,Inputs!$K$4:$AJ$4,0)))+SUMPRODUCT((Inputs!$E$5:$E$230=$B91)*Inputs!$F$5:$F$230*(((Inputs!$G$5:$G$230="moeda")+(Inputs!$G$5:$G$230="acoes"))*Inputs!$B$1+((Inputs!$G$5:$G$230&lt;&gt;"moeda")*(Inputs!$G$5:$G$230&lt;&gt;"acoes")))*INDEX(Inputs!$K$5:$AJ$230,0,MATCH(Y$2,Inputs!$K$4:$AJ$4,0)))))</f>
        <v>#N/A</v>
      </c>
      <c r="Z91" s="6" t="e">
        <f>IF(ISNA(MATCH(Z$2,Inputs!$K$4:$AJ$4,0)),NA(),IF(SUMPRODUCT((Inputs!$A$5:$A$230=$B91)*ISNUMBER(INDEX(Inputs!$K$5:$AJ$230,0,MATCH(Z$2,Inputs!$K$4:$AJ$4,0))))+SUMPRODUCT((Inputs!$C$5:$C$230=$B91)*ISNUMBER(INDEX(Inputs!$K$5:$AJ$230,0,MATCH(Z$2,Inputs!$K$4:$AJ$4,0))))+SUMPRODUCT((Inputs!$E$5:$E$230=$B91)*ISNUMBER(INDEX(Inputs!$K$5:$AJ$230,0,MATCH(Z$2,Inputs!$K$4:$AJ$4,0))))=0,NA(),SUMPRODUCT((Inputs!$A$5:$A$230=$B91)*Inputs!$B$5:$B$230*(((Inputs!$G$5:$G$230="moeda")+(Inputs!$G$5:$G$230="acoes"))*Inputs!$B$1+((Inputs!$G$5:$G$230&lt;&gt;"moeda")*(Inputs!$G$5:$G$230&lt;&gt;"acoes")))*INDEX(Inputs!$K$5:$AJ$230,0,MATCH(Z$2,Inputs!$K$4:$AJ$4,0)))+SUMPRODUCT((Inputs!$C$5:$C$230=$B91)*Inputs!$D$5:$D$230*(((Inputs!$G$5:$G$230="moeda")+(Inputs!$G$5:$G$230="acoes"))*Inputs!$B$1+((Inputs!$G$5:$G$230&lt;&gt;"moeda")*(Inputs!$G$5:$G$230&lt;&gt;"acoes")))*INDEX(Inputs!$K$5:$AJ$230,0,MATCH(Z$2,Inputs!$K$4:$AJ$4,0)))+SUMPRODUCT((Inputs!$E$5:$E$230=$B91)*Inputs!$F$5:$F$230*(((Inputs!$G$5:$G$230="moeda")+(Inputs!$G$5:$G$230="acoes"))*Inputs!$B$1+((Inputs!$G$5:$G$230&lt;&gt;"moeda")*(Inputs!$G$5:$G$230&lt;&gt;"acoes")))*INDEX(Inputs!$K$5:$AJ$230,0,MATCH(Z$2,Inputs!$K$4:$AJ$4,0)))))</f>
        <v>#N/A</v>
      </c>
      <c r="AA91" s="6">
        <f>IF(ISNA(MATCH(AA$2,Inputs!$K$4:$AJ$4,0)),NA(),IF(SUMPRODUCT((Inputs!$A$5:$A$230=$B91)*ISNUMBER(INDEX(Inputs!$K$5:$AJ$230,0,MATCH(AA$2,Inputs!$K$4:$AJ$4,0))))+SUMPRODUCT((Inputs!$C$5:$C$230=$B91)*ISNUMBER(INDEX(Inputs!$K$5:$AJ$230,0,MATCH(AA$2,Inputs!$K$4:$AJ$4,0))))+SUMPRODUCT((Inputs!$E$5:$E$230=$B91)*ISNUMBER(INDEX(Inputs!$K$5:$AJ$230,0,MATCH(AA$2,Inputs!$K$4:$AJ$4,0))))=0,NA(),SUMPRODUCT((Inputs!$A$5:$A$230=$B91)*Inputs!$B$5:$B$230*(((Inputs!$G$5:$G$230="moeda")+(Inputs!$G$5:$G$230="acoes"))*Inputs!$B$1+((Inputs!$G$5:$G$230&lt;&gt;"moeda")*(Inputs!$G$5:$G$230&lt;&gt;"acoes")))*INDEX(Inputs!$K$5:$AJ$230,0,MATCH(AA$2,Inputs!$K$4:$AJ$4,0)))+SUMPRODUCT((Inputs!$C$5:$C$230=$B91)*Inputs!$D$5:$D$230*(((Inputs!$G$5:$G$230="moeda")+(Inputs!$G$5:$G$230="acoes"))*Inputs!$B$1+((Inputs!$G$5:$G$230&lt;&gt;"moeda")*(Inputs!$G$5:$G$230&lt;&gt;"acoes")))*INDEX(Inputs!$K$5:$AJ$230,0,MATCH(AA$2,Inputs!$K$4:$AJ$4,0)))+SUMPRODUCT((Inputs!$E$5:$E$230=$B91)*Inputs!$F$5:$F$230*(((Inputs!$G$5:$G$230="moeda")+(Inputs!$G$5:$G$230="acoes"))*Inputs!$B$1+((Inputs!$G$5:$G$230&lt;&gt;"moeda")*(Inputs!$G$5:$G$230&lt;&gt;"acoes")))*INDEX(Inputs!$K$5:$AJ$230,0,MATCH(AA$2,Inputs!$K$4:$AJ$4,0)))))</f>
        <v>26.482</v>
      </c>
      <c r="AB91" s="3" t="e">
        <f>SUM(X91:AA91)</f>
        <v>#N/A</v>
      </c>
      <c r="AC91" s="6">
        <f>IF(ISNA(MATCH(AC$2,Inputs!$K$4:$AJ$4,0)),NA(),IF(SUMPRODUCT((Inputs!$A$5:$A$230=$B91)*ISNUMBER(INDEX(Inputs!$K$5:$AJ$230,0,MATCH(AC$2,Inputs!$K$4:$AJ$4,0))))+SUMPRODUCT((Inputs!$C$5:$C$230=$B91)*ISNUMBER(INDEX(Inputs!$K$5:$AJ$230,0,MATCH(AC$2,Inputs!$K$4:$AJ$4,0))))+SUMPRODUCT((Inputs!$E$5:$E$230=$B91)*ISNUMBER(INDEX(Inputs!$K$5:$AJ$230,0,MATCH(AC$2,Inputs!$K$4:$AJ$4,0))))=0,NA(),SUMPRODUCT((Inputs!$A$5:$A$230=$B91)*Inputs!$B$5:$B$230*(((Inputs!$G$5:$G$230="moeda")+(Inputs!$G$5:$G$230="acoes"))*Inputs!$B$1+((Inputs!$G$5:$G$230&lt;&gt;"moeda")*(Inputs!$G$5:$G$230&lt;&gt;"acoes")))*INDEX(Inputs!$K$5:$AJ$230,0,MATCH(AC$2,Inputs!$K$4:$AJ$4,0)))+SUMPRODUCT((Inputs!$C$5:$C$230=$B91)*Inputs!$D$5:$D$230*(((Inputs!$G$5:$G$230="moeda")+(Inputs!$G$5:$G$230="acoes"))*Inputs!$B$1+((Inputs!$G$5:$G$230&lt;&gt;"moeda")*(Inputs!$G$5:$G$230&lt;&gt;"acoes")))*INDEX(Inputs!$K$5:$AJ$230,0,MATCH(AC$2,Inputs!$K$4:$AJ$4,0)))+SUMPRODUCT((Inputs!$E$5:$E$230=$B91)*Inputs!$F$5:$F$230*(((Inputs!$G$5:$G$230="moeda")+(Inputs!$G$5:$G$230="acoes"))*Inputs!$B$1+((Inputs!$G$5:$G$230&lt;&gt;"moeda")*(Inputs!$G$5:$G$230&lt;&gt;"acoes")))*INDEX(Inputs!$K$5:$AJ$230,0,MATCH(AC$2,Inputs!$K$4:$AJ$4,0)))))</f>
        <v>2.603</v>
      </c>
      <c r="AD91" s="6">
        <f>IF(ISNA(MATCH(AD$2,Inputs!$K$4:$AJ$4,0)),NA(),IF(SUMPRODUCT((Inputs!$A$5:$A$230=$B91)*ISNUMBER(INDEX(Inputs!$K$5:$AJ$230,0,MATCH(AD$2,Inputs!$K$4:$AJ$4,0))))+SUMPRODUCT((Inputs!$C$5:$C$230=$B91)*ISNUMBER(INDEX(Inputs!$K$5:$AJ$230,0,MATCH(AD$2,Inputs!$K$4:$AJ$4,0))))+SUMPRODUCT((Inputs!$E$5:$E$230=$B91)*ISNUMBER(INDEX(Inputs!$K$5:$AJ$230,0,MATCH(AD$2,Inputs!$K$4:$AJ$4,0))))=0,NA(),SUMPRODUCT((Inputs!$A$5:$A$230=$B91)*Inputs!$B$5:$B$230*(((Inputs!$G$5:$G$230="moeda")+(Inputs!$G$5:$G$230="acoes"))*Inputs!$B$1+((Inputs!$G$5:$G$230&lt;&gt;"moeda")*(Inputs!$G$5:$G$230&lt;&gt;"acoes")))*INDEX(Inputs!$K$5:$AJ$230,0,MATCH(AD$2,Inputs!$K$4:$AJ$4,0)))+SUMPRODUCT((Inputs!$C$5:$C$230=$B91)*Inputs!$D$5:$D$230*(((Inputs!$G$5:$G$230="moeda")+(Inputs!$G$5:$G$230="acoes"))*Inputs!$B$1+((Inputs!$G$5:$G$230&lt;&gt;"moeda")*(Inputs!$G$5:$G$230&lt;&gt;"acoes")))*INDEX(Inputs!$K$5:$AJ$230,0,MATCH(AD$2,Inputs!$K$4:$AJ$4,0)))+SUMPRODUCT((Inputs!$E$5:$E$230=$B91)*Inputs!$F$5:$F$230*(((Inputs!$G$5:$G$230="moeda")+(Inputs!$G$5:$G$230="acoes"))*Inputs!$B$1+((Inputs!$G$5:$G$230&lt;&gt;"moeda")*(Inputs!$G$5:$G$230&lt;&gt;"acoes")))*INDEX(Inputs!$K$5:$AJ$230,0,MATCH(AD$2,Inputs!$K$4:$AJ$4,0)))))</f>
        <v>1.533</v>
      </c>
      <c r="AE91" s="6" t="e">
        <f>IF(ISNA(MATCH(AE$2,Inputs!$K$4:$AJ$4,0)),NA(),IF(SUMPRODUCT((Inputs!$A$5:$A$230=$B91)*ISNUMBER(INDEX(Inputs!$K$5:$AJ$230,0,MATCH(AE$2,Inputs!$K$4:$AJ$4,0))))+SUMPRODUCT((Inputs!$C$5:$C$230=$B91)*ISNUMBER(INDEX(Inputs!$K$5:$AJ$230,0,MATCH(AE$2,Inputs!$K$4:$AJ$4,0))))+SUMPRODUCT((Inputs!$E$5:$E$230=$B91)*ISNUMBER(INDEX(Inputs!$K$5:$AJ$230,0,MATCH(AE$2,Inputs!$K$4:$AJ$4,0))))=0,NA(),SUMPRODUCT((Inputs!$A$5:$A$230=$B91)*Inputs!$B$5:$B$230*(((Inputs!$G$5:$G$230="moeda")+(Inputs!$G$5:$G$230="acoes"))*Inputs!$B$1+((Inputs!$G$5:$G$230&lt;&gt;"moeda")*(Inputs!$G$5:$G$230&lt;&gt;"acoes")))*INDEX(Inputs!$K$5:$AJ$230,0,MATCH(AE$2,Inputs!$K$4:$AJ$4,0)))+SUMPRODUCT((Inputs!$C$5:$C$230=$B91)*Inputs!$D$5:$D$230*(((Inputs!$G$5:$G$230="moeda")+(Inputs!$G$5:$G$230="acoes"))*Inputs!$B$1+((Inputs!$G$5:$G$230&lt;&gt;"moeda")*(Inputs!$G$5:$G$230&lt;&gt;"acoes")))*INDEX(Inputs!$K$5:$AJ$230,0,MATCH(AE$2,Inputs!$K$4:$AJ$4,0)))+SUMPRODUCT((Inputs!$E$5:$E$230=$B91)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1" s="6" t="e">
        <f>IF(ISNA(MATCH(AF$2,Inputs!$K$4:$AJ$4,0)),NA(),IF(SUMPRODUCT((Inputs!$A$5:$A$230=$B91)*ISNUMBER(INDEX(Inputs!$K$5:$AJ$230,0,MATCH(AF$2,Inputs!$K$4:$AJ$4,0))))+SUMPRODUCT((Inputs!$C$5:$C$230=$B91)*ISNUMBER(INDEX(Inputs!$K$5:$AJ$230,0,MATCH(AF$2,Inputs!$K$4:$AJ$4,0))))+SUMPRODUCT((Inputs!$E$5:$E$230=$B91)*ISNUMBER(INDEX(Inputs!$K$5:$AJ$230,0,MATCH(AF$2,Inputs!$K$4:$AJ$4,0))))=0,NA(),SUMPRODUCT((Inputs!$A$5:$A$230=$B91)*Inputs!$B$5:$B$230*(((Inputs!$G$5:$G$230="moeda")+(Inputs!$G$5:$G$230="acoes"))*Inputs!$B$1+((Inputs!$G$5:$G$230&lt;&gt;"moeda")*(Inputs!$G$5:$G$230&lt;&gt;"acoes")))*INDEX(Inputs!$K$5:$AJ$230,0,MATCH(AF$2,Inputs!$K$4:$AJ$4,0)))+SUMPRODUCT((Inputs!$C$5:$C$230=$B91)*Inputs!$D$5:$D$230*(((Inputs!$G$5:$G$230="moeda")+(Inputs!$G$5:$G$230="acoes"))*Inputs!$B$1+((Inputs!$G$5:$G$230&lt;&gt;"moeda")*(Inputs!$G$5:$G$230&lt;&gt;"acoes")))*INDEX(Inputs!$K$5:$AJ$230,0,MATCH(AF$2,Inputs!$K$4:$AJ$4,0)))+SUMPRODUCT((Inputs!$E$5:$E$230=$B91)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1" s="3" t="e">
        <f>SUM(AC91:AF91)</f>
        <v>#N/A</v>
      </c>
      <c r="AH91" s="6" t="e">
        <f>IF(ISNA(MATCH(AH$2,Inputs!$K$4:$AJ$4,0)),NA(),IF(SUMPRODUCT((Inputs!$A$5:$A$230=$B91)*ISNUMBER(INDEX(Inputs!$K$5:$AJ$230,0,MATCH(AH$2,Inputs!$K$4:$AJ$4,0))))+SUMPRODUCT((Inputs!$C$5:$C$230=$B91)*ISNUMBER(INDEX(Inputs!$K$5:$AJ$230,0,MATCH(AH$2,Inputs!$K$4:$AJ$4,0))))+SUMPRODUCT((Inputs!$E$5:$E$230=$B91)*ISNUMBER(INDEX(Inputs!$K$5:$AJ$230,0,MATCH(AH$2,Inputs!$K$4:$AJ$4,0))))=0,NA(),SUMPRODUCT((Inputs!$A$5:$A$230=$B91)*Inputs!$B$5:$B$230*(((Inputs!$G$5:$G$230="moeda")+(Inputs!$G$5:$G$230="acoes"))*Inputs!$B$1+((Inputs!$G$5:$G$230&lt;&gt;"moeda")*(Inputs!$G$5:$G$230&lt;&gt;"acoes")))*INDEX(Inputs!$K$5:$AJ$230,0,MATCH(AH$2,Inputs!$K$4:$AJ$4,0)))+SUMPRODUCT((Inputs!$C$5:$C$230=$B91)*Inputs!$D$5:$D$230*(((Inputs!$G$5:$G$230="moeda")+(Inputs!$G$5:$G$230="acoes"))*Inputs!$B$1+((Inputs!$G$5:$G$230&lt;&gt;"moeda")*(Inputs!$G$5:$G$230&lt;&gt;"acoes")))*INDEX(Inputs!$K$5:$AJ$230,0,MATCH(AH$2,Inputs!$K$4:$AJ$4,0)))+SUMPRODUCT((Inputs!$E$5:$E$230=$B91)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91" s="6" t="e">
        <f>IF(ISNA(MATCH(AI$2,Inputs!$K$4:$AJ$4,0)),NA(),IF(SUMPRODUCT((Inputs!$A$5:$A$230=$B91)*ISNUMBER(INDEX(Inputs!$K$5:$AJ$230,0,MATCH(AI$2,Inputs!$K$4:$AJ$4,0))))+SUMPRODUCT((Inputs!$C$5:$C$230=$B91)*ISNUMBER(INDEX(Inputs!$K$5:$AJ$230,0,MATCH(AI$2,Inputs!$K$4:$AJ$4,0))))+SUMPRODUCT((Inputs!$E$5:$E$230=$B91)*ISNUMBER(INDEX(Inputs!$K$5:$AJ$230,0,MATCH(AI$2,Inputs!$K$4:$AJ$4,0))))=0,NA(),SUMPRODUCT((Inputs!$A$5:$A$230=$B91)*Inputs!$B$5:$B$230*(((Inputs!$G$5:$G$230="moeda")+(Inputs!$G$5:$G$230="acoes"))*Inputs!$B$1+((Inputs!$G$5:$G$230&lt;&gt;"moeda")*(Inputs!$G$5:$G$230&lt;&gt;"acoes")))*INDEX(Inputs!$K$5:$AJ$230,0,MATCH(AI$2,Inputs!$K$4:$AJ$4,0)))+SUMPRODUCT((Inputs!$C$5:$C$230=$B91)*Inputs!$D$5:$D$230*(((Inputs!$G$5:$G$230="moeda")+(Inputs!$G$5:$G$230="acoes"))*Inputs!$B$1+((Inputs!$G$5:$G$230&lt;&gt;"moeda")*(Inputs!$G$5:$G$230&lt;&gt;"acoes")))*INDEX(Inputs!$K$5:$AJ$230,0,MATCH(AI$2,Inputs!$K$4:$AJ$4,0)))+SUMPRODUCT((Inputs!$E$5:$E$230=$B91)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91" s="6" t="e">
        <f>IF(ISNA(MATCH(AJ$2,Inputs!$K$4:$AJ$4,0)),NA(),IF(SUMPRODUCT((Inputs!$A$5:$A$230=$B91)*ISNUMBER(INDEX(Inputs!$K$5:$AJ$230,0,MATCH(AJ$2,Inputs!$K$4:$AJ$4,0))))+SUMPRODUCT((Inputs!$C$5:$C$230=$B91)*ISNUMBER(INDEX(Inputs!$K$5:$AJ$230,0,MATCH(AJ$2,Inputs!$K$4:$AJ$4,0))))+SUMPRODUCT((Inputs!$E$5:$E$230=$B91)*ISNUMBER(INDEX(Inputs!$K$5:$AJ$230,0,MATCH(AJ$2,Inputs!$K$4:$AJ$4,0))))=0,NA(),SUMPRODUCT((Inputs!$A$5:$A$230=$B91)*Inputs!$B$5:$B$230*(((Inputs!$G$5:$G$230="moeda")+(Inputs!$G$5:$G$230="acoes"))*Inputs!$B$1+((Inputs!$G$5:$G$230&lt;&gt;"moeda")*(Inputs!$G$5:$G$230&lt;&gt;"acoes")))*INDEX(Inputs!$K$5:$AJ$230,0,MATCH(AJ$2,Inputs!$K$4:$AJ$4,0)))+SUMPRODUCT((Inputs!$C$5:$C$230=$B91)*Inputs!$D$5:$D$230*(((Inputs!$G$5:$G$230="moeda")+(Inputs!$G$5:$G$230="acoes"))*Inputs!$B$1+((Inputs!$G$5:$G$230&lt;&gt;"moeda")*(Inputs!$G$5:$G$230&lt;&gt;"acoes")))*INDEX(Inputs!$K$5:$AJ$230,0,MATCH(AJ$2,Inputs!$K$4:$AJ$4,0)))+SUMPRODUCT((Inputs!$E$5:$E$230=$B91)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91" s="6" t="e">
        <f>IF(ISNA(MATCH(AK$2,Inputs!$K$4:$AJ$4,0)),NA(),IF(SUMPRODUCT((Inputs!$A$5:$A$230=$B91)*ISNUMBER(INDEX(Inputs!$K$5:$AJ$230,0,MATCH(AK$2,Inputs!$K$4:$AJ$4,0))))+SUMPRODUCT((Inputs!$C$5:$C$230=$B91)*ISNUMBER(INDEX(Inputs!$K$5:$AJ$230,0,MATCH(AK$2,Inputs!$K$4:$AJ$4,0))))+SUMPRODUCT((Inputs!$E$5:$E$230=$B91)*ISNUMBER(INDEX(Inputs!$K$5:$AJ$230,0,MATCH(AK$2,Inputs!$K$4:$AJ$4,0))))=0,NA(),SUMPRODUCT((Inputs!$A$5:$A$230=$B91)*Inputs!$B$5:$B$230*(((Inputs!$G$5:$G$230="moeda")+(Inputs!$G$5:$G$230="acoes"))*Inputs!$B$1+((Inputs!$G$5:$G$230&lt;&gt;"moeda")*(Inputs!$G$5:$G$230&lt;&gt;"acoes")))*INDEX(Inputs!$K$5:$AJ$230,0,MATCH(AK$2,Inputs!$K$4:$AJ$4,0)))+SUMPRODUCT((Inputs!$C$5:$C$230=$B91)*Inputs!$D$5:$D$230*(((Inputs!$G$5:$G$230="moeda")+(Inputs!$G$5:$G$230="acoes"))*Inputs!$B$1+((Inputs!$G$5:$G$230&lt;&gt;"moeda")*(Inputs!$G$5:$G$230&lt;&gt;"acoes")))*INDEX(Inputs!$K$5:$AJ$230,0,MATCH(AK$2,Inputs!$K$4:$AJ$4,0)))+SUMPRODUCT((Inputs!$E$5:$E$230=$B91)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91" s="3" t="e">
        <f>SUM(AH91:AK91)</f>
        <v>#N/A</v>
      </c>
    </row>
    <row r="92">
      <c r="B92" s="46" t="n">
        <v>84</v>
      </c>
      <c r="C92" s="29" t="inlineStr">
        <is>
          <t>Geracao | Foz do Rio Claro</t>
        </is>
      </c>
      <c r="D92" s="6">
        <f>IF(ISNA(MATCH(D$2,Inputs!$K$4:$AJ$4,0)),NA(),IF(SUMPRODUCT((Inputs!$A$5:$A$230=$B92)*ISNUMBER(INDEX(Inputs!$K$5:$AJ$230,0,MATCH(D$2,Inputs!$K$4:$AJ$4,0))))+SUMPRODUCT((Inputs!$C$5:$C$230=$B92)*ISNUMBER(INDEX(Inputs!$K$5:$AJ$230,0,MATCH(D$2,Inputs!$K$4:$AJ$4,0))))+SUMPRODUCT((Inputs!$E$5:$E$230=$B92)*ISNUMBER(INDEX(Inputs!$K$5:$AJ$230,0,MATCH(D$2,Inputs!$K$4:$AJ$4,0))))=0,NA(),SUMPRODUCT((Inputs!$A$5:$A$230=$B92)*Inputs!$B$5:$B$230*(((Inputs!$G$5:$G$230="moeda")+(Inputs!$G$5:$G$230="acoes"))*Inputs!$B$1+((Inputs!$G$5:$G$230&lt;&gt;"moeda")*(Inputs!$G$5:$G$230&lt;&gt;"acoes")))*INDEX(Inputs!$K$5:$AJ$230,0,MATCH(D$2,Inputs!$K$4:$AJ$4,0)))+SUMPRODUCT((Inputs!$C$5:$C$230=$B92)*Inputs!$D$5:$D$230*(((Inputs!$G$5:$G$230="moeda")+(Inputs!$G$5:$G$230="acoes"))*Inputs!$B$1+((Inputs!$G$5:$G$230&lt;&gt;"moeda")*(Inputs!$G$5:$G$230&lt;&gt;"acoes")))*INDEX(Inputs!$K$5:$AJ$230,0,MATCH(D$2,Inputs!$K$4:$AJ$4,0)))+SUMPRODUCT((Inputs!$E$5:$E$230=$B92)*Inputs!$F$5:$F$230*(((Inputs!$G$5:$G$230="moeda")+(Inputs!$G$5:$G$230="acoes"))*Inputs!$B$1+((Inputs!$G$5:$G$230&lt;&gt;"moeda")*(Inputs!$G$5:$G$230&lt;&gt;"acoes")))*INDEX(Inputs!$K$5:$AJ$230,0,MATCH(D$2,Inputs!$K$4:$AJ$4,0)))))</f>
        <v>19.478</v>
      </c>
      <c r="E92" s="6">
        <f>IF(ISNA(MATCH(E$2,Inputs!$K$4:$AJ$4,0)),NA(),IF(SUMPRODUCT((Inputs!$A$5:$A$230=$B92)*ISNUMBER(INDEX(Inputs!$K$5:$AJ$230,0,MATCH(E$2,Inputs!$K$4:$AJ$4,0))))+SUMPRODUCT((Inputs!$C$5:$C$230=$B92)*ISNUMBER(INDEX(Inputs!$K$5:$AJ$230,0,MATCH(E$2,Inputs!$K$4:$AJ$4,0))))+SUMPRODUCT((Inputs!$E$5:$E$230=$B92)*ISNUMBER(INDEX(Inputs!$K$5:$AJ$230,0,MATCH(E$2,Inputs!$K$4:$AJ$4,0))))=0,NA(),SUMPRODUCT((Inputs!$A$5:$A$230=$B92)*Inputs!$B$5:$B$230*(((Inputs!$G$5:$G$230="moeda")+(Inputs!$G$5:$G$230="acoes"))*Inputs!$B$1+((Inputs!$G$5:$G$230&lt;&gt;"moeda")*(Inputs!$G$5:$G$230&lt;&gt;"acoes")))*INDEX(Inputs!$K$5:$AJ$230,0,MATCH(E$2,Inputs!$K$4:$AJ$4,0)))+SUMPRODUCT((Inputs!$C$5:$C$230=$B92)*Inputs!$D$5:$D$230*(((Inputs!$G$5:$G$230="moeda")+(Inputs!$G$5:$G$230="acoes"))*Inputs!$B$1+((Inputs!$G$5:$G$230&lt;&gt;"moeda")*(Inputs!$G$5:$G$230&lt;&gt;"acoes")))*INDEX(Inputs!$K$5:$AJ$230,0,MATCH(E$2,Inputs!$K$4:$AJ$4,0)))+SUMPRODUCT((Inputs!$E$5:$E$230=$B92)*Inputs!$F$5:$F$230*(((Inputs!$G$5:$G$230="moeda")+(Inputs!$G$5:$G$230="acoes"))*Inputs!$B$1+((Inputs!$G$5:$G$230&lt;&gt;"moeda")*(Inputs!$G$5:$G$230&lt;&gt;"acoes")))*INDEX(Inputs!$K$5:$AJ$230,0,MATCH(E$2,Inputs!$K$4:$AJ$4,0)))))</f>
        <v>18.977</v>
      </c>
      <c r="F92" s="6">
        <f>IF(ISNA(MATCH(F$2,Inputs!$K$4:$AJ$4,0)),NA(),IF(SUMPRODUCT((Inputs!$A$5:$A$230=$B92)*ISNUMBER(INDEX(Inputs!$K$5:$AJ$230,0,MATCH(F$2,Inputs!$K$4:$AJ$4,0))))+SUMPRODUCT((Inputs!$C$5:$C$230=$B92)*ISNUMBER(INDEX(Inputs!$K$5:$AJ$230,0,MATCH(F$2,Inputs!$K$4:$AJ$4,0))))+SUMPRODUCT((Inputs!$E$5:$E$230=$B92)*ISNUMBER(INDEX(Inputs!$K$5:$AJ$230,0,MATCH(F$2,Inputs!$K$4:$AJ$4,0))))=0,NA(),SUMPRODUCT((Inputs!$A$5:$A$230=$B92)*Inputs!$B$5:$B$230*(((Inputs!$G$5:$G$230="moeda")+(Inputs!$G$5:$G$230="acoes"))*Inputs!$B$1+((Inputs!$G$5:$G$230&lt;&gt;"moeda")*(Inputs!$G$5:$G$230&lt;&gt;"acoes")))*INDEX(Inputs!$K$5:$AJ$230,0,MATCH(F$2,Inputs!$K$4:$AJ$4,0)))+SUMPRODUCT((Inputs!$C$5:$C$230=$B92)*Inputs!$D$5:$D$230*(((Inputs!$G$5:$G$230="moeda")+(Inputs!$G$5:$G$230="acoes"))*Inputs!$B$1+((Inputs!$G$5:$G$230&lt;&gt;"moeda")*(Inputs!$G$5:$G$230&lt;&gt;"acoes")))*INDEX(Inputs!$K$5:$AJ$230,0,MATCH(F$2,Inputs!$K$4:$AJ$4,0)))+SUMPRODUCT((Inputs!$E$5:$E$230=$B92)*Inputs!$F$5:$F$230*(((Inputs!$G$5:$G$230="moeda")+(Inputs!$G$5:$G$230="acoes"))*Inputs!$B$1+((Inputs!$G$5:$G$230&lt;&gt;"moeda")*(Inputs!$G$5:$G$230&lt;&gt;"acoes")))*INDEX(Inputs!$K$5:$AJ$230,0,MATCH(F$2,Inputs!$K$4:$AJ$4,0)))))</f>
        <v>21.625</v>
      </c>
      <c r="G92" s="6">
        <f>IF(ISNA(MATCH(G$2,Inputs!$K$4:$AJ$4,0)),NA(),IF(SUMPRODUCT((Inputs!$A$5:$A$230=$B92)*ISNUMBER(INDEX(Inputs!$K$5:$AJ$230,0,MATCH(G$2,Inputs!$K$4:$AJ$4,0))))+SUMPRODUCT((Inputs!$C$5:$C$230=$B92)*ISNUMBER(INDEX(Inputs!$K$5:$AJ$230,0,MATCH(G$2,Inputs!$K$4:$AJ$4,0))))+SUMPRODUCT((Inputs!$E$5:$E$230=$B92)*ISNUMBER(INDEX(Inputs!$K$5:$AJ$230,0,MATCH(G$2,Inputs!$K$4:$AJ$4,0))))=0,NA(),SUMPRODUCT((Inputs!$A$5:$A$230=$B92)*Inputs!$B$5:$B$230*(((Inputs!$G$5:$G$230="moeda")+(Inputs!$G$5:$G$230="acoes"))*Inputs!$B$1+((Inputs!$G$5:$G$230&lt;&gt;"moeda")*(Inputs!$G$5:$G$230&lt;&gt;"acoes")))*INDEX(Inputs!$K$5:$AJ$230,0,MATCH(G$2,Inputs!$K$4:$AJ$4,0)))+SUMPRODUCT((Inputs!$C$5:$C$230=$B92)*Inputs!$D$5:$D$230*(((Inputs!$G$5:$G$230="moeda")+(Inputs!$G$5:$G$230="acoes"))*Inputs!$B$1+((Inputs!$G$5:$G$230&lt;&gt;"moeda")*(Inputs!$G$5:$G$230&lt;&gt;"acoes")))*INDEX(Inputs!$K$5:$AJ$230,0,MATCH(G$2,Inputs!$K$4:$AJ$4,0)))+SUMPRODUCT((Inputs!$E$5:$E$230=$B92)*Inputs!$F$5:$F$230*(((Inputs!$G$5:$G$230="moeda")+(Inputs!$G$5:$G$230="acoes"))*Inputs!$B$1+((Inputs!$G$5:$G$230&lt;&gt;"moeda")*(Inputs!$G$5:$G$230&lt;&gt;"acoes")))*INDEX(Inputs!$K$5:$AJ$230,0,MATCH(G$2,Inputs!$K$4:$AJ$4,0)))))</f>
        <v>21.873</v>
      </c>
      <c r="H92" s="3">
        <f>SUM(D92:G92)</f>
        <v>81.953</v>
      </c>
      <c r="I92" s="6">
        <f>IF(ISNA(MATCH(I$2,Inputs!$K$4:$AJ$4,0)),NA(),IF(SUMPRODUCT((Inputs!$A$5:$A$230=$B92)*ISNUMBER(INDEX(Inputs!$K$5:$AJ$230,0,MATCH(I$2,Inputs!$K$4:$AJ$4,0))))+SUMPRODUCT((Inputs!$C$5:$C$230=$B92)*ISNUMBER(INDEX(Inputs!$K$5:$AJ$230,0,MATCH(I$2,Inputs!$K$4:$AJ$4,0))))+SUMPRODUCT((Inputs!$E$5:$E$230=$B92)*ISNUMBER(INDEX(Inputs!$K$5:$AJ$230,0,MATCH(I$2,Inputs!$K$4:$AJ$4,0))))=0,NA(),SUMPRODUCT((Inputs!$A$5:$A$230=$B92)*Inputs!$B$5:$B$230*(((Inputs!$G$5:$G$230="moeda")+(Inputs!$G$5:$G$230="acoes"))*Inputs!$B$1+((Inputs!$G$5:$G$230&lt;&gt;"moeda")*(Inputs!$G$5:$G$230&lt;&gt;"acoes")))*INDEX(Inputs!$K$5:$AJ$230,0,MATCH(I$2,Inputs!$K$4:$AJ$4,0)))+SUMPRODUCT((Inputs!$C$5:$C$230=$B92)*Inputs!$D$5:$D$230*(((Inputs!$G$5:$G$230="moeda")+(Inputs!$G$5:$G$230="acoes"))*Inputs!$B$1+((Inputs!$G$5:$G$230&lt;&gt;"moeda")*(Inputs!$G$5:$G$230&lt;&gt;"acoes")))*INDEX(Inputs!$K$5:$AJ$230,0,MATCH(I$2,Inputs!$K$4:$AJ$4,0)))+SUMPRODUCT((Inputs!$E$5:$E$230=$B92)*Inputs!$F$5:$F$230*(((Inputs!$G$5:$G$230="moeda")+(Inputs!$G$5:$G$230="acoes"))*Inputs!$B$1+((Inputs!$G$5:$G$230&lt;&gt;"moeda")*(Inputs!$G$5:$G$230&lt;&gt;"acoes")))*INDEX(Inputs!$K$5:$AJ$230,0,MATCH(I$2,Inputs!$K$4:$AJ$4,0)))))</f>
        <v>20.272</v>
      </c>
      <c r="J92" s="6">
        <f>IF(ISNA(MATCH(J$2,Inputs!$K$4:$AJ$4,0)),NA(),IF(SUMPRODUCT((Inputs!$A$5:$A$230=$B92)*ISNUMBER(INDEX(Inputs!$K$5:$AJ$230,0,MATCH(J$2,Inputs!$K$4:$AJ$4,0))))+SUMPRODUCT((Inputs!$C$5:$C$230=$B92)*ISNUMBER(INDEX(Inputs!$K$5:$AJ$230,0,MATCH(J$2,Inputs!$K$4:$AJ$4,0))))+SUMPRODUCT((Inputs!$E$5:$E$230=$B92)*ISNUMBER(INDEX(Inputs!$K$5:$AJ$230,0,MATCH(J$2,Inputs!$K$4:$AJ$4,0))))=0,NA(),SUMPRODUCT((Inputs!$A$5:$A$230=$B92)*Inputs!$B$5:$B$230*(((Inputs!$G$5:$G$230="moeda")+(Inputs!$G$5:$G$230="acoes"))*Inputs!$B$1+((Inputs!$G$5:$G$230&lt;&gt;"moeda")*(Inputs!$G$5:$G$230&lt;&gt;"acoes")))*INDEX(Inputs!$K$5:$AJ$230,0,MATCH(J$2,Inputs!$K$4:$AJ$4,0)))+SUMPRODUCT((Inputs!$C$5:$C$230=$B92)*Inputs!$D$5:$D$230*(((Inputs!$G$5:$G$230="moeda")+(Inputs!$G$5:$G$230="acoes"))*Inputs!$B$1+((Inputs!$G$5:$G$230&lt;&gt;"moeda")*(Inputs!$G$5:$G$230&lt;&gt;"acoes")))*INDEX(Inputs!$K$5:$AJ$230,0,MATCH(J$2,Inputs!$K$4:$AJ$4,0)))+SUMPRODUCT((Inputs!$E$5:$E$230=$B92)*Inputs!$F$5:$F$230*(((Inputs!$G$5:$G$230="moeda")+(Inputs!$G$5:$G$230="acoes"))*Inputs!$B$1+((Inputs!$G$5:$G$230&lt;&gt;"moeda")*(Inputs!$G$5:$G$230&lt;&gt;"acoes")))*INDEX(Inputs!$K$5:$AJ$230,0,MATCH(J$2,Inputs!$K$4:$AJ$4,0)))))</f>
        <v>19.01</v>
      </c>
      <c r="K92" s="6">
        <f>IF(ISNA(MATCH(K$2,Inputs!$K$4:$AJ$4,0)),NA(),IF(SUMPRODUCT((Inputs!$A$5:$A$230=$B92)*ISNUMBER(INDEX(Inputs!$K$5:$AJ$230,0,MATCH(K$2,Inputs!$K$4:$AJ$4,0))))+SUMPRODUCT((Inputs!$C$5:$C$230=$B92)*ISNUMBER(INDEX(Inputs!$K$5:$AJ$230,0,MATCH(K$2,Inputs!$K$4:$AJ$4,0))))+SUMPRODUCT((Inputs!$E$5:$E$230=$B92)*ISNUMBER(INDEX(Inputs!$K$5:$AJ$230,0,MATCH(K$2,Inputs!$K$4:$AJ$4,0))))=0,NA(),SUMPRODUCT((Inputs!$A$5:$A$230=$B92)*Inputs!$B$5:$B$230*(((Inputs!$G$5:$G$230="moeda")+(Inputs!$G$5:$G$230="acoes"))*Inputs!$B$1+((Inputs!$G$5:$G$230&lt;&gt;"moeda")*(Inputs!$G$5:$G$230&lt;&gt;"acoes")))*INDEX(Inputs!$K$5:$AJ$230,0,MATCH(K$2,Inputs!$K$4:$AJ$4,0)))+SUMPRODUCT((Inputs!$C$5:$C$230=$B92)*Inputs!$D$5:$D$230*(((Inputs!$G$5:$G$230="moeda")+(Inputs!$G$5:$G$230="acoes"))*Inputs!$B$1+((Inputs!$G$5:$G$230&lt;&gt;"moeda")*(Inputs!$G$5:$G$230&lt;&gt;"acoes")))*INDEX(Inputs!$K$5:$AJ$230,0,MATCH(K$2,Inputs!$K$4:$AJ$4,0)))+SUMPRODUCT((Inputs!$E$5:$E$230=$B92)*Inputs!$F$5:$F$230*(((Inputs!$G$5:$G$230="moeda")+(Inputs!$G$5:$G$230="acoes"))*Inputs!$B$1+((Inputs!$G$5:$G$230&lt;&gt;"moeda")*(Inputs!$G$5:$G$230&lt;&gt;"acoes")))*INDEX(Inputs!$K$5:$AJ$230,0,MATCH(K$2,Inputs!$K$4:$AJ$4,0)))))</f>
        <v>20.065</v>
      </c>
      <c r="L92" s="6">
        <f>IF(ISNA(MATCH(L$2,Inputs!$K$4:$AJ$4,0)),NA(),IF(SUMPRODUCT((Inputs!$A$5:$A$230=$B92)*ISNUMBER(INDEX(Inputs!$K$5:$AJ$230,0,MATCH(L$2,Inputs!$K$4:$AJ$4,0))))+SUMPRODUCT((Inputs!$C$5:$C$230=$B92)*ISNUMBER(INDEX(Inputs!$K$5:$AJ$230,0,MATCH(L$2,Inputs!$K$4:$AJ$4,0))))+SUMPRODUCT((Inputs!$E$5:$E$230=$B92)*ISNUMBER(INDEX(Inputs!$K$5:$AJ$230,0,MATCH(L$2,Inputs!$K$4:$AJ$4,0))))=0,NA(),SUMPRODUCT((Inputs!$A$5:$A$230=$B92)*Inputs!$B$5:$B$230*(((Inputs!$G$5:$G$230="moeda")+(Inputs!$G$5:$G$230="acoes"))*Inputs!$B$1+((Inputs!$G$5:$G$230&lt;&gt;"moeda")*(Inputs!$G$5:$G$230&lt;&gt;"acoes")))*INDEX(Inputs!$K$5:$AJ$230,0,MATCH(L$2,Inputs!$K$4:$AJ$4,0)))+SUMPRODUCT((Inputs!$C$5:$C$230=$B92)*Inputs!$D$5:$D$230*(((Inputs!$G$5:$G$230="moeda")+(Inputs!$G$5:$G$230="acoes"))*Inputs!$B$1+((Inputs!$G$5:$G$230&lt;&gt;"moeda")*(Inputs!$G$5:$G$230&lt;&gt;"acoes")))*INDEX(Inputs!$K$5:$AJ$230,0,MATCH(L$2,Inputs!$K$4:$AJ$4,0)))+SUMPRODUCT((Inputs!$E$5:$E$230=$B92)*Inputs!$F$5:$F$230*(((Inputs!$G$5:$G$230="moeda")+(Inputs!$G$5:$G$230="acoes"))*Inputs!$B$1+((Inputs!$G$5:$G$230&lt;&gt;"moeda")*(Inputs!$G$5:$G$230&lt;&gt;"acoes")))*INDEX(Inputs!$K$5:$AJ$230,0,MATCH(L$2,Inputs!$K$4:$AJ$4,0)))))</f>
        <v>21.489</v>
      </c>
      <c r="M92" s="3">
        <f>SUM(I92:L92)</f>
        <v>80.836</v>
      </c>
      <c r="N92" s="6">
        <f>IF(ISNA(MATCH(N$2,Inputs!$K$4:$AJ$4,0)),NA(),IF(SUMPRODUCT((Inputs!$A$5:$A$230=$B92)*ISNUMBER(INDEX(Inputs!$K$5:$AJ$230,0,MATCH(N$2,Inputs!$K$4:$AJ$4,0))))+SUMPRODUCT((Inputs!$C$5:$C$230=$B92)*ISNUMBER(INDEX(Inputs!$K$5:$AJ$230,0,MATCH(N$2,Inputs!$K$4:$AJ$4,0))))+SUMPRODUCT((Inputs!$E$5:$E$230=$B92)*ISNUMBER(INDEX(Inputs!$K$5:$AJ$230,0,MATCH(N$2,Inputs!$K$4:$AJ$4,0))))=0,NA(),SUMPRODUCT((Inputs!$A$5:$A$230=$B92)*Inputs!$B$5:$B$230*(((Inputs!$G$5:$G$230="moeda")+(Inputs!$G$5:$G$230="acoes"))*Inputs!$B$1+((Inputs!$G$5:$G$230&lt;&gt;"moeda")*(Inputs!$G$5:$G$230&lt;&gt;"acoes")))*INDEX(Inputs!$K$5:$AJ$230,0,MATCH(N$2,Inputs!$K$4:$AJ$4,0)))+SUMPRODUCT((Inputs!$C$5:$C$230=$B92)*Inputs!$D$5:$D$230*(((Inputs!$G$5:$G$230="moeda")+(Inputs!$G$5:$G$230="acoes"))*Inputs!$B$1+((Inputs!$G$5:$G$230&lt;&gt;"moeda")*(Inputs!$G$5:$G$230&lt;&gt;"acoes")))*INDEX(Inputs!$K$5:$AJ$230,0,MATCH(N$2,Inputs!$K$4:$AJ$4,0)))+SUMPRODUCT((Inputs!$E$5:$E$230=$B92)*Inputs!$F$5:$F$230*(((Inputs!$G$5:$G$230="moeda")+(Inputs!$G$5:$G$230="acoes"))*Inputs!$B$1+((Inputs!$G$5:$G$230&lt;&gt;"moeda")*(Inputs!$G$5:$G$230&lt;&gt;"acoes")))*INDEX(Inputs!$K$5:$AJ$230,0,MATCH(N$2,Inputs!$K$4:$AJ$4,0)))))</f>
        <v>22.153</v>
      </c>
      <c r="O92" s="6">
        <f>IF(ISNA(MATCH(O$2,Inputs!$K$4:$AJ$4,0)),NA(),IF(SUMPRODUCT((Inputs!$A$5:$A$230=$B92)*ISNUMBER(INDEX(Inputs!$K$5:$AJ$230,0,MATCH(O$2,Inputs!$K$4:$AJ$4,0))))+SUMPRODUCT((Inputs!$C$5:$C$230=$B92)*ISNUMBER(INDEX(Inputs!$K$5:$AJ$230,0,MATCH(O$2,Inputs!$K$4:$AJ$4,0))))+SUMPRODUCT((Inputs!$E$5:$E$230=$B92)*ISNUMBER(INDEX(Inputs!$K$5:$AJ$230,0,MATCH(O$2,Inputs!$K$4:$AJ$4,0))))=0,NA(),SUMPRODUCT((Inputs!$A$5:$A$230=$B92)*Inputs!$B$5:$B$230*(((Inputs!$G$5:$G$230="moeda")+(Inputs!$G$5:$G$230="acoes"))*Inputs!$B$1+((Inputs!$G$5:$G$230&lt;&gt;"moeda")*(Inputs!$G$5:$G$230&lt;&gt;"acoes")))*INDEX(Inputs!$K$5:$AJ$230,0,MATCH(O$2,Inputs!$K$4:$AJ$4,0)))+SUMPRODUCT((Inputs!$C$5:$C$230=$B92)*Inputs!$D$5:$D$230*(((Inputs!$G$5:$G$230="moeda")+(Inputs!$G$5:$G$230="acoes"))*Inputs!$B$1+((Inputs!$G$5:$G$230&lt;&gt;"moeda")*(Inputs!$G$5:$G$230&lt;&gt;"acoes")))*INDEX(Inputs!$K$5:$AJ$230,0,MATCH(O$2,Inputs!$K$4:$AJ$4,0)))+SUMPRODUCT((Inputs!$E$5:$E$230=$B92)*Inputs!$F$5:$F$230*(((Inputs!$G$5:$G$230="moeda")+(Inputs!$G$5:$G$230="acoes"))*Inputs!$B$1+((Inputs!$G$5:$G$230&lt;&gt;"moeda")*(Inputs!$G$5:$G$230&lt;&gt;"acoes")))*INDEX(Inputs!$K$5:$AJ$230,0,MATCH(O$2,Inputs!$K$4:$AJ$4,0)))))</f>
        <v>21.002</v>
      </c>
      <c r="P92" s="6">
        <f>IF(ISNA(MATCH(P$2,Inputs!$K$4:$AJ$4,0)),NA(),IF(SUMPRODUCT((Inputs!$A$5:$A$230=$B92)*ISNUMBER(INDEX(Inputs!$K$5:$AJ$230,0,MATCH(P$2,Inputs!$K$4:$AJ$4,0))))+SUMPRODUCT((Inputs!$C$5:$C$230=$B92)*ISNUMBER(INDEX(Inputs!$K$5:$AJ$230,0,MATCH(P$2,Inputs!$K$4:$AJ$4,0))))+SUMPRODUCT((Inputs!$E$5:$E$230=$B92)*ISNUMBER(INDEX(Inputs!$K$5:$AJ$230,0,MATCH(P$2,Inputs!$K$4:$AJ$4,0))))=0,NA(),SUMPRODUCT((Inputs!$A$5:$A$230=$B92)*Inputs!$B$5:$B$230*(((Inputs!$G$5:$G$230="moeda")+(Inputs!$G$5:$G$230="acoes"))*Inputs!$B$1+((Inputs!$G$5:$G$230&lt;&gt;"moeda")*(Inputs!$G$5:$G$230&lt;&gt;"acoes")))*INDEX(Inputs!$K$5:$AJ$230,0,MATCH(P$2,Inputs!$K$4:$AJ$4,0)))+SUMPRODUCT((Inputs!$C$5:$C$230=$B92)*Inputs!$D$5:$D$230*(((Inputs!$G$5:$G$230="moeda")+(Inputs!$G$5:$G$230="acoes"))*Inputs!$B$1+((Inputs!$G$5:$G$230&lt;&gt;"moeda")*(Inputs!$G$5:$G$230&lt;&gt;"acoes")))*INDEX(Inputs!$K$5:$AJ$230,0,MATCH(P$2,Inputs!$K$4:$AJ$4,0)))+SUMPRODUCT((Inputs!$E$5:$E$230=$B92)*Inputs!$F$5:$F$230*(((Inputs!$G$5:$G$230="moeda")+(Inputs!$G$5:$G$230="acoes"))*Inputs!$B$1+((Inputs!$G$5:$G$230&lt;&gt;"moeda")*(Inputs!$G$5:$G$230&lt;&gt;"acoes")))*INDEX(Inputs!$K$5:$AJ$230,0,MATCH(P$2,Inputs!$K$4:$AJ$4,0)))))</f>
        <v>20.809</v>
      </c>
      <c r="Q92" s="6">
        <f>IF(ISNA(MATCH(Q$2,Inputs!$K$4:$AJ$4,0)),NA(),IF(SUMPRODUCT((Inputs!$A$5:$A$230=$B92)*ISNUMBER(INDEX(Inputs!$K$5:$AJ$230,0,MATCH(Q$2,Inputs!$K$4:$AJ$4,0))))+SUMPRODUCT((Inputs!$C$5:$C$230=$B92)*ISNUMBER(INDEX(Inputs!$K$5:$AJ$230,0,MATCH(Q$2,Inputs!$K$4:$AJ$4,0))))+SUMPRODUCT((Inputs!$E$5:$E$230=$B92)*ISNUMBER(INDEX(Inputs!$K$5:$AJ$230,0,MATCH(Q$2,Inputs!$K$4:$AJ$4,0))))=0,NA(),SUMPRODUCT((Inputs!$A$5:$A$230=$B92)*Inputs!$B$5:$B$230*(((Inputs!$G$5:$G$230="moeda")+(Inputs!$G$5:$G$230="acoes"))*Inputs!$B$1+((Inputs!$G$5:$G$230&lt;&gt;"moeda")*(Inputs!$G$5:$G$230&lt;&gt;"acoes")))*INDEX(Inputs!$K$5:$AJ$230,0,MATCH(Q$2,Inputs!$K$4:$AJ$4,0)))+SUMPRODUCT((Inputs!$C$5:$C$230=$B92)*Inputs!$D$5:$D$230*(((Inputs!$G$5:$G$230="moeda")+(Inputs!$G$5:$G$230="acoes"))*Inputs!$B$1+((Inputs!$G$5:$G$230&lt;&gt;"moeda")*(Inputs!$G$5:$G$230&lt;&gt;"acoes")))*INDEX(Inputs!$K$5:$AJ$230,0,MATCH(Q$2,Inputs!$K$4:$AJ$4,0)))+SUMPRODUCT((Inputs!$E$5:$E$230=$B92)*Inputs!$F$5:$F$230*(((Inputs!$G$5:$G$230="moeda")+(Inputs!$G$5:$G$230="acoes"))*Inputs!$B$1+((Inputs!$G$5:$G$230&lt;&gt;"moeda")*(Inputs!$G$5:$G$230&lt;&gt;"acoes")))*INDEX(Inputs!$K$5:$AJ$230,0,MATCH(Q$2,Inputs!$K$4:$AJ$4,0)))))</f>
        <v>22.945</v>
      </c>
      <c r="R92" s="3">
        <f>SUM(N92:Q92)</f>
        <v>86.909</v>
      </c>
      <c r="S92" s="6">
        <f>IF(ISNA(MATCH(S$2,Inputs!$K$4:$AJ$4,0)),NA(),IF(SUMPRODUCT((Inputs!$A$5:$A$230=$B92)*ISNUMBER(INDEX(Inputs!$K$5:$AJ$230,0,MATCH(S$2,Inputs!$K$4:$AJ$4,0))))+SUMPRODUCT((Inputs!$C$5:$C$230=$B92)*ISNUMBER(INDEX(Inputs!$K$5:$AJ$230,0,MATCH(S$2,Inputs!$K$4:$AJ$4,0))))+SUMPRODUCT((Inputs!$E$5:$E$230=$B92)*ISNUMBER(INDEX(Inputs!$K$5:$AJ$230,0,MATCH(S$2,Inputs!$K$4:$AJ$4,0))))=0,NA(),SUMPRODUCT((Inputs!$A$5:$A$230=$B92)*Inputs!$B$5:$B$230*(((Inputs!$G$5:$G$230="moeda")+(Inputs!$G$5:$G$230="acoes"))*Inputs!$B$1+((Inputs!$G$5:$G$230&lt;&gt;"moeda")*(Inputs!$G$5:$G$230&lt;&gt;"acoes")))*INDEX(Inputs!$K$5:$AJ$230,0,MATCH(S$2,Inputs!$K$4:$AJ$4,0)))+SUMPRODUCT((Inputs!$C$5:$C$230=$B92)*Inputs!$D$5:$D$230*(((Inputs!$G$5:$G$230="moeda")+(Inputs!$G$5:$G$230="acoes"))*Inputs!$B$1+((Inputs!$G$5:$G$230&lt;&gt;"moeda")*(Inputs!$G$5:$G$230&lt;&gt;"acoes")))*INDEX(Inputs!$K$5:$AJ$230,0,MATCH(S$2,Inputs!$K$4:$AJ$4,0)))+SUMPRODUCT((Inputs!$E$5:$E$230=$B92)*Inputs!$F$5:$F$230*(((Inputs!$G$5:$G$230="moeda")+(Inputs!$G$5:$G$230="acoes"))*Inputs!$B$1+((Inputs!$G$5:$G$230&lt;&gt;"moeda")*(Inputs!$G$5:$G$230&lt;&gt;"acoes")))*INDEX(Inputs!$K$5:$AJ$230,0,MATCH(S$2,Inputs!$K$4:$AJ$4,0)))))</f>
        <v>21.921</v>
      </c>
      <c r="T92" s="6">
        <f>IF(ISNA(MATCH(T$2,Inputs!$K$4:$AJ$4,0)),NA(),IF(SUMPRODUCT((Inputs!$A$5:$A$230=$B92)*ISNUMBER(INDEX(Inputs!$K$5:$AJ$230,0,MATCH(T$2,Inputs!$K$4:$AJ$4,0))))+SUMPRODUCT((Inputs!$C$5:$C$230=$B92)*ISNUMBER(INDEX(Inputs!$K$5:$AJ$230,0,MATCH(T$2,Inputs!$K$4:$AJ$4,0))))+SUMPRODUCT((Inputs!$E$5:$E$230=$B92)*ISNUMBER(INDEX(Inputs!$K$5:$AJ$230,0,MATCH(T$2,Inputs!$K$4:$AJ$4,0))))=0,NA(),SUMPRODUCT((Inputs!$A$5:$A$230=$B92)*Inputs!$B$5:$B$230*(((Inputs!$G$5:$G$230="moeda")+(Inputs!$G$5:$G$230="acoes"))*Inputs!$B$1+((Inputs!$G$5:$G$230&lt;&gt;"moeda")*(Inputs!$G$5:$G$230&lt;&gt;"acoes")))*INDEX(Inputs!$K$5:$AJ$230,0,MATCH(T$2,Inputs!$K$4:$AJ$4,0)))+SUMPRODUCT((Inputs!$C$5:$C$230=$B92)*Inputs!$D$5:$D$230*(((Inputs!$G$5:$G$230="moeda")+(Inputs!$G$5:$G$230="acoes"))*Inputs!$B$1+((Inputs!$G$5:$G$230&lt;&gt;"moeda")*(Inputs!$G$5:$G$230&lt;&gt;"acoes")))*INDEX(Inputs!$K$5:$AJ$230,0,MATCH(T$2,Inputs!$K$4:$AJ$4,0)))+SUMPRODUCT((Inputs!$E$5:$E$230=$B92)*Inputs!$F$5:$F$230*(((Inputs!$G$5:$G$230="moeda")+(Inputs!$G$5:$G$230="acoes"))*Inputs!$B$1+((Inputs!$G$5:$G$230&lt;&gt;"moeda")*(Inputs!$G$5:$G$230&lt;&gt;"acoes")))*INDEX(Inputs!$K$5:$AJ$230,0,MATCH(T$2,Inputs!$K$4:$AJ$4,0)))))</f>
        <v>21.734</v>
      </c>
      <c r="U92" s="6">
        <f>IF(ISNA(MATCH(U$2,Inputs!$K$4:$AJ$4,0)),NA(),IF(SUMPRODUCT((Inputs!$A$5:$A$230=$B92)*ISNUMBER(INDEX(Inputs!$K$5:$AJ$230,0,MATCH(U$2,Inputs!$K$4:$AJ$4,0))))+SUMPRODUCT((Inputs!$C$5:$C$230=$B92)*ISNUMBER(INDEX(Inputs!$K$5:$AJ$230,0,MATCH(U$2,Inputs!$K$4:$AJ$4,0))))+SUMPRODUCT((Inputs!$E$5:$E$230=$B92)*ISNUMBER(INDEX(Inputs!$K$5:$AJ$230,0,MATCH(U$2,Inputs!$K$4:$AJ$4,0))))=0,NA(),SUMPRODUCT((Inputs!$A$5:$A$230=$B92)*Inputs!$B$5:$B$230*(((Inputs!$G$5:$G$230="moeda")+(Inputs!$G$5:$G$230="acoes"))*Inputs!$B$1+((Inputs!$G$5:$G$230&lt;&gt;"moeda")*(Inputs!$G$5:$G$230&lt;&gt;"acoes")))*INDEX(Inputs!$K$5:$AJ$230,0,MATCH(U$2,Inputs!$K$4:$AJ$4,0)))+SUMPRODUCT((Inputs!$C$5:$C$230=$B92)*Inputs!$D$5:$D$230*(((Inputs!$G$5:$G$230="moeda")+(Inputs!$G$5:$G$230="acoes"))*Inputs!$B$1+((Inputs!$G$5:$G$230&lt;&gt;"moeda")*(Inputs!$G$5:$G$230&lt;&gt;"acoes")))*INDEX(Inputs!$K$5:$AJ$230,0,MATCH(U$2,Inputs!$K$4:$AJ$4,0)))+SUMPRODUCT((Inputs!$E$5:$E$230=$B92)*Inputs!$F$5:$F$230*(((Inputs!$G$5:$G$230="moeda")+(Inputs!$G$5:$G$230="acoes"))*Inputs!$B$1+((Inputs!$G$5:$G$230&lt;&gt;"moeda")*(Inputs!$G$5:$G$230&lt;&gt;"acoes")))*INDEX(Inputs!$K$5:$AJ$230,0,MATCH(U$2,Inputs!$K$4:$AJ$4,0)))))</f>
        <v>22.454</v>
      </c>
      <c r="V92" s="6">
        <f>IF(ISNA(MATCH(V$2,Inputs!$K$4:$AJ$4,0)),NA(),IF(SUMPRODUCT((Inputs!$A$5:$A$230=$B92)*ISNUMBER(INDEX(Inputs!$K$5:$AJ$230,0,MATCH(V$2,Inputs!$K$4:$AJ$4,0))))+SUMPRODUCT((Inputs!$C$5:$C$230=$B92)*ISNUMBER(INDEX(Inputs!$K$5:$AJ$230,0,MATCH(V$2,Inputs!$K$4:$AJ$4,0))))+SUMPRODUCT((Inputs!$E$5:$E$230=$B92)*ISNUMBER(INDEX(Inputs!$K$5:$AJ$230,0,MATCH(V$2,Inputs!$K$4:$AJ$4,0))))=0,NA(),SUMPRODUCT((Inputs!$A$5:$A$230=$B92)*Inputs!$B$5:$B$230*(((Inputs!$G$5:$G$230="moeda")+(Inputs!$G$5:$G$230="acoes"))*Inputs!$B$1+((Inputs!$G$5:$G$230&lt;&gt;"moeda")*(Inputs!$G$5:$G$230&lt;&gt;"acoes")))*INDEX(Inputs!$K$5:$AJ$230,0,MATCH(V$2,Inputs!$K$4:$AJ$4,0)))+SUMPRODUCT((Inputs!$C$5:$C$230=$B92)*Inputs!$D$5:$D$230*(((Inputs!$G$5:$G$230="moeda")+(Inputs!$G$5:$G$230="acoes"))*Inputs!$B$1+((Inputs!$G$5:$G$230&lt;&gt;"moeda")*(Inputs!$G$5:$G$230&lt;&gt;"acoes")))*INDEX(Inputs!$K$5:$AJ$230,0,MATCH(V$2,Inputs!$K$4:$AJ$4,0)))+SUMPRODUCT((Inputs!$E$5:$E$230=$B92)*Inputs!$F$5:$F$230*(((Inputs!$G$5:$G$230="moeda")+(Inputs!$G$5:$G$230="acoes"))*Inputs!$B$1+((Inputs!$G$5:$G$230&lt;&gt;"moeda")*(Inputs!$G$5:$G$230&lt;&gt;"acoes")))*INDEX(Inputs!$K$5:$AJ$230,0,MATCH(V$2,Inputs!$K$4:$AJ$4,0)))))</f>
        <v>24.077</v>
      </c>
      <c r="W92" s="3">
        <f>SUM(S92:V92)</f>
        <v>90.186</v>
      </c>
      <c r="X92" s="6">
        <f>IF(ISNA(MATCH(X$2,Inputs!$K$4:$AJ$4,0)),NA(),IF(SUMPRODUCT((Inputs!$A$5:$A$230=$B92)*ISNUMBER(INDEX(Inputs!$K$5:$AJ$230,0,MATCH(X$2,Inputs!$K$4:$AJ$4,0))))+SUMPRODUCT((Inputs!$C$5:$C$230=$B92)*ISNUMBER(INDEX(Inputs!$K$5:$AJ$230,0,MATCH(X$2,Inputs!$K$4:$AJ$4,0))))+SUMPRODUCT((Inputs!$E$5:$E$230=$B92)*ISNUMBER(INDEX(Inputs!$K$5:$AJ$230,0,MATCH(X$2,Inputs!$K$4:$AJ$4,0))))=0,NA(),SUMPRODUCT((Inputs!$A$5:$A$230=$B92)*Inputs!$B$5:$B$230*(((Inputs!$G$5:$G$230="moeda")+(Inputs!$G$5:$G$230="acoes"))*Inputs!$B$1+((Inputs!$G$5:$G$230&lt;&gt;"moeda")*(Inputs!$G$5:$G$230&lt;&gt;"acoes")))*INDEX(Inputs!$K$5:$AJ$230,0,MATCH(X$2,Inputs!$K$4:$AJ$4,0)))+SUMPRODUCT((Inputs!$C$5:$C$230=$B92)*Inputs!$D$5:$D$230*(((Inputs!$G$5:$G$230="moeda")+(Inputs!$G$5:$G$230="acoes"))*Inputs!$B$1+((Inputs!$G$5:$G$230&lt;&gt;"moeda")*(Inputs!$G$5:$G$230&lt;&gt;"acoes")))*INDEX(Inputs!$K$5:$AJ$230,0,MATCH(X$2,Inputs!$K$4:$AJ$4,0)))+SUMPRODUCT((Inputs!$E$5:$E$230=$B92)*Inputs!$F$5:$F$230*(((Inputs!$G$5:$G$230="moeda")+(Inputs!$G$5:$G$230="acoes"))*Inputs!$B$1+((Inputs!$G$5:$G$230&lt;&gt;"moeda")*(Inputs!$G$5:$G$230&lt;&gt;"acoes")))*INDEX(Inputs!$K$5:$AJ$230,0,MATCH(X$2,Inputs!$K$4:$AJ$4,0)))))</f>
        <v>24.522</v>
      </c>
      <c r="Y92" s="6">
        <f>IF(ISNA(MATCH(Y$2,Inputs!$K$4:$AJ$4,0)),NA(),IF(SUMPRODUCT((Inputs!$A$5:$A$230=$B92)*ISNUMBER(INDEX(Inputs!$K$5:$AJ$230,0,MATCH(Y$2,Inputs!$K$4:$AJ$4,0))))+SUMPRODUCT((Inputs!$C$5:$C$230=$B92)*ISNUMBER(INDEX(Inputs!$K$5:$AJ$230,0,MATCH(Y$2,Inputs!$K$4:$AJ$4,0))))+SUMPRODUCT((Inputs!$E$5:$E$230=$B92)*ISNUMBER(INDEX(Inputs!$K$5:$AJ$230,0,MATCH(Y$2,Inputs!$K$4:$AJ$4,0))))=0,NA(),SUMPRODUCT((Inputs!$A$5:$A$230=$B92)*Inputs!$B$5:$B$230*(((Inputs!$G$5:$G$230="moeda")+(Inputs!$G$5:$G$230="acoes"))*Inputs!$B$1+((Inputs!$G$5:$G$230&lt;&gt;"moeda")*(Inputs!$G$5:$G$230&lt;&gt;"acoes")))*INDEX(Inputs!$K$5:$AJ$230,0,MATCH(Y$2,Inputs!$K$4:$AJ$4,0)))+SUMPRODUCT((Inputs!$C$5:$C$230=$B92)*Inputs!$D$5:$D$230*(((Inputs!$G$5:$G$230="moeda")+(Inputs!$G$5:$G$230="acoes"))*Inputs!$B$1+((Inputs!$G$5:$G$230&lt;&gt;"moeda")*(Inputs!$G$5:$G$230&lt;&gt;"acoes")))*INDEX(Inputs!$K$5:$AJ$230,0,MATCH(Y$2,Inputs!$K$4:$AJ$4,0)))+SUMPRODUCT((Inputs!$E$5:$E$230=$B92)*Inputs!$F$5:$F$230*(((Inputs!$G$5:$G$230="moeda")+(Inputs!$G$5:$G$230="acoes"))*Inputs!$B$1+((Inputs!$G$5:$G$230&lt;&gt;"moeda")*(Inputs!$G$5:$G$230&lt;&gt;"acoes")))*INDEX(Inputs!$K$5:$AJ$230,0,MATCH(Y$2,Inputs!$K$4:$AJ$4,0)))))</f>
        <v>23.434</v>
      </c>
      <c r="Z92" s="6">
        <f>IF(ISNA(MATCH(Z$2,Inputs!$K$4:$AJ$4,0)),NA(),IF(SUMPRODUCT((Inputs!$A$5:$A$230=$B92)*ISNUMBER(INDEX(Inputs!$K$5:$AJ$230,0,MATCH(Z$2,Inputs!$K$4:$AJ$4,0))))+SUMPRODUCT((Inputs!$C$5:$C$230=$B92)*ISNUMBER(INDEX(Inputs!$K$5:$AJ$230,0,MATCH(Z$2,Inputs!$K$4:$AJ$4,0))))+SUMPRODUCT((Inputs!$E$5:$E$230=$B92)*ISNUMBER(INDEX(Inputs!$K$5:$AJ$230,0,MATCH(Z$2,Inputs!$K$4:$AJ$4,0))))=0,NA(),SUMPRODUCT((Inputs!$A$5:$A$230=$B92)*Inputs!$B$5:$B$230*(((Inputs!$G$5:$G$230="moeda")+(Inputs!$G$5:$G$230="acoes"))*Inputs!$B$1+((Inputs!$G$5:$G$230&lt;&gt;"moeda")*(Inputs!$G$5:$G$230&lt;&gt;"acoes")))*INDEX(Inputs!$K$5:$AJ$230,0,MATCH(Z$2,Inputs!$K$4:$AJ$4,0)))+SUMPRODUCT((Inputs!$C$5:$C$230=$B92)*Inputs!$D$5:$D$230*(((Inputs!$G$5:$G$230="moeda")+(Inputs!$G$5:$G$230="acoes"))*Inputs!$B$1+((Inputs!$G$5:$G$230&lt;&gt;"moeda")*(Inputs!$G$5:$G$230&lt;&gt;"acoes")))*INDEX(Inputs!$K$5:$AJ$230,0,MATCH(Z$2,Inputs!$K$4:$AJ$4,0)))+SUMPRODUCT((Inputs!$E$5:$E$230=$B92)*Inputs!$F$5:$F$230*(((Inputs!$G$5:$G$230="moeda")+(Inputs!$G$5:$G$230="acoes"))*Inputs!$B$1+((Inputs!$G$5:$G$230&lt;&gt;"moeda")*(Inputs!$G$5:$G$230&lt;&gt;"acoes")))*INDEX(Inputs!$K$5:$AJ$230,0,MATCH(Z$2,Inputs!$K$4:$AJ$4,0)))))</f>
        <v>23.334</v>
      </c>
      <c r="AA92" s="6">
        <f>IF(ISNA(MATCH(AA$2,Inputs!$K$4:$AJ$4,0)),NA(),IF(SUMPRODUCT((Inputs!$A$5:$A$230=$B92)*ISNUMBER(INDEX(Inputs!$K$5:$AJ$230,0,MATCH(AA$2,Inputs!$K$4:$AJ$4,0))))+SUMPRODUCT((Inputs!$C$5:$C$230=$B92)*ISNUMBER(INDEX(Inputs!$K$5:$AJ$230,0,MATCH(AA$2,Inputs!$K$4:$AJ$4,0))))+SUMPRODUCT((Inputs!$E$5:$E$230=$B92)*ISNUMBER(INDEX(Inputs!$K$5:$AJ$230,0,MATCH(AA$2,Inputs!$K$4:$AJ$4,0))))=0,NA(),SUMPRODUCT((Inputs!$A$5:$A$230=$B92)*Inputs!$B$5:$B$230*(((Inputs!$G$5:$G$230="moeda")+(Inputs!$G$5:$G$230="acoes"))*Inputs!$B$1+((Inputs!$G$5:$G$230&lt;&gt;"moeda")*(Inputs!$G$5:$G$230&lt;&gt;"acoes")))*INDEX(Inputs!$K$5:$AJ$230,0,MATCH(AA$2,Inputs!$K$4:$AJ$4,0)))+SUMPRODUCT((Inputs!$C$5:$C$230=$B92)*Inputs!$D$5:$D$230*(((Inputs!$G$5:$G$230="moeda")+(Inputs!$G$5:$G$230="acoes"))*Inputs!$B$1+((Inputs!$G$5:$G$230&lt;&gt;"moeda")*(Inputs!$G$5:$G$230&lt;&gt;"acoes")))*INDEX(Inputs!$K$5:$AJ$230,0,MATCH(AA$2,Inputs!$K$4:$AJ$4,0)))+SUMPRODUCT((Inputs!$E$5:$E$230=$B92)*Inputs!$F$5:$F$230*(((Inputs!$G$5:$G$230="moeda")+(Inputs!$G$5:$G$230="acoes"))*Inputs!$B$1+((Inputs!$G$5:$G$230&lt;&gt;"moeda")*(Inputs!$G$5:$G$230&lt;&gt;"acoes")))*INDEX(Inputs!$K$5:$AJ$230,0,MATCH(AA$2,Inputs!$K$4:$AJ$4,0)))))</f>
        <v>25.125</v>
      </c>
      <c r="AB92" s="3">
        <f>SUM(X92:AA92)</f>
        <v>96.415</v>
      </c>
      <c r="AC92" s="6">
        <f>IF(ISNA(MATCH(AC$2,Inputs!$K$4:$AJ$4,0)),NA(),IF(SUMPRODUCT((Inputs!$A$5:$A$230=$B92)*ISNUMBER(INDEX(Inputs!$K$5:$AJ$230,0,MATCH(AC$2,Inputs!$K$4:$AJ$4,0))))+SUMPRODUCT((Inputs!$C$5:$C$230=$B92)*ISNUMBER(INDEX(Inputs!$K$5:$AJ$230,0,MATCH(AC$2,Inputs!$K$4:$AJ$4,0))))+SUMPRODUCT((Inputs!$E$5:$E$230=$B92)*ISNUMBER(INDEX(Inputs!$K$5:$AJ$230,0,MATCH(AC$2,Inputs!$K$4:$AJ$4,0))))=0,NA(),SUMPRODUCT((Inputs!$A$5:$A$230=$B92)*Inputs!$B$5:$B$230*(((Inputs!$G$5:$G$230="moeda")+(Inputs!$G$5:$G$230="acoes"))*Inputs!$B$1+((Inputs!$G$5:$G$230&lt;&gt;"moeda")*(Inputs!$G$5:$G$230&lt;&gt;"acoes")))*INDEX(Inputs!$K$5:$AJ$230,0,MATCH(AC$2,Inputs!$K$4:$AJ$4,0)))+SUMPRODUCT((Inputs!$C$5:$C$230=$B92)*Inputs!$D$5:$D$230*(((Inputs!$G$5:$G$230="moeda")+(Inputs!$G$5:$G$230="acoes"))*Inputs!$B$1+((Inputs!$G$5:$G$230&lt;&gt;"moeda")*(Inputs!$G$5:$G$230&lt;&gt;"acoes")))*INDEX(Inputs!$K$5:$AJ$230,0,MATCH(AC$2,Inputs!$K$4:$AJ$4,0)))+SUMPRODUCT((Inputs!$E$5:$E$230=$B92)*Inputs!$F$5:$F$230*(((Inputs!$G$5:$G$230="moeda")+(Inputs!$G$5:$G$230="acoes"))*Inputs!$B$1+((Inputs!$G$5:$G$230&lt;&gt;"moeda")*(Inputs!$G$5:$G$230&lt;&gt;"acoes")))*INDEX(Inputs!$K$5:$AJ$230,0,MATCH(AC$2,Inputs!$K$4:$AJ$4,0)))))</f>
        <v>25.411</v>
      </c>
      <c r="AD92" s="6">
        <f>IF(ISNA(MATCH(AD$2,Inputs!$K$4:$AJ$4,0)),NA(),IF(SUMPRODUCT((Inputs!$A$5:$A$230=$B92)*ISNUMBER(INDEX(Inputs!$K$5:$AJ$230,0,MATCH(AD$2,Inputs!$K$4:$AJ$4,0))))+SUMPRODUCT((Inputs!$C$5:$C$230=$B92)*ISNUMBER(INDEX(Inputs!$K$5:$AJ$230,0,MATCH(AD$2,Inputs!$K$4:$AJ$4,0))))+SUMPRODUCT((Inputs!$E$5:$E$230=$B92)*ISNUMBER(INDEX(Inputs!$K$5:$AJ$230,0,MATCH(AD$2,Inputs!$K$4:$AJ$4,0))))=0,NA(),SUMPRODUCT((Inputs!$A$5:$A$230=$B92)*Inputs!$B$5:$B$230*(((Inputs!$G$5:$G$230="moeda")+(Inputs!$G$5:$G$230="acoes"))*Inputs!$B$1+((Inputs!$G$5:$G$230&lt;&gt;"moeda")*(Inputs!$G$5:$G$230&lt;&gt;"acoes")))*INDEX(Inputs!$K$5:$AJ$230,0,MATCH(AD$2,Inputs!$K$4:$AJ$4,0)))+SUMPRODUCT((Inputs!$C$5:$C$230=$B92)*Inputs!$D$5:$D$230*(((Inputs!$G$5:$G$230="moeda")+(Inputs!$G$5:$G$230="acoes"))*Inputs!$B$1+((Inputs!$G$5:$G$230&lt;&gt;"moeda")*(Inputs!$G$5:$G$230&lt;&gt;"acoes")))*INDEX(Inputs!$K$5:$AJ$230,0,MATCH(AD$2,Inputs!$K$4:$AJ$4,0)))+SUMPRODUCT((Inputs!$E$5:$E$230=$B92)*Inputs!$F$5:$F$230*(((Inputs!$G$5:$G$230="moeda")+(Inputs!$G$5:$G$230="acoes"))*Inputs!$B$1+((Inputs!$G$5:$G$230&lt;&gt;"moeda")*(Inputs!$G$5:$G$230&lt;&gt;"acoes")))*INDEX(Inputs!$K$5:$AJ$230,0,MATCH(AD$2,Inputs!$K$4:$AJ$4,0)))))</f>
        <v>24.407</v>
      </c>
      <c r="AE92" s="6" t="e">
        <f>IF(ISNA(MATCH(AE$2,Inputs!$K$4:$AJ$4,0)),NA(),IF(SUMPRODUCT((Inputs!$A$5:$A$230=$B92)*ISNUMBER(INDEX(Inputs!$K$5:$AJ$230,0,MATCH(AE$2,Inputs!$K$4:$AJ$4,0))))+SUMPRODUCT((Inputs!$C$5:$C$230=$B92)*ISNUMBER(INDEX(Inputs!$K$5:$AJ$230,0,MATCH(AE$2,Inputs!$K$4:$AJ$4,0))))+SUMPRODUCT((Inputs!$E$5:$E$230=$B92)*ISNUMBER(INDEX(Inputs!$K$5:$AJ$230,0,MATCH(AE$2,Inputs!$K$4:$AJ$4,0))))=0,NA(),SUMPRODUCT((Inputs!$A$5:$A$230=$B92)*Inputs!$B$5:$B$230*(((Inputs!$G$5:$G$230="moeda")+(Inputs!$G$5:$G$230="acoes"))*Inputs!$B$1+((Inputs!$G$5:$G$230&lt;&gt;"moeda")*(Inputs!$G$5:$G$230&lt;&gt;"acoes")))*INDEX(Inputs!$K$5:$AJ$230,0,MATCH(AE$2,Inputs!$K$4:$AJ$4,0)))+SUMPRODUCT((Inputs!$C$5:$C$230=$B92)*Inputs!$D$5:$D$230*(((Inputs!$G$5:$G$230="moeda")+(Inputs!$G$5:$G$230="acoes"))*Inputs!$B$1+((Inputs!$G$5:$G$230&lt;&gt;"moeda")*(Inputs!$G$5:$G$230&lt;&gt;"acoes")))*INDEX(Inputs!$K$5:$AJ$230,0,MATCH(AE$2,Inputs!$K$4:$AJ$4,0)))+SUMPRODUCT((Inputs!$E$5:$E$230=$B92)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2" s="6" t="e">
        <f>IF(ISNA(MATCH(AF$2,Inputs!$K$4:$AJ$4,0)),NA(),IF(SUMPRODUCT((Inputs!$A$5:$A$230=$B92)*ISNUMBER(INDEX(Inputs!$K$5:$AJ$230,0,MATCH(AF$2,Inputs!$K$4:$AJ$4,0))))+SUMPRODUCT((Inputs!$C$5:$C$230=$B92)*ISNUMBER(INDEX(Inputs!$K$5:$AJ$230,0,MATCH(AF$2,Inputs!$K$4:$AJ$4,0))))+SUMPRODUCT((Inputs!$E$5:$E$230=$B92)*ISNUMBER(INDEX(Inputs!$K$5:$AJ$230,0,MATCH(AF$2,Inputs!$K$4:$AJ$4,0))))=0,NA(),SUMPRODUCT((Inputs!$A$5:$A$230=$B92)*Inputs!$B$5:$B$230*(((Inputs!$G$5:$G$230="moeda")+(Inputs!$G$5:$G$230="acoes"))*Inputs!$B$1+((Inputs!$G$5:$G$230&lt;&gt;"moeda")*(Inputs!$G$5:$G$230&lt;&gt;"acoes")))*INDEX(Inputs!$K$5:$AJ$230,0,MATCH(AF$2,Inputs!$K$4:$AJ$4,0)))+SUMPRODUCT((Inputs!$C$5:$C$230=$B92)*Inputs!$D$5:$D$230*(((Inputs!$G$5:$G$230="moeda")+(Inputs!$G$5:$G$230="acoes"))*Inputs!$B$1+((Inputs!$G$5:$G$230&lt;&gt;"moeda")*(Inputs!$G$5:$G$230&lt;&gt;"acoes")))*INDEX(Inputs!$K$5:$AJ$230,0,MATCH(AF$2,Inputs!$K$4:$AJ$4,0)))+SUMPRODUCT((Inputs!$E$5:$E$230=$B92)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2" s="3" t="e">
        <f>SUM(AC92:AF92)</f>
        <v>#N/A</v>
      </c>
      <c r="AH92" s="6">
        <f>IF(ISNA(MATCH(AH$2,Inputs!$K$4:$AJ$4,0)),NA(),IF(SUMPRODUCT((Inputs!$A$5:$A$230=$B92)*ISNUMBER(INDEX(Inputs!$K$5:$AJ$230,0,MATCH(AH$2,Inputs!$K$4:$AJ$4,0))))+SUMPRODUCT((Inputs!$C$5:$C$230=$B92)*ISNUMBER(INDEX(Inputs!$K$5:$AJ$230,0,MATCH(AH$2,Inputs!$K$4:$AJ$4,0))))+SUMPRODUCT((Inputs!$E$5:$E$230=$B92)*ISNUMBER(INDEX(Inputs!$K$5:$AJ$230,0,MATCH(AH$2,Inputs!$K$4:$AJ$4,0))))=0,NA(),SUMPRODUCT((Inputs!$A$5:$A$230=$B92)*Inputs!$B$5:$B$230*(((Inputs!$G$5:$G$230="moeda")+(Inputs!$G$5:$G$230="acoes"))*Inputs!$B$1+((Inputs!$G$5:$G$230&lt;&gt;"moeda")*(Inputs!$G$5:$G$230&lt;&gt;"acoes")))*INDEX(Inputs!$K$5:$AJ$230,0,MATCH(AH$2,Inputs!$K$4:$AJ$4,0)))+SUMPRODUCT((Inputs!$C$5:$C$230=$B92)*Inputs!$D$5:$D$230*(((Inputs!$G$5:$G$230="moeda")+(Inputs!$G$5:$G$230="acoes"))*Inputs!$B$1+((Inputs!$G$5:$G$230&lt;&gt;"moeda")*(Inputs!$G$5:$G$230&lt;&gt;"acoes")))*INDEX(Inputs!$K$5:$AJ$230,0,MATCH(AH$2,Inputs!$K$4:$AJ$4,0)))+SUMPRODUCT((Inputs!$E$5:$E$230=$B92)*Inputs!$F$5:$F$230*(((Inputs!$G$5:$G$230="moeda")+(Inputs!$G$5:$G$230="acoes"))*Inputs!$B$1+((Inputs!$G$5:$G$230&lt;&gt;"moeda")*(Inputs!$G$5:$G$230&lt;&gt;"acoes")))*INDEX(Inputs!$K$5:$AJ$230,0,MATCH(AH$2,Inputs!$K$4:$AJ$4,0)))))</f>
        <v>18.623</v>
      </c>
      <c r="AI92" s="6">
        <f>IF(ISNA(MATCH(AI$2,Inputs!$K$4:$AJ$4,0)),NA(),IF(SUMPRODUCT((Inputs!$A$5:$A$230=$B92)*ISNUMBER(INDEX(Inputs!$K$5:$AJ$230,0,MATCH(AI$2,Inputs!$K$4:$AJ$4,0))))+SUMPRODUCT((Inputs!$C$5:$C$230=$B92)*ISNUMBER(INDEX(Inputs!$K$5:$AJ$230,0,MATCH(AI$2,Inputs!$K$4:$AJ$4,0))))+SUMPRODUCT((Inputs!$E$5:$E$230=$B92)*ISNUMBER(INDEX(Inputs!$K$5:$AJ$230,0,MATCH(AI$2,Inputs!$K$4:$AJ$4,0))))=0,NA(),SUMPRODUCT((Inputs!$A$5:$A$230=$B92)*Inputs!$B$5:$B$230*(((Inputs!$G$5:$G$230="moeda")+(Inputs!$G$5:$G$230="acoes"))*Inputs!$B$1+((Inputs!$G$5:$G$230&lt;&gt;"moeda")*(Inputs!$G$5:$G$230&lt;&gt;"acoes")))*INDEX(Inputs!$K$5:$AJ$230,0,MATCH(AI$2,Inputs!$K$4:$AJ$4,0)))+SUMPRODUCT((Inputs!$C$5:$C$230=$B92)*Inputs!$D$5:$D$230*(((Inputs!$G$5:$G$230="moeda")+(Inputs!$G$5:$G$230="acoes"))*Inputs!$B$1+((Inputs!$G$5:$G$230&lt;&gt;"moeda")*(Inputs!$G$5:$G$230&lt;&gt;"acoes")))*INDEX(Inputs!$K$5:$AJ$230,0,MATCH(AI$2,Inputs!$K$4:$AJ$4,0)))+SUMPRODUCT((Inputs!$E$5:$E$230=$B92)*Inputs!$F$5:$F$230*(((Inputs!$G$5:$G$230="moeda")+(Inputs!$G$5:$G$230="acoes"))*Inputs!$B$1+((Inputs!$G$5:$G$230&lt;&gt;"moeda")*(Inputs!$G$5:$G$230&lt;&gt;"acoes")))*INDEX(Inputs!$K$5:$AJ$230,0,MATCH(AI$2,Inputs!$K$4:$AJ$4,0)))))</f>
        <v>19.1</v>
      </c>
      <c r="AJ92" s="6">
        <f>IF(ISNA(MATCH(AJ$2,Inputs!$K$4:$AJ$4,0)),NA(),IF(SUMPRODUCT((Inputs!$A$5:$A$230=$B92)*ISNUMBER(INDEX(Inputs!$K$5:$AJ$230,0,MATCH(AJ$2,Inputs!$K$4:$AJ$4,0))))+SUMPRODUCT((Inputs!$C$5:$C$230=$B92)*ISNUMBER(INDEX(Inputs!$K$5:$AJ$230,0,MATCH(AJ$2,Inputs!$K$4:$AJ$4,0))))+SUMPRODUCT((Inputs!$E$5:$E$230=$B92)*ISNUMBER(INDEX(Inputs!$K$5:$AJ$230,0,MATCH(AJ$2,Inputs!$K$4:$AJ$4,0))))=0,NA(),SUMPRODUCT((Inputs!$A$5:$A$230=$B92)*Inputs!$B$5:$B$230*(((Inputs!$G$5:$G$230="moeda")+(Inputs!$G$5:$G$230="acoes"))*Inputs!$B$1+((Inputs!$G$5:$G$230&lt;&gt;"moeda")*(Inputs!$G$5:$G$230&lt;&gt;"acoes")))*INDEX(Inputs!$K$5:$AJ$230,0,MATCH(AJ$2,Inputs!$K$4:$AJ$4,0)))+SUMPRODUCT((Inputs!$C$5:$C$230=$B92)*Inputs!$D$5:$D$230*(((Inputs!$G$5:$G$230="moeda")+(Inputs!$G$5:$G$230="acoes"))*Inputs!$B$1+((Inputs!$G$5:$G$230&lt;&gt;"moeda")*(Inputs!$G$5:$G$230&lt;&gt;"acoes")))*INDEX(Inputs!$K$5:$AJ$230,0,MATCH(AJ$2,Inputs!$K$4:$AJ$4,0)))+SUMPRODUCT((Inputs!$E$5:$E$230=$B92)*Inputs!$F$5:$F$230*(((Inputs!$G$5:$G$230="moeda")+(Inputs!$G$5:$G$230="acoes"))*Inputs!$B$1+((Inputs!$G$5:$G$230&lt;&gt;"moeda")*(Inputs!$G$5:$G$230&lt;&gt;"acoes")))*INDEX(Inputs!$K$5:$AJ$230,0,MATCH(AJ$2,Inputs!$K$4:$AJ$4,0)))))</f>
        <v>18.421</v>
      </c>
      <c r="AK92" s="6">
        <f>IF(ISNA(MATCH(AK$2,Inputs!$K$4:$AJ$4,0)),NA(),IF(SUMPRODUCT((Inputs!$A$5:$A$230=$B92)*ISNUMBER(INDEX(Inputs!$K$5:$AJ$230,0,MATCH(AK$2,Inputs!$K$4:$AJ$4,0))))+SUMPRODUCT((Inputs!$C$5:$C$230=$B92)*ISNUMBER(INDEX(Inputs!$K$5:$AJ$230,0,MATCH(AK$2,Inputs!$K$4:$AJ$4,0))))+SUMPRODUCT((Inputs!$E$5:$E$230=$B92)*ISNUMBER(INDEX(Inputs!$K$5:$AJ$230,0,MATCH(AK$2,Inputs!$K$4:$AJ$4,0))))=0,NA(),SUMPRODUCT((Inputs!$A$5:$A$230=$B92)*Inputs!$B$5:$B$230*(((Inputs!$G$5:$G$230="moeda")+(Inputs!$G$5:$G$230="acoes"))*Inputs!$B$1+((Inputs!$G$5:$G$230&lt;&gt;"moeda")*(Inputs!$G$5:$G$230&lt;&gt;"acoes")))*INDEX(Inputs!$K$5:$AJ$230,0,MATCH(AK$2,Inputs!$K$4:$AJ$4,0)))+SUMPRODUCT((Inputs!$C$5:$C$230=$B92)*Inputs!$D$5:$D$230*(((Inputs!$G$5:$G$230="moeda")+(Inputs!$G$5:$G$230="acoes"))*Inputs!$B$1+((Inputs!$G$5:$G$230&lt;&gt;"moeda")*(Inputs!$G$5:$G$230&lt;&gt;"acoes")))*INDEX(Inputs!$K$5:$AJ$230,0,MATCH(AK$2,Inputs!$K$4:$AJ$4,0)))+SUMPRODUCT((Inputs!$E$5:$E$230=$B92)*Inputs!$F$5:$F$230*(((Inputs!$G$5:$G$230="moeda")+(Inputs!$G$5:$G$230="acoes"))*Inputs!$B$1+((Inputs!$G$5:$G$230&lt;&gt;"moeda")*(Inputs!$G$5:$G$230&lt;&gt;"acoes")))*INDEX(Inputs!$K$5:$AJ$230,0,MATCH(AK$2,Inputs!$K$4:$AJ$4,0)))))</f>
        <v>19.87</v>
      </c>
      <c r="AL92" s="3">
        <f>SUM(AH92:AK92)</f>
        <v>76.014</v>
      </c>
    </row>
    <row r="93">
      <c r="B93" s="46" t="n">
        <v>85</v>
      </c>
      <c r="C93" s="29" t="inlineStr">
        <is>
          <t>Geracao | Ijuí</t>
        </is>
      </c>
      <c r="D93" s="6">
        <f>IF(ISNA(MATCH(D$2,Inputs!$K$4:$AJ$4,0)),NA(),IF(SUMPRODUCT((Inputs!$A$5:$A$230=$B93)*ISNUMBER(INDEX(Inputs!$K$5:$AJ$230,0,MATCH(D$2,Inputs!$K$4:$AJ$4,0))))+SUMPRODUCT((Inputs!$C$5:$C$230=$B93)*ISNUMBER(INDEX(Inputs!$K$5:$AJ$230,0,MATCH(D$2,Inputs!$K$4:$AJ$4,0))))+SUMPRODUCT((Inputs!$E$5:$E$230=$B93)*ISNUMBER(INDEX(Inputs!$K$5:$AJ$230,0,MATCH(D$2,Inputs!$K$4:$AJ$4,0))))=0,NA(),SUMPRODUCT((Inputs!$A$5:$A$230=$B93)*Inputs!$B$5:$B$230*(((Inputs!$G$5:$G$230="moeda")+(Inputs!$G$5:$G$230="acoes"))*Inputs!$B$1+((Inputs!$G$5:$G$230&lt;&gt;"moeda")*(Inputs!$G$5:$G$230&lt;&gt;"acoes")))*INDEX(Inputs!$K$5:$AJ$230,0,MATCH(D$2,Inputs!$K$4:$AJ$4,0)))+SUMPRODUCT((Inputs!$C$5:$C$230=$B93)*Inputs!$D$5:$D$230*(((Inputs!$G$5:$G$230="moeda")+(Inputs!$G$5:$G$230="acoes"))*Inputs!$B$1+((Inputs!$G$5:$G$230&lt;&gt;"moeda")*(Inputs!$G$5:$G$230&lt;&gt;"acoes")))*INDEX(Inputs!$K$5:$AJ$230,0,MATCH(D$2,Inputs!$K$4:$AJ$4,0)))+SUMPRODUCT((Inputs!$E$5:$E$230=$B93)*Inputs!$F$5:$F$230*(((Inputs!$G$5:$G$230="moeda")+(Inputs!$G$5:$G$230="acoes"))*Inputs!$B$1+((Inputs!$G$5:$G$230&lt;&gt;"moeda")*(Inputs!$G$5:$G$230&lt;&gt;"acoes")))*INDEX(Inputs!$K$5:$AJ$230,0,MATCH(D$2,Inputs!$K$4:$AJ$4,0)))))</f>
        <v>16.055</v>
      </c>
      <c r="E93" s="6">
        <f>IF(ISNA(MATCH(E$2,Inputs!$K$4:$AJ$4,0)),NA(),IF(SUMPRODUCT((Inputs!$A$5:$A$230=$B93)*ISNUMBER(INDEX(Inputs!$K$5:$AJ$230,0,MATCH(E$2,Inputs!$K$4:$AJ$4,0))))+SUMPRODUCT((Inputs!$C$5:$C$230=$B93)*ISNUMBER(INDEX(Inputs!$K$5:$AJ$230,0,MATCH(E$2,Inputs!$K$4:$AJ$4,0))))+SUMPRODUCT((Inputs!$E$5:$E$230=$B93)*ISNUMBER(INDEX(Inputs!$K$5:$AJ$230,0,MATCH(E$2,Inputs!$K$4:$AJ$4,0))))=0,NA(),SUMPRODUCT((Inputs!$A$5:$A$230=$B93)*Inputs!$B$5:$B$230*(((Inputs!$G$5:$G$230="moeda")+(Inputs!$G$5:$G$230="acoes"))*Inputs!$B$1+((Inputs!$G$5:$G$230&lt;&gt;"moeda")*(Inputs!$G$5:$G$230&lt;&gt;"acoes")))*INDEX(Inputs!$K$5:$AJ$230,0,MATCH(E$2,Inputs!$K$4:$AJ$4,0)))+SUMPRODUCT((Inputs!$C$5:$C$230=$B93)*Inputs!$D$5:$D$230*(((Inputs!$G$5:$G$230="moeda")+(Inputs!$G$5:$G$230="acoes"))*Inputs!$B$1+((Inputs!$G$5:$G$230&lt;&gt;"moeda")*(Inputs!$G$5:$G$230&lt;&gt;"acoes")))*INDEX(Inputs!$K$5:$AJ$230,0,MATCH(E$2,Inputs!$K$4:$AJ$4,0)))+SUMPRODUCT((Inputs!$E$5:$E$230=$B93)*Inputs!$F$5:$F$230*(((Inputs!$G$5:$G$230="moeda")+(Inputs!$G$5:$G$230="acoes"))*Inputs!$B$1+((Inputs!$G$5:$G$230&lt;&gt;"moeda")*(Inputs!$G$5:$G$230&lt;&gt;"acoes")))*INDEX(Inputs!$K$5:$AJ$230,0,MATCH(E$2,Inputs!$K$4:$AJ$4,0)))))</f>
        <v>15.93</v>
      </c>
      <c r="F93" s="6">
        <f>IF(ISNA(MATCH(F$2,Inputs!$K$4:$AJ$4,0)),NA(),IF(SUMPRODUCT((Inputs!$A$5:$A$230=$B93)*ISNUMBER(INDEX(Inputs!$K$5:$AJ$230,0,MATCH(F$2,Inputs!$K$4:$AJ$4,0))))+SUMPRODUCT((Inputs!$C$5:$C$230=$B93)*ISNUMBER(INDEX(Inputs!$K$5:$AJ$230,0,MATCH(F$2,Inputs!$K$4:$AJ$4,0))))+SUMPRODUCT((Inputs!$E$5:$E$230=$B93)*ISNUMBER(INDEX(Inputs!$K$5:$AJ$230,0,MATCH(F$2,Inputs!$K$4:$AJ$4,0))))=0,NA(),SUMPRODUCT((Inputs!$A$5:$A$230=$B93)*Inputs!$B$5:$B$230*(((Inputs!$G$5:$G$230="moeda")+(Inputs!$G$5:$G$230="acoes"))*Inputs!$B$1+((Inputs!$G$5:$G$230&lt;&gt;"moeda")*(Inputs!$G$5:$G$230&lt;&gt;"acoes")))*INDEX(Inputs!$K$5:$AJ$230,0,MATCH(F$2,Inputs!$K$4:$AJ$4,0)))+SUMPRODUCT((Inputs!$C$5:$C$230=$B93)*Inputs!$D$5:$D$230*(((Inputs!$G$5:$G$230="moeda")+(Inputs!$G$5:$G$230="acoes"))*Inputs!$B$1+((Inputs!$G$5:$G$230&lt;&gt;"moeda")*(Inputs!$G$5:$G$230&lt;&gt;"acoes")))*INDEX(Inputs!$K$5:$AJ$230,0,MATCH(F$2,Inputs!$K$4:$AJ$4,0)))+SUMPRODUCT((Inputs!$E$5:$E$230=$B93)*Inputs!$F$5:$F$230*(((Inputs!$G$5:$G$230="moeda")+(Inputs!$G$5:$G$230="acoes"))*Inputs!$B$1+((Inputs!$G$5:$G$230&lt;&gt;"moeda")*(Inputs!$G$5:$G$230&lt;&gt;"acoes")))*INDEX(Inputs!$K$5:$AJ$230,0,MATCH(F$2,Inputs!$K$4:$AJ$4,0)))))</f>
        <v>18.366</v>
      </c>
      <c r="G93" s="6">
        <f>IF(ISNA(MATCH(G$2,Inputs!$K$4:$AJ$4,0)),NA(),IF(SUMPRODUCT((Inputs!$A$5:$A$230=$B93)*ISNUMBER(INDEX(Inputs!$K$5:$AJ$230,0,MATCH(G$2,Inputs!$K$4:$AJ$4,0))))+SUMPRODUCT((Inputs!$C$5:$C$230=$B93)*ISNUMBER(INDEX(Inputs!$K$5:$AJ$230,0,MATCH(G$2,Inputs!$K$4:$AJ$4,0))))+SUMPRODUCT((Inputs!$E$5:$E$230=$B93)*ISNUMBER(INDEX(Inputs!$K$5:$AJ$230,0,MATCH(G$2,Inputs!$K$4:$AJ$4,0))))=0,NA(),SUMPRODUCT((Inputs!$A$5:$A$230=$B93)*Inputs!$B$5:$B$230*(((Inputs!$G$5:$G$230="moeda")+(Inputs!$G$5:$G$230="acoes"))*Inputs!$B$1+((Inputs!$G$5:$G$230&lt;&gt;"moeda")*(Inputs!$G$5:$G$230&lt;&gt;"acoes")))*INDEX(Inputs!$K$5:$AJ$230,0,MATCH(G$2,Inputs!$K$4:$AJ$4,0)))+SUMPRODUCT((Inputs!$C$5:$C$230=$B93)*Inputs!$D$5:$D$230*(((Inputs!$G$5:$G$230="moeda")+(Inputs!$G$5:$G$230="acoes"))*Inputs!$B$1+((Inputs!$G$5:$G$230&lt;&gt;"moeda")*(Inputs!$G$5:$G$230&lt;&gt;"acoes")))*INDEX(Inputs!$K$5:$AJ$230,0,MATCH(G$2,Inputs!$K$4:$AJ$4,0)))+SUMPRODUCT((Inputs!$E$5:$E$230=$B93)*Inputs!$F$5:$F$230*(((Inputs!$G$5:$G$230="moeda")+(Inputs!$G$5:$G$230="acoes"))*Inputs!$B$1+((Inputs!$G$5:$G$230&lt;&gt;"moeda")*(Inputs!$G$5:$G$230&lt;&gt;"acoes")))*INDEX(Inputs!$K$5:$AJ$230,0,MATCH(G$2,Inputs!$K$4:$AJ$4,0)))))</f>
        <v>18.442</v>
      </c>
      <c r="H93" s="3">
        <f>SUM(D93:G93)</f>
        <v>68.793</v>
      </c>
      <c r="I93" s="6">
        <f>IF(ISNA(MATCH(I$2,Inputs!$K$4:$AJ$4,0)),NA(),IF(SUMPRODUCT((Inputs!$A$5:$A$230=$B93)*ISNUMBER(INDEX(Inputs!$K$5:$AJ$230,0,MATCH(I$2,Inputs!$K$4:$AJ$4,0))))+SUMPRODUCT((Inputs!$C$5:$C$230=$B93)*ISNUMBER(INDEX(Inputs!$K$5:$AJ$230,0,MATCH(I$2,Inputs!$K$4:$AJ$4,0))))+SUMPRODUCT((Inputs!$E$5:$E$230=$B93)*ISNUMBER(INDEX(Inputs!$K$5:$AJ$230,0,MATCH(I$2,Inputs!$K$4:$AJ$4,0))))=0,NA(),SUMPRODUCT((Inputs!$A$5:$A$230=$B93)*Inputs!$B$5:$B$230*(((Inputs!$G$5:$G$230="moeda")+(Inputs!$G$5:$G$230="acoes"))*Inputs!$B$1+((Inputs!$G$5:$G$230&lt;&gt;"moeda")*(Inputs!$G$5:$G$230&lt;&gt;"acoes")))*INDEX(Inputs!$K$5:$AJ$230,0,MATCH(I$2,Inputs!$K$4:$AJ$4,0)))+SUMPRODUCT((Inputs!$C$5:$C$230=$B93)*Inputs!$D$5:$D$230*(((Inputs!$G$5:$G$230="moeda")+(Inputs!$G$5:$G$230="acoes"))*Inputs!$B$1+((Inputs!$G$5:$G$230&lt;&gt;"moeda")*(Inputs!$G$5:$G$230&lt;&gt;"acoes")))*INDEX(Inputs!$K$5:$AJ$230,0,MATCH(I$2,Inputs!$K$4:$AJ$4,0)))+SUMPRODUCT((Inputs!$E$5:$E$230=$B93)*Inputs!$F$5:$F$230*(((Inputs!$G$5:$G$230="moeda")+(Inputs!$G$5:$G$230="acoes"))*Inputs!$B$1+((Inputs!$G$5:$G$230&lt;&gt;"moeda")*(Inputs!$G$5:$G$230&lt;&gt;"acoes")))*INDEX(Inputs!$K$5:$AJ$230,0,MATCH(I$2,Inputs!$K$4:$AJ$4,0)))))</f>
        <v>17.022</v>
      </c>
      <c r="J93" s="6">
        <f>IF(ISNA(MATCH(J$2,Inputs!$K$4:$AJ$4,0)),NA(),IF(SUMPRODUCT((Inputs!$A$5:$A$230=$B93)*ISNUMBER(INDEX(Inputs!$K$5:$AJ$230,0,MATCH(J$2,Inputs!$K$4:$AJ$4,0))))+SUMPRODUCT((Inputs!$C$5:$C$230=$B93)*ISNUMBER(INDEX(Inputs!$K$5:$AJ$230,0,MATCH(J$2,Inputs!$K$4:$AJ$4,0))))+SUMPRODUCT((Inputs!$E$5:$E$230=$B93)*ISNUMBER(INDEX(Inputs!$K$5:$AJ$230,0,MATCH(J$2,Inputs!$K$4:$AJ$4,0))))=0,NA(),SUMPRODUCT((Inputs!$A$5:$A$230=$B93)*Inputs!$B$5:$B$230*(((Inputs!$G$5:$G$230="moeda")+(Inputs!$G$5:$G$230="acoes"))*Inputs!$B$1+((Inputs!$G$5:$G$230&lt;&gt;"moeda")*(Inputs!$G$5:$G$230&lt;&gt;"acoes")))*INDEX(Inputs!$K$5:$AJ$230,0,MATCH(J$2,Inputs!$K$4:$AJ$4,0)))+SUMPRODUCT((Inputs!$C$5:$C$230=$B93)*Inputs!$D$5:$D$230*(((Inputs!$G$5:$G$230="moeda")+(Inputs!$G$5:$G$230="acoes"))*Inputs!$B$1+((Inputs!$G$5:$G$230&lt;&gt;"moeda")*(Inputs!$G$5:$G$230&lt;&gt;"acoes")))*INDEX(Inputs!$K$5:$AJ$230,0,MATCH(J$2,Inputs!$K$4:$AJ$4,0)))+SUMPRODUCT((Inputs!$E$5:$E$230=$B93)*Inputs!$F$5:$F$230*(((Inputs!$G$5:$G$230="moeda")+(Inputs!$G$5:$G$230="acoes"))*Inputs!$B$1+((Inputs!$G$5:$G$230&lt;&gt;"moeda")*(Inputs!$G$5:$G$230&lt;&gt;"acoes")))*INDEX(Inputs!$K$5:$AJ$230,0,MATCH(J$2,Inputs!$K$4:$AJ$4,0)))))</f>
        <v>17.258</v>
      </c>
      <c r="K93" s="6">
        <f>IF(ISNA(MATCH(K$2,Inputs!$K$4:$AJ$4,0)),NA(),IF(SUMPRODUCT((Inputs!$A$5:$A$230=$B93)*ISNUMBER(INDEX(Inputs!$K$5:$AJ$230,0,MATCH(K$2,Inputs!$K$4:$AJ$4,0))))+SUMPRODUCT((Inputs!$C$5:$C$230=$B93)*ISNUMBER(INDEX(Inputs!$K$5:$AJ$230,0,MATCH(K$2,Inputs!$K$4:$AJ$4,0))))+SUMPRODUCT((Inputs!$E$5:$E$230=$B93)*ISNUMBER(INDEX(Inputs!$K$5:$AJ$230,0,MATCH(K$2,Inputs!$K$4:$AJ$4,0))))=0,NA(),SUMPRODUCT((Inputs!$A$5:$A$230=$B93)*Inputs!$B$5:$B$230*(((Inputs!$G$5:$G$230="moeda")+(Inputs!$G$5:$G$230="acoes"))*Inputs!$B$1+((Inputs!$G$5:$G$230&lt;&gt;"moeda")*(Inputs!$G$5:$G$230&lt;&gt;"acoes")))*INDEX(Inputs!$K$5:$AJ$230,0,MATCH(K$2,Inputs!$K$4:$AJ$4,0)))+SUMPRODUCT((Inputs!$C$5:$C$230=$B93)*Inputs!$D$5:$D$230*(((Inputs!$G$5:$G$230="moeda")+(Inputs!$G$5:$G$230="acoes"))*Inputs!$B$1+((Inputs!$G$5:$G$230&lt;&gt;"moeda")*(Inputs!$G$5:$G$230&lt;&gt;"acoes")))*INDEX(Inputs!$K$5:$AJ$230,0,MATCH(K$2,Inputs!$K$4:$AJ$4,0)))+SUMPRODUCT((Inputs!$E$5:$E$230=$B93)*Inputs!$F$5:$F$230*(((Inputs!$G$5:$G$230="moeda")+(Inputs!$G$5:$G$230="acoes"))*Inputs!$B$1+((Inputs!$G$5:$G$230&lt;&gt;"moeda")*(Inputs!$G$5:$G$230&lt;&gt;"acoes")))*INDEX(Inputs!$K$5:$AJ$230,0,MATCH(K$2,Inputs!$K$4:$AJ$4,0)))))</f>
        <v>17.228</v>
      </c>
      <c r="L93" s="6">
        <f>IF(ISNA(MATCH(L$2,Inputs!$K$4:$AJ$4,0)),NA(),IF(SUMPRODUCT((Inputs!$A$5:$A$230=$B93)*ISNUMBER(INDEX(Inputs!$K$5:$AJ$230,0,MATCH(L$2,Inputs!$K$4:$AJ$4,0))))+SUMPRODUCT((Inputs!$C$5:$C$230=$B93)*ISNUMBER(INDEX(Inputs!$K$5:$AJ$230,0,MATCH(L$2,Inputs!$K$4:$AJ$4,0))))+SUMPRODUCT((Inputs!$E$5:$E$230=$B93)*ISNUMBER(INDEX(Inputs!$K$5:$AJ$230,0,MATCH(L$2,Inputs!$K$4:$AJ$4,0))))=0,NA(),SUMPRODUCT((Inputs!$A$5:$A$230=$B93)*Inputs!$B$5:$B$230*(((Inputs!$G$5:$G$230="moeda")+(Inputs!$G$5:$G$230="acoes"))*Inputs!$B$1+((Inputs!$G$5:$G$230&lt;&gt;"moeda")*(Inputs!$G$5:$G$230&lt;&gt;"acoes")))*INDEX(Inputs!$K$5:$AJ$230,0,MATCH(L$2,Inputs!$K$4:$AJ$4,0)))+SUMPRODUCT((Inputs!$C$5:$C$230=$B93)*Inputs!$D$5:$D$230*(((Inputs!$G$5:$G$230="moeda")+(Inputs!$G$5:$G$230="acoes"))*Inputs!$B$1+((Inputs!$G$5:$G$230&lt;&gt;"moeda")*(Inputs!$G$5:$G$230&lt;&gt;"acoes")))*INDEX(Inputs!$K$5:$AJ$230,0,MATCH(L$2,Inputs!$K$4:$AJ$4,0)))+SUMPRODUCT((Inputs!$E$5:$E$230=$B93)*Inputs!$F$5:$F$230*(((Inputs!$G$5:$G$230="moeda")+(Inputs!$G$5:$G$230="acoes"))*Inputs!$B$1+((Inputs!$G$5:$G$230&lt;&gt;"moeda")*(Inputs!$G$5:$G$230&lt;&gt;"acoes")))*INDEX(Inputs!$K$5:$AJ$230,0,MATCH(L$2,Inputs!$K$4:$AJ$4,0)))))</f>
        <v>19.507</v>
      </c>
      <c r="M93" s="3">
        <f>SUM(I93:L93)</f>
        <v>71.015</v>
      </c>
      <c r="N93" s="6">
        <f>IF(ISNA(MATCH(N$2,Inputs!$K$4:$AJ$4,0)),NA(),IF(SUMPRODUCT((Inputs!$A$5:$A$230=$B93)*ISNUMBER(INDEX(Inputs!$K$5:$AJ$230,0,MATCH(N$2,Inputs!$K$4:$AJ$4,0))))+SUMPRODUCT((Inputs!$C$5:$C$230=$B93)*ISNUMBER(INDEX(Inputs!$K$5:$AJ$230,0,MATCH(N$2,Inputs!$K$4:$AJ$4,0))))+SUMPRODUCT((Inputs!$E$5:$E$230=$B93)*ISNUMBER(INDEX(Inputs!$K$5:$AJ$230,0,MATCH(N$2,Inputs!$K$4:$AJ$4,0))))=0,NA(),SUMPRODUCT((Inputs!$A$5:$A$230=$B93)*Inputs!$B$5:$B$230*(((Inputs!$G$5:$G$230="moeda")+(Inputs!$G$5:$G$230="acoes"))*Inputs!$B$1+((Inputs!$G$5:$G$230&lt;&gt;"moeda")*(Inputs!$G$5:$G$230&lt;&gt;"acoes")))*INDEX(Inputs!$K$5:$AJ$230,0,MATCH(N$2,Inputs!$K$4:$AJ$4,0)))+SUMPRODUCT((Inputs!$C$5:$C$230=$B93)*Inputs!$D$5:$D$230*(((Inputs!$G$5:$G$230="moeda")+(Inputs!$G$5:$G$230="acoes"))*Inputs!$B$1+((Inputs!$G$5:$G$230&lt;&gt;"moeda")*(Inputs!$G$5:$G$230&lt;&gt;"acoes")))*INDEX(Inputs!$K$5:$AJ$230,0,MATCH(N$2,Inputs!$K$4:$AJ$4,0)))+SUMPRODUCT((Inputs!$E$5:$E$230=$B93)*Inputs!$F$5:$F$230*(((Inputs!$G$5:$G$230="moeda")+(Inputs!$G$5:$G$230="acoes"))*Inputs!$B$1+((Inputs!$G$5:$G$230&lt;&gt;"moeda")*(Inputs!$G$5:$G$230&lt;&gt;"acoes")))*INDEX(Inputs!$K$5:$AJ$230,0,MATCH(N$2,Inputs!$K$4:$AJ$4,0)))))</f>
        <v>18.983</v>
      </c>
      <c r="O93" s="6">
        <f>IF(ISNA(MATCH(O$2,Inputs!$K$4:$AJ$4,0)),NA(),IF(SUMPRODUCT((Inputs!$A$5:$A$230=$B93)*ISNUMBER(INDEX(Inputs!$K$5:$AJ$230,0,MATCH(O$2,Inputs!$K$4:$AJ$4,0))))+SUMPRODUCT((Inputs!$C$5:$C$230=$B93)*ISNUMBER(INDEX(Inputs!$K$5:$AJ$230,0,MATCH(O$2,Inputs!$K$4:$AJ$4,0))))+SUMPRODUCT((Inputs!$E$5:$E$230=$B93)*ISNUMBER(INDEX(Inputs!$K$5:$AJ$230,0,MATCH(O$2,Inputs!$K$4:$AJ$4,0))))=0,NA(),SUMPRODUCT((Inputs!$A$5:$A$230=$B93)*Inputs!$B$5:$B$230*(((Inputs!$G$5:$G$230="moeda")+(Inputs!$G$5:$G$230="acoes"))*Inputs!$B$1+((Inputs!$G$5:$G$230&lt;&gt;"moeda")*(Inputs!$G$5:$G$230&lt;&gt;"acoes")))*INDEX(Inputs!$K$5:$AJ$230,0,MATCH(O$2,Inputs!$K$4:$AJ$4,0)))+SUMPRODUCT((Inputs!$C$5:$C$230=$B93)*Inputs!$D$5:$D$230*(((Inputs!$G$5:$G$230="moeda")+(Inputs!$G$5:$G$230="acoes"))*Inputs!$B$1+((Inputs!$G$5:$G$230&lt;&gt;"moeda")*(Inputs!$G$5:$G$230&lt;&gt;"acoes")))*INDEX(Inputs!$K$5:$AJ$230,0,MATCH(O$2,Inputs!$K$4:$AJ$4,0)))+SUMPRODUCT((Inputs!$E$5:$E$230=$B93)*Inputs!$F$5:$F$230*(((Inputs!$G$5:$G$230="moeda")+(Inputs!$G$5:$G$230="acoes"))*Inputs!$B$1+((Inputs!$G$5:$G$230&lt;&gt;"moeda")*(Inputs!$G$5:$G$230&lt;&gt;"acoes")))*INDEX(Inputs!$K$5:$AJ$230,0,MATCH(O$2,Inputs!$K$4:$AJ$4,0)))))</f>
        <v>17.558</v>
      </c>
      <c r="P93" s="6">
        <f>IF(ISNA(MATCH(P$2,Inputs!$K$4:$AJ$4,0)),NA(),IF(SUMPRODUCT((Inputs!$A$5:$A$230=$B93)*ISNUMBER(INDEX(Inputs!$K$5:$AJ$230,0,MATCH(P$2,Inputs!$K$4:$AJ$4,0))))+SUMPRODUCT((Inputs!$C$5:$C$230=$B93)*ISNUMBER(INDEX(Inputs!$K$5:$AJ$230,0,MATCH(P$2,Inputs!$K$4:$AJ$4,0))))+SUMPRODUCT((Inputs!$E$5:$E$230=$B93)*ISNUMBER(INDEX(Inputs!$K$5:$AJ$230,0,MATCH(P$2,Inputs!$K$4:$AJ$4,0))))=0,NA(),SUMPRODUCT((Inputs!$A$5:$A$230=$B93)*Inputs!$B$5:$B$230*(((Inputs!$G$5:$G$230="moeda")+(Inputs!$G$5:$G$230="acoes"))*Inputs!$B$1+((Inputs!$G$5:$G$230&lt;&gt;"moeda")*(Inputs!$G$5:$G$230&lt;&gt;"acoes")))*INDEX(Inputs!$K$5:$AJ$230,0,MATCH(P$2,Inputs!$K$4:$AJ$4,0)))+SUMPRODUCT((Inputs!$C$5:$C$230=$B93)*Inputs!$D$5:$D$230*(((Inputs!$G$5:$G$230="moeda")+(Inputs!$G$5:$G$230="acoes"))*Inputs!$B$1+((Inputs!$G$5:$G$230&lt;&gt;"moeda")*(Inputs!$G$5:$G$230&lt;&gt;"acoes")))*INDEX(Inputs!$K$5:$AJ$230,0,MATCH(P$2,Inputs!$K$4:$AJ$4,0)))+SUMPRODUCT((Inputs!$E$5:$E$230=$B93)*Inputs!$F$5:$F$230*(((Inputs!$G$5:$G$230="moeda")+(Inputs!$G$5:$G$230="acoes"))*Inputs!$B$1+((Inputs!$G$5:$G$230&lt;&gt;"moeda")*(Inputs!$G$5:$G$230&lt;&gt;"acoes")))*INDEX(Inputs!$K$5:$AJ$230,0,MATCH(P$2,Inputs!$K$4:$AJ$4,0)))))</f>
        <v>18.995</v>
      </c>
      <c r="Q93" s="6">
        <f>IF(ISNA(MATCH(Q$2,Inputs!$K$4:$AJ$4,0)),NA(),IF(SUMPRODUCT((Inputs!$A$5:$A$230=$B93)*ISNUMBER(INDEX(Inputs!$K$5:$AJ$230,0,MATCH(Q$2,Inputs!$K$4:$AJ$4,0))))+SUMPRODUCT((Inputs!$C$5:$C$230=$B93)*ISNUMBER(INDEX(Inputs!$K$5:$AJ$230,0,MATCH(Q$2,Inputs!$K$4:$AJ$4,0))))+SUMPRODUCT((Inputs!$E$5:$E$230=$B93)*ISNUMBER(INDEX(Inputs!$K$5:$AJ$230,0,MATCH(Q$2,Inputs!$K$4:$AJ$4,0))))=0,NA(),SUMPRODUCT((Inputs!$A$5:$A$230=$B93)*Inputs!$B$5:$B$230*(((Inputs!$G$5:$G$230="moeda")+(Inputs!$G$5:$G$230="acoes"))*Inputs!$B$1+((Inputs!$G$5:$G$230&lt;&gt;"moeda")*(Inputs!$G$5:$G$230&lt;&gt;"acoes")))*INDEX(Inputs!$K$5:$AJ$230,0,MATCH(Q$2,Inputs!$K$4:$AJ$4,0)))+SUMPRODUCT((Inputs!$C$5:$C$230=$B93)*Inputs!$D$5:$D$230*(((Inputs!$G$5:$G$230="moeda")+(Inputs!$G$5:$G$230="acoes"))*Inputs!$B$1+((Inputs!$G$5:$G$230&lt;&gt;"moeda")*(Inputs!$G$5:$G$230&lt;&gt;"acoes")))*INDEX(Inputs!$K$5:$AJ$230,0,MATCH(Q$2,Inputs!$K$4:$AJ$4,0)))+SUMPRODUCT((Inputs!$E$5:$E$230=$B93)*Inputs!$F$5:$F$230*(((Inputs!$G$5:$G$230="moeda")+(Inputs!$G$5:$G$230="acoes"))*Inputs!$B$1+((Inputs!$G$5:$G$230&lt;&gt;"moeda")*(Inputs!$G$5:$G$230&lt;&gt;"acoes")))*INDEX(Inputs!$K$5:$AJ$230,0,MATCH(Q$2,Inputs!$K$4:$AJ$4,0)))))</f>
        <v>20.571</v>
      </c>
      <c r="R93" s="3">
        <f>SUM(N93:Q93)</f>
        <v>76.107</v>
      </c>
      <c r="S93" s="6">
        <f>IF(ISNA(MATCH(S$2,Inputs!$K$4:$AJ$4,0)),NA(),IF(SUMPRODUCT((Inputs!$A$5:$A$230=$B93)*ISNUMBER(INDEX(Inputs!$K$5:$AJ$230,0,MATCH(S$2,Inputs!$K$4:$AJ$4,0))))+SUMPRODUCT((Inputs!$C$5:$C$230=$B93)*ISNUMBER(INDEX(Inputs!$K$5:$AJ$230,0,MATCH(S$2,Inputs!$K$4:$AJ$4,0))))+SUMPRODUCT((Inputs!$E$5:$E$230=$B93)*ISNUMBER(INDEX(Inputs!$K$5:$AJ$230,0,MATCH(S$2,Inputs!$K$4:$AJ$4,0))))=0,NA(),SUMPRODUCT((Inputs!$A$5:$A$230=$B93)*Inputs!$B$5:$B$230*(((Inputs!$G$5:$G$230="moeda")+(Inputs!$G$5:$G$230="acoes"))*Inputs!$B$1+((Inputs!$G$5:$G$230&lt;&gt;"moeda")*(Inputs!$G$5:$G$230&lt;&gt;"acoes")))*INDEX(Inputs!$K$5:$AJ$230,0,MATCH(S$2,Inputs!$K$4:$AJ$4,0)))+SUMPRODUCT((Inputs!$C$5:$C$230=$B93)*Inputs!$D$5:$D$230*(((Inputs!$G$5:$G$230="moeda")+(Inputs!$G$5:$G$230="acoes"))*Inputs!$B$1+((Inputs!$G$5:$G$230&lt;&gt;"moeda")*(Inputs!$G$5:$G$230&lt;&gt;"acoes")))*INDEX(Inputs!$K$5:$AJ$230,0,MATCH(S$2,Inputs!$K$4:$AJ$4,0)))+SUMPRODUCT((Inputs!$E$5:$E$230=$B93)*Inputs!$F$5:$F$230*(((Inputs!$G$5:$G$230="moeda")+(Inputs!$G$5:$G$230="acoes"))*Inputs!$B$1+((Inputs!$G$5:$G$230&lt;&gt;"moeda")*(Inputs!$G$5:$G$230&lt;&gt;"acoes")))*INDEX(Inputs!$K$5:$AJ$230,0,MATCH(S$2,Inputs!$K$4:$AJ$4,0)))))</f>
        <v>19.658</v>
      </c>
      <c r="T93" s="6">
        <f>IF(ISNA(MATCH(T$2,Inputs!$K$4:$AJ$4,0)),NA(),IF(SUMPRODUCT((Inputs!$A$5:$A$230=$B93)*ISNUMBER(INDEX(Inputs!$K$5:$AJ$230,0,MATCH(T$2,Inputs!$K$4:$AJ$4,0))))+SUMPRODUCT((Inputs!$C$5:$C$230=$B93)*ISNUMBER(INDEX(Inputs!$K$5:$AJ$230,0,MATCH(T$2,Inputs!$K$4:$AJ$4,0))))+SUMPRODUCT((Inputs!$E$5:$E$230=$B93)*ISNUMBER(INDEX(Inputs!$K$5:$AJ$230,0,MATCH(T$2,Inputs!$K$4:$AJ$4,0))))=0,NA(),SUMPRODUCT((Inputs!$A$5:$A$230=$B93)*Inputs!$B$5:$B$230*(((Inputs!$G$5:$G$230="moeda")+(Inputs!$G$5:$G$230="acoes"))*Inputs!$B$1+((Inputs!$G$5:$G$230&lt;&gt;"moeda")*(Inputs!$G$5:$G$230&lt;&gt;"acoes")))*INDEX(Inputs!$K$5:$AJ$230,0,MATCH(T$2,Inputs!$K$4:$AJ$4,0)))+SUMPRODUCT((Inputs!$C$5:$C$230=$B93)*Inputs!$D$5:$D$230*(((Inputs!$G$5:$G$230="moeda")+(Inputs!$G$5:$G$230="acoes"))*Inputs!$B$1+((Inputs!$G$5:$G$230&lt;&gt;"moeda")*(Inputs!$G$5:$G$230&lt;&gt;"acoes")))*INDEX(Inputs!$K$5:$AJ$230,0,MATCH(T$2,Inputs!$K$4:$AJ$4,0)))+SUMPRODUCT((Inputs!$E$5:$E$230=$B93)*Inputs!$F$5:$F$230*(((Inputs!$G$5:$G$230="moeda")+(Inputs!$G$5:$G$230="acoes"))*Inputs!$B$1+((Inputs!$G$5:$G$230&lt;&gt;"moeda")*(Inputs!$G$5:$G$230&lt;&gt;"acoes")))*INDEX(Inputs!$K$5:$AJ$230,0,MATCH(T$2,Inputs!$K$4:$AJ$4,0)))))</f>
        <v>19.203</v>
      </c>
      <c r="U93" s="6">
        <f>IF(ISNA(MATCH(U$2,Inputs!$K$4:$AJ$4,0)),NA(),IF(SUMPRODUCT((Inputs!$A$5:$A$230=$B93)*ISNUMBER(INDEX(Inputs!$K$5:$AJ$230,0,MATCH(U$2,Inputs!$K$4:$AJ$4,0))))+SUMPRODUCT((Inputs!$C$5:$C$230=$B93)*ISNUMBER(INDEX(Inputs!$K$5:$AJ$230,0,MATCH(U$2,Inputs!$K$4:$AJ$4,0))))+SUMPRODUCT((Inputs!$E$5:$E$230=$B93)*ISNUMBER(INDEX(Inputs!$K$5:$AJ$230,0,MATCH(U$2,Inputs!$K$4:$AJ$4,0))))=0,NA(),SUMPRODUCT((Inputs!$A$5:$A$230=$B93)*Inputs!$B$5:$B$230*(((Inputs!$G$5:$G$230="moeda")+(Inputs!$G$5:$G$230="acoes"))*Inputs!$B$1+((Inputs!$G$5:$G$230&lt;&gt;"moeda")*(Inputs!$G$5:$G$230&lt;&gt;"acoes")))*INDEX(Inputs!$K$5:$AJ$230,0,MATCH(U$2,Inputs!$K$4:$AJ$4,0)))+SUMPRODUCT((Inputs!$C$5:$C$230=$B93)*Inputs!$D$5:$D$230*(((Inputs!$G$5:$G$230="moeda")+(Inputs!$G$5:$G$230="acoes"))*Inputs!$B$1+((Inputs!$G$5:$G$230&lt;&gt;"moeda")*(Inputs!$G$5:$G$230&lt;&gt;"acoes")))*INDEX(Inputs!$K$5:$AJ$230,0,MATCH(U$2,Inputs!$K$4:$AJ$4,0)))+SUMPRODUCT((Inputs!$E$5:$E$230=$B93)*Inputs!$F$5:$F$230*(((Inputs!$G$5:$G$230="moeda")+(Inputs!$G$5:$G$230="acoes"))*Inputs!$B$1+((Inputs!$G$5:$G$230&lt;&gt;"moeda")*(Inputs!$G$5:$G$230&lt;&gt;"acoes")))*INDEX(Inputs!$K$5:$AJ$230,0,MATCH(U$2,Inputs!$K$4:$AJ$4,0)))))</f>
        <v>20.228</v>
      </c>
      <c r="V93" s="6">
        <f>IF(ISNA(MATCH(V$2,Inputs!$K$4:$AJ$4,0)),NA(),IF(SUMPRODUCT((Inputs!$A$5:$A$230=$B93)*ISNUMBER(INDEX(Inputs!$K$5:$AJ$230,0,MATCH(V$2,Inputs!$K$4:$AJ$4,0))))+SUMPRODUCT((Inputs!$C$5:$C$230=$B93)*ISNUMBER(INDEX(Inputs!$K$5:$AJ$230,0,MATCH(V$2,Inputs!$K$4:$AJ$4,0))))+SUMPRODUCT((Inputs!$E$5:$E$230=$B93)*ISNUMBER(INDEX(Inputs!$K$5:$AJ$230,0,MATCH(V$2,Inputs!$K$4:$AJ$4,0))))=0,NA(),SUMPRODUCT((Inputs!$A$5:$A$230=$B93)*Inputs!$B$5:$B$230*(((Inputs!$G$5:$G$230="moeda")+(Inputs!$G$5:$G$230="acoes"))*Inputs!$B$1+((Inputs!$G$5:$G$230&lt;&gt;"moeda")*(Inputs!$G$5:$G$230&lt;&gt;"acoes")))*INDEX(Inputs!$K$5:$AJ$230,0,MATCH(V$2,Inputs!$K$4:$AJ$4,0)))+SUMPRODUCT((Inputs!$C$5:$C$230=$B93)*Inputs!$D$5:$D$230*(((Inputs!$G$5:$G$230="moeda")+(Inputs!$G$5:$G$230="acoes"))*Inputs!$B$1+((Inputs!$G$5:$G$230&lt;&gt;"moeda")*(Inputs!$G$5:$G$230&lt;&gt;"acoes")))*INDEX(Inputs!$K$5:$AJ$230,0,MATCH(V$2,Inputs!$K$4:$AJ$4,0)))+SUMPRODUCT((Inputs!$E$5:$E$230=$B93)*Inputs!$F$5:$F$230*(((Inputs!$G$5:$G$230="moeda")+(Inputs!$G$5:$G$230="acoes"))*Inputs!$B$1+((Inputs!$G$5:$G$230&lt;&gt;"moeda")*(Inputs!$G$5:$G$230&lt;&gt;"acoes")))*INDEX(Inputs!$K$5:$AJ$230,0,MATCH(V$2,Inputs!$K$4:$AJ$4,0)))))</f>
        <v>21.49</v>
      </c>
      <c r="W93" s="3">
        <f>SUM(S93:V93)</f>
        <v>80.579</v>
      </c>
      <c r="X93" s="6">
        <f>IF(ISNA(MATCH(X$2,Inputs!$K$4:$AJ$4,0)),NA(),IF(SUMPRODUCT((Inputs!$A$5:$A$230=$B93)*ISNUMBER(INDEX(Inputs!$K$5:$AJ$230,0,MATCH(X$2,Inputs!$K$4:$AJ$4,0))))+SUMPRODUCT((Inputs!$C$5:$C$230=$B93)*ISNUMBER(INDEX(Inputs!$K$5:$AJ$230,0,MATCH(X$2,Inputs!$K$4:$AJ$4,0))))+SUMPRODUCT((Inputs!$E$5:$E$230=$B93)*ISNUMBER(INDEX(Inputs!$K$5:$AJ$230,0,MATCH(X$2,Inputs!$K$4:$AJ$4,0))))=0,NA(),SUMPRODUCT((Inputs!$A$5:$A$230=$B93)*Inputs!$B$5:$B$230*(((Inputs!$G$5:$G$230="moeda")+(Inputs!$G$5:$G$230="acoes"))*Inputs!$B$1+((Inputs!$G$5:$G$230&lt;&gt;"moeda")*(Inputs!$G$5:$G$230&lt;&gt;"acoes")))*INDEX(Inputs!$K$5:$AJ$230,0,MATCH(X$2,Inputs!$K$4:$AJ$4,0)))+SUMPRODUCT((Inputs!$C$5:$C$230=$B93)*Inputs!$D$5:$D$230*(((Inputs!$G$5:$G$230="moeda")+(Inputs!$G$5:$G$230="acoes"))*Inputs!$B$1+((Inputs!$G$5:$G$230&lt;&gt;"moeda")*(Inputs!$G$5:$G$230&lt;&gt;"acoes")))*INDEX(Inputs!$K$5:$AJ$230,0,MATCH(X$2,Inputs!$K$4:$AJ$4,0)))+SUMPRODUCT((Inputs!$E$5:$E$230=$B93)*Inputs!$F$5:$F$230*(((Inputs!$G$5:$G$230="moeda")+(Inputs!$G$5:$G$230="acoes"))*Inputs!$B$1+((Inputs!$G$5:$G$230&lt;&gt;"moeda")*(Inputs!$G$5:$G$230&lt;&gt;"acoes")))*INDEX(Inputs!$K$5:$AJ$230,0,MATCH(X$2,Inputs!$K$4:$AJ$4,0)))))</f>
        <v>19.773</v>
      </c>
      <c r="Y93" s="6">
        <f>IF(ISNA(MATCH(Y$2,Inputs!$K$4:$AJ$4,0)),NA(),IF(SUMPRODUCT((Inputs!$A$5:$A$230=$B93)*ISNUMBER(INDEX(Inputs!$K$5:$AJ$230,0,MATCH(Y$2,Inputs!$K$4:$AJ$4,0))))+SUMPRODUCT((Inputs!$C$5:$C$230=$B93)*ISNUMBER(INDEX(Inputs!$K$5:$AJ$230,0,MATCH(Y$2,Inputs!$K$4:$AJ$4,0))))+SUMPRODUCT((Inputs!$E$5:$E$230=$B93)*ISNUMBER(INDEX(Inputs!$K$5:$AJ$230,0,MATCH(Y$2,Inputs!$K$4:$AJ$4,0))))=0,NA(),SUMPRODUCT((Inputs!$A$5:$A$230=$B93)*Inputs!$B$5:$B$230*(((Inputs!$G$5:$G$230="moeda")+(Inputs!$G$5:$G$230="acoes"))*Inputs!$B$1+((Inputs!$G$5:$G$230&lt;&gt;"moeda")*(Inputs!$G$5:$G$230&lt;&gt;"acoes")))*INDEX(Inputs!$K$5:$AJ$230,0,MATCH(Y$2,Inputs!$K$4:$AJ$4,0)))+SUMPRODUCT((Inputs!$C$5:$C$230=$B93)*Inputs!$D$5:$D$230*(((Inputs!$G$5:$G$230="moeda")+(Inputs!$G$5:$G$230="acoes"))*Inputs!$B$1+((Inputs!$G$5:$G$230&lt;&gt;"moeda")*(Inputs!$G$5:$G$230&lt;&gt;"acoes")))*INDEX(Inputs!$K$5:$AJ$230,0,MATCH(Y$2,Inputs!$K$4:$AJ$4,0)))+SUMPRODUCT((Inputs!$E$5:$E$230=$B93)*Inputs!$F$5:$F$230*(((Inputs!$G$5:$G$230="moeda")+(Inputs!$G$5:$G$230="acoes"))*Inputs!$B$1+((Inputs!$G$5:$G$230&lt;&gt;"moeda")*(Inputs!$G$5:$G$230&lt;&gt;"acoes")))*INDEX(Inputs!$K$5:$AJ$230,0,MATCH(Y$2,Inputs!$K$4:$AJ$4,0)))))</f>
        <v>19.77</v>
      </c>
      <c r="Z93" s="6">
        <f>IF(ISNA(MATCH(Z$2,Inputs!$K$4:$AJ$4,0)),NA(),IF(SUMPRODUCT((Inputs!$A$5:$A$230=$B93)*ISNUMBER(INDEX(Inputs!$K$5:$AJ$230,0,MATCH(Z$2,Inputs!$K$4:$AJ$4,0))))+SUMPRODUCT((Inputs!$C$5:$C$230=$B93)*ISNUMBER(INDEX(Inputs!$K$5:$AJ$230,0,MATCH(Z$2,Inputs!$K$4:$AJ$4,0))))+SUMPRODUCT((Inputs!$E$5:$E$230=$B93)*ISNUMBER(INDEX(Inputs!$K$5:$AJ$230,0,MATCH(Z$2,Inputs!$K$4:$AJ$4,0))))=0,NA(),SUMPRODUCT((Inputs!$A$5:$A$230=$B93)*Inputs!$B$5:$B$230*(((Inputs!$G$5:$G$230="moeda")+(Inputs!$G$5:$G$230="acoes"))*Inputs!$B$1+((Inputs!$G$5:$G$230&lt;&gt;"moeda")*(Inputs!$G$5:$G$230&lt;&gt;"acoes")))*INDEX(Inputs!$K$5:$AJ$230,0,MATCH(Z$2,Inputs!$K$4:$AJ$4,0)))+SUMPRODUCT((Inputs!$C$5:$C$230=$B93)*Inputs!$D$5:$D$230*(((Inputs!$G$5:$G$230="moeda")+(Inputs!$G$5:$G$230="acoes"))*Inputs!$B$1+((Inputs!$G$5:$G$230&lt;&gt;"moeda")*(Inputs!$G$5:$G$230&lt;&gt;"acoes")))*INDEX(Inputs!$K$5:$AJ$230,0,MATCH(Z$2,Inputs!$K$4:$AJ$4,0)))+SUMPRODUCT((Inputs!$E$5:$E$230=$B93)*Inputs!$F$5:$F$230*(((Inputs!$G$5:$G$230="moeda")+(Inputs!$G$5:$G$230="acoes"))*Inputs!$B$1+((Inputs!$G$5:$G$230&lt;&gt;"moeda")*(Inputs!$G$5:$G$230&lt;&gt;"acoes")))*INDEX(Inputs!$K$5:$AJ$230,0,MATCH(Z$2,Inputs!$K$4:$AJ$4,0)))))</f>
        <v>19.852</v>
      </c>
      <c r="AA93" s="6">
        <f>IF(ISNA(MATCH(AA$2,Inputs!$K$4:$AJ$4,0)),NA(),IF(SUMPRODUCT((Inputs!$A$5:$A$230=$B93)*ISNUMBER(INDEX(Inputs!$K$5:$AJ$230,0,MATCH(AA$2,Inputs!$K$4:$AJ$4,0))))+SUMPRODUCT((Inputs!$C$5:$C$230=$B93)*ISNUMBER(INDEX(Inputs!$K$5:$AJ$230,0,MATCH(AA$2,Inputs!$K$4:$AJ$4,0))))+SUMPRODUCT((Inputs!$E$5:$E$230=$B93)*ISNUMBER(INDEX(Inputs!$K$5:$AJ$230,0,MATCH(AA$2,Inputs!$K$4:$AJ$4,0))))=0,NA(),SUMPRODUCT((Inputs!$A$5:$A$230=$B93)*Inputs!$B$5:$B$230*(((Inputs!$G$5:$G$230="moeda")+(Inputs!$G$5:$G$230="acoes"))*Inputs!$B$1+((Inputs!$G$5:$G$230&lt;&gt;"moeda")*(Inputs!$G$5:$G$230&lt;&gt;"acoes")))*INDEX(Inputs!$K$5:$AJ$230,0,MATCH(AA$2,Inputs!$K$4:$AJ$4,0)))+SUMPRODUCT((Inputs!$C$5:$C$230=$B93)*Inputs!$D$5:$D$230*(((Inputs!$G$5:$G$230="moeda")+(Inputs!$G$5:$G$230="acoes"))*Inputs!$B$1+((Inputs!$G$5:$G$230&lt;&gt;"moeda")*(Inputs!$G$5:$G$230&lt;&gt;"acoes")))*INDEX(Inputs!$K$5:$AJ$230,0,MATCH(AA$2,Inputs!$K$4:$AJ$4,0)))+SUMPRODUCT((Inputs!$E$5:$E$230=$B93)*Inputs!$F$5:$F$230*(((Inputs!$G$5:$G$230="moeda")+(Inputs!$G$5:$G$230="acoes"))*Inputs!$B$1+((Inputs!$G$5:$G$230&lt;&gt;"moeda")*(Inputs!$G$5:$G$230&lt;&gt;"acoes")))*INDEX(Inputs!$K$5:$AJ$230,0,MATCH(AA$2,Inputs!$K$4:$AJ$4,0)))))</f>
        <v>20.841</v>
      </c>
      <c r="AB93" s="3">
        <f>SUM(X93:AA93)</f>
        <v>80.236</v>
      </c>
      <c r="AC93" s="6">
        <f>IF(ISNA(MATCH(AC$2,Inputs!$K$4:$AJ$4,0)),NA(),IF(SUMPRODUCT((Inputs!$A$5:$A$230=$B93)*ISNUMBER(INDEX(Inputs!$K$5:$AJ$230,0,MATCH(AC$2,Inputs!$K$4:$AJ$4,0))))+SUMPRODUCT((Inputs!$C$5:$C$230=$B93)*ISNUMBER(INDEX(Inputs!$K$5:$AJ$230,0,MATCH(AC$2,Inputs!$K$4:$AJ$4,0))))+SUMPRODUCT((Inputs!$E$5:$E$230=$B93)*ISNUMBER(INDEX(Inputs!$K$5:$AJ$230,0,MATCH(AC$2,Inputs!$K$4:$AJ$4,0))))=0,NA(),SUMPRODUCT((Inputs!$A$5:$A$230=$B93)*Inputs!$B$5:$B$230*(((Inputs!$G$5:$G$230="moeda")+(Inputs!$G$5:$G$230="acoes"))*Inputs!$B$1+((Inputs!$G$5:$G$230&lt;&gt;"moeda")*(Inputs!$G$5:$G$230&lt;&gt;"acoes")))*INDEX(Inputs!$K$5:$AJ$230,0,MATCH(AC$2,Inputs!$K$4:$AJ$4,0)))+SUMPRODUCT((Inputs!$C$5:$C$230=$B93)*Inputs!$D$5:$D$230*(((Inputs!$G$5:$G$230="moeda")+(Inputs!$G$5:$G$230="acoes"))*Inputs!$B$1+((Inputs!$G$5:$G$230&lt;&gt;"moeda")*(Inputs!$G$5:$G$230&lt;&gt;"acoes")))*INDEX(Inputs!$K$5:$AJ$230,0,MATCH(AC$2,Inputs!$K$4:$AJ$4,0)))+SUMPRODUCT((Inputs!$E$5:$E$230=$B93)*Inputs!$F$5:$F$230*(((Inputs!$G$5:$G$230="moeda")+(Inputs!$G$5:$G$230="acoes"))*Inputs!$B$1+((Inputs!$G$5:$G$230&lt;&gt;"moeda")*(Inputs!$G$5:$G$230&lt;&gt;"acoes")))*INDEX(Inputs!$K$5:$AJ$230,0,MATCH(AC$2,Inputs!$K$4:$AJ$4,0)))))</f>
        <v>21.108</v>
      </c>
      <c r="AD93" s="6">
        <f>IF(ISNA(MATCH(AD$2,Inputs!$K$4:$AJ$4,0)),NA(),IF(SUMPRODUCT((Inputs!$A$5:$A$230=$B93)*ISNUMBER(INDEX(Inputs!$K$5:$AJ$230,0,MATCH(AD$2,Inputs!$K$4:$AJ$4,0))))+SUMPRODUCT((Inputs!$C$5:$C$230=$B93)*ISNUMBER(INDEX(Inputs!$K$5:$AJ$230,0,MATCH(AD$2,Inputs!$K$4:$AJ$4,0))))+SUMPRODUCT((Inputs!$E$5:$E$230=$B93)*ISNUMBER(INDEX(Inputs!$K$5:$AJ$230,0,MATCH(AD$2,Inputs!$K$4:$AJ$4,0))))=0,NA(),SUMPRODUCT((Inputs!$A$5:$A$230=$B93)*Inputs!$B$5:$B$230*(((Inputs!$G$5:$G$230="moeda")+(Inputs!$G$5:$G$230="acoes"))*Inputs!$B$1+((Inputs!$G$5:$G$230&lt;&gt;"moeda")*(Inputs!$G$5:$G$230&lt;&gt;"acoes")))*INDEX(Inputs!$K$5:$AJ$230,0,MATCH(AD$2,Inputs!$K$4:$AJ$4,0)))+SUMPRODUCT((Inputs!$C$5:$C$230=$B93)*Inputs!$D$5:$D$230*(((Inputs!$G$5:$G$230="moeda")+(Inputs!$G$5:$G$230="acoes"))*Inputs!$B$1+((Inputs!$G$5:$G$230&lt;&gt;"moeda")*(Inputs!$G$5:$G$230&lt;&gt;"acoes")))*INDEX(Inputs!$K$5:$AJ$230,0,MATCH(AD$2,Inputs!$K$4:$AJ$4,0)))+SUMPRODUCT((Inputs!$E$5:$E$230=$B93)*Inputs!$F$5:$F$230*(((Inputs!$G$5:$G$230="moeda")+(Inputs!$G$5:$G$230="acoes"))*Inputs!$B$1+((Inputs!$G$5:$G$230&lt;&gt;"moeda")*(Inputs!$G$5:$G$230&lt;&gt;"acoes")))*INDEX(Inputs!$K$5:$AJ$230,0,MATCH(AD$2,Inputs!$K$4:$AJ$4,0)))))</f>
        <v>20.774</v>
      </c>
      <c r="AE93" s="6" t="e">
        <f>IF(ISNA(MATCH(AE$2,Inputs!$K$4:$AJ$4,0)),NA(),IF(SUMPRODUCT((Inputs!$A$5:$A$230=$B93)*ISNUMBER(INDEX(Inputs!$K$5:$AJ$230,0,MATCH(AE$2,Inputs!$K$4:$AJ$4,0))))+SUMPRODUCT((Inputs!$C$5:$C$230=$B93)*ISNUMBER(INDEX(Inputs!$K$5:$AJ$230,0,MATCH(AE$2,Inputs!$K$4:$AJ$4,0))))+SUMPRODUCT((Inputs!$E$5:$E$230=$B93)*ISNUMBER(INDEX(Inputs!$K$5:$AJ$230,0,MATCH(AE$2,Inputs!$K$4:$AJ$4,0))))=0,NA(),SUMPRODUCT((Inputs!$A$5:$A$230=$B93)*Inputs!$B$5:$B$230*(((Inputs!$G$5:$G$230="moeda")+(Inputs!$G$5:$G$230="acoes"))*Inputs!$B$1+((Inputs!$G$5:$G$230&lt;&gt;"moeda")*(Inputs!$G$5:$G$230&lt;&gt;"acoes")))*INDEX(Inputs!$K$5:$AJ$230,0,MATCH(AE$2,Inputs!$K$4:$AJ$4,0)))+SUMPRODUCT((Inputs!$C$5:$C$230=$B93)*Inputs!$D$5:$D$230*(((Inputs!$G$5:$G$230="moeda")+(Inputs!$G$5:$G$230="acoes"))*Inputs!$B$1+((Inputs!$G$5:$G$230&lt;&gt;"moeda")*(Inputs!$G$5:$G$230&lt;&gt;"acoes")))*INDEX(Inputs!$K$5:$AJ$230,0,MATCH(AE$2,Inputs!$K$4:$AJ$4,0)))+SUMPRODUCT((Inputs!$E$5:$E$230=$B93)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3" s="6" t="e">
        <f>IF(ISNA(MATCH(AF$2,Inputs!$K$4:$AJ$4,0)),NA(),IF(SUMPRODUCT((Inputs!$A$5:$A$230=$B93)*ISNUMBER(INDEX(Inputs!$K$5:$AJ$230,0,MATCH(AF$2,Inputs!$K$4:$AJ$4,0))))+SUMPRODUCT((Inputs!$C$5:$C$230=$B93)*ISNUMBER(INDEX(Inputs!$K$5:$AJ$230,0,MATCH(AF$2,Inputs!$K$4:$AJ$4,0))))+SUMPRODUCT((Inputs!$E$5:$E$230=$B93)*ISNUMBER(INDEX(Inputs!$K$5:$AJ$230,0,MATCH(AF$2,Inputs!$K$4:$AJ$4,0))))=0,NA(),SUMPRODUCT((Inputs!$A$5:$A$230=$B93)*Inputs!$B$5:$B$230*(((Inputs!$G$5:$G$230="moeda")+(Inputs!$G$5:$G$230="acoes"))*Inputs!$B$1+((Inputs!$G$5:$G$230&lt;&gt;"moeda")*(Inputs!$G$5:$G$230&lt;&gt;"acoes")))*INDEX(Inputs!$K$5:$AJ$230,0,MATCH(AF$2,Inputs!$K$4:$AJ$4,0)))+SUMPRODUCT((Inputs!$C$5:$C$230=$B93)*Inputs!$D$5:$D$230*(((Inputs!$G$5:$G$230="moeda")+(Inputs!$G$5:$G$230="acoes"))*Inputs!$B$1+((Inputs!$G$5:$G$230&lt;&gt;"moeda")*(Inputs!$G$5:$G$230&lt;&gt;"acoes")))*INDEX(Inputs!$K$5:$AJ$230,0,MATCH(AF$2,Inputs!$K$4:$AJ$4,0)))+SUMPRODUCT((Inputs!$E$5:$E$230=$B93)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3" s="3" t="e">
        <f>SUM(AC93:AF93)</f>
        <v>#N/A</v>
      </c>
      <c r="AH93" s="6">
        <f>IF(ISNA(MATCH(AH$2,Inputs!$K$4:$AJ$4,0)),NA(),IF(SUMPRODUCT((Inputs!$A$5:$A$230=$B93)*ISNUMBER(INDEX(Inputs!$K$5:$AJ$230,0,MATCH(AH$2,Inputs!$K$4:$AJ$4,0))))+SUMPRODUCT((Inputs!$C$5:$C$230=$B93)*ISNUMBER(INDEX(Inputs!$K$5:$AJ$230,0,MATCH(AH$2,Inputs!$K$4:$AJ$4,0))))+SUMPRODUCT((Inputs!$E$5:$E$230=$B93)*ISNUMBER(INDEX(Inputs!$K$5:$AJ$230,0,MATCH(AH$2,Inputs!$K$4:$AJ$4,0))))=0,NA(),SUMPRODUCT((Inputs!$A$5:$A$230=$B93)*Inputs!$B$5:$B$230*(((Inputs!$G$5:$G$230="moeda")+(Inputs!$G$5:$G$230="acoes"))*Inputs!$B$1+((Inputs!$G$5:$G$230&lt;&gt;"moeda")*(Inputs!$G$5:$G$230&lt;&gt;"acoes")))*INDEX(Inputs!$K$5:$AJ$230,0,MATCH(AH$2,Inputs!$K$4:$AJ$4,0)))+SUMPRODUCT((Inputs!$C$5:$C$230=$B93)*Inputs!$D$5:$D$230*(((Inputs!$G$5:$G$230="moeda")+(Inputs!$G$5:$G$230="acoes"))*Inputs!$B$1+((Inputs!$G$5:$G$230&lt;&gt;"moeda")*(Inputs!$G$5:$G$230&lt;&gt;"acoes")))*INDEX(Inputs!$K$5:$AJ$230,0,MATCH(AH$2,Inputs!$K$4:$AJ$4,0)))+SUMPRODUCT((Inputs!$E$5:$E$230=$B93)*Inputs!$F$5:$F$230*(((Inputs!$G$5:$G$230="moeda")+(Inputs!$G$5:$G$230="acoes"))*Inputs!$B$1+((Inputs!$G$5:$G$230&lt;&gt;"moeda")*(Inputs!$G$5:$G$230&lt;&gt;"acoes")))*INDEX(Inputs!$K$5:$AJ$230,0,MATCH(AH$2,Inputs!$K$4:$AJ$4,0)))))</f>
        <v>15.334</v>
      </c>
      <c r="AI93" s="6">
        <f>IF(ISNA(MATCH(AI$2,Inputs!$K$4:$AJ$4,0)),NA(),IF(SUMPRODUCT((Inputs!$A$5:$A$230=$B93)*ISNUMBER(INDEX(Inputs!$K$5:$AJ$230,0,MATCH(AI$2,Inputs!$K$4:$AJ$4,0))))+SUMPRODUCT((Inputs!$C$5:$C$230=$B93)*ISNUMBER(INDEX(Inputs!$K$5:$AJ$230,0,MATCH(AI$2,Inputs!$K$4:$AJ$4,0))))+SUMPRODUCT((Inputs!$E$5:$E$230=$B93)*ISNUMBER(INDEX(Inputs!$K$5:$AJ$230,0,MATCH(AI$2,Inputs!$K$4:$AJ$4,0))))=0,NA(),SUMPRODUCT((Inputs!$A$5:$A$230=$B93)*Inputs!$B$5:$B$230*(((Inputs!$G$5:$G$230="moeda")+(Inputs!$G$5:$G$230="acoes"))*Inputs!$B$1+((Inputs!$G$5:$G$230&lt;&gt;"moeda")*(Inputs!$G$5:$G$230&lt;&gt;"acoes")))*INDEX(Inputs!$K$5:$AJ$230,0,MATCH(AI$2,Inputs!$K$4:$AJ$4,0)))+SUMPRODUCT((Inputs!$C$5:$C$230=$B93)*Inputs!$D$5:$D$230*(((Inputs!$G$5:$G$230="moeda")+(Inputs!$G$5:$G$230="acoes"))*Inputs!$B$1+((Inputs!$G$5:$G$230&lt;&gt;"moeda")*(Inputs!$G$5:$G$230&lt;&gt;"acoes")))*INDEX(Inputs!$K$5:$AJ$230,0,MATCH(AI$2,Inputs!$K$4:$AJ$4,0)))+SUMPRODUCT((Inputs!$E$5:$E$230=$B93)*Inputs!$F$5:$F$230*(((Inputs!$G$5:$G$230="moeda")+(Inputs!$G$5:$G$230="acoes"))*Inputs!$B$1+((Inputs!$G$5:$G$230&lt;&gt;"moeda")*(Inputs!$G$5:$G$230&lt;&gt;"acoes")))*INDEX(Inputs!$K$5:$AJ$230,0,MATCH(AI$2,Inputs!$K$4:$AJ$4,0)))))</f>
        <v>13.885</v>
      </c>
      <c r="AJ93" s="6">
        <f>IF(ISNA(MATCH(AJ$2,Inputs!$K$4:$AJ$4,0)),NA(),IF(SUMPRODUCT((Inputs!$A$5:$A$230=$B93)*ISNUMBER(INDEX(Inputs!$K$5:$AJ$230,0,MATCH(AJ$2,Inputs!$K$4:$AJ$4,0))))+SUMPRODUCT((Inputs!$C$5:$C$230=$B93)*ISNUMBER(INDEX(Inputs!$K$5:$AJ$230,0,MATCH(AJ$2,Inputs!$K$4:$AJ$4,0))))+SUMPRODUCT((Inputs!$E$5:$E$230=$B93)*ISNUMBER(INDEX(Inputs!$K$5:$AJ$230,0,MATCH(AJ$2,Inputs!$K$4:$AJ$4,0))))=0,NA(),SUMPRODUCT((Inputs!$A$5:$A$230=$B93)*Inputs!$B$5:$B$230*(((Inputs!$G$5:$G$230="moeda")+(Inputs!$G$5:$G$230="acoes"))*Inputs!$B$1+((Inputs!$G$5:$G$230&lt;&gt;"moeda")*(Inputs!$G$5:$G$230&lt;&gt;"acoes")))*INDEX(Inputs!$K$5:$AJ$230,0,MATCH(AJ$2,Inputs!$K$4:$AJ$4,0)))+SUMPRODUCT((Inputs!$C$5:$C$230=$B93)*Inputs!$D$5:$D$230*(((Inputs!$G$5:$G$230="moeda")+(Inputs!$G$5:$G$230="acoes"))*Inputs!$B$1+((Inputs!$G$5:$G$230&lt;&gt;"moeda")*(Inputs!$G$5:$G$230&lt;&gt;"acoes")))*INDEX(Inputs!$K$5:$AJ$230,0,MATCH(AJ$2,Inputs!$K$4:$AJ$4,0)))+SUMPRODUCT((Inputs!$E$5:$E$230=$B93)*Inputs!$F$5:$F$230*(((Inputs!$G$5:$G$230="moeda")+(Inputs!$G$5:$G$230="acoes"))*Inputs!$B$1+((Inputs!$G$5:$G$230&lt;&gt;"moeda")*(Inputs!$G$5:$G$230&lt;&gt;"acoes")))*INDEX(Inputs!$K$5:$AJ$230,0,MATCH(AJ$2,Inputs!$K$4:$AJ$4,0)))))</f>
        <v>16.367</v>
      </c>
      <c r="AK93" s="6">
        <f>IF(ISNA(MATCH(AK$2,Inputs!$K$4:$AJ$4,0)),NA(),IF(SUMPRODUCT((Inputs!$A$5:$A$230=$B93)*ISNUMBER(INDEX(Inputs!$K$5:$AJ$230,0,MATCH(AK$2,Inputs!$K$4:$AJ$4,0))))+SUMPRODUCT((Inputs!$C$5:$C$230=$B93)*ISNUMBER(INDEX(Inputs!$K$5:$AJ$230,0,MATCH(AK$2,Inputs!$K$4:$AJ$4,0))))+SUMPRODUCT((Inputs!$E$5:$E$230=$B93)*ISNUMBER(INDEX(Inputs!$K$5:$AJ$230,0,MATCH(AK$2,Inputs!$K$4:$AJ$4,0))))=0,NA(),SUMPRODUCT((Inputs!$A$5:$A$230=$B93)*Inputs!$B$5:$B$230*(((Inputs!$G$5:$G$230="moeda")+(Inputs!$G$5:$G$230="acoes"))*Inputs!$B$1+((Inputs!$G$5:$G$230&lt;&gt;"moeda")*(Inputs!$G$5:$G$230&lt;&gt;"acoes")))*INDEX(Inputs!$K$5:$AJ$230,0,MATCH(AK$2,Inputs!$K$4:$AJ$4,0)))+SUMPRODUCT((Inputs!$C$5:$C$230=$B93)*Inputs!$D$5:$D$230*(((Inputs!$G$5:$G$230="moeda")+(Inputs!$G$5:$G$230="acoes"))*Inputs!$B$1+((Inputs!$G$5:$G$230&lt;&gt;"moeda")*(Inputs!$G$5:$G$230&lt;&gt;"acoes")))*INDEX(Inputs!$K$5:$AJ$230,0,MATCH(AK$2,Inputs!$K$4:$AJ$4,0)))+SUMPRODUCT((Inputs!$E$5:$E$230=$B93)*Inputs!$F$5:$F$230*(((Inputs!$G$5:$G$230="moeda")+(Inputs!$G$5:$G$230="acoes"))*Inputs!$B$1+((Inputs!$G$5:$G$230&lt;&gt;"moeda")*(Inputs!$G$5:$G$230&lt;&gt;"acoes")))*INDEX(Inputs!$K$5:$AJ$230,0,MATCH(AK$2,Inputs!$K$4:$AJ$4,0)))))</f>
        <v>15.999</v>
      </c>
      <c r="AL93" s="3">
        <f>SUM(AH93:AK93)</f>
        <v>61.585</v>
      </c>
    </row>
    <row r="94">
      <c r="B94" s="46" t="n">
        <v>86</v>
      </c>
      <c r="C94" s="29" t="inlineStr">
        <is>
          <t>Geracao | Ferreira Gomes</t>
        </is>
      </c>
      <c r="D94" s="6">
        <f>IF(ISNA(MATCH(D$2,Inputs!$K$4:$AJ$4,0)),NA(),IF(SUMPRODUCT((Inputs!$A$5:$A$230=$B94)*ISNUMBER(INDEX(Inputs!$K$5:$AJ$230,0,MATCH(D$2,Inputs!$K$4:$AJ$4,0))))+SUMPRODUCT((Inputs!$C$5:$C$230=$B94)*ISNUMBER(INDEX(Inputs!$K$5:$AJ$230,0,MATCH(D$2,Inputs!$K$4:$AJ$4,0))))+SUMPRODUCT((Inputs!$E$5:$E$230=$B94)*ISNUMBER(INDEX(Inputs!$K$5:$AJ$230,0,MATCH(D$2,Inputs!$K$4:$AJ$4,0))))=0,NA(),SUMPRODUCT((Inputs!$A$5:$A$230=$B94)*Inputs!$B$5:$B$230*(((Inputs!$G$5:$G$230="moeda")+(Inputs!$G$5:$G$230="acoes"))*Inputs!$B$1+((Inputs!$G$5:$G$230&lt;&gt;"moeda")*(Inputs!$G$5:$G$230&lt;&gt;"acoes")))*INDEX(Inputs!$K$5:$AJ$230,0,MATCH(D$2,Inputs!$K$4:$AJ$4,0)))+SUMPRODUCT((Inputs!$C$5:$C$230=$B94)*Inputs!$D$5:$D$230*(((Inputs!$G$5:$G$230="moeda")+(Inputs!$G$5:$G$230="acoes"))*Inputs!$B$1+((Inputs!$G$5:$G$230&lt;&gt;"moeda")*(Inputs!$G$5:$G$230&lt;&gt;"acoes")))*INDEX(Inputs!$K$5:$AJ$230,0,MATCH(D$2,Inputs!$K$4:$AJ$4,0)))+SUMPRODUCT((Inputs!$E$5:$E$230=$B94)*Inputs!$F$5:$F$230*(((Inputs!$G$5:$G$230="moeda")+(Inputs!$G$5:$G$230="acoes"))*Inputs!$B$1+((Inputs!$G$5:$G$230&lt;&gt;"moeda")*(Inputs!$G$5:$G$230&lt;&gt;"acoes")))*INDEX(Inputs!$K$5:$AJ$230,0,MATCH(D$2,Inputs!$K$4:$AJ$4,0)))))</f>
        <v>49.37</v>
      </c>
      <c r="E94" s="6">
        <f>IF(ISNA(MATCH(E$2,Inputs!$K$4:$AJ$4,0)),NA(),IF(SUMPRODUCT((Inputs!$A$5:$A$230=$B94)*ISNUMBER(INDEX(Inputs!$K$5:$AJ$230,0,MATCH(E$2,Inputs!$K$4:$AJ$4,0))))+SUMPRODUCT((Inputs!$C$5:$C$230=$B94)*ISNUMBER(INDEX(Inputs!$K$5:$AJ$230,0,MATCH(E$2,Inputs!$K$4:$AJ$4,0))))+SUMPRODUCT((Inputs!$E$5:$E$230=$B94)*ISNUMBER(INDEX(Inputs!$K$5:$AJ$230,0,MATCH(E$2,Inputs!$K$4:$AJ$4,0))))=0,NA(),SUMPRODUCT((Inputs!$A$5:$A$230=$B94)*Inputs!$B$5:$B$230*(((Inputs!$G$5:$G$230="moeda")+(Inputs!$G$5:$G$230="acoes"))*Inputs!$B$1+((Inputs!$G$5:$G$230&lt;&gt;"moeda")*(Inputs!$G$5:$G$230&lt;&gt;"acoes")))*INDEX(Inputs!$K$5:$AJ$230,0,MATCH(E$2,Inputs!$K$4:$AJ$4,0)))+SUMPRODUCT((Inputs!$C$5:$C$230=$B94)*Inputs!$D$5:$D$230*(((Inputs!$G$5:$G$230="moeda")+(Inputs!$G$5:$G$230="acoes"))*Inputs!$B$1+((Inputs!$G$5:$G$230&lt;&gt;"moeda")*(Inputs!$G$5:$G$230&lt;&gt;"acoes")))*INDEX(Inputs!$K$5:$AJ$230,0,MATCH(E$2,Inputs!$K$4:$AJ$4,0)))+SUMPRODUCT((Inputs!$E$5:$E$230=$B94)*Inputs!$F$5:$F$230*(((Inputs!$G$5:$G$230="moeda")+(Inputs!$G$5:$G$230="acoes"))*Inputs!$B$1+((Inputs!$G$5:$G$230&lt;&gt;"moeda")*(Inputs!$G$5:$G$230&lt;&gt;"acoes")))*INDEX(Inputs!$K$5:$AJ$230,0,MATCH(E$2,Inputs!$K$4:$AJ$4,0)))))</f>
        <v>47.813</v>
      </c>
      <c r="F94" s="6">
        <f>IF(ISNA(MATCH(F$2,Inputs!$K$4:$AJ$4,0)),NA(),IF(SUMPRODUCT((Inputs!$A$5:$A$230=$B94)*ISNUMBER(INDEX(Inputs!$K$5:$AJ$230,0,MATCH(F$2,Inputs!$K$4:$AJ$4,0))))+SUMPRODUCT((Inputs!$C$5:$C$230=$B94)*ISNUMBER(INDEX(Inputs!$K$5:$AJ$230,0,MATCH(F$2,Inputs!$K$4:$AJ$4,0))))+SUMPRODUCT((Inputs!$E$5:$E$230=$B94)*ISNUMBER(INDEX(Inputs!$K$5:$AJ$230,0,MATCH(F$2,Inputs!$K$4:$AJ$4,0))))=0,NA(),SUMPRODUCT((Inputs!$A$5:$A$230=$B94)*Inputs!$B$5:$B$230*(((Inputs!$G$5:$G$230="moeda")+(Inputs!$G$5:$G$230="acoes"))*Inputs!$B$1+((Inputs!$G$5:$G$230&lt;&gt;"moeda")*(Inputs!$G$5:$G$230&lt;&gt;"acoes")))*INDEX(Inputs!$K$5:$AJ$230,0,MATCH(F$2,Inputs!$K$4:$AJ$4,0)))+SUMPRODUCT((Inputs!$C$5:$C$230=$B94)*Inputs!$D$5:$D$230*(((Inputs!$G$5:$G$230="moeda")+(Inputs!$G$5:$G$230="acoes"))*Inputs!$B$1+((Inputs!$G$5:$G$230&lt;&gt;"moeda")*(Inputs!$G$5:$G$230&lt;&gt;"acoes")))*INDEX(Inputs!$K$5:$AJ$230,0,MATCH(F$2,Inputs!$K$4:$AJ$4,0)))+SUMPRODUCT((Inputs!$E$5:$E$230=$B94)*Inputs!$F$5:$F$230*(((Inputs!$G$5:$G$230="moeda")+(Inputs!$G$5:$G$230="acoes"))*Inputs!$B$1+((Inputs!$G$5:$G$230&lt;&gt;"moeda")*(Inputs!$G$5:$G$230&lt;&gt;"acoes")))*INDEX(Inputs!$K$5:$AJ$230,0,MATCH(F$2,Inputs!$K$4:$AJ$4,0)))))</f>
        <v>66.452</v>
      </c>
      <c r="G94" s="6">
        <f>IF(ISNA(MATCH(G$2,Inputs!$K$4:$AJ$4,0)),NA(),IF(SUMPRODUCT((Inputs!$A$5:$A$230=$B94)*ISNUMBER(INDEX(Inputs!$K$5:$AJ$230,0,MATCH(G$2,Inputs!$K$4:$AJ$4,0))))+SUMPRODUCT((Inputs!$C$5:$C$230=$B94)*ISNUMBER(INDEX(Inputs!$K$5:$AJ$230,0,MATCH(G$2,Inputs!$K$4:$AJ$4,0))))+SUMPRODUCT((Inputs!$E$5:$E$230=$B94)*ISNUMBER(INDEX(Inputs!$K$5:$AJ$230,0,MATCH(G$2,Inputs!$K$4:$AJ$4,0))))=0,NA(),SUMPRODUCT((Inputs!$A$5:$A$230=$B94)*Inputs!$B$5:$B$230*(((Inputs!$G$5:$G$230="moeda")+(Inputs!$G$5:$G$230="acoes"))*Inputs!$B$1+((Inputs!$G$5:$G$230&lt;&gt;"moeda")*(Inputs!$G$5:$G$230&lt;&gt;"acoes")))*INDEX(Inputs!$K$5:$AJ$230,0,MATCH(G$2,Inputs!$K$4:$AJ$4,0)))+SUMPRODUCT((Inputs!$C$5:$C$230=$B94)*Inputs!$D$5:$D$230*(((Inputs!$G$5:$G$230="moeda")+(Inputs!$G$5:$G$230="acoes"))*Inputs!$B$1+((Inputs!$G$5:$G$230&lt;&gt;"moeda")*(Inputs!$G$5:$G$230&lt;&gt;"acoes")))*INDEX(Inputs!$K$5:$AJ$230,0,MATCH(G$2,Inputs!$K$4:$AJ$4,0)))+SUMPRODUCT((Inputs!$E$5:$E$230=$B94)*Inputs!$F$5:$F$230*(((Inputs!$G$5:$G$230="moeda")+(Inputs!$G$5:$G$230="acoes"))*Inputs!$B$1+((Inputs!$G$5:$G$230&lt;&gt;"moeda")*(Inputs!$G$5:$G$230&lt;&gt;"acoes")))*INDEX(Inputs!$K$5:$AJ$230,0,MATCH(G$2,Inputs!$K$4:$AJ$4,0)))))</f>
        <v>78.369</v>
      </c>
      <c r="H94" s="3">
        <f>SUM(D94:G94)</f>
        <v>242.004</v>
      </c>
      <c r="I94" s="6">
        <f>IF(ISNA(MATCH(I$2,Inputs!$K$4:$AJ$4,0)),NA(),IF(SUMPRODUCT((Inputs!$A$5:$A$230=$B94)*ISNUMBER(INDEX(Inputs!$K$5:$AJ$230,0,MATCH(I$2,Inputs!$K$4:$AJ$4,0))))+SUMPRODUCT((Inputs!$C$5:$C$230=$B94)*ISNUMBER(INDEX(Inputs!$K$5:$AJ$230,0,MATCH(I$2,Inputs!$K$4:$AJ$4,0))))+SUMPRODUCT((Inputs!$E$5:$E$230=$B94)*ISNUMBER(INDEX(Inputs!$K$5:$AJ$230,0,MATCH(I$2,Inputs!$K$4:$AJ$4,0))))=0,NA(),SUMPRODUCT((Inputs!$A$5:$A$230=$B94)*Inputs!$B$5:$B$230*(((Inputs!$G$5:$G$230="moeda")+(Inputs!$G$5:$G$230="acoes"))*Inputs!$B$1+((Inputs!$G$5:$G$230&lt;&gt;"moeda")*(Inputs!$G$5:$G$230&lt;&gt;"acoes")))*INDEX(Inputs!$K$5:$AJ$230,0,MATCH(I$2,Inputs!$K$4:$AJ$4,0)))+SUMPRODUCT((Inputs!$C$5:$C$230=$B94)*Inputs!$D$5:$D$230*(((Inputs!$G$5:$G$230="moeda")+(Inputs!$G$5:$G$230="acoes"))*Inputs!$B$1+((Inputs!$G$5:$G$230&lt;&gt;"moeda")*(Inputs!$G$5:$G$230&lt;&gt;"acoes")))*INDEX(Inputs!$K$5:$AJ$230,0,MATCH(I$2,Inputs!$K$4:$AJ$4,0)))+SUMPRODUCT((Inputs!$E$5:$E$230=$B94)*Inputs!$F$5:$F$230*(((Inputs!$G$5:$G$230="moeda")+(Inputs!$G$5:$G$230="acoes"))*Inputs!$B$1+((Inputs!$G$5:$G$230&lt;&gt;"moeda")*(Inputs!$G$5:$G$230&lt;&gt;"acoes")))*INDEX(Inputs!$K$5:$AJ$230,0,MATCH(I$2,Inputs!$K$4:$AJ$4,0)))))</f>
        <v>44.559</v>
      </c>
      <c r="J94" s="6">
        <f>IF(ISNA(MATCH(J$2,Inputs!$K$4:$AJ$4,0)),NA(),IF(SUMPRODUCT((Inputs!$A$5:$A$230=$B94)*ISNUMBER(INDEX(Inputs!$K$5:$AJ$230,0,MATCH(J$2,Inputs!$K$4:$AJ$4,0))))+SUMPRODUCT((Inputs!$C$5:$C$230=$B94)*ISNUMBER(INDEX(Inputs!$K$5:$AJ$230,0,MATCH(J$2,Inputs!$K$4:$AJ$4,0))))+SUMPRODUCT((Inputs!$E$5:$E$230=$B94)*ISNUMBER(INDEX(Inputs!$K$5:$AJ$230,0,MATCH(J$2,Inputs!$K$4:$AJ$4,0))))=0,NA(),SUMPRODUCT((Inputs!$A$5:$A$230=$B94)*Inputs!$B$5:$B$230*(((Inputs!$G$5:$G$230="moeda")+(Inputs!$G$5:$G$230="acoes"))*Inputs!$B$1+((Inputs!$G$5:$G$230&lt;&gt;"moeda")*(Inputs!$G$5:$G$230&lt;&gt;"acoes")))*INDEX(Inputs!$K$5:$AJ$230,0,MATCH(J$2,Inputs!$K$4:$AJ$4,0)))+SUMPRODUCT((Inputs!$C$5:$C$230=$B94)*Inputs!$D$5:$D$230*(((Inputs!$G$5:$G$230="moeda")+(Inputs!$G$5:$G$230="acoes"))*Inputs!$B$1+((Inputs!$G$5:$G$230&lt;&gt;"moeda")*(Inputs!$G$5:$G$230&lt;&gt;"acoes")))*INDEX(Inputs!$K$5:$AJ$230,0,MATCH(J$2,Inputs!$K$4:$AJ$4,0)))+SUMPRODUCT((Inputs!$E$5:$E$230=$B94)*Inputs!$F$5:$F$230*(((Inputs!$G$5:$G$230="moeda")+(Inputs!$G$5:$G$230="acoes"))*Inputs!$B$1+((Inputs!$G$5:$G$230&lt;&gt;"moeda")*(Inputs!$G$5:$G$230&lt;&gt;"acoes")))*INDEX(Inputs!$K$5:$AJ$230,0,MATCH(J$2,Inputs!$K$4:$AJ$4,0)))))</f>
        <v>46.677</v>
      </c>
      <c r="K94" s="6">
        <f>IF(ISNA(MATCH(K$2,Inputs!$K$4:$AJ$4,0)),NA(),IF(SUMPRODUCT((Inputs!$A$5:$A$230=$B94)*ISNUMBER(INDEX(Inputs!$K$5:$AJ$230,0,MATCH(K$2,Inputs!$K$4:$AJ$4,0))))+SUMPRODUCT((Inputs!$C$5:$C$230=$B94)*ISNUMBER(INDEX(Inputs!$K$5:$AJ$230,0,MATCH(K$2,Inputs!$K$4:$AJ$4,0))))+SUMPRODUCT((Inputs!$E$5:$E$230=$B94)*ISNUMBER(INDEX(Inputs!$K$5:$AJ$230,0,MATCH(K$2,Inputs!$K$4:$AJ$4,0))))=0,NA(),SUMPRODUCT((Inputs!$A$5:$A$230=$B94)*Inputs!$B$5:$B$230*(((Inputs!$G$5:$G$230="moeda")+(Inputs!$G$5:$G$230="acoes"))*Inputs!$B$1+((Inputs!$G$5:$G$230&lt;&gt;"moeda")*(Inputs!$G$5:$G$230&lt;&gt;"acoes")))*INDEX(Inputs!$K$5:$AJ$230,0,MATCH(K$2,Inputs!$K$4:$AJ$4,0)))+SUMPRODUCT((Inputs!$C$5:$C$230=$B94)*Inputs!$D$5:$D$230*(((Inputs!$G$5:$G$230="moeda")+(Inputs!$G$5:$G$230="acoes"))*Inputs!$B$1+((Inputs!$G$5:$G$230&lt;&gt;"moeda")*(Inputs!$G$5:$G$230&lt;&gt;"acoes")))*INDEX(Inputs!$K$5:$AJ$230,0,MATCH(K$2,Inputs!$K$4:$AJ$4,0)))+SUMPRODUCT((Inputs!$E$5:$E$230=$B94)*Inputs!$F$5:$F$230*(((Inputs!$G$5:$G$230="moeda")+(Inputs!$G$5:$G$230="acoes"))*Inputs!$B$1+((Inputs!$G$5:$G$230&lt;&gt;"moeda")*(Inputs!$G$5:$G$230&lt;&gt;"acoes")))*INDEX(Inputs!$K$5:$AJ$230,0,MATCH(K$2,Inputs!$K$4:$AJ$4,0)))))</f>
        <v>47.879</v>
      </c>
      <c r="L94" s="6">
        <f>IF(ISNA(MATCH(L$2,Inputs!$K$4:$AJ$4,0)),NA(),IF(SUMPRODUCT((Inputs!$A$5:$A$230=$B94)*ISNUMBER(INDEX(Inputs!$K$5:$AJ$230,0,MATCH(L$2,Inputs!$K$4:$AJ$4,0))))+SUMPRODUCT((Inputs!$C$5:$C$230=$B94)*ISNUMBER(INDEX(Inputs!$K$5:$AJ$230,0,MATCH(L$2,Inputs!$K$4:$AJ$4,0))))+SUMPRODUCT((Inputs!$E$5:$E$230=$B94)*ISNUMBER(INDEX(Inputs!$K$5:$AJ$230,0,MATCH(L$2,Inputs!$K$4:$AJ$4,0))))=0,NA(),SUMPRODUCT((Inputs!$A$5:$A$230=$B94)*Inputs!$B$5:$B$230*(((Inputs!$G$5:$G$230="moeda")+(Inputs!$G$5:$G$230="acoes"))*Inputs!$B$1+((Inputs!$G$5:$G$230&lt;&gt;"moeda")*(Inputs!$G$5:$G$230&lt;&gt;"acoes")))*INDEX(Inputs!$K$5:$AJ$230,0,MATCH(L$2,Inputs!$K$4:$AJ$4,0)))+SUMPRODUCT((Inputs!$C$5:$C$230=$B94)*Inputs!$D$5:$D$230*(((Inputs!$G$5:$G$230="moeda")+(Inputs!$G$5:$G$230="acoes"))*Inputs!$B$1+((Inputs!$G$5:$G$230&lt;&gt;"moeda")*(Inputs!$G$5:$G$230&lt;&gt;"acoes")))*INDEX(Inputs!$K$5:$AJ$230,0,MATCH(L$2,Inputs!$K$4:$AJ$4,0)))+SUMPRODUCT((Inputs!$E$5:$E$230=$B94)*Inputs!$F$5:$F$230*(((Inputs!$G$5:$G$230="moeda")+(Inputs!$G$5:$G$230="acoes"))*Inputs!$B$1+((Inputs!$G$5:$G$230&lt;&gt;"moeda")*(Inputs!$G$5:$G$230&lt;&gt;"acoes")))*INDEX(Inputs!$K$5:$AJ$230,0,MATCH(L$2,Inputs!$K$4:$AJ$4,0)))))</f>
        <v>49.725</v>
      </c>
      <c r="M94" s="3">
        <f>SUM(I94:L94)</f>
        <v>188.84</v>
      </c>
      <c r="N94" s="6">
        <f>IF(ISNA(MATCH(N$2,Inputs!$K$4:$AJ$4,0)),NA(),IF(SUMPRODUCT((Inputs!$A$5:$A$230=$B94)*ISNUMBER(INDEX(Inputs!$K$5:$AJ$230,0,MATCH(N$2,Inputs!$K$4:$AJ$4,0))))+SUMPRODUCT((Inputs!$C$5:$C$230=$B94)*ISNUMBER(INDEX(Inputs!$K$5:$AJ$230,0,MATCH(N$2,Inputs!$K$4:$AJ$4,0))))+SUMPRODUCT((Inputs!$E$5:$E$230=$B94)*ISNUMBER(INDEX(Inputs!$K$5:$AJ$230,0,MATCH(N$2,Inputs!$K$4:$AJ$4,0))))=0,NA(),SUMPRODUCT((Inputs!$A$5:$A$230=$B94)*Inputs!$B$5:$B$230*(((Inputs!$G$5:$G$230="moeda")+(Inputs!$G$5:$G$230="acoes"))*Inputs!$B$1+((Inputs!$G$5:$G$230&lt;&gt;"moeda")*(Inputs!$G$5:$G$230&lt;&gt;"acoes")))*INDEX(Inputs!$K$5:$AJ$230,0,MATCH(N$2,Inputs!$K$4:$AJ$4,0)))+SUMPRODUCT((Inputs!$C$5:$C$230=$B94)*Inputs!$D$5:$D$230*(((Inputs!$G$5:$G$230="moeda")+(Inputs!$G$5:$G$230="acoes"))*Inputs!$B$1+((Inputs!$G$5:$G$230&lt;&gt;"moeda")*(Inputs!$G$5:$G$230&lt;&gt;"acoes")))*INDEX(Inputs!$K$5:$AJ$230,0,MATCH(N$2,Inputs!$K$4:$AJ$4,0)))+SUMPRODUCT((Inputs!$E$5:$E$230=$B94)*Inputs!$F$5:$F$230*(((Inputs!$G$5:$G$230="moeda")+(Inputs!$G$5:$G$230="acoes"))*Inputs!$B$1+((Inputs!$G$5:$G$230&lt;&gt;"moeda")*(Inputs!$G$5:$G$230&lt;&gt;"acoes")))*INDEX(Inputs!$K$5:$AJ$230,0,MATCH(N$2,Inputs!$K$4:$AJ$4,0)))))</f>
        <v>54.377</v>
      </c>
      <c r="O94" s="6">
        <f>IF(ISNA(MATCH(O$2,Inputs!$K$4:$AJ$4,0)),NA(),IF(SUMPRODUCT((Inputs!$A$5:$A$230=$B94)*ISNUMBER(INDEX(Inputs!$K$5:$AJ$230,0,MATCH(O$2,Inputs!$K$4:$AJ$4,0))))+SUMPRODUCT((Inputs!$C$5:$C$230=$B94)*ISNUMBER(INDEX(Inputs!$K$5:$AJ$230,0,MATCH(O$2,Inputs!$K$4:$AJ$4,0))))+SUMPRODUCT((Inputs!$E$5:$E$230=$B94)*ISNUMBER(INDEX(Inputs!$K$5:$AJ$230,0,MATCH(O$2,Inputs!$K$4:$AJ$4,0))))=0,NA(),SUMPRODUCT((Inputs!$A$5:$A$230=$B94)*Inputs!$B$5:$B$230*(((Inputs!$G$5:$G$230="moeda")+(Inputs!$G$5:$G$230="acoes"))*Inputs!$B$1+((Inputs!$G$5:$G$230&lt;&gt;"moeda")*(Inputs!$G$5:$G$230&lt;&gt;"acoes")))*INDEX(Inputs!$K$5:$AJ$230,0,MATCH(O$2,Inputs!$K$4:$AJ$4,0)))+SUMPRODUCT((Inputs!$C$5:$C$230=$B94)*Inputs!$D$5:$D$230*(((Inputs!$G$5:$G$230="moeda")+(Inputs!$G$5:$G$230="acoes"))*Inputs!$B$1+((Inputs!$G$5:$G$230&lt;&gt;"moeda")*(Inputs!$G$5:$G$230&lt;&gt;"acoes")))*INDEX(Inputs!$K$5:$AJ$230,0,MATCH(O$2,Inputs!$K$4:$AJ$4,0)))+SUMPRODUCT((Inputs!$E$5:$E$230=$B94)*Inputs!$F$5:$F$230*(((Inputs!$G$5:$G$230="moeda")+(Inputs!$G$5:$G$230="acoes"))*Inputs!$B$1+((Inputs!$G$5:$G$230&lt;&gt;"moeda")*(Inputs!$G$5:$G$230&lt;&gt;"acoes")))*INDEX(Inputs!$K$5:$AJ$230,0,MATCH(O$2,Inputs!$K$4:$AJ$4,0)))))</f>
        <v>55.041</v>
      </c>
      <c r="P94" s="6">
        <f>IF(ISNA(MATCH(P$2,Inputs!$K$4:$AJ$4,0)),NA(),IF(SUMPRODUCT((Inputs!$A$5:$A$230=$B94)*ISNUMBER(INDEX(Inputs!$K$5:$AJ$230,0,MATCH(P$2,Inputs!$K$4:$AJ$4,0))))+SUMPRODUCT((Inputs!$C$5:$C$230=$B94)*ISNUMBER(INDEX(Inputs!$K$5:$AJ$230,0,MATCH(P$2,Inputs!$K$4:$AJ$4,0))))+SUMPRODUCT((Inputs!$E$5:$E$230=$B94)*ISNUMBER(INDEX(Inputs!$K$5:$AJ$230,0,MATCH(P$2,Inputs!$K$4:$AJ$4,0))))=0,NA(),SUMPRODUCT((Inputs!$A$5:$A$230=$B94)*Inputs!$B$5:$B$230*(((Inputs!$G$5:$G$230="moeda")+(Inputs!$G$5:$G$230="acoes"))*Inputs!$B$1+((Inputs!$G$5:$G$230&lt;&gt;"moeda")*(Inputs!$G$5:$G$230&lt;&gt;"acoes")))*INDEX(Inputs!$K$5:$AJ$230,0,MATCH(P$2,Inputs!$K$4:$AJ$4,0)))+SUMPRODUCT((Inputs!$C$5:$C$230=$B94)*Inputs!$D$5:$D$230*(((Inputs!$G$5:$G$230="moeda")+(Inputs!$G$5:$G$230="acoes"))*Inputs!$B$1+((Inputs!$G$5:$G$230&lt;&gt;"moeda")*(Inputs!$G$5:$G$230&lt;&gt;"acoes")))*INDEX(Inputs!$K$5:$AJ$230,0,MATCH(P$2,Inputs!$K$4:$AJ$4,0)))+SUMPRODUCT((Inputs!$E$5:$E$230=$B94)*Inputs!$F$5:$F$230*(((Inputs!$G$5:$G$230="moeda")+(Inputs!$G$5:$G$230="acoes"))*Inputs!$B$1+((Inputs!$G$5:$G$230&lt;&gt;"moeda")*(Inputs!$G$5:$G$230&lt;&gt;"acoes")))*INDEX(Inputs!$K$5:$AJ$230,0,MATCH(P$2,Inputs!$K$4:$AJ$4,0)))))</f>
        <v>54.993</v>
      </c>
      <c r="Q94" s="6">
        <f>IF(ISNA(MATCH(Q$2,Inputs!$K$4:$AJ$4,0)),NA(),IF(SUMPRODUCT((Inputs!$A$5:$A$230=$B94)*ISNUMBER(INDEX(Inputs!$K$5:$AJ$230,0,MATCH(Q$2,Inputs!$K$4:$AJ$4,0))))+SUMPRODUCT((Inputs!$C$5:$C$230=$B94)*ISNUMBER(INDEX(Inputs!$K$5:$AJ$230,0,MATCH(Q$2,Inputs!$K$4:$AJ$4,0))))+SUMPRODUCT((Inputs!$E$5:$E$230=$B94)*ISNUMBER(INDEX(Inputs!$K$5:$AJ$230,0,MATCH(Q$2,Inputs!$K$4:$AJ$4,0))))=0,NA(),SUMPRODUCT((Inputs!$A$5:$A$230=$B94)*Inputs!$B$5:$B$230*(((Inputs!$G$5:$G$230="moeda")+(Inputs!$G$5:$G$230="acoes"))*Inputs!$B$1+((Inputs!$G$5:$G$230&lt;&gt;"moeda")*(Inputs!$G$5:$G$230&lt;&gt;"acoes")))*INDEX(Inputs!$K$5:$AJ$230,0,MATCH(Q$2,Inputs!$K$4:$AJ$4,0)))+SUMPRODUCT((Inputs!$C$5:$C$230=$B94)*Inputs!$D$5:$D$230*(((Inputs!$G$5:$G$230="moeda")+(Inputs!$G$5:$G$230="acoes"))*Inputs!$B$1+((Inputs!$G$5:$G$230&lt;&gt;"moeda")*(Inputs!$G$5:$G$230&lt;&gt;"acoes")))*INDEX(Inputs!$K$5:$AJ$230,0,MATCH(Q$2,Inputs!$K$4:$AJ$4,0)))+SUMPRODUCT((Inputs!$E$5:$E$230=$B94)*Inputs!$F$5:$F$230*(((Inputs!$G$5:$G$230="moeda")+(Inputs!$G$5:$G$230="acoes"))*Inputs!$B$1+((Inputs!$G$5:$G$230&lt;&gt;"moeda")*(Inputs!$G$5:$G$230&lt;&gt;"acoes")))*INDEX(Inputs!$K$5:$AJ$230,0,MATCH(Q$2,Inputs!$K$4:$AJ$4,0)))))</f>
        <v>54.948</v>
      </c>
      <c r="R94" s="3">
        <f>SUM(N94:Q94)</f>
        <v>219.359</v>
      </c>
      <c r="S94" s="6">
        <f>IF(ISNA(MATCH(S$2,Inputs!$K$4:$AJ$4,0)),NA(),IF(SUMPRODUCT((Inputs!$A$5:$A$230=$B94)*ISNUMBER(INDEX(Inputs!$K$5:$AJ$230,0,MATCH(S$2,Inputs!$K$4:$AJ$4,0))))+SUMPRODUCT((Inputs!$C$5:$C$230=$B94)*ISNUMBER(INDEX(Inputs!$K$5:$AJ$230,0,MATCH(S$2,Inputs!$K$4:$AJ$4,0))))+SUMPRODUCT((Inputs!$E$5:$E$230=$B94)*ISNUMBER(INDEX(Inputs!$K$5:$AJ$230,0,MATCH(S$2,Inputs!$K$4:$AJ$4,0))))=0,NA(),SUMPRODUCT((Inputs!$A$5:$A$230=$B94)*Inputs!$B$5:$B$230*(((Inputs!$G$5:$G$230="moeda")+(Inputs!$G$5:$G$230="acoes"))*Inputs!$B$1+((Inputs!$G$5:$G$230&lt;&gt;"moeda")*(Inputs!$G$5:$G$230&lt;&gt;"acoes")))*INDEX(Inputs!$K$5:$AJ$230,0,MATCH(S$2,Inputs!$K$4:$AJ$4,0)))+SUMPRODUCT((Inputs!$C$5:$C$230=$B94)*Inputs!$D$5:$D$230*(((Inputs!$G$5:$G$230="moeda")+(Inputs!$G$5:$G$230="acoes"))*Inputs!$B$1+((Inputs!$G$5:$G$230&lt;&gt;"moeda")*(Inputs!$G$5:$G$230&lt;&gt;"acoes")))*INDEX(Inputs!$K$5:$AJ$230,0,MATCH(S$2,Inputs!$K$4:$AJ$4,0)))+SUMPRODUCT((Inputs!$E$5:$E$230=$B94)*Inputs!$F$5:$F$230*(((Inputs!$G$5:$G$230="moeda")+(Inputs!$G$5:$G$230="acoes"))*Inputs!$B$1+((Inputs!$G$5:$G$230&lt;&gt;"moeda")*(Inputs!$G$5:$G$230&lt;&gt;"acoes")))*INDEX(Inputs!$K$5:$AJ$230,0,MATCH(S$2,Inputs!$K$4:$AJ$4,0)))))</f>
        <v>55.747</v>
      </c>
      <c r="T94" s="6">
        <f>IF(ISNA(MATCH(T$2,Inputs!$K$4:$AJ$4,0)),NA(),IF(SUMPRODUCT((Inputs!$A$5:$A$230=$B94)*ISNUMBER(INDEX(Inputs!$K$5:$AJ$230,0,MATCH(T$2,Inputs!$K$4:$AJ$4,0))))+SUMPRODUCT((Inputs!$C$5:$C$230=$B94)*ISNUMBER(INDEX(Inputs!$K$5:$AJ$230,0,MATCH(T$2,Inputs!$K$4:$AJ$4,0))))+SUMPRODUCT((Inputs!$E$5:$E$230=$B94)*ISNUMBER(INDEX(Inputs!$K$5:$AJ$230,0,MATCH(T$2,Inputs!$K$4:$AJ$4,0))))=0,NA(),SUMPRODUCT((Inputs!$A$5:$A$230=$B94)*Inputs!$B$5:$B$230*(((Inputs!$G$5:$G$230="moeda")+(Inputs!$G$5:$G$230="acoes"))*Inputs!$B$1+((Inputs!$G$5:$G$230&lt;&gt;"moeda")*(Inputs!$G$5:$G$230&lt;&gt;"acoes")))*INDEX(Inputs!$K$5:$AJ$230,0,MATCH(T$2,Inputs!$K$4:$AJ$4,0)))+SUMPRODUCT((Inputs!$C$5:$C$230=$B94)*Inputs!$D$5:$D$230*(((Inputs!$G$5:$G$230="moeda")+(Inputs!$G$5:$G$230="acoes"))*Inputs!$B$1+((Inputs!$G$5:$G$230&lt;&gt;"moeda")*(Inputs!$G$5:$G$230&lt;&gt;"acoes")))*INDEX(Inputs!$K$5:$AJ$230,0,MATCH(T$2,Inputs!$K$4:$AJ$4,0)))+SUMPRODUCT((Inputs!$E$5:$E$230=$B94)*Inputs!$F$5:$F$230*(((Inputs!$G$5:$G$230="moeda")+(Inputs!$G$5:$G$230="acoes"))*Inputs!$B$1+((Inputs!$G$5:$G$230&lt;&gt;"moeda")*(Inputs!$G$5:$G$230&lt;&gt;"acoes")))*INDEX(Inputs!$K$5:$AJ$230,0,MATCH(T$2,Inputs!$K$4:$AJ$4,0)))))</f>
        <v>57.104</v>
      </c>
      <c r="U94" s="6">
        <f>IF(ISNA(MATCH(U$2,Inputs!$K$4:$AJ$4,0)),NA(),IF(SUMPRODUCT((Inputs!$A$5:$A$230=$B94)*ISNUMBER(INDEX(Inputs!$K$5:$AJ$230,0,MATCH(U$2,Inputs!$K$4:$AJ$4,0))))+SUMPRODUCT((Inputs!$C$5:$C$230=$B94)*ISNUMBER(INDEX(Inputs!$K$5:$AJ$230,0,MATCH(U$2,Inputs!$K$4:$AJ$4,0))))+SUMPRODUCT((Inputs!$E$5:$E$230=$B94)*ISNUMBER(INDEX(Inputs!$K$5:$AJ$230,0,MATCH(U$2,Inputs!$K$4:$AJ$4,0))))=0,NA(),SUMPRODUCT((Inputs!$A$5:$A$230=$B94)*Inputs!$B$5:$B$230*(((Inputs!$G$5:$G$230="moeda")+(Inputs!$G$5:$G$230="acoes"))*Inputs!$B$1+((Inputs!$G$5:$G$230&lt;&gt;"moeda")*(Inputs!$G$5:$G$230&lt;&gt;"acoes")))*INDEX(Inputs!$K$5:$AJ$230,0,MATCH(U$2,Inputs!$K$4:$AJ$4,0)))+SUMPRODUCT((Inputs!$C$5:$C$230=$B94)*Inputs!$D$5:$D$230*(((Inputs!$G$5:$G$230="moeda")+(Inputs!$G$5:$G$230="acoes"))*Inputs!$B$1+((Inputs!$G$5:$G$230&lt;&gt;"moeda")*(Inputs!$G$5:$G$230&lt;&gt;"acoes")))*INDEX(Inputs!$K$5:$AJ$230,0,MATCH(U$2,Inputs!$K$4:$AJ$4,0)))+SUMPRODUCT((Inputs!$E$5:$E$230=$B94)*Inputs!$F$5:$F$230*(((Inputs!$G$5:$G$230="moeda")+(Inputs!$G$5:$G$230="acoes"))*Inputs!$B$1+((Inputs!$G$5:$G$230&lt;&gt;"moeda")*(Inputs!$G$5:$G$230&lt;&gt;"acoes")))*INDEX(Inputs!$K$5:$AJ$230,0,MATCH(U$2,Inputs!$K$4:$AJ$4,0)))))</f>
        <v>58.381</v>
      </c>
      <c r="V94" s="6">
        <f>IF(ISNA(MATCH(V$2,Inputs!$K$4:$AJ$4,0)),NA(),IF(SUMPRODUCT((Inputs!$A$5:$A$230=$B94)*ISNUMBER(INDEX(Inputs!$K$5:$AJ$230,0,MATCH(V$2,Inputs!$K$4:$AJ$4,0))))+SUMPRODUCT((Inputs!$C$5:$C$230=$B94)*ISNUMBER(INDEX(Inputs!$K$5:$AJ$230,0,MATCH(V$2,Inputs!$K$4:$AJ$4,0))))+SUMPRODUCT((Inputs!$E$5:$E$230=$B94)*ISNUMBER(INDEX(Inputs!$K$5:$AJ$230,0,MATCH(V$2,Inputs!$K$4:$AJ$4,0))))=0,NA(),SUMPRODUCT((Inputs!$A$5:$A$230=$B94)*Inputs!$B$5:$B$230*(((Inputs!$G$5:$G$230="moeda")+(Inputs!$G$5:$G$230="acoes"))*Inputs!$B$1+((Inputs!$G$5:$G$230&lt;&gt;"moeda")*(Inputs!$G$5:$G$230&lt;&gt;"acoes")))*INDEX(Inputs!$K$5:$AJ$230,0,MATCH(V$2,Inputs!$K$4:$AJ$4,0)))+SUMPRODUCT((Inputs!$C$5:$C$230=$B94)*Inputs!$D$5:$D$230*(((Inputs!$G$5:$G$230="moeda")+(Inputs!$G$5:$G$230="acoes"))*Inputs!$B$1+((Inputs!$G$5:$G$230&lt;&gt;"moeda")*(Inputs!$G$5:$G$230&lt;&gt;"acoes")))*INDEX(Inputs!$K$5:$AJ$230,0,MATCH(V$2,Inputs!$K$4:$AJ$4,0)))+SUMPRODUCT((Inputs!$E$5:$E$230=$B94)*Inputs!$F$5:$F$230*(((Inputs!$G$5:$G$230="moeda")+(Inputs!$G$5:$G$230="acoes"))*Inputs!$B$1+((Inputs!$G$5:$G$230&lt;&gt;"moeda")*(Inputs!$G$5:$G$230&lt;&gt;"acoes")))*INDEX(Inputs!$K$5:$AJ$230,0,MATCH(V$2,Inputs!$K$4:$AJ$4,0)))))</f>
        <v>77.114</v>
      </c>
      <c r="W94" s="3">
        <f>SUM(S94:V94)</f>
        <v>248.346</v>
      </c>
      <c r="X94" s="6">
        <f>IF(ISNA(MATCH(X$2,Inputs!$K$4:$AJ$4,0)),NA(),IF(SUMPRODUCT((Inputs!$A$5:$A$230=$B94)*ISNUMBER(INDEX(Inputs!$K$5:$AJ$230,0,MATCH(X$2,Inputs!$K$4:$AJ$4,0))))+SUMPRODUCT((Inputs!$C$5:$C$230=$B94)*ISNUMBER(INDEX(Inputs!$K$5:$AJ$230,0,MATCH(X$2,Inputs!$K$4:$AJ$4,0))))+SUMPRODUCT((Inputs!$E$5:$E$230=$B94)*ISNUMBER(INDEX(Inputs!$K$5:$AJ$230,0,MATCH(X$2,Inputs!$K$4:$AJ$4,0))))=0,NA(),SUMPRODUCT((Inputs!$A$5:$A$230=$B94)*Inputs!$B$5:$B$230*(((Inputs!$G$5:$G$230="moeda")+(Inputs!$G$5:$G$230="acoes"))*Inputs!$B$1+((Inputs!$G$5:$G$230&lt;&gt;"moeda")*(Inputs!$G$5:$G$230&lt;&gt;"acoes")))*INDEX(Inputs!$K$5:$AJ$230,0,MATCH(X$2,Inputs!$K$4:$AJ$4,0)))+SUMPRODUCT((Inputs!$C$5:$C$230=$B94)*Inputs!$D$5:$D$230*(((Inputs!$G$5:$G$230="moeda")+(Inputs!$G$5:$G$230="acoes"))*Inputs!$B$1+((Inputs!$G$5:$G$230&lt;&gt;"moeda")*(Inputs!$G$5:$G$230&lt;&gt;"acoes")))*INDEX(Inputs!$K$5:$AJ$230,0,MATCH(X$2,Inputs!$K$4:$AJ$4,0)))+SUMPRODUCT((Inputs!$E$5:$E$230=$B94)*Inputs!$F$5:$F$230*(((Inputs!$G$5:$G$230="moeda")+(Inputs!$G$5:$G$230="acoes"))*Inputs!$B$1+((Inputs!$G$5:$G$230&lt;&gt;"moeda")*(Inputs!$G$5:$G$230&lt;&gt;"acoes")))*INDEX(Inputs!$K$5:$AJ$230,0,MATCH(X$2,Inputs!$K$4:$AJ$4,0)))))</f>
        <v>70.106</v>
      </c>
      <c r="Y94" s="6">
        <f>IF(ISNA(MATCH(Y$2,Inputs!$K$4:$AJ$4,0)),NA(),IF(SUMPRODUCT((Inputs!$A$5:$A$230=$B94)*ISNUMBER(INDEX(Inputs!$K$5:$AJ$230,0,MATCH(Y$2,Inputs!$K$4:$AJ$4,0))))+SUMPRODUCT((Inputs!$C$5:$C$230=$B94)*ISNUMBER(INDEX(Inputs!$K$5:$AJ$230,0,MATCH(Y$2,Inputs!$K$4:$AJ$4,0))))+SUMPRODUCT((Inputs!$E$5:$E$230=$B94)*ISNUMBER(INDEX(Inputs!$K$5:$AJ$230,0,MATCH(Y$2,Inputs!$K$4:$AJ$4,0))))=0,NA(),SUMPRODUCT((Inputs!$A$5:$A$230=$B94)*Inputs!$B$5:$B$230*(((Inputs!$G$5:$G$230="moeda")+(Inputs!$G$5:$G$230="acoes"))*Inputs!$B$1+((Inputs!$G$5:$G$230&lt;&gt;"moeda")*(Inputs!$G$5:$G$230&lt;&gt;"acoes")))*INDEX(Inputs!$K$5:$AJ$230,0,MATCH(Y$2,Inputs!$K$4:$AJ$4,0)))+SUMPRODUCT((Inputs!$C$5:$C$230=$B94)*Inputs!$D$5:$D$230*(((Inputs!$G$5:$G$230="moeda")+(Inputs!$G$5:$G$230="acoes"))*Inputs!$B$1+((Inputs!$G$5:$G$230&lt;&gt;"moeda")*(Inputs!$G$5:$G$230&lt;&gt;"acoes")))*INDEX(Inputs!$K$5:$AJ$230,0,MATCH(Y$2,Inputs!$K$4:$AJ$4,0)))+SUMPRODUCT((Inputs!$E$5:$E$230=$B94)*Inputs!$F$5:$F$230*(((Inputs!$G$5:$G$230="moeda")+(Inputs!$G$5:$G$230="acoes"))*Inputs!$B$1+((Inputs!$G$5:$G$230&lt;&gt;"moeda")*(Inputs!$G$5:$G$230&lt;&gt;"acoes")))*INDEX(Inputs!$K$5:$AJ$230,0,MATCH(Y$2,Inputs!$K$4:$AJ$4,0)))))</f>
        <v>58.146</v>
      </c>
      <c r="Z94" s="6">
        <f>IF(ISNA(MATCH(Z$2,Inputs!$K$4:$AJ$4,0)),NA(),IF(SUMPRODUCT((Inputs!$A$5:$A$230=$B94)*ISNUMBER(INDEX(Inputs!$K$5:$AJ$230,0,MATCH(Z$2,Inputs!$K$4:$AJ$4,0))))+SUMPRODUCT((Inputs!$C$5:$C$230=$B94)*ISNUMBER(INDEX(Inputs!$K$5:$AJ$230,0,MATCH(Z$2,Inputs!$K$4:$AJ$4,0))))+SUMPRODUCT((Inputs!$E$5:$E$230=$B94)*ISNUMBER(INDEX(Inputs!$K$5:$AJ$230,0,MATCH(Z$2,Inputs!$K$4:$AJ$4,0))))=0,NA(),SUMPRODUCT((Inputs!$A$5:$A$230=$B94)*Inputs!$B$5:$B$230*(((Inputs!$G$5:$G$230="moeda")+(Inputs!$G$5:$G$230="acoes"))*Inputs!$B$1+((Inputs!$G$5:$G$230&lt;&gt;"moeda")*(Inputs!$G$5:$G$230&lt;&gt;"acoes")))*INDEX(Inputs!$K$5:$AJ$230,0,MATCH(Z$2,Inputs!$K$4:$AJ$4,0)))+SUMPRODUCT((Inputs!$C$5:$C$230=$B94)*Inputs!$D$5:$D$230*(((Inputs!$G$5:$G$230="moeda")+(Inputs!$G$5:$G$230="acoes"))*Inputs!$B$1+((Inputs!$G$5:$G$230&lt;&gt;"moeda")*(Inputs!$G$5:$G$230&lt;&gt;"acoes")))*INDEX(Inputs!$K$5:$AJ$230,0,MATCH(Z$2,Inputs!$K$4:$AJ$4,0)))+SUMPRODUCT((Inputs!$E$5:$E$230=$B94)*Inputs!$F$5:$F$230*(((Inputs!$G$5:$G$230="moeda")+(Inputs!$G$5:$G$230="acoes"))*Inputs!$B$1+((Inputs!$G$5:$G$230&lt;&gt;"moeda")*(Inputs!$G$5:$G$230&lt;&gt;"acoes")))*INDEX(Inputs!$K$5:$AJ$230,0,MATCH(Z$2,Inputs!$K$4:$AJ$4,0)))))</f>
        <v>62.463</v>
      </c>
      <c r="AA94" s="6">
        <f>IF(ISNA(MATCH(AA$2,Inputs!$K$4:$AJ$4,0)),NA(),IF(SUMPRODUCT((Inputs!$A$5:$A$230=$B94)*ISNUMBER(INDEX(Inputs!$K$5:$AJ$230,0,MATCH(AA$2,Inputs!$K$4:$AJ$4,0))))+SUMPRODUCT((Inputs!$C$5:$C$230=$B94)*ISNUMBER(INDEX(Inputs!$K$5:$AJ$230,0,MATCH(AA$2,Inputs!$K$4:$AJ$4,0))))+SUMPRODUCT((Inputs!$E$5:$E$230=$B94)*ISNUMBER(INDEX(Inputs!$K$5:$AJ$230,0,MATCH(AA$2,Inputs!$K$4:$AJ$4,0))))=0,NA(),SUMPRODUCT((Inputs!$A$5:$A$230=$B94)*Inputs!$B$5:$B$230*(((Inputs!$G$5:$G$230="moeda")+(Inputs!$G$5:$G$230="acoes"))*Inputs!$B$1+((Inputs!$G$5:$G$230&lt;&gt;"moeda")*(Inputs!$G$5:$G$230&lt;&gt;"acoes")))*INDEX(Inputs!$K$5:$AJ$230,0,MATCH(AA$2,Inputs!$K$4:$AJ$4,0)))+SUMPRODUCT((Inputs!$C$5:$C$230=$B94)*Inputs!$D$5:$D$230*(((Inputs!$G$5:$G$230="moeda")+(Inputs!$G$5:$G$230="acoes"))*Inputs!$B$1+((Inputs!$G$5:$G$230&lt;&gt;"moeda")*(Inputs!$G$5:$G$230&lt;&gt;"acoes")))*INDEX(Inputs!$K$5:$AJ$230,0,MATCH(AA$2,Inputs!$K$4:$AJ$4,0)))+SUMPRODUCT((Inputs!$E$5:$E$230=$B94)*Inputs!$F$5:$F$230*(((Inputs!$G$5:$G$230="moeda")+(Inputs!$G$5:$G$230="acoes"))*Inputs!$B$1+((Inputs!$G$5:$G$230&lt;&gt;"moeda")*(Inputs!$G$5:$G$230&lt;&gt;"acoes")))*INDEX(Inputs!$K$5:$AJ$230,0,MATCH(AA$2,Inputs!$K$4:$AJ$4,0)))))</f>
        <v>65.805</v>
      </c>
      <c r="AB94" s="3">
        <f>SUM(X94:AA94)</f>
        <v>256.52</v>
      </c>
      <c r="AC94" s="6">
        <f>IF(ISNA(MATCH(AC$2,Inputs!$K$4:$AJ$4,0)),NA(),IF(SUMPRODUCT((Inputs!$A$5:$A$230=$B94)*ISNUMBER(INDEX(Inputs!$K$5:$AJ$230,0,MATCH(AC$2,Inputs!$K$4:$AJ$4,0))))+SUMPRODUCT((Inputs!$C$5:$C$230=$B94)*ISNUMBER(INDEX(Inputs!$K$5:$AJ$230,0,MATCH(AC$2,Inputs!$K$4:$AJ$4,0))))+SUMPRODUCT((Inputs!$E$5:$E$230=$B94)*ISNUMBER(INDEX(Inputs!$K$5:$AJ$230,0,MATCH(AC$2,Inputs!$K$4:$AJ$4,0))))=0,NA(),SUMPRODUCT((Inputs!$A$5:$A$230=$B94)*Inputs!$B$5:$B$230*(((Inputs!$G$5:$G$230="moeda")+(Inputs!$G$5:$G$230="acoes"))*Inputs!$B$1+((Inputs!$G$5:$G$230&lt;&gt;"moeda")*(Inputs!$G$5:$G$230&lt;&gt;"acoes")))*INDEX(Inputs!$K$5:$AJ$230,0,MATCH(AC$2,Inputs!$K$4:$AJ$4,0)))+SUMPRODUCT((Inputs!$C$5:$C$230=$B94)*Inputs!$D$5:$D$230*(((Inputs!$G$5:$G$230="moeda")+(Inputs!$G$5:$G$230="acoes"))*Inputs!$B$1+((Inputs!$G$5:$G$230&lt;&gt;"moeda")*(Inputs!$G$5:$G$230&lt;&gt;"acoes")))*INDEX(Inputs!$K$5:$AJ$230,0,MATCH(AC$2,Inputs!$K$4:$AJ$4,0)))+SUMPRODUCT((Inputs!$E$5:$E$230=$B94)*Inputs!$F$5:$F$230*(((Inputs!$G$5:$G$230="moeda")+(Inputs!$G$5:$G$230="acoes"))*Inputs!$B$1+((Inputs!$G$5:$G$230&lt;&gt;"moeda")*(Inputs!$G$5:$G$230&lt;&gt;"acoes")))*INDEX(Inputs!$K$5:$AJ$230,0,MATCH(AC$2,Inputs!$K$4:$AJ$4,0)))))</f>
        <v>66.509</v>
      </c>
      <c r="AD94" s="6">
        <f>IF(ISNA(MATCH(AD$2,Inputs!$K$4:$AJ$4,0)),NA(),IF(SUMPRODUCT((Inputs!$A$5:$A$230=$B94)*ISNUMBER(INDEX(Inputs!$K$5:$AJ$230,0,MATCH(AD$2,Inputs!$K$4:$AJ$4,0))))+SUMPRODUCT((Inputs!$C$5:$C$230=$B94)*ISNUMBER(INDEX(Inputs!$K$5:$AJ$230,0,MATCH(AD$2,Inputs!$K$4:$AJ$4,0))))+SUMPRODUCT((Inputs!$E$5:$E$230=$B94)*ISNUMBER(INDEX(Inputs!$K$5:$AJ$230,0,MATCH(AD$2,Inputs!$K$4:$AJ$4,0))))=0,NA(),SUMPRODUCT((Inputs!$A$5:$A$230=$B94)*Inputs!$B$5:$B$230*(((Inputs!$G$5:$G$230="moeda")+(Inputs!$G$5:$G$230="acoes"))*Inputs!$B$1+((Inputs!$G$5:$G$230&lt;&gt;"moeda")*(Inputs!$G$5:$G$230&lt;&gt;"acoes")))*INDEX(Inputs!$K$5:$AJ$230,0,MATCH(AD$2,Inputs!$K$4:$AJ$4,0)))+SUMPRODUCT((Inputs!$C$5:$C$230=$B94)*Inputs!$D$5:$D$230*(((Inputs!$G$5:$G$230="moeda")+(Inputs!$G$5:$G$230="acoes"))*Inputs!$B$1+((Inputs!$G$5:$G$230&lt;&gt;"moeda")*(Inputs!$G$5:$G$230&lt;&gt;"acoes")))*INDEX(Inputs!$K$5:$AJ$230,0,MATCH(AD$2,Inputs!$K$4:$AJ$4,0)))+SUMPRODUCT((Inputs!$E$5:$E$230=$B94)*Inputs!$F$5:$F$230*(((Inputs!$G$5:$G$230="moeda")+(Inputs!$G$5:$G$230="acoes"))*Inputs!$B$1+((Inputs!$G$5:$G$230&lt;&gt;"moeda")*(Inputs!$G$5:$G$230&lt;&gt;"acoes")))*INDEX(Inputs!$K$5:$AJ$230,0,MATCH(AD$2,Inputs!$K$4:$AJ$4,0)))))</f>
        <v>67.061</v>
      </c>
      <c r="AE94" s="6" t="e">
        <f>IF(ISNA(MATCH(AE$2,Inputs!$K$4:$AJ$4,0)),NA(),IF(SUMPRODUCT((Inputs!$A$5:$A$230=$B94)*ISNUMBER(INDEX(Inputs!$K$5:$AJ$230,0,MATCH(AE$2,Inputs!$K$4:$AJ$4,0))))+SUMPRODUCT((Inputs!$C$5:$C$230=$B94)*ISNUMBER(INDEX(Inputs!$K$5:$AJ$230,0,MATCH(AE$2,Inputs!$K$4:$AJ$4,0))))+SUMPRODUCT((Inputs!$E$5:$E$230=$B94)*ISNUMBER(INDEX(Inputs!$K$5:$AJ$230,0,MATCH(AE$2,Inputs!$K$4:$AJ$4,0))))=0,NA(),SUMPRODUCT((Inputs!$A$5:$A$230=$B94)*Inputs!$B$5:$B$230*(((Inputs!$G$5:$G$230="moeda")+(Inputs!$G$5:$G$230="acoes"))*Inputs!$B$1+((Inputs!$G$5:$G$230&lt;&gt;"moeda")*(Inputs!$G$5:$G$230&lt;&gt;"acoes")))*INDEX(Inputs!$K$5:$AJ$230,0,MATCH(AE$2,Inputs!$K$4:$AJ$4,0)))+SUMPRODUCT((Inputs!$C$5:$C$230=$B94)*Inputs!$D$5:$D$230*(((Inputs!$G$5:$G$230="moeda")+(Inputs!$G$5:$G$230="acoes"))*Inputs!$B$1+((Inputs!$G$5:$G$230&lt;&gt;"moeda")*(Inputs!$G$5:$G$230&lt;&gt;"acoes")))*INDEX(Inputs!$K$5:$AJ$230,0,MATCH(AE$2,Inputs!$K$4:$AJ$4,0)))+SUMPRODUCT((Inputs!$E$5:$E$230=$B94)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4" s="6" t="e">
        <f>IF(ISNA(MATCH(AF$2,Inputs!$K$4:$AJ$4,0)),NA(),IF(SUMPRODUCT((Inputs!$A$5:$A$230=$B94)*ISNUMBER(INDEX(Inputs!$K$5:$AJ$230,0,MATCH(AF$2,Inputs!$K$4:$AJ$4,0))))+SUMPRODUCT((Inputs!$C$5:$C$230=$B94)*ISNUMBER(INDEX(Inputs!$K$5:$AJ$230,0,MATCH(AF$2,Inputs!$K$4:$AJ$4,0))))+SUMPRODUCT((Inputs!$E$5:$E$230=$B94)*ISNUMBER(INDEX(Inputs!$K$5:$AJ$230,0,MATCH(AF$2,Inputs!$K$4:$AJ$4,0))))=0,NA(),SUMPRODUCT((Inputs!$A$5:$A$230=$B94)*Inputs!$B$5:$B$230*(((Inputs!$G$5:$G$230="moeda")+(Inputs!$G$5:$G$230="acoes"))*Inputs!$B$1+((Inputs!$G$5:$G$230&lt;&gt;"moeda")*(Inputs!$G$5:$G$230&lt;&gt;"acoes")))*INDEX(Inputs!$K$5:$AJ$230,0,MATCH(AF$2,Inputs!$K$4:$AJ$4,0)))+SUMPRODUCT((Inputs!$C$5:$C$230=$B94)*Inputs!$D$5:$D$230*(((Inputs!$G$5:$G$230="moeda")+(Inputs!$G$5:$G$230="acoes"))*Inputs!$B$1+((Inputs!$G$5:$G$230&lt;&gt;"moeda")*(Inputs!$G$5:$G$230&lt;&gt;"acoes")))*INDEX(Inputs!$K$5:$AJ$230,0,MATCH(AF$2,Inputs!$K$4:$AJ$4,0)))+SUMPRODUCT((Inputs!$E$5:$E$230=$B94)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4" s="3" t="e">
        <f>SUM(AC94:AF94)</f>
        <v>#N/A</v>
      </c>
      <c r="AH94" s="6">
        <f>IF(ISNA(MATCH(AH$2,Inputs!$K$4:$AJ$4,0)),NA(),IF(SUMPRODUCT((Inputs!$A$5:$A$230=$B94)*ISNUMBER(INDEX(Inputs!$K$5:$AJ$230,0,MATCH(AH$2,Inputs!$K$4:$AJ$4,0))))+SUMPRODUCT((Inputs!$C$5:$C$230=$B94)*ISNUMBER(INDEX(Inputs!$K$5:$AJ$230,0,MATCH(AH$2,Inputs!$K$4:$AJ$4,0))))+SUMPRODUCT((Inputs!$E$5:$E$230=$B94)*ISNUMBER(INDEX(Inputs!$K$5:$AJ$230,0,MATCH(AH$2,Inputs!$K$4:$AJ$4,0))))=0,NA(),SUMPRODUCT((Inputs!$A$5:$A$230=$B94)*Inputs!$B$5:$B$230*(((Inputs!$G$5:$G$230="moeda")+(Inputs!$G$5:$G$230="acoes"))*Inputs!$B$1+((Inputs!$G$5:$G$230&lt;&gt;"moeda")*(Inputs!$G$5:$G$230&lt;&gt;"acoes")))*INDEX(Inputs!$K$5:$AJ$230,0,MATCH(AH$2,Inputs!$K$4:$AJ$4,0)))+SUMPRODUCT((Inputs!$C$5:$C$230=$B94)*Inputs!$D$5:$D$230*(((Inputs!$G$5:$G$230="moeda")+(Inputs!$G$5:$G$230="acoes"))*Inputs!$B$1+((Inputs!$G$5:$G$230&lt;&gt;"moeda")*(Inputs!$G$5:$G$230&lt;&gt;"acoes")))*INDEX(Inputs!$K$5:$AJ$230,0,MATCH(AH$2,Inputs!$K$4:$AJ$4,0)))+SUMPRODUCT((Inputs!$E$5:$E$230=$B94)*Inputs!$F$5:$F$230*(((Inputs!$G$5:$G$230="moeda")+(Inputs!$G$5:$G$230="acoes"))*Inputs!$B$1+((Inputs!$G$5:$G$230&lt;&gt;"moeda")*(Inputs!$G$5:$G$230&lt;&gt;"acoes")))*INDEX(Inputs!$K$5:$AJ$230,0,MATCH(AH$2,Inputs!$K$4:$AJ$4,0)))))</f>
        <v>52.631</v>
      </c>
      <c r="AI94" s="6">
        <f>IF(ISNA(MATCH(AI$2,Inputs!$K$4:$AJ$4,0)),NA(),IF(SUMPRODUCT((Inputs!$A$5:$A$230=$B94)*ISNUMBER(INDEX(Inputs!$K$5:$AJ$230,0,MATCH(AI$2,Inputs!$K$4:$AJ$4,0))))+SUMPRODUCT((Inputs!$C$5:$C$230=$B94)*ISNUMBER(INDEX(Inputs!$K$5:$AJ$230,0,MATCH(AI$2,Inputs!$K$4:$AJ$4,0))))+SUMPRODUCT((Inputs!$E$5:$E$230=$B94)*ISNUMBER(INDEX(Inputs!$K$5:$AJ$230,0,MATCH(AI$2,Inputs!$K$4:$AJ$4,0))))=0,NA(),SUMPRODUCT((Inputs!$A$5:$A$230=$B94)*Inputs!$B$5:$B$230*(((Inputs!$G$5:$G$230="moeda")+(Inputs!$G$5:$G$230="acoes"))*Inputs!$B$1+((Inputs!$G$5:$G$230&lt;&gt;"moeda")*(Inputs!$G$5:$G$230&lt;&gt;"acoes")))*INDEX(Inputs!$K$5:$AJ$230,0,MATCH(AI$2,Inputs!$K$4:$AJ$4,0)))+SUMPRODUCT((Inputs!$C$5:$C$230=$B94)*Inputs!$D$5:$D$230*(((Inputs!$G$5:$G$230="moeda")+(Inputs!$G$5:$G$230="acoes"))*Inputs!$B$1+((Inputs!$G$5:$G$230&lt;&gt;"moeda")*(Inputs!$G$5:$G$230&lt;&gt;"acoes")))*INDEX(Inputs!$K$5:$AJ$230,0,MATCH(AI$2,Inputs!$K$4:$AJ$4,0)))+SUMPRODUCT((Inputs!$E$5:$E$230=$B94)*Inputs!$F$5:$F$230*(((Inputs!$G$5:$G$230="moeda")+(Inputs!$G$5:$G$230="acoes"))*Inputs!$B$1+((Inputs!$G$5:$G$230&lt;&gt;"moeda")*(Inputs!$G$5:$G$230&lt;&gt;"acoes")))*INDEX(Inputs!$K$5:$AJ$230,0,MATCH(AI$2,Inputs!$K$4:$AJ$4,0)))))</f>
        <v>43.989</v>
      </c>
      <c r="AJ94" s="6">
        <f>IF(ISNA(MATCH(AJ$2,Inputs!$K$4:$AJ$4,0)),NA(),IF(SUMPRODUCT((Inputs!$A$5:$A$230=$B94)*ISNUMBER(INDEX(Inputs!$K$5:$AJ$230,0,MATCH(AJ$2,Inputs!$K$4:$AJ$4,0))))+SUMPRODUCT((Inputs!$C$5:$C$230=$B94)*ISNUMBER(INDEX(Inputs!$K$5:$AJ$230,0,MATCH(AJ$2,Inputs!$K$4:$AJ$4,0))))+SUMPRODUCT((Inputs!$E$5:$E$230=$B94)*ISNUMBER(INDEX(Inputs!$K$5:$AJ$230,0,MATCH(AJ$2,Inputs!$K$4:$AJ$4,0))))=0,NA(),SUMPRODUCT((Inputs!$A$5:$A$230=$B94)*Inputs!$B$5:$B$230*(((Inputs!$G$5:$G$230="moeda")+(Inputs!$G$5:$G$230="acoes"))*Inputs!$B$1+((Inputs!$G$5:$G$230&lt;&gt;"moeda")*(Inputs!$G$5:$G$230&lt;&gt;"acoes")))*INDEX(Inputs!$K$5:$AJ$230,0,MATCH(AJ$2,Inputs!$K$4:$AJ$4,0)))+SUMPRODUCT((Inputs!$C$5:$C$230=$B94)*Inputs!$D$5:$D$230*(((Inputs!$G$5:$G$230="moeda")+(Inputs!$G$5:$G$230="acoes"))*Inputs!$B$1+((Inputs!$G$5:$G$230&lt;&gt;"moeda")*(Inputs!$G$5:$G$230&lt;&gt;"acoes")))*INDEX(Inputs!$K$5:$AJ$230,0,MATCH(AJ$2,Inputs!$K$4:$AJ$4,0)))+SUMPRODUCT((Inputs!$E$5:$E$230=$B94)*Inputs!$F$5:$F$230*(((Inputs!$G$5:$G$230="moeda")+(Inputs!$G$5:$G$230="acoes"))*Inputs!$B$1+((Inputs!$G$5:$G$230&lt;&gt;"moeda")*(Inputs!$G$5:$G$230&lt;&gt;"acoes")))*INDEX(Inputs!$K$5:$AJ$230,0,MATCH(AJ$2,Inputs!$K$4:$AJ$4,0)))))</f>
        <v>43.163</v>
      </c>
      <c r="AK94" s="6">
        <f>IF(ISNA(MATCH(AK$2,Inputs!$K$4:$AJ$4,0)),NA(),IF(SUMPRODUCT((Inputs!$A$5:$A$230=$B94)*ISNUMBER(INDEX(Inputs!$K$5:$AJ$230,0,MATCH(AK$2,Inputs!$K$4:$AJ$4,0))))+SUMPRODUCT((Inputs!$C$5:$C$230=$B94)*ISNUMBER(INDEX(Inputs!$K$5:$AJ$230,0,MATCH(AK$2,Inputs!$K$4:$AJ$4,0))))+SUMPRODUCT((Inputs!$E$5:$E$230=$B94)*ISNUMBER(INDEX(Inputs!$K$5:$AJ$230,0,MATCH(AK$2,Inputs!$K$4:$AJ$4,0))))=0,NA(),SUMPRODUCT((Inputs!$A$5:$A$230=$B94)*Inputs!$B$5:$B$230*(((Inputs!$G$5:$G$230="moeda")+(Inputs!$G$5:$G$230="acoes"))*Inputs!$B$1+((Inputs!$G$5:$G$230&lt;&gt;"moeda")*(Inputs!$G$5:$G$230&lt;&gt;"acoes")))*INDEX(Inputs!$K$5:$AJ$230,0,MATCH(AK$2,Inputs!$K$4:$AJ$4,0)))+SUMPRODUCT((Inputs!$C$5:$C$230=$B94)*Inputs!$D$5:$D$230*(((Inputs!$G$5:$G$230="moeda")+(Inputs!$G$5:$G$230="acoes"))*Inputs!$B$1+((Inputs!$G$5:$G$230&lt;&gt;"moeda")*(Inputs!$G$5:$G$230&lt;&gt;"acoes")))*INDEX(Inputs!$K$5:$AJ$230,0,MATCH(AK$2,Inputs!$K$4:$AJ$4,0)))+SUMPRODUCT((Inputs!$E$5:$E$230=$B94)*Inputs!$F$5:$F$230*(((Inputs!$G$5:$G$230="moeda")+(Inputs!$G$5:$G$230="acoes"))*Inputs!$B$1+((Inputs!$G$5:$G$230&lt;&gt;"moeda")*(Inputs!$G$5:$G$230&lt;&gt;"acoes")))*INDEX(Inputs!$K$5:$AJ$230,0,MATCH(AK$2,Inputs!$K$4:$AJ$4,0)))))</f>
        <v>55.415</v>
      </c>
      <c r="AL94" s="3">
        <f>SUM(AH94:AK94)</f>
        <v>195.198</v>
      </c>
    </row>
    <row r="95">
      <c r="B95" s="46" t="n">
        <v>87</v>
      </c>
      <c r="C95" s="29" t="inlineStr">
        <is>
          <t>Geracao | La Virgen</t>
        </is>
      </c>
      <c r="D95" s="6">
        <f>IF(ISNA(MATCH(D$2,Inputs!$K$4:$AJ$4,0)),NA(),IF(SUMPRODUCT((Inputs!$A$5:$A$230=$B95)*ISNUMBER(INDEX(Inputs!$K$5:$AJ$230,0,MATCH(D$2,Inputs!$K$4:$AJ$4,0))))+SUMPRODUCT((Inputs!$C$5:$C$230=$B95)*ISNUMBER(INDEX(Inputs!$K$5:$AJ$230,0,MATCH(D$2,Inputs!$K$4:$AJ$4,0))))+SUMPRODUCT((Inputs!$E$5:$E$230=$B95)*ISNUMBER(INDEX(Inputs!$K$5:$AJ$230,0,MATCH(D$2,Inputs!$K$4:$AJ$4,0))))=0,NA(),SUMPRODUCT((Inputs!$A$5:$A$230=$B95)*Inputs!$B$5:$B$230*(((Inputs!$G$5:$G$230="moeda")+(Inputs!$G$5:$G$230="acoes"))*Inputs!$B$1+((Inputs!$G$5:$G$230&lt;&gt;"moeda")*(Inputs!$G$5:$G$230&lt;&gt;"acoes")))*INDEX(Inputs!$K$5:$AJ$230,0,MATCH(D$2,Inputs!$K$4:$AJ$4,0)))+SUMPRODUCT((Inputs!$C$5:$C$230=$B95)*Inputs!$D$5:$D$230*(((Inputs!$G$5:$G$230="moeda")+(Inputs!$G$5:$G$230="acoes"))*Inputs!$B$1+((Inputs!$G$5:$G$230&lt;&gt;"moeda")*(Inputs!$G$5:$G$230&lt;&gt;"acoes")))*INDEX(Inputs!$K$5:$AJ$230,0,MATCH(D$2,Inputs!$K$4:$AJ$4,0)))+SUMPRODUCT((Inputs!$E$5:$E$230=$B95)*Inputs!$F$5:$F$230*(((Inputs!$G$5:$G$230="moeda")+(Inputs!$G$5:$G$230="acoes"))*Inputs!$B$1+((Inputs!$G$5:$G$230&lt;&gt;"moeda")*(Inputs!$G$5:$G$230&lt;&gt;"acoes")))*INDEX(Inputs!$K$5:$AJ$230,0,MATCH(D$2,Inputs!$K$4:$AJ$4,0)))))</f>
        <v>0</v>
      </c>
      <c r="E95" s="6">
        <f>IF(ISNA(MATCH(E$2,Inputs!$K$4:$AJ$4,0)),NA(),IF(SUMPRODUCT((Inputs!$A$5:$A$230=$B95)*ISNUMBER(INDEX(Inputs!$K$5:$AJ$230,0,MATCH(E$2,Inputs!$K$4:$AJ$4,0))))+SUMPRODUCT((Inputs!$C$5:$C$230=$B95)*ISNUMBER(INDEX(Inputs!$K$5:$AJ$230,0,MATCH(E$2,Inputs!$K$4:$AJ$4,0))))+SUMPRODUCT((Inputs!$E$5:$E$230=$B95)*ISNUMBER(INDEX(Inputs!$K$5:$AJ$230,0,MATCH(E$2,Inputs!$K$4:$AJ$4,0))))=0,NA(),SUMPRODUCT((Inputs!$A$5:$A$230=$B95)*Inputs!$B$5:$B$230*(((Inputs!$G$5:$G$230="moeda")+(Inputs!$G$5:$G$230="acoes"))*Inputs!$B$1+((Inputs!$G$5:$G$230&lt;&gt;"moeda")*(Inputs!$G$5:$G$230&lt;&gt;"acoes")))*INDEX(Inputs!$K$5:$AJ$230,0,MATCH(E$2,Inputs!$K$4:$AJ$4,0)))+SUMPRODUCT((Inputs!$C$5:$C$230=$B95)*Inputs!$D$5:$D$230*(((Inputs!$G$5:$G$230="moeda")+(Inputs!$G$5:$G$230="acoes"))*Inputs!$B$1+((Inputs!$G$5:$G$230&lt;&gt;"moeda")*(Inputs!$G$5:$G$230&lt;&gt;"acoes")))*INDEX(Inputs!$K$5:$AJ$230,0,MATCH(E$2,Inputs!$K$4:$AJ$4,0)))+SUMPRODUCT((Inputs!$E$5:$E$230=$B95)*Inputs!$F$5:$F$230*(((Inputs!$G$5:$G$230="moeda")+(Inputs!$G$5:$G$230="acoes"))*Inputs!$B$1+((Inputs!$G$5:$G$230&lt;&gt;"moeda")*(Inputs!$G$5:$G$230&lt;&gt;"acoes")))*INDEX(Inputs!$K$5:$AJ$230,0,MATCH(E$2,Inputs!$K$4:$AJ$4,0)))))</f>
        <v>2.558</v>
      </c>
      <c r="F95" s="6">
        <f>IF(ISNA(MATCH(F$2,Inputs!$K$4:$AJ$4,0)),NA(),IF(SUMPRODUCT((Inputs!$A$5:$A$230=$B95)*ISNUMBER(INDEX(Inputs!$K$5:$AJ$230,0,MATCH(F$2,Inputs!$K$4:$AJ$4,0))))+SUMPRODUCT((Inputs!$C$5:$C$230=$B95)*ISNUMBER(INDEX(Inputs!$K$5:$AJ$230,0,MATCH(F$2,Inputs!$K$4:$AJ$4,0))))+SUMPRODUCT((Inputs!$E$5:$E$230=$B95)*ISNUMBER(INDEX(Inputs!$K$5:$AJ$230,0,MATCH(F$2,Inputs!$K$4:$AJ$4,0))))=0,NA(),SUMPRODUCT((Inputs!$A$5:$A$230=$B95)*Inputs!$B$5:$B$230*(((Inputs!$G$5:$G$230="moeda")+(Inputs!$G$5:$G$230="acoes"))*Inputs!$B$1+((Inputs!$G$5:$G$230&lt;&gt;"moeda")*(Inputs!$G$5:$G$230&lt;&gt;"acoes")))*INDEX(Inputs!$K$5:$AJ$230,0,MATCH(F$2,Inputs!$K$4:$AJ$4,0)))+SUMPRODUCT((Inputs!$C$5:$C$230=$B95)*Inputs!$D$5:$D$230*(((Inputs!$G$5:$G$230="moeda")+(Inputs!$G$5:$G$230="acoes"))*Inputs!$B$1+((Inputs!$G$5:$G$230&lt;&gt;"moeda")*(Inputs!$G$5:$G$230&lt;&gt;"acoes")))*INDEX(Inputs!$K$5:$AJ$230,0,MATCH(F$2,Inputs!$K$4:$AJ$4,0)))+SUMPRODUCT((Inputs!$E$5:$E$230=$B95)*Inputs!$F$5:$F$230*(((Inputs!$G$5:$G$230="moeda")+(Inputs!$G$5:$G$230="acoes"))*Inputs!$B$1+((Inputs!$G$5:$G$230&lt;&gt;"moeda")*(Inputs!$G$5:$G$230&lt;&gt;"acoes")))*INDEX(Inputs!$K$5:$AJ$230,0,MATCH(F$2,Inputs!$K$4:$AJ$4,0)))))</f>
        <v>12.707</v>
      </c>
      <c r="G95" s="6">
        <f>IF(ISNA(MATCH(G$2,Inputs!$K$4:$AJ$4,0)),NA(),IF(SUMPRODUCT((Inputs!$A$5:$A$230=$B95)*ISNUMBER(INDEX(Inputs!$K$5:$AJ$230,0,MATCH(G$2,Inputs!$K$4:$AJ$4,0))))+SUMPRODUCT((Inputs!$C$5:$C$230=$B95)*ISNUMBER(INDEX(Inputs!$K$5:$AJ$230,0,MATCH(G$2,Inputs!$K$4:$AJ$4,0))))+SUMPRODUCT((Inputs!$E$5:$E$230=$B95)*ISNUMBER(INDEX(Inputs!$K$5:$AJ$230,0,MATCH(G$2,Inputs!$K$4:$AJ$4,0))))=0,NA(),SUMPRODUCT((Inputs!$A$5:$A$230=$B95)*Inputs!$B$5:$B$230*(((Inputs!$G$5:$G$230="moeda")+(Inputs!$G$5:$G$230="acoes"))*Inputs!$B$1+((Inputs!$G$5:$G$230&lt;&gt;"moeda")*(Inputs!$G$5:$G$230&lt;&gt;"acoes")))*INDEX(Inputs!$K$5:$AJ$230,0,MATCH(G$2,Inputs!$K$4:$AJ$4,0)))+SUMPRODUCT((Inputs!$C$5:$C$230=$B95)*Inputs!$D$5:$D$230*(((Inputs!$G$5:$G$230="moeda")+(Inputs!$G$5:$G$230="acoes"))*Inputs!$B$1+((Inputs!$G$5:$G$230&lt;&gt;"moeda")*(Inputs!$G$5:$G$230&lt;&gt;"acoes")))*INDEX(Inputs!$K$5:$AJ$230,0,MATCH(G$2,Inputs!$K$4:$AJ$4,0)))+SUMPRODUCT((Inputs!$E$5:$E$230=$B95)*Inputs!$F$5:$F$230*(((Inputs!$G$5:$G$230="moeda")+(Inputs!$G$5:$G$230="acoes"))*Inputs!$B$1+((Inputs!$G$5:$G$230&lt;&gt;"moeda")*(Inputs!$G$5:$G$230&lt;&gt;"acoes")))*INDEX(Inputs!$K$5:$AJ$230,0,MATCH(G$2,Inputs!$K$4:$AJ$4,0)))))</f>
        <v>14.192</v>
      </c>
      <c r="H95" s="3">
        <f>SUM(D95:G95)</f>
        <v>29.457</v>
      </c>
      <c r="I95" s="6">
        <f>IF(ISNA(MATCH(I$2,Inputs!$K$4:$AJ$4,0)),NA(),IF(SUMPRODUCT((Inputs!$A$5:$A$230=$B95)*ISNUMBER(INDEX(Inputs!$K$5:$AJ$230,0,MATCH(I$2,Inputs!$K$4:$AJ$4,0))))+SUMPRODUCT((Inputs!$C$5:$C$230=$B95)*ISNUMBER(INDEX(Inputs!$K$5:$AJ$230,0,MATCH(I$2,Inputs!$K$4:$AJ$4,0))))+SUMPRODUCT((Inputs!$E$5:$E$230=$B95)*ISNUMBER(INDEX(Inputs!$K$5:$AJ$230,0,MATCH(I$2,Inputs!$K$4:$AJ$4,0))))=0,NA(),SUMPRODUCT((Inputs!$A$5:$A$230=$B95)*Inputs!$B$5:$B$230*(((Inputs!$G$5:$G$230="moeda")+(Inputs!$G$5:$G$230="acoes"))*Inputs!$B$1+((Inputs!$G$5:$G$230&lt;&gt;"moeda")*(Inputs!$G$5:$G$230&lt;&gt;"acoes")))*INDEX(Inputs!$K$5:$AJ$230,0,MATCH(I$2,Inputs!$K$4:$AJ$4,0)))+SUMPRODUCT((Inputs!$C$5:$C$230=$B95)*Inputs!$D$5:$D$230*(((Inputs!$G$5:$G$230="moeda")+(Inputs!$G$5:$G$230="acoes"))*Inputs!$B$1+((Inputs!$G$5:$G$230&lt;&gt;"moeda")*(Inputs!$G$5:$G$230&lt;&gt;"acoes")))*INDEX(Inputs!$K$5:$AJ$230,0,MATCH(I$2,Inputs!$K$4:$AJ$4,0)))+SUMPRODUCT((Inputs!$E$5:$E$230=$B95)*Inputs!$F$5:$F$230*(((Inputs!$G$5:$G$230="moeda")+(Inputs!$G$5:$G$230="acoes"))*Inputs!$B$1+((Inputs!$G$5:$G$230&lt;&gt;"moeda")*(Inputs!$G$5:$G$230&lt;&gt;"acoes")))*INDEX(Inputs!$K$5:$AJ$230,0,MATCH(I$2,Inputs!$K$4:$AJ$4,0)))))</f>
        <v>18.251</v>
      </c>
      <c r="J95" s="6">
        <f>IF(ISNA(MATCH(J$2,Inputs!$K$4:$AJ$4,0)),NA(),IF(SUMPRODUCT((Inputs!$A$5:$A$230=$B95)*ISNUMBER(INDEX(Inputs!$K$5:$AJ$230,0,MATCH(J$2,Inputs!$K$4:$AJ$4,0))))+SUMPRODUCT((Inputs!$C$5:$C$230=$B95)*ISNUMBER(INDEX(Inputs!$K$5:$AJ$230,0,MATCH(J$2,Inputs!$K$4:$AJ$4,0))))+SUMPRODUCT((Inputs!$E$5:$E$230=$B95)*ISNUMBER(INDEX(Inputs!$K$5:$AJ$230,0,MATCH(J$2,Inputs!$K$4:$AJ$4,0))))=0,NA(),SUMPRODUCT((Inputs!$A$5:$A$230=$B95)*Inputs!$B$5:$B$230*(((Inputs!$G$5:$G$230="moeda")+(Inputs!$G$5:$G$230="acoes"))*Inputs!$B$1+((Inputs!$G$5:$G$230&lt;&gt;"moeda")*(Inputs!$G$5:$G$230&lt;&gt;"acoes")))*INDEX(Inputs!$K$5:$AJ$230,0,MATCH(J$2,Inputs!$K$4:$AJ$4,0)))+SUMPRODUCT((Inputs!$C$5:$C$230=$B95)*Inputs!$D$5:$D$230*(((Inputs!$G$5:$G$230="moeda")+(Inputs!$G$5:$G$230="acoes"))*Inputs!$B$1+((Inputs!$G$5:$G$230&lt;&gt;"moeda")*(Inputs!$G$5:$G$230&lt;&gt;"acoes")))*INDEX(Inputs!$K$5:$AJ$230,0,MATCH(J$2,Inputs!$K$4:$AJ$4,0)))+SUMPRODUCT((Inputs!$E$5:$E$230=$B95)*Inputs!$F$5:$F$230*(((Inputs!$G$5:$G$230="moeda")+(Inputs!$G$5:$G$230="acoes"))*Inputs!$B$1+((Inputs!$G$5:$G$230&lt;&gt;"moeda")*(Inputs!$G$5:$G$230&lt;&gt;"acoes")))*INDEX(Inputs!$K$5:$AJ$230,0,MATCH(J$2,Inputs!$K$4:$AJ$4,0)))))</f>
        <v>17.015</v>
      </c>
      <c r="K95" s="6">
        <f>IF(ISNA(MATCH(K$2,Inputs!$K$4:$AJ$4,0)),NA(),IF(SUMPRODUCT((Inputs!$A$5:$A$230=$B95)*ISNUMBER(INDEX(Inputs!$K$5:$AJ$230,0,MATCH(K$2,Inputs!$K$4:$AJ$4,0))))+SUMPRODUCT((Inputs!$C$5:$C$230=$B95)*ISNUMBER(INDEX(Inputs!$K$5:$AJ$230,0,MATCH(K$2,Inputs!$K$4:$AJ$4,0))))+SUMPRODUCT((Inputs!$E$5:$E$230=$B95)*ISNUMBER(INDEX(Inputs!$K$5:$AJ$230,0,MATCH(K$2,Inputs!$K$4:$AJ$4,0))))=0,NA(),SUMPRODUCT((Inputs!$A$5:$A$230=$B95)*Inputs!$B$5:$B$230*(((Inputs!$G$5:$G$230="moeda")+(Inputs!$G$5:$G$230="acoes"))*Inputs!$B$1+((Inputs!$G$5:$G$230&lt;&gt;"moeda")*(Inputs!$G$5:$G$230&lt;&gt;"acoes")))*INDEX(Inputs!$K$5:$AJ$230,0,MATCH(K$2,Inputs!$K$4:$AJ$4,0)))+SUMPRODUCT((Inputs!$C$5:$C$230=$B95)*Inputs!$D$5:$D$230*(((Inputs!$G$5:$G$230="moeda")+(Inputs!$G$5:$G$230="acoes"))*Inputs!$B$1+((Inputs!$G$5:$G$230&lt;&gt;"moeda")*(Inputs!$G$5:$G$230&lt;&gt;"acoes")))*INDEX(Inputs!$K$5:$AJ$230,0,MATCH(K$2,Inputs!$K$4:$AJ$4,0)))+SUMPRODUCT((Inputs!$E$5:$E$230=$B95)*Inputs!$F$5:$F$230*(((Inputs!$G$5:$G$230="moeda")+(Inputs!$G$5:$G$230="acoes"))*Inputs!$B$1+((Inputs!$G$5:$G$230&lt;&gt;"moeda")*(Inputs!$G$5:$G$230&lt;&gt;"acoes")))*INDEX(Inputs!$K$5:$AJ$230,0,MATCH(K$2,Inputs!$K$4:$AJ$4,0)))))</f>
        <v>12.22</v>
      </c>
      <c r="L95" s="6">
        <f>IF(ISNA(MATCH(L$2,Inputs!$K$4:$AJ$4,0)),NA(),IF(SUMPRODUCT((Inputs!$A$5:$A$230=$B95)*ISNUMBER(INDEX(Inputs!$K$5:$AJ$230,0,MATCH(L$2,Inputs!$K$4:$AJ$4,0))))+SUMPRODUCT((Inputs!$C$5:$C$230=$B95)*ISNUMBER(INDEX(Inputs!$K$5:$AJ$230,0,MATCH(L$2,Inputs!$K$4:$AJ$4,0))))+SUMPRODUCT((Inputs!$E$5:$E$230=$B95)*ISNUMBER(INDEX(Inputs!$K$5:$AJ$230,0,MATCH(L$2,Inputs!$K$4:$AJ$4,0))))=0,NA(),SUMPRODUCT((Inputs!$A$5:$A$230=$B95)*Inputs!$B$5:$B$230*(((Inputs!$G$5:$G$230="moeda")+(Inputs!$G$5:$G$230="acoes"))*Inputs!$B$1+((Inputs!$G$5:$G$230&lt;&gt;"moeda")*(Inputs!$G$5:$G$230&lt;&gt;"acoes")))*INDEX(Inputs!$K$5:$AJ$230,0,MATCH(L$2,Inputs!$K$4:$AJ$4,0)))+SUMPRODUCT((Inputs!$C$5:$C$230=$B95)*Inputs!$D$5:$D$230*(((Inputs!$G$5:$G$230="moeda")+(Inputs!$G$5:$G$230="acoes"))*Inputs!$B$1+((Inputs!$G$5:$G$230&lt;&gt;"moeda")*(Inputs!$G$5:$G$230&lt;&gt;"acoes")))*INDEX(Inputs!$K$5:$AJ$230,0,MATCH(L$2,Inputs!$K$4:$AJ$4,0)))+SUMPRODUCT((Inputs!$E$5:$E$230=$B95)*Inputs!$F$5:$F$230*(((Inputs!$G$5:$G$230="moeda")+(Inputs!$G$5:$G$230="acoes"))*Inputs!$B$1+((Inputs!$G$5:$G$230&lt;&gt;"moeda")*(Inputs!$G$5:$G$230&lt;&gt;"acoes")))*INDEX(Inputs!$K$5:$AJ$230,0,MATCH(L$2,Inputs!$K$4:$AJ$4,0)))))</f>
        <v>19.527</v>
      </c>
      <c r="M95" s="3">
        <f>SUM(I95:L95)</f>
        <v>67.013</v>
      </c>
      <c r="N95" s="6">
        <f>IF(ISNA(MATCH(N$2,Inputs!$K$4:$AJ$4,0)),NA(),IF(SUMPRODUCT((Inputs!$A$5:$A$230=$B95)*ISNUMBER(INDEX(Inputs!$K$5:$AJ$230,0,MATCH(N$2,Inputs!$K$4:$AJ$4,0))))+SUMPRODUCT((Inputs!$C$5:$C$230=$B95)*ISNUMBER(INDEX(Inputs!$K$5:$AJ$230,0,MATCH(N$2,Inputs!$K$4:$AJ$4,0))))+SUMPRODUCT((Inputs!$E$5:$E$230=$B95)*ISNUMBER(INDEX(Inputs!$K$5:$AJ$230,0,MATCH(N$2,Inputs!$K$4:$AJ$4,0))))=0,NA(),SUMPRODUCT((Inputs!$A$5:$A$230=$B95)*Inputs!$B$5:$B$230*(((Inputs!$G$5:$G$230="moeda")+(Inputs!$G$5:$G$230="acoes"))*Inputs!$B$1+((Inputs!$G$5:$G$230&lt;&gt;"moeda")*(Inputs!$G$5:$G$230&lt;&gt;"acoes")))*INDEX(Inputs!$K$5:$AJ$230,0,MATCH(N$2,Inputs!$K$4:$AJ$4,0)))+SUMPRODUCT((Inputs!$C$5:$C$230=$B95)*Inputs!$D$5:$D$230*(((Inputs!$G$5:$G$230="moeda")+(Inputs!$G$5:$G$230="acoes"))*Inputs!$B$1+((Inputs!$G$5:$G$230&lt;&gt;"moeda")*(Inputs!$G$5:$G$230&lt;&gt;"acoes")))*INDEX(Inputs!$K$5:$AJ$230,0,MATCH(N$2,Inputs!$K$4:$AJ$4,0)))+SUMPRODUCT((Inputs!$E$5:$E$230=$B95)*Inputs!$F$5:$F$230*(((Inputs!$G$5:$G$230="moeda")+(Inputs!$G$5:$G$230="acoes"))*Inputs!$B$1+((Inputs!$G$5:$G$230&lt;&gt;"moeda")*(Inputs!$G$5:$G$230&lt;&gt;"acoes")))*INDEX(Inputs!$K$5:$AJ$230,0,MATCH(N$2,Inputs!$K$4:$AJ$4,0)))))</f>
        <v>31.933</v>
      </c>
      <c r="O95" s="6">
        <f>IF(ISNA(MATCH(O$2,Inputs!$K$4:$AJ$4,0)),NA(),IF(SUMPRODUCT((Inputs!$A$5:$A$230=$B95)*ISNUMBER(INDEX(Inputs!$K$5:$AJ$230,0,MATCH(O$2,Inputs!$K$4:$AJ$4,0))))+SUMPRODUCT((Inputs!$C$5:$C$230=$B95)*ISNUMBER(INDEX(Inputs!$K$5:$AJ$230,0,MATCH(O$2,Inputs!$K$4:$AJ$4,0))))+SUMPRODUCT((Inputs!$E$5:$E$230=$B95)*ISNUMBER(INDEX(Inputs!$K$5:$AJ$230,0,MATCH(O$2,Inputs!$K$4:$AJ$4,0))))=0,NA(),SUMPRODUCT((Inputs!$A$5:$A$230=$B95)*Inputs!$B$5:$B$230*(((Inputs!$G$5:$G$230="moeda")+(Inputs!$G$5:$G$230="acoes"))*Inputs!$B$1+((Inputs!$G$5:$G$230&lt;&gt;"moeda")*(Inputs!$G$5:$G$230&lt;&gt;"acoes")))*INDEX(Inputs!$K$5:$AJ$230,0,MATCH(O$2,Inputs!$K$4:$AJ$4,0)))+SUMPRODUCT((Inputs!$C$5:$C$230=$B95)*Inputs!$D$5:$D$230*(((Inputs!$G$5:$G$230="moeda")+(Inputs!$G$5:$G$230="acoes"))*Inputs!$B$1+((Inputs!$G$5:$G$230&lt;&gt;"moeda")*(Inputs!$G$5:$G$230&lt;&gt;"acoes")))*INDEX(Inputs!$K$5:$AJ$230,0,MATCH(O$2,Inputs!$K$4:$AJ$4,0)))+SUMPRODUCT((Inputs!$E$5:$E$230=$B95)*Inputs!$F$5:$F$230*(((Inputs!$G$5:$G$230="moeda")+(Inputs!$G$5:$G$230="acoes"))*Inputs!$B$1+((Inputs!$G$5:$G$230&lt;&gt;"moeda")*(Inputs!$G$5:$G$230&lt;&gt;"acoes")))*INDEX(Inputs!$K$5:$AJ$230,0,MATCH(O$2,Inputs!$K$4:$AJ$4,0)))))</f>
        <v>22.109</v>
      </c>
      <c r="P95" s="6">
        <f>IF(ISNA(MATCH(P$2,Inputs!$K$4:$AJ$4,0)),NA(),IF(SUMPRODUCT((Inputs!$A$5:$A$230=$B95)*ISNUMBER(INDEX(Inputs!$K$5:$AJ$230,0,MATCH(P$2,Inputs!$K$4:$AJ$4,0))))+SUMPRODUCT((Inputs!$C$5:$C$230=$B95)*ISNUMBER(INDEX(Inputs!$K$5:$AJ$230,0,MATCH(P$2,Inputs!$K$4:$AJ$4,0))))+SUMPRODUCT((Inputs!$E$5:$E$230=$B95)*ISNUMBER(INDEX(Inputs!$K$5:$AJ$230,0,MATCH(P$2,Inputs!$K$4:$AJ$4,0))))=0,NA(),SUMPRODUCT((Inputs!$A$5:$A$230=$B95)*Inputs!$B$5:$B$230*(((Inputs!$G$5:$G$230="moeda")+(Inputs!$G$5:$G$230="acoes"))*Inputs!$B$1+((Inputs!$G$5:$G$230&lt;&gt;"moeda")*(Inputs!$G$5:$G$230&lt;&gt;"acoes")))*INDEX(Inputs!$K$5:$AJ$230,0,MATCH(P$2,Inputs!$K$4:$AJ$4,0)))+SUMPRODUCT((Inputs!$C$5:$C$230=$B95)*Inputs!$D$5:$D$230*(((Inputs!$G$5:$G$230="moeda")+(Inputs!$G$5:$G$230="acoes"))*Inputs!$B$1+((Inputs!$G$5:$G$230&lt;&gt;"moeda")*(Inputs!$G$5:$G$230&lt;&gt;"acoes")))*INDEX(Inputs!$K$5:$AJ$230,0,MATCH(P$2,Inputs!$K$4:$AJ$4,0)))+SUMPRODUCT((Inputs!$E$5:$E$230=$B95)*Inputs!$F$5:$F$230*(((Inputs!$G$5:$G$230="moeda")+(Inputs!$G$5:$G$230="acoes"))*Inputs!$B$1+((Inputs!$G$5:$G$230&lt;&gt;"moeda")*(Inputs!$G$5:$G$230&lt;&gt;"acoes")))*INDEX(Inputs!$K$5:$AJ$230,0,MATCH(P$2,Inputs!$K$4:$AJ$4,0)))))</f>
        <v>34.221</v>
      </c>
      <c r="Q95" s="6">
        <f>IF(ISNA(MATCH(Q$2,Inputs!$K$4:$AJ$4,0)),NA(),IF(SUMPRODUCT((Inputs!$A$5:$A$230=$B95)*ISNUMBER(INDEX(Inputs!$K$5:$AJ$230,0,MATCH(Q$2,Inputs!$K$4:$AJ$4,0))))+SUMPRODUCT((Inputs!$C$5:$C$230=$B95)*ISNUMBER(INDEX(Inputs!$K$5:$AJ$230,0,MATCH(Q$2,Inputs!$K$4:$AJ$4,0))))+SUMPRODUCT((Inputs!$E$5:$E$230=$B95)*ISNUMBER(INDEX(Inputs!$K$5:$AJ$230,0,MATCH(Q$2,Inputs!$K$4:$AJ$4,0))))=0,NA(),SUMPRODUCT((Inputs!$A$5:$A$230=$B95)*Inputs!$B$5:$B$230*(((Inputs!$G$5:$G$230="moeda")+(Inputs!$G$5:$G$230="acoes"))*Inputs!$B$1+((Inputs!$G$5:$G$230&lt;&gt;"moeda")*(Inputs!$G$5:$G$230&lt;&gt;"acoes")))*INDEX(Inputs!$K$5:$AJ$230,0,MATCH(Q$2,Inputs!$K$4:$AJ$4,0)))+SUMPRODUCT((Inputs!$C$5:$C$230=$B95)*Inputs!$D$5:$D$230*(((Inputs!$G$5:$G$230="moeda")+(Inputs!$G$5:$G$230="acoes"))*Inputs!$B$1+((Inputs!$G$5:$G$230&lt;&gt;"moeda")*(Inputs!$G$5:$G$230&lt;&gt;"acoes")))*INDEX(Inputs!$K$5:$AJ$230,0,MATCH(Q$2,Inputs!$K$4:$AJ$4,0)))+SUMPRODUCT((Inputs!$E$5:$E$230=$B95)*Inputs!$F$5:$F$230*(((Inputs!$G$5:$G$230="moeda")+(Inputs!$G$5:$G$230="acoes"))*Inputs!$B$1+((Inputs!$G$5:$G$230&lt;&gt;"moeda")*(Inputs!$G$5:$G$230&lt;&gt;"acoes")))*INDEX(Inputs!$K$5:$AJ$230,0,MATCH(Q$2,Inputs!$K$4:$AJ$4,0)))))</f>
        <v>23.946</v>
      </c>
      <c r="R95" s="3">
        <f>SUM(N95:Q95)</f>
        <v>112.209</v>
      </c>
      <c r="S95" s="6">
        <f>IF(ISNA(MATCH(S$2,Inputs!$K$4:$AJ$4,0)),NA(),IF(SUMPRODUCT((Inputs!$A$5:$A$230=$B95)*ISNUMBER(INDEX(Inputs!$K$5:$AJ$230,0,MATCH(S$2,Inputs!$K$4:$AJ$4,0))))+SUMPRODUCT((Inputs!$C$5:$C$230=$B95)*ISNUMBER(INDEX(Inputs!$K$5:$AJ$230,0,MATCH(S$2,Inputs!$K$4:$AJ$4,0))))+SUMPRODUCT((Inputs!$E$5:$E$230=$B95)*ISNUMBER(INDEX(Inputs!$K$5:$AJ$230,0,MATCH(S$2,Inputs!$K$4:$AJ$4,0))))=0,NA(),SUMPRODUCT((Inputs!$A$5:$A$230=$B95)*Inputs!$B$5:$B$230*(((Inputs!$G$5:$G$230="moeda")+(Inputs!$G$5:$G$230="acoes"))*Inputs!$B$1+((Inputs!$G$5:$G$230&lt;&gt;"moeda")*(Inputs!$G$5:$G$230&lt;&gt;"acoes")))*INDEX(Inputs!$K$5:$AJ$230,0,MATCH(S$2,Inputs!$K$4:$AJ$4,0)))+SUMPRODUCT((Inputs!$C$5:$C$230=$B95)*Inputs!$D$5:$D$230*(((Inputs!$G$5:$G$230="moeda")+(Inputs!$G$5:$G$230="acoes"))*Inputs!$B$1+((Inputs!$G$5:$G$230&lt;&gt;"moeda")*(Inputs!$G$5:$G$230&lt;&gt;"acoes")))*INDEX(Inputs!$K$5:$AJ$230,0,MATCH(S$2,Inputs!$K$4:$AJ$4,0)))+SUMPRODUCT((Inputs!$E$5:$E$230=$B95)*Inputs!$F$5:$F$230*(((Inputs!$G$5:$G$230="moeda")+(Inputs!$G$5:$G$230="acoes"))*Inputs!$B$1+((Inputs!$G$5:$G$230&lt;&gt;"moeda")*(Inputs!$G$5:$G$230&lt;&gt;"acoes")))*INDEX(Inputs!$K$5:$AJ$230,0,MATCH(S$2,Inputs!$K$4:$AJ$4,0)))))</f>
        <v>29.812</v>
      </c>
      <c r="T95" s="6">
        <f>IF(ISNA(MATCH(T$2,Inputs!$K$4:$AJ$4,0)),NA(),IF(SUMPRODUCT((Inputs!$A$5:$A$230=$B95)*ISNUMBER(INDEX(Inputs!$K$5:$AJ$230,0,MATCH(T$2,Inputs!$K$4:$AJ$4,0))))+SUMPRODUCT((Inputs!$C$5:$C$230=$B95)*ISNUMBER(INDEX(Inputs!$K$5:$AJ$230,0,MATCH(T$2,Inputs!$K$4:$AJ$4,0))))+SUMPRODUCT((Inputs!$E$5:$E$230=$B95)*ISNUMBER(INDEX(Inputs!$K$5:$AJ$230,0,MATCH(T$2,Inputs!$K$4:$AJ$4,0))))=0,NA(),SUMPRODUCT((Inputs!$A$5:$A$230=$B95)*Inputs!$B$5:$B$230*(((Inputs!$G$5:$G$230="moeda")+(Inputs!$G$5:$G$230="acoes"))*Inputs!$B$1+((Inputs!$G$5:$G$230&lt;&gt;"moeda")*(Inputs!$G$5:$G$230&lt;&gt;"acoes")))*INDEX(Inputs!$K$5:$AJ$230,0,MATCH(T$2,Inputs!$K$4:$AJ$4,0)))+SUMPRODUCT((Inputs!$C$5:$C$230=$B95)*Inputs!$D$5:$D$230*(((Inputs!$G$5:$G$230="moeda")+(Inputs!$G$5:$G$230="acoes"))*Inputs!$B$1+((Inputs!$G$5:$G$230&lt;&gt;"moeda")*(Inputs!$G$5:$G$230&lt;&gt;"acoes")))*INDEX(Inputs!$K$5:$AJ$230,0,MATCH(T$2,Inputs!$K$4:$AJ$4,0)))+SUMPRODUCT((Inputs!$E$5:$E$230=$B95)*Inputs!$F$5:$F$230*(((Inputs!$G$5:$G$230="moeda")+(Inputs!$G$5:$G$230="acoes"))*Inputs!$B$1+((Inputs!$G$5:$G$230&lt;&gt;"moeda")*(Inputs!$G$5:$G$230&lt;&gt;"acoes")))*INDEX(Inputs!$K$5:$AJ$230,0,MATCH(T$2,Inputs!$K$4:$AJ$4,0)))))</f>
        <v>23.599</v>
      </c>
      <c r="U95" s="6">
        <f>IF(ISNA(MATCH(U$2,Inputs!$K$4:$AJ$4,0)),NA(),IF(SUMPRODUCT((Inputs!$A$5:$A$230=$B95)*ISNUMBER(INDEX(Inputs!$K$5:$AJ$230,0,MATCH(U$2,Inputs!$K$4:$AJ$4,0))))+SUMPRODUCT((Inputs!$C$5:$C$230=$B95)*ISNUMBER(INDEX(Inputs!$K$5:$AJ$230,0,MATCH(U$2,Inputs!$K$4:$AJ$4,0))))+SUMPRODUCT((Inputs!$E$5:$E$230=$B95)*ISNUMBER(INDEX(Inputs!$K$5:$AJ$230,0,MATCH(U$2,Inputs!$K$4:$AJ$4,0))))=0,NA(),SUMPRODUCT((Inputs!$A$5:$A$230=$B95)*Inputs!$B$5:$B$230*(((Inputs!$G$5:$G$230="moeda")+(Inputs!$G$5:$G$230="acoes"))*Inputs!$B$1+((Inputs!$G$5:$G$230&lt;&gt;"moeda")*(Inputs!$G$5:$G$230&lt;&gt;"acoes")))*INDEX(Inputs!$K$5:$AJ$230,0,MATCH(U$2,Inputs!$K$4:$AJ$4,0)))+SUMPRODUCT((Inputs!$C$5:$C$230=$B95)*Inputs!$D$5:$D$230*(((Inputs!$G$5:$G$230="moeda")+(Inputs!$G$5:$G$230="acoes"))*Inputs!$B$1+((Inputs!$G$5:$G$230&lt;&gt;"moeda")*(Inputs!$G$5:$G$230&lt;&gt;"acoes")))*INDEX(Inputs!$K$5:$AJ$230,0,MATCH(U$2,Inputs!$K$4:$AJ$4,0)))+SUMPRODUCT((Inputs!$E$5:$E$230=$B95)*Inputs!$F$5:$F$230*(((Inputs!$G$5:$G$230="moeda")+(Inputs!$G$5:$G$230="acoes"))*Inputs!$B$1+((Inputs!$G$5:$G$230&lt;&gt;"moeda")*(Inputs!$G$5:$G$230&lt;&gt;"acoes")))*INDEX(Inputs!$K$5:$AJ$230,0,MATCH(U$2,Inputs!$K$4:$AJ$4,0)))))</f>
        <v>16.436</v>
      </c>
      <c r="V95" s="6">
        <f>IF(ISNA(MATCH(V$2,Inputs!$K$4:$AJ$4,0)),NA(),IF(SUMPRODUCT((Inputs!$A$5:$A$230=$B95)*ISNUMBER(INDEX(Inputs!$K$5:$AJ$230,0,MATCH(V$2,Inputs!$K$4:$AJ$4,0))))+SUMPRODUCT((Inputs!$C$5:$C$230=$B95)*ISNUMBER(INDEX(Inputs!$K$5:$AJ$230,0,MATCH(V$2,Inputs!$K$4:$AJ$4,0))))+SUMPRODUCT((Inputs!$E$5:$E$230=$B95)*ISNUMBER(INDEX(Inputs!$K$5:$AJ$230,0,MATCH(V$2,Inputs!$K$4:$AJ$4,0))))=0,NA(),SUMPRODUCT((Inputs!$A$5:$A$230=$B95)*Inputs!$B$5:$B$230*(((Inputs!$G$5:$G$230="moeda")+(Inputs!$G$5:$G$230="acoes"))*Inputs!$B$1+((Inputs!$G$5:$G$230&lt;&gt;"moeda")*(Inputs!$G$5:$G$230&lt;&gt;"acoes")))*INDEX(Inputs!$K$5:$AJ$230,0,MATCH(V$2,Inputs!$K$4:$AJ$4,0)))+SUMPRODUCT((Inputs!$C$5:$C$230=$B95)*Inputs!$D$5:$D$230*(((Inputs!$G$5:$G$230="moeda")+(Inputs!$G$5:$G$230="acoes"))*Inputs!$B$1+((Inputs!$G$5:$G$230&lt;&gt;"moeda")*(Inputs!$G$5:$G$230&lt;&gt;"acoes")))*INDEX(Inputs!$K$5:$AJ$230,0,MATCH(V$2,Inputs!$K$4:$AJ$4,0)))+SUMPRODUCT((Inputs!$E$5:$E$230=$B95)*Inputs!$F$5:$F$230*(((Inputs!$G$5:$G$230="moeda")+(Inputs!$G$5:$G$230="acoes"))*Inputs!$B$1+((Inputs!$G$5:$G$230&lt;&gt;"moeda")*(Inputs!$G$5:$G$230&lt;&gt;"acoes")))*INDEX(Inputs!$K$5:$AJ$230,0,MATCH(V$2,Inputs!$K$4:$AJ$4,0)))))</f>
        <v>26.498</v>
      </c>
      <c r="W95" s="3">
        <f>SUM(S95:V95)</f>
        <v>96.345</v>
      </c>
      <c r="X95" s="6">
        <f>IF(ISNA(MATCH(X$2,Inputs!$K$4:$AJ$4,0)),NA(),IF(SUMPRODUCT((Inputs!$A$5:$A$230=$B95)*ISNUMBER(INDEX(Inputs!$K$5:$AJ$230,0,MATCH(X$2,Inputs!$K$4:$AJ$4,0))))+SUMPRODUCT((Inputs!$C$5:$C$230=$B95)*ISNUMBER(INDEX(Inputs!$K$5:$AJ$230,0,MATCH(X$2,Inputs!$K$4:$AJ$4,0))))+SUMPRODUCT((Inputs!$E$5:$E$230=$B95)*ISNUMBER(INDEX(Inputs!$K$5:$AJ$230,0,MATCH(X$2,Inputs!$K$4:$AJ$4,0))))=0,NA(),SUMPRODUCT((Inputs!$A$5:$A$230=$B95)*Inputs!$B$5:$B$230*(((Inputs!$G$5:$G$230="moeda")+(Inputs!$G$5:$G$230="acoes"))*Inputs!$B$1+((Inputs!$G$5:$G$230&lt;&gt;"moeda")*(Inputs!$G$5:$G$230&lt;&gt;"acoes")))*INDEX(Inputs!$K$5:$AJ$230,0,MATCH(X$2,Inputs!$K$4:$AJ$4,0)))+SUMPRODUCT((Inputs!$C$5:$C$230=$B95)*Inputs!$D$5:$D$230*(((Inputs!$G$5:$G$230="moeda")+(Inputs!$G$5:$G$230="acoes"))*Inputs!$B$1+((Inputs!$G$5:$G$230&lt;&gt;"moeda")*(Inputs!$G$5:$G$230&lt;&gt;"acoes")))*INDEX(Inputs!$K$5:$AJ$230,0,MATCH(X$2,Inputs!$K$4:$AJ$4,0)))+SUMPRODUCT((Inputs!$E$5:$E$230=$B95)*Inputs!$F$5:$F$230*(((Inputs!$G$5:$G$230="moeda")+(Inputs!$G$5:$G$230="acoes"))*Inputs!$B$1+((Inputs!$G$5:$G$230&lt;&gt;"moeda")*(Inputs!$G$5:$G$230&lt;&gt;"acoes")))*INDEX(Inputs!$K$5:$AJ$230,0,MATCH(X$2,Inputs!$K$4:$AJ$4,0)))))</f>
        <v>35.092</v>
      </c>
      <c r="Y95" s="6">
        <f>IF(ISNA(MATCH(Y$2,Inputs!$K$4:$AJ$4,0)),NA(),IF(SUMPRODUCT((Inputs!$A$5:$A$230=$B95)*ISNUMBER(INDEX(Inputs!$K$5:$AJ$230,0,MATCH(Y$2,Inputs!$K$4:$AJ$4,0))))+SUMPRODUCT((Inputs!$C$5:$C$230=$B95)*ISNUMBER(INDEX(Inputs!$K$5:$AJ$230,0,MATCH(Y$2,Inputs!$K$4:$AJ$4,0))))+SUMPRODUCT((Inputs!$E$5:$E$230=$B95)*ISNUMBER(INDEX(Inputs!$K$5:$AJ$230,0,MATCH(Y$2,Inputs!$K$4:$AJ$4,0))))=0,NA(),SUMPRODUCT((Inputs!$A$5:$A$230=$B95)*Inputs!$B$5:$B$230*(((Inputs!$G$5:$G$230="moeda")+(Inputs!$G$5:$G$230="acoes"))*Inputs!$B$1+((Inputs!$G$5:$G$230&lt;&gt;"moeda")*(Inputs!$G$5:$G$230&lt;&gt;"acoes")))*INDEX(Inputs!$K$5:$AJ$230,0,MATCH(Y$2,Inputs!$K$4:$AJ$4,0)))+SUMPRODUCT((Inputs!$C$5:$C$230=$B95)*Inputs!$D$5:$D$230*(((Inputs!$G$5:$G$230="moeda")+(Inputs!$G$5:$G$230="acoes"))*Inputs!$B$1+((Inputs!$G$5:$G$230&lt;&gt;"moeda")*(Inputs!$G$5:$G$230&lt;&gt;"acoes")))*INDEX(Inputs!$K$5:$AJ$230,0,MATCH(Y$2,Inputs!$K$4:$AJ$4,0)))+SUMPRODUCT((Inputs!$E$5:$E$230=$B95)*Inputs!$F$5:$F$230*(((Inputs!$G$5:$G$230="moeda")+(Inputs!$G$5:$G$230="acoes"))*Inputs!$B$1+((Inputs!$G$5:$G$230&lt;&gt;"moeda")*(Inputs!$G$5:$G$230&lt;&gt;"acoes")))*INDEX(Inputs!$K$5:$AJ$230,0,MATCH(Y$2,Inputs!$K$4:$AJ$4,0)))))</f>
        <v>34.145</v>
      </c>
      <c r="Z95" s="6">
        <f>IF(ISNA(MATCH(Z$2,Inputs!$K$4:$AJ$4,0)),NA(),IF(SUMPRODUCT((Inputs!$A$5:$A$230=$B95)*ISNUMBER(INDEX(Inputs!$K$5:$AJ$230,0,MATCH(Z$2,Inputs!$K$4:$AJ$4,0))))+SUMPRODUCT((Inputs!$C$5:$C$230=$B95)*ISNUMBER(INDEX(Inputs!$K$5:$AJ$230,0,MATCH(Z$2,Inputs!$K$4:$AJ$4,0))))+SUMPRODUCT((Inputs!$E$5:$E$230=$B95)*ISNUMBER(INDEX(Inputs!$K$5:$AJ$230,0,MATCH(Z$2,Inputs!$K$4:$AJ$4,0))))=0,NA(),SUMPRODUCT((Inputs!$A$5:$A$230=$B95)*Inputs!$B$5:$B$230*(((Inputs!$G$5:$G$230="moeda")+(Inputs!$G$5:$G$230="acoes"))*Inputs!$B$1+((Inputs!$G$5:$G$230&lt;&gt;"moeda")*(Inputs!$G$5:$G$230&lt;&gt;"acoes")))*INDEX(Inputs!$K$5:$AJ$230,0,MATCH(Z$2,Inputs!$K$4:$AJ$4,0)))+SUMPRODUCT((Inputs!$C$5:$C$230=$B95)*Inputs!$D$5:$D$230*(((Inputs!$G$5:$G$230="moeda")+(Inputs!$G$5:$G$230="acoes"))*Inputs!$B$1+((Inputs!$G$5:$G$230&lt;&gt;"moeda")*(Inputs!$G$5:$G$230&lt;&gt;"acoes")))*INDEX(Inputs!$K$5:$AJ$230,0,MATCH(Z$2,Inputs!$K$4:$AJ$4,0)))+SUMPRODUCT((Inputs!$E$5:$E$230=$B95)*Inputs!$F$5:$F$230*(((Inputs!$G$5:$G$230="moeda")+(Inputs!$G$5:$G$230="acoes"))*Inputs!$B$1+((Inputs!$G$5:$G$230&lt;&gt;"moeda")*(Inputs!$G$5:$G$230&lt;&gt;"acoes")))*INDEX(Inputs!$K$5:$AJ$230,0,MATCH(Z$2,Inputs!$K$4:$AJ$4,0)))))</f>
        <v>22.968</v>
      </c>
      <c r="AA95" s="6">
        <f>IF(ISNA(MATCH(AA$2,Inputs!$K$4:$AJ$4,0)),NA(),IF(SUMPRODUCT((Inputs!$A$5:$A$230=$B95)*ISNUMBER(INDEX(Inputs!$K$5:$AJ$230,0,MATCH(AA$2,Inputs!$K$4:$AJ$4,0))))+SUMPRODUCT((Inputs!$C$5:$C$230=$B95)*ISNUMBER(INDEX(Inputs!$K$5:$AJ$230,0,MATCH(AA$2,Inputs!$K$4:$AJ$4,0))))+SUMPRODUCT((Inputs!$E$5:$E$230=$B95)*ISNUMBER(INDEX(Inputs!$K$5:$AJ$230,0,MATCH(AA$2,Inputs!$K$4:$AJ$4,0))))=0,NA(),SUMPRODUCT((Inputs!$A$5:$A$230=$B95)*Inputs!$B$5:$B$230*(((Inputs!$G$5:$G$230="moeda")+(Inputs!$G$5:$G$230="acoes"))*Inputs!$B$1+((Inputs!$G$5:$G$230&lt;&gt;"moeda")*(Inputs!$G$5:$G$230&lt;&gt;"acoes")))*INDEX(Inputs!$K$5:$AJ$230,0,MATCH(AA$2,Inputs!$K$4:$AJ$4,0)))+SUMPRODUCT((Inputs!$C$5:$C$230=$B95)*Inputs!$D$5:$D$230*(((Inputs!$G$5:$G$230="moeda")+(Inputs!$G$5:$G$230="acoes"))*Inputs!$B$1+((Inputs!$G$5:$G$230&lt;&gt;"moeda")*(Inputs!$G$5:$G$230&lt;&gt;"acoes")))*INDEX(Inputs!$K$5:$AJ$230,0,MATCH(AA$2,Inputs!$K$4:$AJ$4,0)))+SUMPRODUCT((Inputs!$E$5:$E$230=$B95)*Inputs!$F$5:$F$230*(((Inputs!$G$5:$G$230="moeda")+(Inputs!$G$5:$G$230="acoes"))*Inputs!$B$1+((Inputs!$G$5:$G$230&lt;&gt;"moeda")*(Inputs!$G$5:$G$230&lt;&gt;"acoes")))*INDEX(Inputs!$K$5:$AJ$230,0,MATCH(AA$2,Inputs!$K$4:$AJ$4,0)))))</f>
        <v>27.932</v>
      </c>
      <c r="AB95" s="3">
        <f>SUM(X95:AA95)</f>
        <v>120.137</v>
      </c>
      <c r="AC95" s="6">
        <f>IF(ISNA(MATCH(AC$2,Inputs!$K$4:$AJ$4,0)),NA(),IF(SUMPRODUCT((Inputs!$A$5:$A$230=$B95)*ISNUMBER(INDEX(Inputs!$K$5:$AJ$230,0,MATCH(AC$2,Inputs!$K$4:$AJ$4,0))))+SUMPRODUCT((Inputs!$C$5:$C$230=$B95)*ISNUMBER(INDEX(Inputs!$K$5:$AJ$230,0,MATCH(AC$2,Inputs!$K$4:$AJ$4,0))))+SUMPRODUCT((Inputs!$E$5:$E$230=$B95)*ISNUMBER(INDEX(Inputs!$K$5:$AJ$230,0,MATCH(AC$2,Inputs!$K$4:$AJ$4,0))))=0,NA(),SUMPRODUCT((Inputs!$A$5:$A$230=$B95)*Inputs!$B$5:$B$230*(((Inputs!$G$5:$G$230="moeda")+(Inputs!$G$5:$G$230="acoes"))*Inputs!$B$1+((Inputs!$G$5:$G$230&lt;&gt;"moeda")*(Inputs!$G$5:$G$230&lt;&gt;"acoes")))*INDEX(Inputs!$K$5:$AJ$230,0,MATCH(AC$2,Inputs!$K$4:$AJ$4,0)))+SUMPRODUCT((Inputs!$C$5:$C$230=$B95)*Inputs!$D$5:$D$230*(((Inputs!$G$5:$G$230="moeda")+(Inputs!$G$5:$G$230="acoes"))*Inputs!$B$1+((Inputs!$G$5:$G$230&lt;&gt;"moeda")*(Inputs!$G$5:$G$230&lt;&gt;"acoes")))*INDEX(Inputs!$K$5:$AJ$230,0,MATCH(AC$2,Inputs!$K$4:$AJ$4,0)))+SUMPRODUCT((Inputs!$E$5:$E$230=$B95)*Inputs!$F$5:$F$230*(((Inputs!$G$5:$G$230="moeda")+(Inputs!$G$5:$G$230="acoes"))*Inputs!$B$1+((Inputs!$G$5:$G$230&lt;&gt;"moeda")*(Inputs!$G$5:$G$230&lt;&gt;"acoes")))*INDEX(Inputs!$K$5:$AJ$230,0,MATCH(AC$2,Inputs!$K$4:$AJ$4,0)))))</f>
        <v>52.247</v>
      </c>
      <c r="AD95" s="6">
        <f>IF(ISNA(MATCH(AD$2,Inputs!$K$4:$AJ$4,0)),NA(),IF(SUMPRODUCT((Inputs!$A$5:$A$230=$B95)*ISNUMBER(INDEX(Inputs!$K$5:$AJ$230,0,MATCH(AD$2,Inputs!$K$4:$AJ$4,0))))+SUMPRODUCT((Inputs!$C$5:$C$230=$B95)*ISNUMBER(INDEX(Inputs!$K$5:$AJ$230,0,MATCH(AD$2,Inputs!$K$4:$AJ$4,0))))+SUMPRODUCT((Inputs!$E$5:$E$230=$B95)*ISNUMBER(INDEX(Inputs!$K$5:$AJ$230,0,MATCH(AD$2,Inputs!$K$4:$AJ$4,0))))=0,NA(),SUMPRODUCT((Inputs!$A$5:$A$230=$B95)*Inputs!$B$5:$B$230*(((Inputs!$G$5:$G$230="moeda")+(Inputs!$G$5:$G$230="acoes"))*Inputs!$B$1+((Inputs!$G$5:$G$230&lt;&gt;"moeda")*(Inputs!$G$5:$G$230&lt;&gt;"acoes")))*INDEX(Inputs!$K$5:$AJ$230,0,MATCH(AD$2,Inputs!$K$4:$AJ$4,0)))+SUMPRODUCT((Inputs!$C$5:$C$230=$B95)*Inputs!$D$5:$D$230*(((Inputs!$G$5:$G$230="moeda")+(Inputs!$G$5:$G$230="acoes"))*Inputs!$B$1+((Inputs!$G$5:$G$230&lt;&gt;"moeda")*(Inputs!$G$5:$G$230&lt;&gt;"acoes")))*INDEX(Inputs!$K$5:$AJ$230,0,MATCH(AD$2,Inputs!$K$4:$AJ$4,0)))+SUMPRODUCT((Inputs!$E$5:$E$230=$B95)*Inputs!$F$5:$F$230*(((Inputs!$G$5:$G$230="moeda")+(Inputs!$G$5:$G$230="acoes"))*Inputs!$B$1+((Inputs!$G$5:$G$230&lt;&gt;"moeda")*(Inputs!$G$5:$G$230&lt;&gt;"acoes")))*INDEX(Inputs!$K$5:$AJ$230,0,MATCH(AD$2,Inputs!$K$4:$AJ$4,0)))))</f>
        <v>33.452</v>
      </c>
      <c r="AE95" s="6" t="e">
        <f>IF(ISNA(MATCH(AE$2,Inputs!$K$4:$AJ$4,0)),NA(),IF(SUMPRODUCT((Inputs!$A$5:$A$230=$B95)*ISNUMBER(INDEX(Inputs!$K$5:$AJ$230,0,MATCH(AE$2,Inputs!$K$4:$AJ$4,0))))+SUMPRODUCT((Inputs!$C$5:$C$230=$B95)*ISNUMBER(INDEX(Inputs!$K$5:$AJ$230,0,MATCH(AE$2,Inputs!$K$4:$AJ$4,0))))+SUMPRODUCT((Inputs!$E$5:$E$230=$B95)*ISNUMBER(INDEX(Inputs!$K$5:$AJ$230,0,MATCH(AE$2,Inputs!$K$4:$AJ$4,0))))=0,NA(),SUMPRODUCT((Inputs!$A$5:$A$230=$B95)*Inputs!$B$5:$B$230*(((Inputs!$G$5:$G$230="moeda")+(Inputs!$G$5:$G$230="acoes"))*Inputs!$B$1+((Inputs!$G$5:$G$230&lt;&gt;"moeda")*(Inputs!$G$5:$G$230&lt;&gt;"acoes")))*INDEX(Inputs!$K$5:$AJ$230,0,MATCH(AE$2,Inputs!$K$4:$AJ$4,0)))+SUMPRODUCT((Inputs!$C$5:$C$230=$B95)*Inputs!$D$5:$D$230*(((Inputs!$G$5:$G$230="moeda")+(Inputs!$G$5:$G$230="acoes"))*Inputs!$B$1+((Inputs!$G$5:$G$230&lt;&gt;"moeda")*(Inputs!$G$5:$G$230&lt;&gt;"acoes")))*INDEX(Inputs!$K$5:$AJ$230,0,MATCH(AE$2,Inputs!$K$4:$AJ$4,0)))+SUMPRODUCT((Inputs!$E$5:$E$230=$B95)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5" s="6" t="e">
        <f>IF(ISNA(MATCH(AF$2,Inputs!$K$4:$AJ$4,0)),NA(),IF(SUMPRODUCT((Inputs!$A$5:$A$230=$B95)*ISNUMBER(INDEX(Inputs!$K$5:$AJ$230,0,MATCH(AF$2,Inputs!$K$4:$AJ$4,0))))+SUMPRODUCT((Inputs!$C$5:$C$230=$B95)*ISNUMBER(INDEX(Inputs!$K$5:$AJ$230,0,MATCH(AF$2,Inputs!$K$4:$AJ$4,0))))+SUMPRODUCT((Inputs!$E$5:$E$230=$B95)*ISNUMBER(INDEX(Inputs!$K$5:$AJ$230,0,MATCH(AF$2,Inputs!$K$4:$AJ$4,0))))=0,NA(),SUMPRODUCT((Inputs!$A$5:$A$230=$B95)*Inputs!$B$5:$B$230*(((Inputs!$G$5:$G$230="moeda")+(Inputs!$G$5:$G$230="acoes"))*Inputs!$B$1+((Inputs!$G$5:$G$230&lt;&gt;"moeda")*(Inputs!$G$5:$G$230&lt;&gt;"acoes")))*INDEX(Inputs!$K$5:$AJ$230,0,MATCH(AF$2,Inputs!$K$4:$AJ$4,0)))+SUMPRODUCT((Inputs!$C$5:$C$230=$B95)*Inputs!$D$5:$D$230*(((Inputs!$G$5:$G$230="moeda")+(Inputs!$G$5:$G$230="acoes"))*Inputs!$B$1+((Inputs!$G$5:$G$230&lt;&gt;"moeda")*(Inputs!$G$5:$G$230&lt;&gt;"acoes")))*INDEX(Inputs!$K$5:$AJ$230,0,MATCH(AF$2,Inputs!$K$4:$AJ$4,0)))+SUMPRODUCT((Inputs!$E$5:$E$230=$B95)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5" s="3" t="e">
        <f>SUM(AC95:AF95)</f>
        <v>#N/A</v>
      </c>
      <c r="AH95" s="6">
        <f>IF(ISNA(MATCH(AH$2,Inputs!$K$4:$AJ$4,0)),NA(),IF(SUMPRODUCT((Inputs!$A$5:$A$230=$B95)*ISNUMBER(INDEX(Inputs!$K$5:$AJ$230,0,MATCH(AH$2,Inputs!$K$4:$AJ$4,0))))+SUMPRODUCT((Inputs!$C$5:$C$230=$B95)*ISNUMBER(INDEX(Inputs!$K$5:$AJ$230,0,MATCH(AH$2,Inputs!$K$4:$AJ$4,0))))+SUMPRODUCT((Inputs!$E$5:$E$230=$B95)*ISNUMBER(INDEX(Inputs!$K$5:$AJ$230,0,MATCH(AH$2,Inputs!$K$4:$AJ$4,0))))=0,NA(),SUMPRODUCT((Inputs!$A$5:$A$230=$B95)*Inputs!$B$5:$B$230*(((Inputs!$G$5:$G$230="moeda")+(Inputs!$G$5:$G$230="acoes"))*Inputs!$B$1+((Inputs!$G$5:$G$230&lt;&gt;"moeda")*(Inputs!$G$5:$G$230&lt;&gt;"acoes")))*INDEX(Inputs!$K$5:$AJ$230,0,MATCH(AH$2,Inputs!$K$4:$AJ$4,0)))+SUMPRODUCT((Inputs!$C$5:$C$230=$B95)*Inputs!$D$5:$D$230*(((Inputs!$G$5:$G$230="moeda")+(Inputs!$G$5:$G$230="acoes"))*Inputs!$B$1+((Inputs!$G$5:$G$230&lt;&gt;"moeda")*(Inputs!$G$5:$G$230&lt;&gt;"acoes")))*INDEX(Inputs!$K$5:$AJ$230,0,MATCH(AH$2,Inputs!$K$4:$AJ$4,0)))+SUMPRODUCT((Inputs!$E$5:$E$230=$B95)*Inputs!$F$5:$F$230*(((Inputs!$G$5:$G$230="moeda")+(Inputs!$G$5:$G$230="acoes"))*Inputs!$B$1+((Inputs!$G$5:$G$230&lt;&gt;"moeda")*(Inputs!$G$5:$G$230&lt;&gt;"acoes")))*INDEX(Inputs!$K$5:$AJ$230,0,MATCH(AH$2,Inputs!$K$4:$AJ$4,0)))))</f>
        <v>0</v>
      </c>
      <c r="AI95" s="6">
        <f>IF(ISNA(MATCH(AI$2,Inputs!$K$4:$AJ$4,0)),NA(),IF(SUMPRODUCT((Inputs!$A$5:$A$230=$B95)*ISNUMBER(INDEX(Inputs!$K$5:$AJ$230,0,MATCH(AI$2,Inputs!$K$4:$AJ$4,0))))+SUMPRODUCT((Inputs!$C$5:$C$230=$B95)*ISNUMBER(INDEX(Inputs!$K$5:$AJ$230,0,MATCH(AI$2,Inputs!$K$4:$AJ$4,0))))+SUMPRODUCT((Inputs!$E$5:$E$230=$B95)*ISNUMBER(INDEX(Inputs!$K$5:$AJ$230,0,MATCH(AI$2,Inputs!$K$4:$AJ$4,0))))=0,NA(),SUMPRODUCT((Inputs!$A$5:$A$230=$B95)*Inputs!$B$5:$B$230*(((Inputs!$G$5:$G$230="moeda")+(Inputs!$G$5:$G$230="acoes"))*Inputs!$B$1+((Inputs!$G$5:$G$230&lt;&gt;"moeda")*(Inputs!$G$5:$G$230&lt;&gt;"acoes")))*INDEX(Inputs!$K$5:$AJ$230,0,MATCH(AI$2,Inputs!$K$4:$AJ$4,0)))+SUMPRODUCT((Inputs!$C$5:$C$230=$B95)*Inputs!$D$5:$D$230*(((Inputs!$G$5:$G$230="moeda")+(Inputs!$G$5:$G$230="acoes"))*Inputs!$B$1+((Inputs!$G$5:$G$230&lt;&gt;"moeda")*(Inputs!$G$5:$G$230&lt;&gt;"acoes")))*INDEX(Inputs!$K$5:$AJ$230,0,MATCH(AI$2,Inputs!$K$4:$AJ$4,0)))+SUMPRODUCT((Inputs!$E$5:$E$230=$B95)*Inputs!$F$5:$F$230*(((Inputs!$G$5:$G$230="moeda")+(Inputs!$G$5:$G$230="acoes"))*Inputs!$B$1+((Inputs!$G$5:$G$230&lt;&gt;"moeda")*(Inputs!$G$5:$G$230&lt;&gt;"acoes")))*INDEX(Inputs!$K$5:$AJ$230,0,MATCH(AI$2,Inputs!$K$4:$AJ$4,0)))))</f>
        <v>0</v>
      </c>
      <c r="AJ95" s="6">
        <f>IF(ISNA(MATCH(AJ$2,Inputs!$K$4:$AJ$4,0)),NA(),IF(SUMPRODUCT((Inputs!$A$5:$A$230=$B95)*ISNUMBER(INDEX(Inputs!$K$5:$AJ$230,0,MATCH(AJ$2,Inputs!$K$4:$AJ$4,0))))+SUMPRODUCT((Inputs!$C$5:$C$230=$B95)*ISNUMBER(INDEX(Inputs!$K$5:$AJ$230,0,MATCH(AJ$2,Inputs!$K$4:$AJ$4,0))))+SUMPRODUCT((Inputs!$E$5:$E$230=$B95)*ISNUMBER(INDEX(Inputs!$K$5:$AJ$230,0,MATCH(AJ$2,Inputs!$K$4:$AJ$4,0))))=0,NA(),SUMPRODUCT((Inputs!$A$5:$A$230=$B95)*Inputs!$B$5:$B$230*(((Inputs!$G$5:$G$230="moeda")+(Inputs!$G$5:$G$230="acoes"))*Inputs!$B$1+((Inputs!$G$5:$G$230&lt;&gt;"moeda")*(Inputs!$G$5:$G$230&lt;&gt;"acoes")))*INDEX(Inputs!$K$5:$AJ$230,0,MATCH(AJ$2,Inputs!$K$4:$AJ$4,0)))+SUMPRODUCT((Inputs!$C$5:$C$230=$B95)*Inputs!$D$5:$D$230*(((Inputs!$G$5:$G$230="moeda")+(Inputs!$G$5:$G$230="acoes"))*Inputs!$B$1+((Inputs!$G$5:$G$230&lt;&gt;"moeda")*(Inputs!$G$5:$G$230&lt;&gt;"acoes")))*INDEX(Inputs!$K$5:$AJ$230,0,MATCH(AJ$2,Inputs!$K$4:$AJ$4,0)))+SUMPRODUCT((Inputs!$E$5:$E$230=$B95)*Inputs!$F$5:$F$230*(((Inputs!$G$5:$G$230="moeda")+(Inputs!$G$5:$G$230="acoes"))*Inputs!$B$1+((Inputs!$G$5:$G$230&lt;&gt;"moeda")*(Inputs!$G$5:$G$230&lt;&gt;"acoes")))*INDEX(Inputs!$K$5:$AJ$230,0,MATCH(AJ$2,Inputs!$K$4:$AJ$4,0)))))</f>
        <v>0</v>
      </c>
      <c r="AK95" s="6">
        <f>IF(ISNA(MATCH(AK$2,Inputs!$K$4:$AJ$4,0)),NA(),IF(SUMPRODUCT((Inputs!$A$5:$A$230=$B95)*ISNUMBER(INDEX(Inputs!$K$5:$AJ$230,0,MATCH(AK$2,Inputs!$K$4:$AJ$4,0))))+SUMPRODUCT((Inputs!$C$5:$C$230=$B95)*ISNUMBER(INDEX(Inputs!$K$5:$AJ$230,0,MATCH(AK$2,Inputs!$K$4:$AJ$4,0))))+SUMPRODUCT((Inputs!$E$5:$E$230=$B95)*ISNUMBER(INDEX(Inputs!$K$5:$AJ$230,0,MATCH(AK$2,Inputs!$K$4:$AJ$4,0))))=0,NA(),SUMPRODUCT((Inputs!$A$5:$A$230=$B95)*Inputs!$B$5:$B$230*(((Inputs!$G$5:$G$230="moeda")+(Inputs!$G$5:$G$230="acoes"))*Inputs!$B$1+((Inputs!$G$5:$G$230&lt;&gt;"moeda")*(Inputs!$G$5:$G$230&lt;&gt;"acoes")))*INDEX(Inputs!$K$5:$AJ$230,0,MATCH(AK$2,Inputs!$K$4:$AJ$4,0)))+SUMPRODUCT((Inputs!$C$5:$C$230=$B95)*Inputs!$D$5:$D$230*(((Inputs!$G$5:$G$230="moeda")+(Inputs!$G$5:$G$230="acoes"))*Inputs!$B$1+((Inputs!$G$5:$G$230&lt;&gt;"moeda")*(Inputs!$G$5:$G$230&lt;&gt;"acoes")))*INDEX(Inputs!$K$5:$AJ$230,0,MATCH(AK$2,Inputs!$K$4:$AJ$4,0)))+SUMPRODUCT((Inputs!$E$5:$E$230=$B95)*Inputs!$F$5:$F$230*(((Inputs!$G$5:$G$230="moeda")+(Inputs!$G$5:$G$230="acoes"))*Inputs!$B$1+((Inputs!$G$5:$G$230&lt;&gt;"moeda")*(Inputs!$G$5:$G$230&lt;&gt;"acoes")))*INDEX(Inputs!$K$5:$AJ$230,0,MATCH(AK$2,Inputs!$K$4:$AJ$4,0)))))</f>
        <v>0</v>
      </c>
      <c r="AL95" s="3">
        <f>SUM(AH95:AK95)</f>
        <v>0</v>
      </c>
    </row>
    <row r="96">
      <c r="B96" s="46" t="n">
        <v>88</v>
      </c>
      <c r="C96" s="29" t="inlineStr">
        <is>
          <t>Geracao | Risaralda (Morro Azul)</t>
        </is>
      </c>
      <c r="D96" s="6">
        <f>IF(ISNA(MATCH(D$2,Inputs!$K$4:$AJ$4,0)),NA(),IF(SUMPRODUCT((Inputs!$A$5:$A$230=$B96)*ISNUMBER(INDEX(Inputs!$K$5:$AJ$230,0,MATCH(D$2,Inputs!$K$4:$AJ$4,0))))+SUMPRODUCT((Inputs!$C$5:$C$230=$B96)*ISNUMBER(INDEX(Inputs!$K$5:$AJ$230,0,MATCH(D$2,Inputs!$K$4:$AJ$4,0))))+SUMPRODUCT((Inputs!$E$5:$E$230=$B96)*ISNUMBER(INDEX(Inputs!$K$5:$AJ$230,0,MATCH(D$2,Inputs!$K$4:$AJ$4,0))))=0,NA(),SUMPRODUCT((Inputs!$A$5:$A$230=$B96)*Inputs!$B$5:$B$230*(((Inputs!$G$5:$G$230="moeda")+(Inputs!$G$5:$G$230="acoes"))*Inputs!$B$1+((Inputs!$G$5:$G$230&lt;&gt;"moeda")*(Inputs!$G$5:$G$230&lt;&gt;"acoes")))*INDEX(Inputs!$K$5:$AJ$230,0,MATCH(D$2,Inputs!$K$4:$AJ$4,0)))+SUMPRODUCT((Inputs!$C$5:$C$230=$B96)*Inputs!$D$5:$D$230*(((Inputs!$G$5:$G$230="moeda")+(Inputs!$G$5:$G$230="acoes"))*Inputs!$B$1+((Inputs!$G$5:$G$230&lt;&gt;"moeda")*(Inputs!$G$5:$G$230&lt;&gt;"acoes")))*INDEX(Inputs!$K$5:$AJ$230,0,MATCH(D$2,Inputs!$K$4:$AJ$4,0)))+SUMPRODUCT((Inputs!$E$5:$E$230=$B96)*Inputs!$F$5:$F$230*(((Inputs!$G$5:$G$230="moeda")+(Inputs!$G$5:$G$230="acoes"))*Inputs!$B$1+((Inputs!$G$5:$G$230&lt;&gt;"moeda")*(Inputs!$G$5:$G$230&lt;&gt;"acoes")))*INDEX(Inputs!$K$5:$AJ$230,0,MATCH(D$2,Inputs!$K$4:$AJ$4,0)))))</f>
        <v>8.783</v>
      </c>
      <c r="E96" s="6">
        <f>IF(ISNA(MATCH(E$2,Inputs!$K$4:$AJ$4,0)),NA(),IF(SUMPRODUCT((Inputs!$A$5:$A$230=$B96)*ISNUMBER(INDEX(Inputs!$K$5:$AJ$230,0,MATCH(E$2,Inputs!$K$4:$AJ$4,0))))+SUMPRODUCT((Inputs!$C$5:$C$230=$B96)*ISNUMBER(INDEX(Inputs!$K$5:$AJ$230,0,MATCH(E$2,Inputs!$K$4:$AJ$4,0))))+SUMPRODUCT((Inputs!$E$5:$E$230=$B96)*ISNUMBER(INDEX(Inputs!$K$5:$AJ$230,0,MATCH(E$2,Inputs!$K$4:$AJ$4,0))))=0,NA(),SUMPRODUCT((Inputs!$A$5:$A$230=$B96)*Inputs!$B$5:$B$230*(((Inputs!$G$5:$G$230="moeda")+(Inputs!$G$5:$G$230="acoes"))*Inputs!$B$1+((Inputs!$G$5:$G$230&lt;&gt;"moeda")*(Inputs!$G$5:$G$230&lt;&gt;"acoes")))*INDEX(Inputs!$K$5:$AJ$230,0,MATCH(E$2,Inputs!$K$4:$AJ$4,0)))+SUMPRODUCT((Inputs!$C$5:$C$230=$B96)*Inputs!$D$5:$D$230*(((Inputs!$G$5:$G$230="moeda")+(Inputs!$G$5:$G$230="acoes"))*Inputs!$B$1+((Inputs!$G$5:$G$230&lt;&gt;"moeda")*(Inputs!$G$5:$G$230&lt;&gt;"acoes")))*INDEX(Inputs!$K$5:$AJ$230,0,MATCH(E$2,Inputs!$K$4:$AJ$4,0)))+SUMPRODUCT((Inputs!$E$5:$E$230=$B96)*Inputs!$F$5:$F$230*(((Inputs!$G$5:$G$230="moeda")+(Inputs!$G$5:$G$230="acoes"))*Inputs!$B$1+((Inputs!$G$5:$G$230&lt;&gt;"moeda")*(Inputs!$G$5:$G$230&lt;&gt;"acoes")))*INDEX(Inputs!$K$5:$AJ$230,0,MATCH(E$2,Inputs!$K$4:$AJ$4,0)))))</f>
        <v>11.277</v>
      </c>
      <c r="F96" s="6">
        <f>IF(ISNA(MATCH(F$2,Inputs!$K$4:$AJ$4,0)),NA(),IF(SUMPRODUCT((Inputs!$A$5:$A$230=$B96)*ISNUMBER(INDEX(Inputs!$K$5:$AJ$230,0,MATCH(F$2,Inputs!$K$4:$AJ$4,0))))+SUMPRODUCT((Inputs!$C$5:$C$230=$B96)*ISNUMBER(INDEX(Inputs!$K$5:$AJ$230,0,MATCH(F$2,Inputs!$K$4:$AJ$4,0))))+SUMPRODUCT((Inputs!$E$5:$E$230=$B96)*ISNUMBER(INDEX(Inputs!$K$5:$AJ$230,0,MATCH(F$2,Inputs!$K$4:$AJ$4,0))))=0,NA(),SUMPRODUCT((Inputs!$A$5:$A$230=$B96)*Inputs!$B$5:$B$230*(((Inputs!$G$5:$G$230="moeda")+(Inputs!$G$5:$G$230="acoes"))*Inputs!$B$1+((Inputs!$G$5:$G$230&lt;&gt;"moeda")*(Inputs!$G$5:$G$230&lt;&gt;"acoes")))*INDEX(Inputs!$K$5:$AJ$230,0,MATCH(F$2,Inputs!$K$4:$AJ$4,0)))+SUMPRODUCT((Inputs!$C$5:$C$230=$B96)*Inputs!$D$5:$D$230*(((Inputs!$G$5:$G$230="moeda")+(Inputs!$G$5:$G$230="acoes"))*Inputs!$B$1+((Inputs!$G$5:$G$230&lt;&gt;"moeda")*(Inputs!$G$5:$G$230&lt;&gt;"acoes")))*INDEX(Inputs!$K$5:$AJ$230,0,MATCH(F$2,Inputs!$K$4:$AJ$4,0)))+SUMPRODUCT((Inputs!$E$5:$E$230=$B96)*Inputs!$F$5:$F$230*(((Inputs!$G$5:$G$230="moeda")+(Inputs!$G$5:$G$230="acoes"))*Inputs!$B$1+((Inputs!$G$5:$G$230&lt;&gt;"moeda")*(Inputs!$G$5:$G$230&lt;&gt;"acoes")))*INDEX(Inputs!$K$5:$AJ$230,0,MATCH(F$2,Inputs!$K$4:$AJ$4,0)))))</f>
        <v>8.401</v>
      </c>
      <c r="G96" s="6">
        <f>IF(ISNA(MATCH(G$2,Inputs!$K$4:$AJ$4,0)),NA(),IF(SUMPRODUCT((Inputs!$A$5:$A$230=$B96)*ISNUMBER(INDEX(Inputs!$K$5:$AJ$230,0,MATCH(G$2,Inputs!$K$4:$AJ$4,0))))+SUMPRODUCT((Inputs!$C$5:$C$230=$B96)*ISNUMBER(INDEX(Inputs!$K$5:$AJ$230,0,MATCH(G$2,Inputs!$K$4:$AJ$4,0))))+SUMPRODUCT((Inputs!$E$5:$E$230=$B96)*ISNUMBER(INDEX(Inputs!$K$5:$AJ$230,0,MATCH(G$2,Inputs!$K$4:$AJ$4,0))))=0,NA(),SUMPRODUCT((Inputs!$A$5:$A$230=$B96)*Inputs!$B$5:$B$230*(((Inputs!$G$5:$G$230="moeda")+(Inputs!$G$5:$G$230="acoes"))*Inputs!$B$1+((Inputs!$G$5:$G$230&lt;&gt;"moeda")*(Inputs!$G$5:$G$230&lt;&gt;"acoes")))*INDEX(Inputs!$K$5:$AJ$230,0,MATCH(G$2,Inputs!$K$4:$AJ$4,0)))+SUMPRODUCT((Inputs!$C$5:$C$230=$B96)*Inputs!$D$5:$D$230*(((Inputs!$G$5:$G$230="moeda")+(Inputs!$G$5:$G$230="acoes"))*Inputs!$B$1+((Inputs!$G$5:$G$230&lt;&gt;"moeda")*(Inputs!$G$5:$G$230&lt;&gt;"acoes")))*INDEX(Inputs!$K$5:$AJ$230,0,MATCH(G$2,Inputs!$K$4:$AJ$4,0)))+SUMPRODUCT((Inputs!$E$5:$E$230=$B96)*Inputs!$F$5:$F$230*(((Inputs!$G$5:$G$230="moeda")+(Inputs!$G$5:$G$230="acoes"))*Inputs!$B$1+((Inputs!$G$5:$G$230&lt;&gt;"moeda")*(Inputs!$G$5:$G$230&lt;&gt;"acoes")))*INDEX(Inputs!$K$5:$AJ$230,0,MATCH(G$2,Inputs!$K$4:$AJ$4,0)))))</f>
        <v>9.626</v>
      </c>
      <c r="H96" s="3">
        <f>SUM(D96:G96)</f>
        <v>38.087</v>
      </c>
      <c r="I96" s="6">
        <f>IF(ISNA(MATCH(I$2,Inputs!$K$4:$AJ$4,0)),NA(),IF(SUMPRODUCT((Inputs!$A$5:$A$230=$B96)*ISNUMBER(INDEX(Inputs!$K$5:$AJ$230,0,MATCH(I$2,Inputs!$K$4:$AJ$4,0))))+SUMPRODUCT((Inputs!$C$5:$C$230=$B96)*ISNUMBER(INDEX(Inputs!$K$5:$AJ$230,0,MATCH(I$2,Inputs!$K$4:$AJ$4,0))))+SUMPRODUCT((Inputs!$E$5:$E$230=$B96)*ISNUMBER(INDEX(Inputs!$K$5:$AJ$230,0,MATCH(I$2,Inputs!$K$4:$AJ$4,0))))=0,NA(),SUMPRODUCT((Inputs!$A$5:$A$230=$B96)*Inputs!$B$5:$B$230*(((Inputs!$G$5:$G$230="moeda")+(Inputs!$G$5:$G$230="acoes"))*Inputs!$B$1+((Inputs!$G$5:$G$230&lt;&gt;"moeda")*(Inputs!$G$5:$G$230&lt;&gt;"acoes")))*INDEX(Inputs!$K$5:$AJ$230,0,MATCH(I$2,Inputs!$K$4:$AJ$4,0)))+SUMPRODUCT((Inputs!$C$5:$C$230=$B96)*Inputs!$D$5:$D$230*(((Inputs!$G$5:$G$230="moeda")+(Inputs!$G$5:$G$230="acoes"))*Inputs!$B$1+((Inputs!$G$5:$G$230&lt;&gt;"moeda")*(Inputs!$G$5:$G$230&lt;&gt;"acoes")))*INDEX(Inputs!$K$5:$AJ$230,0,MATCH(I$2,Inputs!$K$4:$AJ$4,0)))+SUMPRODUCT((Inputs!$E$5:$E$230=$B96)*Inputs!$F$5:$F$230*(((Inputs!$G$5:$G$230="moeda")+(Inputs!$G$5:$G$230="acoes"))*Inputs!$B$1+((Inputs!$G$5:$G$230&lt;&gt;"moeda")*(Inputs!$G$5:$G$230&lt;&gt;"acoes")))*INDEX(Inputs!$K$5:$AJ$230,0,MATCH(I$2,Inputs!$K$4:$AJ$4,0)))))</f>
        <v>8.544</v>
      </c>
      <c r="J96" s="6">
        <f>IF(ISNA(MATCH(J$2,Inputs!$K$4:$AJ$4,0)),NA(),IF(SUMPRODUCT((Inputs!$A$5:$A$230=$B96)*ISNUMBER(INDEX(Inputs!$K$5:$AJ$230,0,MATCH(J$2,Inputs!$K$4:$AJ$4,0))))+SUMPRODUCT((Inputs!$C$5:$C$230=$B96)*ISNUMBER(INDEX(Inputs!$K$5:$AJ$230,0,MATCH(J$2,Inputs!$K$4:$AJ$4,0))))+SUMPRODUCT((Inputs!$E$5:$E$230=$B96)*ISNUMBER(INDEX(Inputs!$K$5:$AJ$230,0,MATCH(J$2,Inputs!$K$4:$AJ$4,0))))=0,NA(),SUMPRODUCT((Inputs!$A$5:$A$230=$B96)*Inputs!$B$5:$B$230*(((Inputs!$G$5:$G$230="moeda")+(Inputs!$G$5:$G$230="acoes"))*Inputs!$B$1+((Inputs!$G$5:$G$230&lt;&gt;"moeda")*(Inputs!$G$5:$G$230&lt;&gt;"acoes")))*INDEX(Inputs!$K$5:$AJ$230,0,MATCH(J$2,Inputs!$K$4:$AJ$4,0)))+SUMPRODUCT((Inputs!$C$5:$C$230=$B96)*Inputs!$D$5:$D$230*(((Inputs!$G$5:$G$230="moeda")+(Inputs!$G$5:$G$230="acoes"))*Inputs!$B$1+((Inputs!$G$5:$G$230&lt;&gt;"moeda")*(Inputs!$G$5:$G$230&lt;&gt;"acoes")))*INDEX(Inputs!$K$5:$AJ$230,0,MATCH(J$2,Inputs!$K$4:$AJ$4,0)))+SUMPRODUCT((Inputs!$E$5:$E$230=$B96)*Inputs!$F$5:$F$230*(((Inputs!$G$5:$G$230="moeda")+(Inputs!$G$5:$G$230="acoes"))*Inputs!$B$1+((Inputs!$G$5:$G$230&lt;&gt;"moeda")*(Inputs!$G$5:$G$230&lt;&gt;"acoes")))*INDEX(Inputs!$K$5:$AJ$230,0,MATCH(J$2,Inputs!$K$4:$AJ$4,0)))))</f>
        <v>9.497</v>
      </c>
      <c r="K96" s="6">
        <f>IF(ISNA(MATCH(K$2,Inputs!$K$4:$AJ$4,0)),NA(),IF(SUMPRODUCT((Inputs!$A$5:$A$230=$B96)*ISNUMBER(INDEX(Inputs!$K$5:$AJ$230,0,MATCH(K$2,Inputs!$K$4:$AJ$4,0))))+SUMPRODUCT((Inputs!$C$5:$C$230=$B96)*ISNUMBER(INDEX(Inputs!$K$5:$AJ$230,0,MATCH(K$2,Inputs!$K$4:$AJ$4,0))))+SUMPRODUCT((Inputs!$E$5:$E$230=$B96)*ISNUMBER(INDEX(Inputs!$K$5:$AJ$230,0,MATCH(K$2,Inputs!$K$4:$AJ$4,0))))=0,NA(),SUMPRODUCT((Inputs!$A$5:$A$230=$B96)*Inputs!$B$5:$B$230*(((Inputs!$G$5:$G$230="moeda")+(Inputs!$G$5:$G$230="acoes"))*Inputs!$B$1+((Inputs!$G$5:$G$230&lt;&gt;"moeda")*(Inputs!$G$5:$G$230&lt;&gt;"acoes")))*INDEX(Inputs!$K$5:$AJ$230,0,MATCH(K$2,Inputs!$K$4:$AJ$4,0)))+SUMPRODUCT((Inputs!$C$5:$C$230=$B96)*Inputs!$D$5:$D$230*(((Inputs!$G$5:$G$230="moeda")+(Inputs!$G$5:$G$230="acoes"))*Inputs!$B$1+((Inputs!$G$5:$G$230&lt;&gt;"moeda")*(Inputs!$G$5:$G$230&lt;&gt;"acoes")))*INDEX(Inputs!$K$5:$AJ$230,0,MATCH(K$2,Inputs!$K$4:$AJ$4,0)))+SUMPRODUCT((Inputs!$E$5:$E$230=$B96)*Inputs!$F$5:$F$230*(((Inputs!$G$5:$G$230="moeda")+(Inputs!$G$5:$G$230="acoes"))*Inputs!$B$1+((Inputs!$G$5:$G$230&lt;&gt;"moeda")*(Inputs!$G$5:$G$230&lt;&gt;"acoes")))*INDEX(Inputs!$K$5:$AJ$230,0,MATCH(K$2,Inputs!$K$4:$AJ$4,0)))))</f>
        <v>11.611</v>
      </c>
      <c r="L96" s="6">
        <f>IF(ISNA(MATCH(L$2,Inputs!$K$4:$AJ$4,0)),NA(),IF(SUMPRODUCT((Inputs!$A$5:$A$230=$B96)*ISNUMBER(INDEX(Inputs!$K$5:$AJ$230,0,MATCH(L$2,Inputs!$K$4:$AJ$4,0))))+SUMPRODUCT((Inputs!$C$5:$C$230=$B96)*ISNUMBER(INDEX(Inputs!$K$5:$AJ$230,0,MATCH(L$2,Inputs!$K$4:$AJ$4,0))))+SUMPRODUCT((Inputs!$E$5:$E$230=$B96)*ISNUMBER(INDEX(Inputs!$K$5:$AJ$230,0,MATCH(L$2,Inputs!$K$4:$AJ$4,0))))=0,NA(),SUMPRODUCT((Inputs!$A$5:$A$230=$B96)*Inputs!$B$5:$B$230*(((Inputs!$G$5:$G$230="moeda")+(Inputs!$G$5:$G$230="acoes"))*Inputs!$B$1+((Inputs!$G$5:$G$230&lt;&gt;"moeda")*(Inputs!$G$5:$G$230&lt;&gt;"acoes")))*INDEX(Inputs!$K$5:$AJ$230,0,MATCH(L$2,Inputs!$K$4:$AJ$4,0)))+SUMPRODUCT((Inputs!$C$5:$C$230=$B96)*Inputs!$D$5:$D$230*(((Inputs!$G$5:$G$230="moeda")+(Inputs!$G$5:$G$230="acoes"))*Inputs!$B$1+((Inputs!$G$5:$G$230&lt;&gt;"moeda")*(Inputs!$G$5:$G$230&lt;&gt;"acoes")))*INDEX(Inputs!$K$5:$AJ$230,0,MATCH(L$2,Inputs!$K$4:$AJ$4,0)))+SUMPRODUCT((Inputs!$E$5:$E$230=$B96)*Inputs!$F$5:$F$230*(((Inputs!$G$5:$G$230="moeda")+(Inputs!$G$5:$G$230="acoes"))*Inputs!$B$1+((Inputs!$G$5:$G$230&lt;&gt;"moeda")*(Inputs!$G$5:$G$230&lt;&gt;"acoes")))*INDEX(Inputs!$K$5:$AJ$230,0,MATCH(L$2,Inputs!$K$4:$AJ$4,0)))))</f>
        <v>10.985</v>
      </c>
      <c r="M96" s="3">
        <f>SUM(I96:L96)</f>
        <v>40.637</v>
      </c>
      <c r="N96" s="6">
        <f>IF(ISNA(MATCH(N$2,Inputs!$K$4:$AJ$4,0)),NA(),IF(SUMPRODUCT((Inputs!$A$5:$A$230=$B96)*ISNUMBER(INDEX(Inputs!$K$5:$AJ$230,0,MATCH(N$2,Inputs!$K$4:$AJ$4,0))))+SUMPRODUCT((Inputs!$C$5:$C$230=$B96)*ISNUMBER(INDEX(Inputs!$K$5:$AJ$230,0,MATCH(N$2,Inputs!$K$4:$AJ$4,0))))+SUMPRODUCT((Inputs!$E$5:$E$230=$B96)*ISNUMBER(INDEX(Inputs!$K$5:$AJ$230,0,MATCH(N$2,Inputs!$K$4:$AJ$4,0))))=0,NA(),SUMPRODUCT((Inputs!$A$5:$A$230=$B96)*Inputs!$B$5:$B$230*(((Inputs!$G$5:$G$230="moeda")+(Inputs!$G$5:$G$230="acoes"))*Inputs!$B$1+((Inputs!$G$5:$G$230&lt;&gt;"moeda")*(Inputs!$G$5:$G$230&lt;&gt;"acoes")))*INDEX(Inputs!$K$5:$AJ$230,0,MATCH(N$2,Inputs!$K$4:$AJ$4,0)))+SUMPRODUCT((Inputs!$C$5:$C$230=$B96)*Inputs!$D$5:$D$230*(((Inputs!$G$5:$G$230="moeda")+(Inputs!$G$5:$G$230="acoes"))*Inputs!$B$1+((Inputs!$G$5:$G$230&lt;&gt;"moeda")*(Inputs!$G$5:$G$230&lt;&gt;"acoes")))*INDEX(Inputs!$K$5:$AJ$230,0,MATCH(N$2,Inputs!$K$4:$AJ$4,0)))+SUMPRODUCT((Inputs!$E$5:$E$230=$B96)*Inputs!$F$5:$F$230*(((Inputs!$G$5:$G$230="moeda")+(Inputs!$G$5:$G$230="acoes"))*Inputs!$B$1+((Inputs!$G$5:$G$230&lt;&gt;"moeda")*(Inputs!$G$5:$G$230&lt;&gt;"acoes")))*INDEX(Inputs!$K$5:$AJ$230,0,MATCH(N$2,Inputs!$K$4:$AJ$4,0)))))</f>
        <v>9.016</v>
      </c>
      <c r="O96" s="6">
        <f>IF(ISNA(MATCH(O$2,Inputs!$K$4:$AJ$4,0)),NA(),IF(SUMPRODUCT((Inputs!$A$5:$A$230=$B96)*ISNUMBER(INDEX(Inputs!$K$5:$AJ$230,0,MATCH(O$2,Inputs!$K$4:$AJ$4,0))))+SUMPRODUCT((Inputs!$C$5:$C$230=$B96)*ISNUMBER(INDEX(Inputs!$K$5:$AJ$230,0,MATCH(O$2,Inputs!$K$4:$AJ$4,0))))+SUMPRODUCT((Inputs!$E$5:$E$230=$B96)*ISNUMBER(INDEX(Inputs!$K$5:$AJ$230,0,MATCH(O$2,Inputs!$K$4:$AJ$4,0))))=0,NA(),SUMPRODUCT((Inputs!$A$5:$A$230=$B96)*Inputs!$B$5:$B$230*(((Inputs!$G$5:$G$230="moeda")+(Inputs!$G$5:$G$230="acoes"))*Inputs!$B$1+((Inputs!$G$5:$G$230&lt;&gt;"moeda")*(Inputs!$G$5:$G$230&lt;&gt;"acoes")))*INDEX(Inputs!$K$5:$AJ$230,0,MATCH(O$2,Inputs!$K$4:$AJ$4,0)))+SUMPRODUCT((Inputs!$C$5:$C$230=$B96)*Inputs!$D$5:$D$230*(((Inputs!$G$5:$G$230="moeda")+(Inputs!$G$5:$G$230="acoes"))*Inputs!$B$1+((Inputs!$G$5:$G$230&lt;&gt;"moeda")*(Inputs!$G$5:$G$230&lt;&gt;"acoes")))*INDEX(Inputs!$K$5:$AJ$230,0,MATCH(O$2,Inputs!$K$4:$AJ$4,0)))+SUMPRODUCT((Inputs!$E$5:$E$230=$B96)*Inputs!$F$5:$F$230*(((Inputs!$G$5:$G$230="moeda")+(Inputs!$G$5:$G$230="acoes"))*Inputs!$B$1+((Inputs!$G$5:$G$230&lt;&gt;"moeda")*(Inputs!$G$5:$G$230&lt;&gt;"acoes")))*INDEX(Inputs!$K$5:$AJ$230,0,MATCH(O$2,Inputs!$K$4:$AJ$4,0)))))</f>
        <v>10.217</v>
      </c>
      <c r="P96" s="6">
        <f>IF(ISNA(MATCH(P$2,Inputs!$K$4:$AJ$4,0)),NA(),IF(SUMPRODUCT((Inputs!$A$5:$A$230=$B96)*ISNUMBER(INDEX(Inputs!$K$5:$AJ$230,0,MATCH(P$2,Inputs!$K$4:$AJ$4,0))))+SUMPRODUCT((Inputs!$C$5:$C$230=$B96)*ISNUMBER(INDEX(Inputs!$K$5:$AJ$230,0,MATCH(P$2,Inputs!$K$4:$AJ$4,0))))+SUMPRODUCT((Inputs!$E$5:$E$230=$B96)*ISNUMBER(INDEX(Inputs!$K$5:$AJ$230,0,MATCH(P$2,Inputs!$K$4:$AJ$4,0))))=0,NA(),SUMPRODUCT((Inputs!$A$5:$A$230=$B96)*Inputs!$B$5:$B$230*(((Inputs!$G$5:$G$230="moeda")+(Inputs!$G$5:$G$230="acoes"))*Inputs!$B$1+((Inputs!$G$5:$G$230&lt;&gt;"moeda")*(Inputs!$G$5:$G$230&lt;&gt;"acoes")))*INDEX(Inputs!$K$5:$AJ$230,0,MATCH(P$2,Inputs!$K$4:$AJ$4,0)))+SUMPRODUCT((Inputs!$C$5:$C$230=$B96)*Inputs!$D$5:$D$230*(((Inputs!$G$5:$G$230="moeda")+(Inputs!$G$5:$G$230="acoes"))*Inputs!$B$1+((Inputs!$G$5:$G$230&lt;&gt;"moeda")*(Inputs!$G$5:$G$230&lt;&gt;"acoes")))*INDEX(Inputs!$K$5:$AJ$230,0,MATCH(P$2,Inputs!$K$4:$AJ$4,0)))+SUMPRODUCT((Inputs!$E$5:$E$230=$B96)*Inputs!$F$5:$F$230*(((Inputs!$G$5:$G$230="moeda")+(Inputs!$G$5:$G$230="acoes"))*Inputs!$B$1+((Inputs!$G$5:$G$230&lt;&gt;"moeda")*(Inputs!$G$5:$G$230&lt;&gt;"acoes")))*INDEX(Inputs!$K$5:$AJ$230,0,MATCH(P$2,Inputs!$K$4:$AJ$4,0)))))</f>
        <v>3.542</v>
      </c>
      <c r="Q96" s="6">
        <f>IF(ISNA(MATCH(Q$2,Inputs!$K$4:$AJ$4,0)),NA(),IF(SUMPRODUCT((Inputs!$A$5:$A$230=$B96)*ISNUMBER(INDEX(Inputs!$K$5:$AJ$230,0,MATCH(Q$2,Inputs!$K$4:$AJ$4,0))))+SUMPRODUCT((Inputs!$C$5:$C$230=$B96)*ISNUMBER(INDEX(Inputs!$K$5:$AJ$230,0,MATCH(Q$2,Inputs!$K$4:$AJ$4,0))))+SUMPRODUCT((Inputs!$E$5:$E$230=$B96)*ISNUMBER(INDEX(Inputs!$K$5:$AJ$230,0,MATCH(Q$2,Inputs!$K$4:$AJ$4,0))))=0,NA(),SUMPRODUCT((Inputs!$A$5:$A$230=$B96)*Inputs!$B$5:$B$230*(((Inputs!$G$5:$G$230="moeda")+(Inputs!$G$5:$G$230="acoes"))*Inputs!$B$1+((Inputs!$G$5:$G$230&lt;&gt;"moeda")*(Inputs!$G$5:$G$230&lt;&gt;"acoes")))*INDEX(Inputs!$K$5:$AJ$230,0,MATCH(Q$2,Inputs!$K$4:$AJ$4,0)))+SUMPRODUCT((Inputs!$C$5:$C$230=$B96)*Inputs!$D$5:$D$230*(((Inputs!$G$5:$G$230="moeda")+(Inputs!$G$5:$G$230="acoes"))*Inputs!$B$1+((Inputs!$G$5:$G$230&lt;&gt;"moeda")*(Inputs!$G$5:$G$230&lt;&gt;"acoes")))*INDEX(Inputs!$K$5:$AJ$230,0,MATCH(Q$2,Inputs!$K$4:$AJ$4,0)))+SUMPRODUCT((Inputs!$E$5:$E$230=$B96)*Inputs!$F$5:$F$230*(((Inputs!$G$5:$G$230="moeda")+(Inputs!$G$5:$G$230="acoes"))*Inputs!$B$1+((Inputs!$G$5:$G$230&lt;&gt;"moeda")*(Inputs!$G$5:$G$230&lt;&gt;"acoes")))*INDEX(Inputs!$K$5:$AJ$230,0,MATCH(Q$2,Inputs!$K$4:$AJ$4,0)))))</f>
        <v>6.746</v>
      </c>
      <c r="R96" s="3">
        <f>SUM(N96:Q96)</f>
        <v>29.521</v>
      </c>
      <c r="S96" s="6">
        <f>IF(ISNA(MATCH(S$2,Inputs!$K$4:$AJ$4,0)),NA(),IF(SUMPRODUCT((Inputs!$A$5:$A$230=$B96)*ISNUMBER(INDEX(Inputs!$K$5:$AJ$230,0,MATCH(S$2,Inputs!$K$4:$AJ$4,0))))+SUMPRODUCT((Inputs!$C$5:$C$230=$B96)*ISNUMBER(INDEX(Inputs!$K$5:$AJ$230,0,MATCH(S$2,Inputs!$K$4:$AJ$4,0))))+SUMPRODUCT((Inputs!$E$5:$E$230=$B96)*ISNUMBER(INDEX(Inputs!$K$5:$AJ$230,0,MATCH(S$2,Inputs!$K$4:$AJ$4,0))))=0,NA(),SUMPRODUCT((Inputs!$A$5:$A$230=$B96)*Inputs!$B$5:$B$230*(((Inputs!$G$5:$G$230="moeda")+(Inputs!$G$5:$G$230="acoes"))*Inputs!$B$1+((Inputs!$G$5:$G$230&lt;&gt;"moeda")*(Inputs!$G$5:$G$230&lt;&gt;"acoes")))*INDEX(Inputs!$K$5:$AJ$230,0,MATCH(S$2,Inputs!$K$4:$AJ$4,0)))+SUMPRODUCT((Inputs!$C$5:$C$230=$B96)*Inputs!$D$5:$D$230*(((Inputs!$G$5:$G$230="moeda")+(Inputs!$G$5:$G$230="acoes"))*Inputs!$B$1+((Inputs!$G$5:$G$230&lt;&gt;"moeda")*(Inputs!$G$5:$G$230&lt;&gt;"acoes")))*INDEX(Inputs!$K$5:$AJ$230,0,MATCH(S$2,Inputs!$K$4:$AJ$4,0)))+SUMPRODUCT((Inputs!$E$5:$E$230=$B96)*Inputs!$F$5:$F$230*(((Inputs!$G$5:$G$230="moeda")+(Inputs!$G$5:$G$230="acoes"))*Inputs!$B$1+((Inputs!$G$5:$G$230&lt;&gt;"moeda")*(Inputs!$G$5:$G$230&lt;&gt;"acoes")))*INDEX(Inputs!$K$5:$AJ$230,0,MATCH(S$2,Inputs!$K$4:$AJ$4,0)))))</f>
        <v>3.406</v>
      </c>
      <c r="T96" s="6">
        <f>IF(ISNA(MATCH(T$2,Inputs!$K$4:$AJ$4,0)),NA(),IF(SUMPRODUCT((Inputs!$A$5:$A$230=$B96)*ISNUMBER(INDEX(Inputs!$K$5:$AJ$230,0,MATCH(T$2,Inputs!$K$4:$AJ$4,0))))+SUMPRODUCT((Inputs!$C$5:$C$230=$B96)*ISNUMBER(INDEX(Inputs!$K$5:$AJ$230,0,MATCH(T$2,Inputs!$K$4:$AJ$4,0))))+SUMPRODUCT((Inputs!$E$5:$E$230=$B96)*ISNUMBER(INDEX(Inputs!$K$5:$AJ$230,0,MATCH(T$2,Inputs!$K$4:$AJ$4,0))))=0,NA(),SUMPRODUCT((Inputs!$A$5:$A$230=$B96)*Inputs!$B$5:$B$230*(((Inputs!$G$5:$G$230="moeda")+(Inputs!$G$5:$G$230="acoes"))*Inputs!$B$1+((Inputs!$G$5:$G$230&lt;&gt;"moeda")*(Inputs!$G$5:$G$230&lt;&gt;"acoes")))*INDEX(Inputs!$K$5:$AJ$230,0,MATCH(T$2,Inputs!$K$4:$AJ$4,0)))+SUMPRODUCT((Inputs!$C$5:$C$230=$B96)*Inputs!$D$5:$D$230*(((Inputs!$G$5:$G$230="moeda")+(Inputs!$G$5:$G$230="acoes"))*Inputs!$B$1+((Inputs!$G$5:$G$230&lt;&gt;"moeda")*(Inputs!$G$5:$G$230&lt;&gt;"acoes")))*INDEX(Inputs!$K$5:$AJ$230,0,MATCH(T$2,Inputs!$K$4:$AJ$4,0)))+SUMPRODUCT((Inputs!$E$5:$E$230=$B96)*Inputs!$F$5:$F$230*(((Inputs!$G$5:$G$230="moeda")+(Inputs!$G$5:$G$230="acoes"))*Inputs!$B$1+((Inputs!$G$5:$G$230&lt;&gt;"moeda")*(Inputs!$G$5:$G$230&lt;&gt;"acoes")))*INDEX(Inputs!$K$5:$AJ$230,0,MATCH(T$2,Inputs!$K$4:$AJ$4,0)))))</f>
        <v>10.491</v>
      </c>
      <c r="U96" s="6">
        <f>IF(ISNA(MATCH(U$2,Inputs!$K$4:$AJ$4,0)),NA(),IF(SUMPRODUCT((Inputs!$A$5:$A$230=$B96)*ISNUMBER(INDEX(Inputs!$K$5:$AJ$230,0,MATCH(U$2,Inputs!$K$4:$AJ$4,0))))+SUMPRODUCT((Inputs!$C$5:$C$230=$B96)*ISNUMBER(INDEX(Inputs!$K$5:$AJ$230,0,MATCH(U$2,Inputs!$K$4:$AJ$4,0))))+SUMPRODUCT((Inputs!$E$5:$E$230=$B96)*ISNUMBER(INDEX(Inputs!$K$5:$AJ$230,0,MATCH(U$2,Inputs!$K$4:$AJ$4,0))))=0,NA(),SUMPRODUCT((Inputs!$A$5:$A$230=$B96)*Inputs!$B$5:$B$230*(((Inputs!$G$5:$G$230="moeda")+(Inputs!$G$5:$G$230="acoes"))*Inputs!$B$1+((Inputs!$G$5:$G$230&lt;&gt;"moeda")*(Inputs!$G$5:$G$230&lt;&gt;"acoes")))*INDEX(Inputs!$K$5:$AJ$230,0,MATCH(U$2,Inputs!$K$4:$AJ$4,0)))+SUMPRODUCT((Inputs!$C$5:$C$230=$B96)*Inputs!$D$5:$D$230*(((Inputs!$G$5:$G$230="moeda")+(Inputs!$G$5:$G$230="acoes"))*Inputs!$B$1+((Inputs!$G$5:$G$230&lt;&gt;"moeda")*(Inputs!$G$5:$G$230&lt;&gt;"acoes")))*INDEX(Inputs!$K$5:$AJ$230,0,MATCH(U$2,Inputs!$K$4:$AJ$4,0)))+SUMPRODUCT((Inputs!$E$5:$E$230=$B96)*Inputs!$F$5:$F$230*(((Inputs!$G$5:$G$230="moeda")+(Inputs!$G$5:$G$230="acoes"))*Inputs!$B$1+((Inputs!$G$5:$G$230&lt;&gt;"moeda")*(Inputs!$G$5:$G$230&lt;&gt;"acoes")))*INDEX(Inputs!$K$5:$AJ$230,0,MATCH(U$2,Inputs!$K$4:$AJ$4,0)))))</f>
        <v>9.284</v>
      </c>
      <c r="V96" s="6">
        <f>IF(ISNA(MATCH(V$2,Inputs!$K$4:$AJ$4,0)),NA(),IF(SUMPRODUCT((Inputs!$A$5:$A$230=$B96)*ISNUMBER(INDEX(Inputs!$K$5:$AJ$230,0,MATCH(V$2,Inputs!$K$4:$AJ$4,0))))+SUMPRODUCT((Inputs!$C$5:$C$230=$B96)*ISNUMBER(INDEX(Inputs!$K$5:$AJ$230,0,MATCH(V$2,Inputs!$K$4:$AJ$4,0))))+SUMPRODUCT((Inputs!$E$5:$E$230=$B96)*ISNUMBER(INDEX(Inputs!$K$5:$AJ$230,0,MATCH(V$2,Inputs!$K$4:$AJ$4,0))))=0,NA(),SUMPRODUCT((Inputs!$A$5:$A$230=$B96)*Inputs!$B$5:$B$230*(((Inputs!$G$5:$G$230="moeda")+(Inputs!$G$5:$G$230="acoes"))*Inputs!$B$1+((Inputs!$G$5:$G$230&lt;&gt;"moeda")*(Inputs!$G$5:$G$230&lt;&gt;"acoes")))*INDEX(Inputs!$K$5:$AJ$230,0,MATCH(V$2,Inputs!$K$4:$AJ$4,0)))+SUMPRODUCT((Inputs!$C$5:$C$230=$B96)*Inputs!$D$5:$D$230*(((Inputs!$G$5:$G$230="moeda")+(Inputs!$G$5:$G$230="acoes"))*Inputs!$B$1+((Inputs!$G$5:$G$230&lt;&gt;"moeda")*(Inputs!$G$5:$G$230&lt;&gt;"acoes")))*INDEX(Inputs!$K$5:$AJ$230,0,MATCH(V$2,Inputs!$K$4:$AJ$4,0)))+SUMPRODUCT((Inputs!$E$5:$E$230=$B96)*Inputs!$F$5:$F$230*(((Inputs!$G$5:$G$230="moeda")+(Inputs!$G$5:$G$230="acoes"))*Inputs!$B$1+((Inputs!$G$5:$G$230&lt;&gt;"moeda")*(Inputs!$G$5:$G$230&lt;&gt;"acoes")))*INDEX(Inputs!$K$5:$AJ$230,0,MATCH(V$2,Inputs!$K$4:$AJ$4,0)))))</f>
        <v>10.102</v>
      </c>
      <c r="W96" s="3">
        <f>SUM(S96:V96)</f>
        <v>33.283</v>
      </c>
      <c r="X96" s="6">
        <f>IF(ISNA(MATCH(X$2,Inputs!$K$4:$AJ$4,0)),NA(),IF(SUMPRODUCT((Inputs!$A$5:$A$230=$B96)*ISNUMBER(INDEX(Inputs!$K$5:$AJ$230,0,MATCH(X$2,Inputs!$K$4:$AJ$4,0))))+SUMPRODUCT((Inputs!$C$5:$C$230=$B96)*ISNUMBER(INDEX(Inputs!$K$5:$AJ$230,0,MATCH(X$2,Inputs!$K$4:$AJ$4,0))))+SUMPRODUCT((Inputs!$E$5:$E$230=$B96)*ISNUMBER(INDEX(Inputs!$K$5:$AJ$230,0,MATCH(X$2,Inputs!$K$4:$AJ$4,0))))=0,NA(),SUMPRODUCT((Inputs!$A$5:$A$230=$B96)*Inputs!$B$5:$B$230*(((Inputs!$G$5:$G$230="moeda")+(Inputs!$G$5:$G$230="acoes"))*Inputs!$B$1+((Inputs!$G$5:$G$230&lt;&gt;"moeda")*(Inputs!$G$5:$G$230&lt;&gt;"acoes")))*INDEX(Inputs!$K$5:$AJ$230,0,MATCH(X$2,Inputs!$K$4:$AJ$4,0)))+SUMPRODUCT((Inputs!$C$5:$C$230=$B96)*Inputs!$D$5:$D$230*(((Inputs!$G$5:$G$230="moeda")+(Inputs!$G$5:$G$230="acoes"))*Inputs!$B$1+((Inputs!$G$5:$G$230&lt;&gt;"moeda")*(Inputs!$G$5:$G$230&lt;&gt;"acoes")))*INDEX(Inputs!$K$5:$AJ$230,0,MATCH(X$2,Inputs!$K$4:$AJ$4,0)))+SUMPRODUCT((Inputs!$E$5:$E$230=$B96)*Inputs!$F$5:$F$230*(((Inputs!$G$5:$G$230="moeda")+(Inputs!$G$5:$G$230="acoes"))*Inputs!$B$1+((Inputs!$G$5:$G$230&lt;&gt;"moeda")*(Inputs!$G$5:$G$230&lt;&gt;"acoes")))*INDEX(Inputs!$K$5:$AJ$230,0,MATCH(X$2,Inputs!$K$4:$AJ$4,0)))))</f>
        <v>13.431</v>
      </c>
      <c r="Y96" s="6">
        <f>IF(ISNA(MATCH(Y$2,Inputs!$K$4:$AJ$4,0)),NA(),IF(SUMPRODUCT((Inputs!$A$5:$A$230=$B96)*ISNUMBER(INDEX(Inputs!$K$5:$AJ$230,0,MATCH(Y$2,Inputs!$K$4:$AJ$4,0))))+SUMPRODUCT((Inputs!$C$5:$C$230=$B96)*ISNUMBER(INDEX(Inputs!$K$5:$AJ$230,0,MATCH(Y$2,Inputs!$K$4:$AJ$4,0))))+SUMPRODUCT((Inputs!$E$5:$E$230=$B96)*ISNUMBER(INDEX(Inputs!$K$5:$AJ$230,0,MATCH(Y$2,Inputs!$K$4:$AJ$4,0))))=0,NA(),SUMPRODUCT((Inputs!$A$5:$A$230=$B96)*Inputs!$B$5:$B$230*(((Inputs!$G$5:$G$230="moeda")+(Inputs!$G$5:$G$230="acoes"))*Inputs!$B$1+((Inputs!$G$5:$G$230&lt;&gt;"moeda")*(Inputs!$G$5:$G$230&lt;&gt;"acoes")))*INDEX(Inputs!$K$5:$AJ$230,0,MATCH(Y$2,Inputs!$K$4:$AJ$4,0)))+SUMPRODUCT((Inputs!$C$5:$C$230=$B96)*Inputs!$D$5:$D$230*(((Inputs!$G$5:$G$230="moeda")+(Inputs!$G$5:$G$230="acoes"))*Inputs!$B$1+((Inputs!$G$5:$G$230&lt;&gt;"moeda")*(Inputs!$G$5:$G$230&lt;&gt;"acoes")))*INDEX(Inputs!$K$5:$AJ$230,0,MATCH(Y$2,Inputs!$K$4:$AJ$4,0)))+SUMPRODUCT((Inputs!$E$5:$E$230=$B96)*Inputs!$F$5:$F$230*(((Inputs!$G$5:$G$230="moeda")+(Inputs!$G$5:$G$230="acoes"))*Inputs!$B$1+((Inputs!$G$5:$G$230&lt;&gt;"moeda")*(Inputs!$G$5:$G$230&lt;&gt;"acoes")))*INDEX(Inputs!$K$5:$AJ$230,0,MATCH(Y$2,Inputs!$K$4:$AJ$4,0)))))</f>
        <v>15.171</v>
      </c>
      <c r="Z96" s="6">
        <f>IF(ISNA(MATCH(Z$2,Inputs!$K$4:$AJ$4,0)),NA(),IF(SUMPRODUCT((Inputs!$A$5:$A$230=$B96)*ISNUMBER(INDEX(Inputs!$K$5:$AJ$230,0,MATCH(Z$2,Inputs!$K$4:$AJ$4,0))))+SUMPRODUCT((Inputs!$C$5:$C$230=$B96)*ISNUMBER(INDEX(Inputs!$K$5:$AJ$230,0,MATCH(Z$2,Inputs!$K$4:$AJ$4,0))))+SUMPRODUCT((Inputs!$E$5:$E$230=$B96)*ISNUMBER(INDEX(Inputs!$K$5:$AJ$230,0,MATCH(Z$2,Inputs!$K$4:$AJ$4,0))))=0,NA(),SUMPRODUCT((Inputs!$A$5:$A$230=$B96)*Inputs!$B$5:$B$230*(((Inputs!$G$5:$G$230="moeda")+(Inputs!$G$5:$G$230="acoes"))*Inputs!$B$1+((Inputs!$G$5:$G$230&lt;&gt;"moeda")*(Inputs!$G$5:$G$230&lt;&gt;"acoes")))*INDEX(Inputs!$K$5:$AJ$230,0,MATCH(Z$2,Inputs!$K$4:$AJ$4,0)))+SUMPRODUCT((Inputs!$C$5:$C$230=$B96)*Inputs!$D$5:$D$230*(((Inputs!$G$5:$G$230="moeda")+(Inputs!$G$5:$G$230="acoes"))*Inputs!$B$1+((Inputs!$G$5:$G$230&lt;&gt;"moeda")*(Inputs!$G$5:$G$230&lt;&gt;"acoes")))*INDEX(Inputs!$K$5:$AJ$230,0,MATCH(Z$2,Inputs!$K$4:$AJ$4,0)))+SUMPRODUCT((Inputs!$E$5:$E$230=$B96)*Inputs!$F$5:$F$230*(((Inputs!$G$5:$G$230="moeda")+(Inputs!$G$5:$G$230="acoes"))*Inputs!$B$1+((Inputs!$G$5:$G$230&lt;&gt;"moeda")*(Inputs!$G$5:$G$230&lt;&gt;"acoes")))*INDEX(Inputs!$K$5:$AJ$230,0,MATCH(Z$2,Inputs!$K$4:$AJ$4,0)))))</f>
        <v>9.725</v>
      </c>
      <c r="AA96" s="6">
        <f>IF(ISNA(MATCH(AA$2,Inputs!$K$4:$AJ$4,0)),NA(),IF(SUMPRODUCT((Inputs!$A$5:$A$230=$B96)*ISNUMBER(INDEX(Inputs!$K$5:$AJ$230,0,MATCH(AA$2,Inputs!$K$4:$AJ$4,0))))+SUMPRODUCT((Inputs!$C$5:$C$230=$B96)*ISNUMBER(INDEX(Inputs!$K$5:$AJ$230,0,MATCH(AA$2,Inputs!$K$4:$AJ$4,0))))+SUMPRODUCT((Inputs!$E$5:$E$230=$B96)*ISNUMBER(INDEX(Inputs!$K$5:$AJ$230,0,MATCH(AA$2,Inputs!$K$4:$AJ$4,0))))=0,NA(),SUMPRODUCT((Inputs!$A$5:$A$230=$B96)*Inputs!$B$5:$B$230*(((Inputs!$G$5:$G$230="moeda")+(Inputs!$G$5:$G$230="acoes"))*Inputs!$B$1+((Inputs!$G$5:$G$230&lt;&gt;"moeda")*(Inputs!$G$5:$G$230&lt;&gt;"acoes")))*INDEX(Inputs!$K$5:$AJ$230,0,MATCH(AA$2,Inputs!$K$4:$AJ$4,0)))+SUMPRODUCT((Inputs!$C$5:$C$230=$B96)*Inputs!$D$5:$D$230*(((Inputs!$G$5:$G$230="moeda")+(Inputs!$G$5:$G$230="acoes"))*Inputs!$B$1+((Inputs!$G$5:$G$230&lt;&gt;"moeda")*(Inputs!$G$5:$G$230&lt;&gt;"acoes")))*INDEX(Inputs!$K$5:$AJ$230,0,MATCH(AA$2,Inputs!$K$4:$AJ$4,0)))+SUMPRODUCT((Inputs!$E$5:$E$230=$B96)*Inputs!$F$5:$F$230*(((Inputs!$G$5:$G$230="moeda")+(Inputs!$G$5:$G$230="acoes"))*Inputs!$B$1+((Inputs!$G$5:$G$230&lt;&gt;"moeda")*(Inputs!$G$5:$G$230&lt;&gt;"acoes")))*INDEX(Inputs!$K$5:$AJ$230,0,MATCH(AA$2,Inputs!$K$4:$AJ$4,0)))))</f>
        <v>11.063</v>
      </c>
      <c r="AB96" s="3">
        <f>SUM(X96:AA96)</f>
        <v>49.39</v>
      </c>
      <c r="AC96" s="6">
        <f>IF(ISNA(MATCH(AC$2,Inputs!$K$4:$AJ$4,0)),NA(),IF(SUMPRODUCT((Inputs!$A$5:$A$230=$B96)*ISNUMBER(INDEX(Inputs!$K$5:$AJ$230,0,MATCH(AC$2,Inputs!$K$4:$AJ$4,0))))+SUMPRODUCT((Inputs!$C$5:$C$230=$B96)*ISNUMBER(INDEX(Inputs!$K$5:$AJ$230,0,MATCH(AC$2,Inputs!$K$4:$AJ$4,0))))+SUMPRODUCT((Inputs!$E$5:$E$230=$B96)*ISNUMBER(INDEX(Inputs!$K$5:$AJ$230,0,MATCH(AC$2,Inputs!$K$4:$AJ$4,0))))=0,NA(),SUMPRODUCT((Inputs!$A$5:$A$230=$B96)*Inputs!$B$5:$B$230*(((Inputs!$G$5:$G$230="moeda")+(Inputs!$G$5:$G$230="acoes"))*Inputs!$B$1+((Inputs!$G$5:$G$230&lt;&gt;"moeda")*(Inputs!$G$5:$G$230&lt;&gt;"acoes")))*INDEX(Inputs!$K$5:$AJ$230,0,MATCH(AC$2,Inputs!$K$4:$AJ$4,0)))+SUMPRODUCT((Inputs!$C$5:$C$230=$B96)*Inputs!$D$5:$D$230*(((Inputs!$G$5:$G$230="moeda")+(Inputs!$G$5:$G$230="acoes"))*Inputs!$B$1+((Inputs!$G$5:$G$230&lt;&gt;"moeda")*(Inputs!$G$5:$G$230&lt;&gt;"acoes")))*INDEX(Inputs!$K$5:$AJ$230,0,MATCH(AC$2,Inputs!$K$4:$AJ$4,0)))+SUMPRODUCT((Inputs!$E$5:$E$230=$B96)*Inputs!$F$5:$F$230*(((Inputs!$G$5:$G$230="moeda")+(Inputs!$G$5:$G$230="acoes"))*Inputs!$B$1+((Inputs!$G$5:$G$230&lt;&gt;"moeda")*(Inputs!$G$5:$G$230&lt;&gt;"acoes")))*INDEX(Inputs!$K$5:$AJ$230,0,MATCH(AC$2,Inputs!$K$4:$AJ$4,0)))))</f>
        <v>13.188</v>
      </c>
      <c r="AD96" s="6">
        <f>IF(ISNA(MATCH(AD$2,Inputs!$K$4:$AJ$4,0)),NA(),IF(SUMPRODUCT((Inputs!$A$5:$A$230=$B96)*ISNUMBER(INDEX(Inputs!$K$5:$AJ$230,0,MATCH(AD$2,Inputs!$K$4:$AJ$4,0))))+SUMPRODUCT((Inputs!$C$5:$C$230=$B96)*ISNUMBER(INDEX(Inputs!$K$5:$AJ$230,0,MATCH(AD$2,Inputs!$K$4:$AJ$4,0))))+SUMPRODUCT((Inputs!$E$5:$E$230=$B96)*ISNUMBER(INDEX(Inputs!$K$5:$AJ$230,0,MATCH(AD$2,Inputs!$K$4:$AJ$4,0))))=0,NA(),SUMPRODUCT((Inputs!$A$5:$A$230=$B96)*Inputs!$B$5:$B$230*(((Inputs!$G$5:$G$230="moeda")+(Inputs!$G$5:$G$230="acoes"))*Inputs!$B$1+((Inputs!$G$5:$G$230&lt;&gt;"moeda")*(Inputs!$G$5:$G$230&lt;&gt;"acoes")))*INDEX(Inputs!$K$5:$AJ$230,0,MATCH(AD$2,Inputs!$K$4:$AJ$4,0)))+SUMPRODUCT((Inputs!$C$5:$C$230=$B96)*Inputs!$D$5:$D$230*(((Inputs!$G$5:$G$230="moeda")+(Inputs!$G$5:$G$230="acoes"))*Inputs!$B$1+((Inputs!$G$5:$G$230&lt;&gt;"moeda")*(Inputs!$G$5:$G$230&lt;&gt;"acoes")))*INDEX(Inputs!$K$5:$AJ$230,0,MATCH(AD$2,Inputs!$K$4:$AJ$4,0)))+SUMPRODUCT((Inputs!$E$5:$E$230=$B96)*Inputs!$F$5:$F$230*(((Inputs!$G$5:$G$230="moeda")+(Inputs!$G$5:$G$230="acoes"))*Inputs!$B$1+((Inputs!$G$5:$G$230&lt;&gt;"moeda")*(Inputs!$G$5:$G$230&lt;&gt;"acoes")))*INDEX(Inputs!$K$5:$AJ$230,0,MATCH(AD$2,Inputs!$K$4:$AJ$4,0)))))</f>
        <v>9.945</v>
      </c>
      <c r="AE96" s="6" t="e">
        <f>IF(ISNA(MATCH(AE$2,Inputs!$K$4:$AJ$4,0)),NA(),IF(SUMPRODUCT((Inputs!$A$5:$A$230=$B96)*ISNUMBER(INDEX(Inputs!$K$5:$AJ$230,0,MATCH(AE$2,Inputs!$K$4:$AJ$4,0))))+SUMPRODUCT((Inputs!$C$5:$C$230=$B96)*ISNUMBER(INDEX(Inputs!$K$5:$AJ$230,0,MATCH(AE$2,Inputs!$K$4:$AJ$4,0))))+SUMPRODUCT((Inputs!$E$5:$E$230=$B96)*ISNUMBER(INDEX(Inputs!$K$5:$AJ$230,0,MATCH(AE$2,Inputs!$K$4:$AJ$4,0))))=0,NA(),SUMPRODUCT((Inputs!$A$5:$A$230=$B96)*Inputs!$B$5:$B$230*(((Inputs!$G$5:$G$230="moeda")+(Inputs!$G$5:$G$230="acoes"))*Inputs!$B$1+((Inputs!$G$5:$G$230&lt;&gt;"moeda")*(Inputs!$G$5:$G$230&lt;&gt;"acoes")))*INDEX(Inputs!$K$5:$AJ$230,0,MATCH(AE$2,Inputs!$K$4:$AJ$4,0)))+SUMPRODUCT((Inputs!$C$5:$C$230=$B96)*Inputs!$D$5:$D$230*(((Inputs!$G$5:$G$230="moeda")+(Inputs!$G$5:$G$230="acoes"))*Inputs!$B$1+((Inputs!$G$5:$G$230&lt;&gt;"moeda")*(Inputs!$G$5:$G$230&lt;&gt;"acoes")))*INDEX(Inputs!$K$5:$AJ$230,0,MATCH(AE$2,Inputs!$K$4:$AJ$4,0)))+SUMPRODUCT((Inputs!$E$5:$E$230=$B96)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6" s="6" t="e">
        <f>IF(ISNA(MATCH(AF$2,Inputs!$K$4:$AJ$4,0)),NA(),IF(SUMPRODUCT((Inputs!$A$5:$A$230=$B96)*ISNUMBER(INDEX(Inputs!$K$5:$AJ$230,0,MATCH(AF$2,Inputs!$K$4:$AJ$4,0))))+SUMPRODUCT((Inputs!$C$5:$C$230=$B96)*ISNUMBER(INDEX(Inputs!$K$5:$AJ$230,0,MATCH(AF$2,Inputs!$K$4:$AJ$4,0))))+SUMPRODUCT((Inputs!$E$5:$E$230=$B96)*ISNUMBER(INDEX(Inputs!$K$5:$AJ$230,0,MATCH(AF$2,Inputs!$K$4:$AJ$4,0))))=0,NA(),SUMPRODUCT((Inputs!$A$5:$A$230=$B96)*Inputs!$B$5:$B$230*(((Inputs!$G$5:$G$230="moeda")+(Inputs!$G$5:$G$230="acoes"))*Inputs!$B$1+((Inputs!$G$5:$G$230&lt;&gt;"moeda")*(Inputs!$G$5:$G$230&lt;&gt;"acoes")))*INDEX(Inputs!$K$5:$AJ$230,0,MATCH(AF$2,Inputs!$K$4:$AJ$4,0)))+SUMPRODUCT((Inputs!$C$5:$C$230=$B96)*Inputs!$D$5:$D$230*(((Inputs!$G$5:$G$230="moeda")+(Inputs!$G$5:$G$230="acoes"))*Inputs!$B$1+((Inputs!$G$5:$G$230&lt;&gt;"moeda")*(Inputs!$G$5:$G$230&lt;&gt;"acoes")))*INDEX(Inputs!$K$5:$AJ$230,0,MATCH(AF$2,Inputs!$K$4:$AJ$4,0)))+SUMPRODUCT((Inputs!$E$5:$E$230=$B96)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6" s="3" t="e">
        <f>SUM(AC96:AF96)</f>
        <v>#N/A</v>
      </c>
      <c r="AH96" s="6">
        <f>IF(ISNA(MATCH(AH$2,Inputs!$K$4:$AJ$4,0)),NA(),IF(SUMPRODUCT((Inputs!$A$5:$A$230=$B96)*ISNUMBER(INDEX(Inputs!$K$5:$AJ$230,0,MATCH(AH$2,Inputs!$K$4:$AJ$4,0))))+SUMPRODUCT((Inputs!$C$5:$C$230=$B96)*ISNUMBER(INDEX(Inputs!$K$5:$AJ$230,0,MATCH(AH$2,Inputs!$K$4:$AJ$4,0))))+SUMPRODUCT((Inputs!$E$5:$E$230=$B96)*ISNUMBER(INDEX(Inputs!$K$5:$AJ$230,0,MATCH(AH$2,Inputs!$K$4:$AJ$4,0))))=0,NA(),SUMPRODUCT((Inputs!$A$5:$A$230=$B96)*Inputs!$B$5:$B$230*(((Inputs!$G$5:$G$230="moeda")+(Inputs!$G$5:$G$230="acoes"))*Inputs!$B$1+((Inputs!$G$5:$G$230&lt;&gt;"moeda")*(Inputs!$G$5:$G$230&lt;&gt;"acoes")))*INDEX(Inputs!$K$5:$AJ$230,0,MATCH(AH$2,Inputs!$K$4:$AJ$4,0)))+SUMPRODUCT((Inputs!$C$5:$C$230=$B96)*Inputs!$D$5:$D$230*(((Inputs!$G$5:$G$230="moeda")+(Inputs!$G$5:$G$230="acoes"))*Inputs!$B$1+((Inputs!$G$5:$G$230&lt;&gt;"moeda")*(Inputs!$G$5:$G$230&lt;&gt;"acoes")))*INDEX(Inputs!$K$5:$AJ$230,0,MATCH(AH$2,Inputs!$K$4:$AJ$4,0)))+SUMPRODUCT((Inputs!$E$5:$E$230=$B96)*Inputs!$F$5:$F$230*(((Inputs!$G$5:$G$230="moeda")+(Inputs!$G$5:$G$230="acoes"))*Inputs!$B$1+((Inputs!$G$5:$G$230&lt;&gt;"moeda")*(Inputs!$G$5:$G$230&lt;&gt;"acoes")))*INDEX(Inputs!$K$5:$AJ$230,0,MATCH(AH$2,Inputs!$K$4:$AJ$4,0)))))</f>
        <v>2.674</v>
      </c>
      <c r="AI96" s="6">
        <f>IF(ISNA(MATCH(AI$2,Inputs!$K$4:$AJ$4,0)),NA(),IF(SUMPRODUCT((Inputs!$A$5:$A$230=$B96)*ISNUMBER(INDEX(Inputs!$K$5:$AJ$230,0,MATCH(AI$2,Inputs!$K$4:$AJ$4,0))))+SUMPRODUCT((Inputs!$C$5:$C$230=$B96)*ISNUMBER(INDEX(Inputs!$K$5:$AJ$230,0,MATCH(AI$2,Inputs!$K$4:$AJ$4,0))))+SUMPRODUCT((Inputs!$E$5:$E$230=$B96)*ISNUMBER(INDEX(Inputs!$K$5:$AJ$230,0,MATCH(AI$2,Inputs!$K$4:$AJ$4,0))))=0,NA(),SUMPRODUCT((Inputs!$A$5:$A$230=$B96)*Inputs!$B$5:$B$230*(((Inputs!$G$5:$G$230="moeda")+(Inputs!$G$5:$G$230="acoes"))*Inputs!$B$1+((Inputs!$G$5:$G$230&lt;&gt;"moeda")*(Inputs!$G$5:$G$230&lt;&gt;"acoes")))*INDEX(Inputs!$K$5:$AJ$230,0,MATCH(AI$2,Inputs!$K$4:$AJ$4,0)))+SUMPRODUCT((Inputs!$C$5:$C$230=$B96)*Inputs!$D$5:$D$230*(((Inputs!$G$5:$G$230="moeda")+(Inputs!$G$5:$G$230="acoes"))*Inputs!$B$1+((Inputs!$G$5:$G$230&lt;&gt;"moeda")*(Inputs!$G$5:$G$230&lt;&gt;"acoes")))*INDEX(Inputs!$K$5:$AJ$230,0,MATCH(AI$2,Inputs!$K$4:$AJ$4,0)))+SUMPRODUCT((Inputs!$E$5:$E$230=$B96)*Inputs!$F$5:$F$230*(((Inputs!$G$5:$G$230="moeda")+(Inputs!$G$5:$G$230="acoes"))*Inputs!$B$1+((Inputs!$G$5:$G$230&lt;&gt;"moeda")*(Inputs!$G$5:$G$230&lt;&gt;"acoes")))*INDEX(Inputs!$K$5:$AJ$230,0,MATCH(AI$2,Inputs!$K$4:$AJ$4,0)))))</f>
        <v>5.157</v>
      </c>
      <c r="AJ96" s="6">
        <f>IF(ISNA(MATCH(AJ$2,Inputs!$K$4:$AJ$4,0)),NA(),IF(SUMPRODUCT((Inputs!$A$5:$A$230=$B96)*ISNUMBER(INDEX(Inputs!$K$5:$AJ$230,0,MATCH(AJ$2,Inputs!$K$4:$AJ$4,0))))+SUMPRODUCT((Inputs!$C$5:$C$230=$B96)*ISNUMBER(INDEX(Inputs!$K$5:$AJ$230,0,MATCH(AJ$2,Inputs!$K$4:$AJ$4,0))))+SUMPRODUCT((Inputs!$E$5:$E$230=$B96)*ISNUMBER(INDEX(Inputs!$K$5:$AJ$230,0,MATCH(AJ$2,Inputs!$K$4:$AJ$4,0))))=0,NA(),SUMPRODUCT((Inputs!$A$5:$A$230=$B96)*Inputs!$B$5:$B$230*(((Inputs!$G$5:$G$230="moeda")+(Inputs!$G$5:$G$230="acoes"))*Inputs!$B$1+((Inputs!$G$5:$G$230&lt;&gt;"moeda")*(Inputs!$G$5:$G$230&lt;&gt;"acoes")))*INDEX(Inputs!$K$5:$AJ$230,0,MATCH(AJ$2,Inputs!$K$4:$AJ$4,0)))+SUMPRODUCT((Inputs!$C$5:$C$230=$B96)*Inputs!$D$5:$D$230*(((Inputs!$G$5:$G$230="moeda")+(Inputs!$G$5:$G$230="acoes"))*Inputs!$B$1+((Inputs!$G$5:$G$230&lt;&gt;"moeda")*(Inputs!$G$5:$G$230&lt;&gt;"acoes")))*INDEX(Inputs!$K$5:$AJ$230,0,MATCH(AJ$2,Inputs!$K$4:$AJ$4,0)))+SUMPRODUCT((Inputs!$E$5:$E$230=$B96)*Inputs!$F$5:$F$230*(((Inputs!$G$5:$G$230="moeda")+(Inputs!$G$5:$G$230="acoes"))*Inputs!$B$1+((Inputs!$G$5:$G$230&lt;&gt;"moeda")*(Inputs!$G$5:$G$230&lt;&gt;"acoes")))*INDEX(Inputs!$K$5:$AJ$230,0,MATCH(AJ$2,Inputs!$K$4:$AJ$4,0)))))</f>
        <v>9.932</v>
      </c>
      <c r="AK96" s="6">
        <f>IF(ISNA(MATCH(AK$2,Inputs!$K$4:$AJ$4,0)),NA(),IF(SUMPRODUCT((Inputs!$A$5:$A$230=$B96)*ISNUMBER(INDEX(Inputs!$K$5:$AJ$230,0,MATCH(AK$2,Inputs!$K$4:$AJ$4,0))))+SUMPRODUCT((Inputs!$C$5:$C$230=$B96)*ISNUMBER(INDEX(Inputs!$K$5:$AJ$230,0,MATCH(AK$2,Inputs!$K$4:$AJ$4,0))))+SUMPRODUCT((Inputs!$E$5:$E$230=$B96)*ISNUMBER(INDEX(Inputs!$K$5:$AJ$230,0,MATCH(AK$2,Inputs!$K$4:$AJ$4,0))))=0,NA(),SUMPRODUCT((Inputs!$A$5:$A$230=$B96)*Inputs!$B$5:$B$230*(((Inputs!$G$5:$G$230="moeda")+(Inputs!$G$5:$G$230="acoes"))*Inputs!$B$1+((Inputs!$G$5:$G$230&lt;&gt;"moeda")*(Inputs!$G$5:$G$230&lt;&gt;"acoes")))*INDEX(Inputs!$K$5:$AJ$230,0,MATCH(AK$2,Inputs!$K$4:$AJ$4,0)))+SUMPRODUCT((Inputs!$C$5:$C$230=$B96)*Inputs!$D$5:$D$230*(((Inputs!$G$5:$G$230="moeda")+(Inputs!$G$5:$G$230="acoes"))*Inputs!$B$1+((Inputs!$G$5:$G$230&lt;&gt;"moeda")*(Inputs!$G$5:$G$230&lt;&gt;"acoes")))*INDEX(Inputs!$K$5:$AJ$230,0,MATCH(AK$2,Inputs!$K$4:$AJ$4,0)))+SUMPRODUCT((Inputs!$E$5:$E$230=$B96)*Inputs!$F$5:$F$230*(((Inputs!$G$5:$G$230="moeda")+(Inputs!$G$5:$G$230="acoes"))*Inputs!$B$1+((Inputs!$G$5:$G$230&lt;&gt;"moeda")*(Inputs!$G$5:$G$230&lt;&gt;"acoes")))*INDEX(Inputs!$K$5:$AJ$230,0,MATCH(AK$2,Inputs!$K$4:$AJ$4,0)))))</f>
        <v>9.794</v>
      </c>
      <c r="AL96" s="3">
        <f>SUM(AH96:AK96)</f>
        <v>27.557</v>
      </c>
    </row>
    <row r="97">
      <c r="B97" s="46" t="n">
        <v>89</v>
      </c>
      <c r="C97" s="29" t="inlineStr">
        <is>
          <t>Geracao | Queluz</t>
        </is>
      </c>
      <c r="D97" s="6">
        <f>IF(ISNA(MATCH(D$2,Inputs!$K$4:$AJ$4,0)),NA(),IF(SUMPRODUCT((Inputs!$A$5:$A$230=$B97)*ISNUMBER(INDEX(Inputs!$K$5:$AJ$230,0,MATCH(D$2,Inputs!$K$4:$AJ$4,0))))+SUMPRODUCT((Inputs!$C$5:$C$230=$B97)*ISNUMBER(INDEX(Inputs!$K$5:$AJ$230,0,MATCH(D$2,Inputs!$K$4:$AJ$4,0))))+SUMPRODUCT((Inputs!$E$5:$E$230=$B97)*ISNUMBER(INDEX(Inputs!$K$5:$AJ$230,0,MATCH(D$2,Inputs!$K$4:$AJ$4,0))))=0,NA(),SUMPRODUCT((Inputs!$A$5:$A$230=$B97)*Inputs!$B$5:$B$230*(((Inputs!$G$5:$G$230="moeda")+(Inputs!$G$5:$G$230="acoes"))*Inputs!$B$1+((Inputs!$G$5:$G$230&lt;&gt;"moeda")*(Inputs!$G$5:$G$230&lt;&gt;"acoes")))*INDEX(Inputs!$K$5:$AJ$230,0,MATCH(D$2,Inputs!$K$4:$AJ$4,0)))+SUMPRODUCT((Inputs!$C$5:$C$230=$B97)*Inputs!$D$5:$D$230*(((Inputs!$G$5:$G$230="moeda")+(Inputs!$G$5:$G$230="acoes"))*Inputs!$B$1+((Inputs!$G$5:$G$230&lt;&gt;"moeda")*(Inputs!$G$5:$G$230&lt;&gt;"acoes")))*INDEX(Inputs!$K$5:$AJ$230,0,MATCH(D$2,Inputs!$K$4:$AJ$4,0)))+SUMPRODUCT((Inputs!$E$5:$E$230=$B97)*Inputs!$F$5:$F$230*(((Inputs!$G$5:$G$230="moeda")+(Inputs!$G$5:$G$230="acoes"))*Inputs!$B$1+((Inputs!$G$5:$G$230&lt;&gt;"moeda")*(Inputs!$G$5:$G$230&lt;&gt;"acoes")))*INDEX(Inputs!$K$5:$AJ$230,0,MATCH(D$2,Inputs!$K$4:$AJ$4,0)))))</f>
        <v>19.738</v>
      </c>
      <c r="E97" s="6">
        <f>IF(ISNA(MATCH(E$2,Inputs!$K$4:$AJ$4,0)),NA(),IF(SUMPRODUCT((Inputs!$A$5:$A$230=$B97)*ISNUMBER(INDEX(Inputs!$K$5:$AJ$230,0,MATCH(E$2,Inputs!$K$4:$AJ$4,0))))+SUMPRODUCT((Inputs!$C$5:$C$230=$B97)*ISNUMBER(INDEX(Inputs!$K$5:$AJ$230,0,MATCH(E$2,Inputs!$K$4:$AJ$4,0))))+SUMPRODUCT((Inputs!$E$5:$E$230=$B97)*ISNUMBER(INDEX(Inputs!$K$5:$AJ$230,0,MATCH(E$2,Inputs!$K$4:$AJ$4,0))))=0,NA(),SUMPRODUCT((Inputs!$A$5:$A$230=$B97)*Inputs!$B$5:$B$230*(((Inputs!$G$5:$G$230="moeda")+(Inputs!$G$5:$G$230="acoes"))*Inputs!$B$1+((Inputs!$G$5:$G$230&lt;&gt;"moeda")*(Inputs!$G$5:$G$230&lt;&gt;"acoes")))*INDEX(Inputs!$K$5:$AJ$230,0,MATCH(E$2,Inputs!$K$4:$AJ$4,0)))+SUMPRODUCT((Inputs!$C$5:$C$230=$B97)*Inputs!$D$5:$D$230*(((Inputs!$G$5:$G$230="moeda")+(Inputs!$G$5:$G$230="acoes"))*Inputs!$B$1+((Inputs!$G$5:$G$230&lt;&gt;"moeda")*(Inputs!$G$5:$G$230&lt;&gt;"acoes")))*INDEX(Inputs!$K$5:$AJ$230,0,MATCH(E$2,Inputs!$K$4:$AJ$4,0)))+SUMPRODUCT((Inputs!$E$5:$E$230=$B97)*Inputs!$F$5:$F$230*(((Inputs!$G$5:$G$230="moeda")+(Inputs!$G$5:$G$230="acoes"))*Inputs!$B$1+((Inputs!$G$5:$G$230&lt;&gt;"moeda")*(Inputs!$G$5:$G$230&lt;&gt;"acoes")))*INDEX(Inputs!$K$5:$AJ$230,0,MATCH(E$2,Inputs!$K$4:$AJ$4,0)))))</f>
        <v>21.879</v>
      </c>
      <c r="F97" s="6">
        <f>IF(ISNA(MATCH(F$2,Inputs!$K$4:$AJ$4,0)),NA(),IF(SUMPRODUCT((Inputs!$A$5:$A$230=$B97)*ISNUMBER(INDEX(Inputs!$K$5:$AJ$230,0,MATCH(F$2,Inputs!$K$4:$AJ$4,0))))+SUMPRODUCT((Inputs!$C$5:$C$230=$B97)*ISNUMBER(INDEX(Inputs!$K$5:$AJ$230,0,MATCH(F$2,Inputs!$K$4:$AJ$4,0))))+SUMPRODUCT((Inputs!$E$5:$E$230=$B97)*ISNUMBER(INDEX(Inputs!$K$5:$AJ$230,0,MATCH(F$2,Inputs!$K$4:$AJ$4,0))))=0,NA(),SUMPRODUCT((Inputs!$A$5:$A$230=$B97)*Inputs!$B$5:$B$230*(((Inputs!$G$5:$G$230="moeda")+(Inputs!$G$5:$G$230="acoes"))*Inputs!$B$1+((Inputs!$G$5:$G$230&lt;&gt;"moeda")*(Inputs!$G$5:$G$230&lt;&gt;"acoes")))*INDEX(Inputs!$K$5:$AJ$230,0,MATCH(F$2,Inputs!$K$4:$AJ$4,0)))+SUMPRODUCT((Inputs!$C$5:$C$230=$B97)*Inputs!$D$5:$D$230*(((Inputs!$G$5:$G$230="moeda")+(Inputs!$G$5:$G$230="acoes"))*Inputs!$B$1+((Inputs!$G$5:$G$230&lt;&gt;"moeda")*(Inputs!$G$5:$G$230&lt;&gt;"acoes")))*INDEX(Inputs!$K$5:$AJ$230,0,MATCH(F$2,Inputs!$K$4:$AJ$4,0)))+SUMPRODUCT((Inputs!$E$5:$E$230=$B97)*Inputs!$F$5:$F$230*(((Inputs!$G$5:$G$230="moeda")+(Inputs!$G$5:$G$230="acoes"))*Inputs!$B$1+((Inputs!$G$5:$G$230&lt;&gt;"moeda")*(Inputs!$G$5:$G$230&lt;&gt;"acoes")))*INDEX(Inputs!$K$5:$AJ$230,0,MATCH(F$2,Inputs!$K$4:$AJ$4,0)))))</f>
        <v>18.624</v>
      </c>
      <c r="G97" s="6">
        <f>IF(ISNA(MATCH(G$2,Inputs!$K$4:$AJ$4,0)),NA(),IF(SUMPRODUCT((Inputs!$A$5:$A$230=$B97)*ISNUMBER(INDEX(Inputs!$K$5:$AJ$230,0,MATCH(G$2,Inputs!$K$4:$AJ$4,0))))+SUMPRODUCT((Inputs!$C$5:$C$230=$B97)*ISNUMBER(INDEX(Inputs!$K$5:$AJ$230,0,MATCH(G$2,Inputs!$K$4:$AJ$4,0))))+SUMPRODUCT((Inputs!$E$5:$E$230=$B97)*ISNUMBER(INDEX(Inputs!$K$5:$AJ$230,0,MATCH(G$2,Inputs!$K$4:$AJ$4,0))))=0,NA(),SUMPRODUCT((Inputs!$A$5:$A$230=$B97)*Inputs!$B$5:$B$230*(((Inputs!$G$5:$G$230="moeda")+(Inputs!$G$5:$G$230="acoes"))*Inputs!$B$1+((Inputs!$G$5:$G$230&lt;&gt;"moeda")*(Inputs!$G$5:$G$230&lt;&gt;"acoes")))*INDEX(Inputs!$K$5:$AJ$230,0,MATCH(G$2,Inputs!$K$4:$AJ$4,0)))+SUMPRODUCT((Inputs!$C$5:$C$230=$B97)*Inputs!$D$5:$D$230*(((Inputs!$G$5:$G$230="moeda")+(Inputs!$G$5:$G$230="acoes"))*Inputs!$B$1+((Inputs!$G$5:$G$230&lt;&gt;"moeda")*(Inputs!$G$5:$G$230&lt;&gt;"acoes")))*INDEX(Inputs!$K$5:$AJ$230,0,MATCH(G$2,Inputs!$K$4:$AJ$4,0)))+SUMPRODUCT((Inputs!$E$5:$E$230=$B97)*Inputs!$F$5:$F$230*(((Inputs!$G$5:$G$230="moeda")+(Inputs!$G$5:$G$230="acoes"))*Inputs!$B$1+((Inputs!$G$5:$G$230&lt;&gt;"moeda")*(Inputs!$G$5:$G$230&lt;&gt;"acoes")))*INDEX(Inputs!$K$5:$AJ$230,0,MATCH(G$2,Inputs!$K$4:$AJ$4,0)))))</f>
        <v>22.284</v>
      </c>
      <c r="H97" s="3">
        <f>SUM(D97:G97)</f>
        <v>82.525</v>
      </c>
      <c r="I97" s="6">
        <f>IF(ISNA(MATCH(I$2,Inputs!$K$4:$AJ$4,0)),NA(),IF(SUMPRODUCT((Inputs!$A$5:$A$230=$B97)*ISNUMBER(INDEX(Inputs!$K$5:$AJ$230,0,MATCH(I$2,Inputs!$K$4:$AJ$4,0))))+SUMPRODUCT((Inputs!$C$5:$C$230=$B97)*ISNUMBER(INDEX(Inputs!$K$5:$AJ$230,0,MATCH(I$2,Inputs!$K$4:$AJ$4,0))))+SUMPRODUCT((Inputs!$E$5:$E$230=$B97)*ISNUMBER(INDEX(Inputs!$K$5:$AJ$230,0,MATCH(I$2,Inputs!$K$4:$AJ$4,0))))=0,NA(),SUMPRODUCT((Inputs!$A$5:$A$230=$B97)*Inputs!$B$5:$B$230*(((Inputs!$G$5:$G$230="moeda")+(Inputs!$G$5:$G$230="acoes"))*Inputs!$B$1+((Inputs!$G$5:$G$230&lt;&gt;"moeda")*(Inputs!$G$5:$G$230&lt;&gt;"acoes")))*INDEX(Inputs!$K$5:$AJ$230,0,MATCH(I$2,Inputs!$K$4:$AJ$4,0)))+SUMPRODUCT((Inputs!$C$5:$C$230=$B97)*Inputs!$D$5:$D$230*(((Inputs!$G$5:$G$230="moeda")+(Inputs!$G$5:$G$230="acoes"))*Inputs!$B$1+((Inputs!$G$5:$G$230&lt;&gt;"moeda")*(Inputs!$G$5:$G$230&lt;&gt;"acoes")))*INDEX(Inputs!$K$5:$AJ$230,0,MATCH(I$2,Inputs!$K$4:$AJ$4,0)))+SUMPRODUCT((Inputs!$E$5:$E$230=$B97)*Inputs!$F$5:$F$230*(((Inputs!$G$5:$G$230="moeda")+(Inputs!$G$5:$G$230="acoes"))*Inputs!$B$1+((Inputs!$G$5:$G$230&lt;&gt;"moeda")*(Inputs!$G$5:$G$230&lt;&gt;"acoes")))*INDEX(Inputs!$K$5:$AJ$230,0,MATCH(I$2,Inputs!$K$4:$AJ$4,0)))))</f>
        <v>15.772</v>
      </c>
      <c r="J97" s="6">
        <f>IF(ISNA(MATCH(J$2,Inputs!$K$4:$AJ$4,0)),NA(),IF(SUMPRODUCT((Inputs!$A$5:$A$230=$B97)*ISNUMBER(INDEX(Inputs!$K$5:$AJ$230,0,MATCH(J$2,Inputs!$K$4:$AJ$4,0))))+SUMPRODUCT((Inputs!$C$5:$C$230=$B97)*ISNUMBER(INDEX(Inputs!$K$5:$AJ$230,0,MATCH(J$2,Inputs!$K$4:$AJ$4,0))))+SUMPRODUCT((Inputs!$E$5:$E$230=$B97)*ISNUMBER(INDEX(Inputs!$K$5:$AJ$230,0,MATCH(J$2,Inputs!$K$4:$AJ$4,0))))=0,NA(),SUMPRODUCT((Inputs!$A$5:$A$230=$B97)*Inputs!$B$5:$B$230*(((Inputs!$G$5:$G$230="moeda")+(Inputs!$G$5:$G$230="acoes"))*Inputs!$B$1+((Inputs!$G$5:$G$230&lt;&gt;"moeda")*(Inputs!$G$5:$G$230&lt;&gt;"acoes")))*INDEX(Inputs!$K$5:$AJ$230,0,MATCH(J$2,Inputs!$K$4:$AJ$4,0)))+SUMPRODUCT((Inputs!$C$5:$C$230=$B97)*Inputs!$D$5:$D$230*(((Inputs!$G$5:$G$230="moeda")+(Inputs!$G$5:$G$230="acoes"))*Inputs!$B$1+((Inputs!$G$5:$G$230&lt;&gt;"moeda")*(Inputs!$G$5:$G$230&lt;&gt;"acoes")))*INDEX(Inputs!$K$5:$AJ$230,0,MATCH(J$2,Inputs!$K$4:$AJ$4,0)))+SUMPRODUCT((Inputs!$E$5:$E$230=$B97)*Inputs!$F$5:$F$230*(((Inputs!$G$5:$G$230="moeda")+(Inputs!$G$5:$G$230="acoes"))*Inputs!$B$1+((Inputs!$G$5:$G$230&lt;&gt;"moeda")*(Inputs!$G$5:$G$230&lt;&gt;"acoes")))*INDEX(Inputs!$K$5:$AJ$230,0,MATCH(J$2,Inputs!$K$4:$AJ$4,0)))))</f>
        <v>13.252</v>
      </c>
      <c r="K97" s="6">
        <f>IF(ISNA(MATCH(K$2,Inputs!$K$4:$AJ$4,0)),NA(),IF(SUMPRODUCT((Inputs!$A$5:$A$230=$B97)*ISNUMBER(INDEX(Inputs!$K$5:$AJ$230,0,MATCH(K$2,Inputs!$K$4:$AJ$4,0))))+SUMPRODUCT((Inputs!$C$5:$C$230=$B97)*ISNUMBER(INDEX(Inputs!$K$5:$AJ$230,0,MATCH(K$2,Inputs!$K$4:$AJ$4,0))))+SUMPRODUCT((Inputs!$E$5:$E$230=$B97)*ISNUMBER(INDEX(Inputs!$K$5:$AJ$230,0,MATCH(K$2,Inputs!$K$4:$AJ$4,0))))=0,NA(),SUMPRODUCT((Inputs!$A$5:$A$230=$B97)*Inputs!$B$5:$B$230*(((Inputs!$G$5:$G$230="moeda")+(Inputs!$G$5:$G$230="acoes"))*Inputs!$B$1+((Inputs!$G$5:$G$230&lt;&gt;"moeda")*(Inputs!$G$5:$G$230&lt;&gt;"acoes")))*INDEX(Inputs!$K$5:$AJ$230,0,MATCH(K$2,Inputs!$K$4:$AJ$4,0)))+SUMPRODUCT((Inputs!$C$5:$C$230=$B97)*Inputs!$D$5:$D$230*(((Inputs!$G$5:$G$230="moeda")+(Inputs!$G$5:$G$230="acoes"))*Inputs!$B$1+((Inputs!$G$5:$G$230&lt;&gt;"moeda")*(Inputs!$G$5:$G$230&lt;&gt;"acoes")))*INDEX(Inputs!$K$5:$AJ$230,0,MATCH(K$2,Inputs!$K$4:$AJ$4,0)))+SUMPRODUCT((Inputs!$E$5:$E$230=$B97)*Inputs!$F$5:$F$230*(((Inputs!$G$5:$G$230="moeda")+(Inputs!$G$5:$G$230="acoes"))*Inputs!$B$1+((Inputs!$G$5:$G$230&lt;&gt;"moeda")*(Inputs!$G$5:$G$230&lt;&gt;"acoes")))*INDEX(Inputs!$K$5:$AJ$230,0,MATCH(K$2,Inputs!$K$4:$AJ$4,0)))))</f>
        <v>15.018</v>
      </c>
      <c r="L97" s="6">
        <f>IF(ISNA(MATCH(L$2,Inputs!$K$4:$AJ$4,0)),NA(),IF(SUMPRODUCT((Inputs!$A$5:$A$230=$B97)*ISNUMBER(INDEX(Inputs!$K$5:$AJ$230,0,MATCH(L$2,Inputs!$K$4:$AJ$4,0))))+SUMPRODUCT((Inputs!$C$5:$C$230=$B97)*ISNUMBER(INDEX(Inputs!$K$5:$AJ$230,0,MATCH(L$2,Inputs!$K$4:$AJ$4,0))))+SUMPRODUCT((Inputs!$E$5:$E$230=$B97)*ISNUMBER(INDEX(Inputs!$K$5:$AJ$230,0,MATCH(L$2,Inputs!$K$4:$AJ$4,0))))=0,NA(),SUMPRODUCT((Inputs!$A$5:$A$230=$B97)*Inputs!$B$5:$B$230*(((Inputs!$G$5:$G$230="moeda")+(Inputs!$G$5:$G$230="acoes"))*Inputs!$B$1+((Inputs!$G$5:$G$230&lt;&gt;"moeda")*(Inputs!$G$5:$G$230&lt;&gt;"acoes")))*INDEX(Inputs!$K$5:$AJ$230,0,MATCH(L$2,Inputs!$K$4:$AJ$4,0)))+SUMPRODUCT((Inputs!$C$5:$C$230=$B97)*Inputs!$D$5:$D$230*(((Inputs!$G$5:$G$230="moeda")+(Inputs!$G$5:$G$230="acoes"))*Inputs!$B$1+((Inputs!$G$5:$G$230&lt;&gt;"moeda")*(Inputs!$G$5:$G$230&lt;&gt;"acoes")))*INDEX(Inputs!$K$5:$AJ$230,0,MATCH(L$2,Inputs!$K$4:$AJ$4,0)))+SUMPRODUCT((Inputs!$E$5:$E$230=$B97)*Inputs!$F$5:$F$230*(((Inputs!$G$5:$G$230="moeda")+(Inputs!$G$5:$G$230="acoes"))*Inputs!$B$1+((Inputs!$G$5:$G$230&lt;&gt;"moeda")*(Inputs!$G$5:$G$230&lt;&gt;"acoes")))*INDEX(Inputs!$K$5:$AJ$230,0,MATCH(L$2,Inputs!$K$4:$AJ$4,0)))))</f>
        <v>15.462</v>
      </c>
      <c r="M97" s="3">
        <f>SUM(I97:L97)</f>
        <v>59.504</v>
      </c>
      <c r="N97" s="6">
        <f>IF(ISNA(MATCH(N$2,Inputs!$K$4:$AJ$4,0)),NA(),IF(SUMPRODUCT((Inputs!$A$5:$A$230=$B97)*ISNUMBER(INDEX(Inputs!$K$5:$AJ$230,0,MATCH(N$2,Inputs!$K$4:$AJ$4,0))))+SUMPRODUCT((Inputs!$C$5:$C$230=$B97)*ISNUMBER(INDEX(Inputs!$K$5:$AJ$230,0,MATCH(N$2,Inputs!$K$4:$AJ$4,0))))+SUMPRODUCT((Inputs!$E$5:$E$230=$B97)*ISNUMBER(INDEX(Inputs!$K$5:$AJ$230,0,MATCH(N$2,Inputs!$K$4:$AJ$4,0))))=0,NA(),SUMPRODUCT((Inputs!$A$5:$A$230=$B97)*Inputs!$B$5:$B$230*(((Inputs!$G$5:$G$230="moeda")+(Inputs!$G$5:$G$230="acoes"))*Inputs!$B$1+((Inputs!$G$5:$G$230&lt;&gt;"moeda")*(Inputs!$G$5:$G$230&lt;&gt;"acoes")))*INDEX(Inputs!$K$5:$AJ$230,0,MATCH(N$2,Inputs!$K$4:$AJ$4,0)))+SUMPRODUCT((Inputs!$C$5:$C$230=$B97)*Inputs!$D$5:$D$230*(((Inputs!$G$5:$G$230="moeda")+(Inputs!$G$5:$G$230="acoes"))*Inputs!$B$1+((Inputs!$G$5:$G$230&lt;&gt;"moeda")*(Inputs!$G$5:$G$230&lt;&gt;"acoes")))*INDEX(Inputs!$K$5:$AJ$230,0,MATCH(N$2,Inputs!$K$4:$AJ$4,0)))+SUMPRODUCT((Inputs!$E$5:$E$230=$B97)*Inputs!$F$5:$F$230*(((Inputs!$G$5:$G$230="moeda")+(Inputs!$G$5:$G$230="acoes"))*Inputs!$B$1+((Inputs!$G$5:$G$230&lt;&gt;"moeda")*(Inputs!$G$5:$G$230&lt;&gt;"acoes")))*INDEX(Inputs!$K$5:$AJ$230,0,MATCH(N$2,Inputs!$K$4:$AJ$4,0)))))</f>
        <v>14.097</v>
      </c>
      <c r="O97" s="6">
        <f>IF(ISNA(MATCH(O$2,Inputs!$K$4:$AJ$4,0)),NA(),IF(SUMPRODUCT((Inputs!$A$5:$A$230=$B97)*ISNUMBER(INDEX(Inputs!$K$5:$AJ$230,0,MATCH(O$2,Inputs!$K$4:$AJ$4,0))))+SUMPRODUCT((Inputs!$C$5:$C$230=$B97)*ISNUMBER(INDEX(Inputs!$K$5:$AJ$230,0,MATCH(O$2,Inputs!$K$4:$AJ$4,0))))+SUMPRODUCT((Inputs!$E$5:$E$230=$B97)*ISNUMBER(INDEX(Inputs!$K$5:$AJ$230,0,MATCH(O$2,Inputs!$K$4:$AJ$4,0))))=0,NA(),SUMPRODUCT((Inputs!$A$5:$A$230=$B97)*Inputs!$B$5:$B$230*(((Inputs!$G$5:$G$230="moeda")+(Inputs!$G$5:$G$230="acoes"))*Inputs!$B$1+((Inputs!$G$5:$G$230&lt;&gt;"moeda")*(Inputs!$G$5:$G$230&lt;&gt;"acoes")))*INDEX(Inputs!$K$5:$AJ$230,0,MATCH(O$2,Inputs!$K$4:$AJ$4,0)))+SUMPRODUCT((Inputs!$C$5:$C$230=$B97)*Inputs!$D$5:$D$230*(((Inputs!$G$5:$G$230="moeda")+(Inputs!$G$5:$G$230="acoes"))*Inputs!$B$1+((Inputs!$G$5:$G$230&lt;&gt;"moeda")*(Inputs!$G$5:$G$230&lt;&gt;"acoes")))*INDEX(Inputs!$K$5:$AJ$230,0,MATCH(O$2,Inputs!$K$4:$AJ$4,0)))+SUMPRODUCT((Inputs!$E$5:$E$230=$B97)*Inputs!$F$5:$F$230*(((Inputs!$G$5:$G$230="moeda")+(Inputs!$G$5:$G$230="acoes"))*Inputs!$B$1+((Inputs!$G$5:$G$230&lt;&gt;"moeda")*(Inputs!$G$5:$G$230&lt;&gt;"acoes")))*INDEX(Inputs!$K$5:$AJ$230,0,MATCH(O$2,Inputs!$K$4:$AJ$4,0)))))</f>
        <v>13.945</v>
      </c>
      <c r="P97" s="6">
        <f>IF(ISNA(MATCH(P$2,Inputs!$K$4:$AJ$4,0)),NA(),IF(SUMPRODUCT((Inputs!$A$5:$A$230=$B97)*ISNUMBER(INDEX(Inputs!$K$5:$AJ$230,0,MATCH(P$2,Inputs!$K$4:$AJ$4,0))))+SUMPRODUCT((Inputs!$C$5:$C$230=$B97)*ISNUMBER(INDEX(Inputs!$K$5:$AJ$230,0,MATCH(P$2,Inputs!$K$4:$AJ$4,0))))+SUMPRODUCT((Inputs!$E$5:$E$230=$B97)*ISNUMBER(INDEX(Inputs!$K$5:$AJ$230,0,MATCH(P$2,Inputs!$K$4:$AJ$4,0))))=0,NA(),SUMPRODUCT((Inputs!$A$5:$A$230=$B97)*Inputs!$B$5:$B$230*(((Inputs!$G$5:$G$230="moeda")+(Inputs!$G$5:$G$230="acoes"))*Inputs!$B$1+((Inputs!$G$5:$G$230&lt;&gt;"moeda")*(Inputs!$G$5:$G$230&lt;&gt;"acoes")))*INDEX(Inputs!$K$5:$AJ$230,0,MATCH(P$2,Inputs!$K$4:$AJ$4,0)))+SUMPRODUCT((Inputs!$C$5:$C$230=$B97)*Inputs!$D$5:$D$230*(((Inputs!$G$5:$G$230="moeda")+(Inputs!$G$5:$G$230="acoes"))*Inputs!$B$1+((Inputs!$G$5:$G$230&lt;&gt;"moeda")*(Inputs!$G$5:$G$230&lt;&gt;"acoes")))*INDEX(Inputs!$K$5:$AJ$230,0,MATCH(P$2,Inputs!$K$4:$AJ$4,0)))+SUMPRODUCT((Inputs!$E$5:$E$230=$B97)*Inputs!$F$5:$F$230*(((Inputs!$G$5:$G$230="moeda")+(Inputs!$G$5:$G$230="acoes"))*Inputs!$B$1+((Inputs!$G$5:$G$230&lt;&gt;"moeda")*(Inputs!$G$5:$G$230&lt;&gt;"acoes")))*INDEX(Inputs!$K$5:$AJ$230,0,MATCH(P$2,Inputs!$K$4:$AJ$4,0)))))</f>
        <v>13.94</v>
      </c>
      <c r="Q97" s="6">
        <f>IF(ISNA(MATCH(Q$2,Inputs!$K$4:$AJ$4,0)),NA(),IF(SUMPRODUCT((Inputs!$A$5:$A$230=$B97)*ISNUMBER(INDEX(Inputs!$K$5:$AJ$230,0,MATCH(Q$2,Inputs!$K$4:$AJ$4,0))))+SUMPRODUCT((Inputs!$C$5:$C$230=$B97)*ISNUMBER(INDEX(Inputs!$K$5:$AJ$230,0,MATCH(Q$2,Inputs!$K$4:$AJ$4,0))))+SUMPRODUCT((Inputs!$E$5:$E$230=$B97)*ISNUMBER(INDEX(Inputs!$K$5:$AJ$230,0,MATCH(Q$2,Inputs!$K$4:$AJ$4,0))))=0,NA(),SUMPRODUCT((Inputs!$A$5:$A$230=$B97)*Inputs!$B$5:$B$230*(((Inputs!$G$5:$G$230="moeda")+(Inputs!$G$5:$G$230="acoes"))*Inputs!$B$1+((Inputs!$G$5:$G$230&lt;&gt;"moeda")*(Inputs!$G$5:$G$230&lt;&gt;"acoes")))*INDEX(Inputs!$K$5:$AJ$230,0,MATCH(Q$2,Inputs!$K$4:$AJ$4,0)))+SUMPRODUCT((Inputs!$C$5:$C$230=$B97)*Inputs!$D$5:$D$230*(((Inputs!$G$5:$G$230="moeda")+(Inputs!$G$5:$G$230="acoes"))*Inputs!$B$1+((Inputs!$G$5:$G$230&lt;&gt;"moeda")*(Inputs!$G$5:$G$230&lt;&gt;"acoes")))*INDEX(Inputs!$K$5:$AJ$230,0,MATCH(Q$2,Inputs!$K$4:$AJ$4,0)))+SUMPRODUCT((Inputs!$E$5:$E$230=$B97)*Inputs!$F$5:$F$230*(((Inputs!$G$5:$G$230="moeda")+(Inputs!$G$5:$G$230="acoes"))*Inputs!$B$1+((Inputs!$G$5:$G$230&lt;&gt;"moeda")*(Inputs!$G$5:$G$230&lt;&gt;"acoes")))*INDEX(Inputs!$K$5:$AJ$230,0,MATCH(Q$2,Inputs!$K$4:$AJ$4,0)))))</f>
        <v>14.586</v>
      </c>
      <c r="R97" s="3">
        <f>SUM(N97:Q97)</f>
        <v>56.568</v>
      </c>
      <c r="S97" s="6">
        <f>IF(ISNA(MATCH(S$2,Inputs!$K$4:$AJ$4,0)),NA(),IF(SUMPRODUCT((Inputs!$A$5:$A$230=$B97)*ISNUMBER(INDEX(Inputs!$K$5:$AJ$230,0,MATCH(S$2,Inputs!$K$4:$AJ$4,0))))+SUMPRODUCT((Inputs!$C$5:$C$230=$B97)*ISNUMBER(INDEX(Inputs!$K$5:$AJ$230,0,MATCH(S$2,Inputs!$K$4:$AJ$4,0))))+SUMPRODUCT((Inputs!$E$5:$E$230=$B97)*ISNUMBER(INDEX(Inputs!$K$5:$AJ$230,0,MATCH(S$2,Inputs!$K$4:$AJ$4,0))))=0,NA(),SUMPRODUCT((Inputs!$A$5:$A$230=$B97)*Inputs!$B$5:$B$230*(((Inputs!$G$5:$G$230="moeda")+(Inputs!$G$5:$G$230="acoes"))*Inputs!$B$1+((Inputs!$G$5:$G$230&lt;&gt;"moeda")*(Inputs!$G$5:$G$230&lt;&gt;"acoes")))*INDEX(Inputs!$K$5:$AJ$230,0,MATCH(S$2,Inputs!$K$4:$AJ$4,0)))+SUMPRODUCT((Inputs!$C$5:$C$230=$B97)*Inputs!$D$5:$D$230*(((Inputs!$G$5:$G$230="moeda")+(Inputs!$G$5:$G$230="acoes"))*Inputs!$B$1+((Inputs!$G$5:$G$230&lt;&gt;"moeda")*(Inputs!$G$5:$G$230&lt;&gt;"acoes")))*INDEX(Inputs!$K$5:$AJ$230,0,MATCH(S$2,Inputs!$K$4:$AJ$4,0)))+SUMPRODUCT((Inputs!$E$5:$E$230=$B97)*Inputs!$F$5:$F$230*(((Inputs!$G$5:$G$230="moeda")+(Inputs!$G$5:$G$230="acoes"))*Inputs!$B$1+((Inputs!$G$5:$G$230&lt;&gt;"moeda")*(Inputs!$G$5:$G$230&lt;&gt;"acoes")))*INDEX(Inputs!$K$5:$AJ$230,0,MATCH(S$2,Inputs!$K$4:$AJ$4,0)))))</f>
        <v>13.997</v>
      </c>
      <c r="T97" s="6">
        <f>IF(ISNA(MATCH(T$2,Inputs!$K$4:$AJ$4,0)),NA(),IF(SUMPRODUCT((Inputs!$A$5:$A$230=$B97)*ISNUMBER(INDEX(Inputs!$K$5:$AJ$230,0,MATCH(T$2,Inputs!$K$4:$AJ$4,0))))+SUMPRODUCT((Inputs!$C$5:$C$230=$B97)*ISNUMBER(INDEX(Inputs!$K$5:$AJ$230,0,MATCH(T$2,Inputs!$K$4:$AJ$4,0))))+SUMPRODUCT((Inputs!$E$5:$E$230=$B97)*ISNUMBER(INDEX(Inputs!$K$5:$AJ$230,0,MATCH(T$2,Inputs!$K$4:$AJ$4,0))))=0,NA(),SUMPRODUCT((Inputs!$A$5:$A$230=$B97)*Inputs!$B$5:$B$230*(((Inputs!$G$5:$G$230="moeda")+(Inputs!$G$5:$G$230="acoes"))*Inputs!$B$1+((Inputs!$G$5:$G$230&lt;&gt;"moeda")*(Inputs!$G$5:$G$230&lt;&gt;"acoes")))*INDEX(Inputs!$K$5:$AJ$230,0,MATCH(T$2,Inputs!$K$4:$AJ$4,0)))+SUMPRODUCT((Inputs!$C$5:$C$230=$B97)*Inputs!$D$5:$D$230*(((Inputs!$G$5:$G$230="moeda")+(Inputs!$G$5:$G$230="acoes"))*Inputs!$B$1+((Inputs!$G$5:$G$230&lt;&gt;"moeda")*(Inputs!$G$5:$G$230&lt;&gt;"acoes")))*INDEX(Inputs!$K$5:$AJ$230,0,MATCH(T$2,Inputs!$K$4:$AJ$4,0)))+SUMPRODUCT((Inputs!$E$5:$E$230=$B97)*Inputs!$F$5:$F$230*(((Inputs!$G$5:$G$230="moeda")+(Inputs!$G$5:$G$230="acoes"))*Inputs!$B$1+((Inputs!$G$5:$G$230&lt;&gt;"moeda")*(Inputs!$G$5:$G$230&lt;&gt;"acoes")))*INDEX(Inputs!$K$5:$AJ$230,0,MATCH(T$2,Inputs!$K$4:$AJ$4,0)))))</f>
        <v>12.995</v>
      </c>
      <c r="U97" s="6">
        <f>IF(ISNA(MATCH(U$2,Inputs!$K$4:$AJ$4,0)),NA(),IF(SUMPRODUCT((Inputs!$A$5:$A$230=$B97)*ISNUMBER(INDEX(Inputs!$K$5:$AJ$230,0,MATCH(U$2,Inputs!$K$4:$AJ$4,0))))+SUMPRODUCT((Inputs!$C$5:$C$230=$B97)*ISNUMBER(INDEX(Inputs!$K$5:$AJ$230,0,MATCH(U$2,Inputs!$K$4:$AJ$4,0))))+SUMPRODUCT((Inputs!$E$5:$E$230=$B97)*ISNUMBER(INDEX(Inputs!$K$5:$AJ$230,0,MATCH(U$2,Inputs!$K$4:$AJ$4,0))))=0,NA(),SUMPRODUCT((Inputs!$A$5:$A$230=$B97)*Inputs!$B$5:$B$230*(((Inputs!$G$5:$G$230="moeda")+(Inputs!$G$5:$G$230="acoes"))*Inputs!$B$1+((Inputs!$G$5:$G$230&lt;&gt;"moeda")*(Inputs!$G$5:$G$230&lt;&gt;"acoes")))*INDEX(Inputs!$K$5:$AJ$230,0,MATCH(U$2,Inputs!$K$4:$AJ$4,0)))+SUMPRODUCT((Inputs!$C$5:$C$230=$B97)*Inputs!$D$5:$D$230*(((Inputs!$G$5:$G$230="moeda")+(Inputs!$G$5:$G$230="acoes"))*Inputs!$B$1+((Inputs!$G$5:$G$230&lt;&gt;"moeda")*(Inputs!$G$5:$G$230&lt;&gt;"acoes")))*INDEX(Inputs!$K$5:$AJ$230,0,MATCH(U$2,Inputs!$K$4:$AJ$4,0)))+SUMPRODUCT((Inputs!$E$5:$E$230=$B97)*Inputs!$F$5:$F$230*(((Inputs!$G$5:$G$230="moeda")+(Inputs!$G$5:$G$230="acoes"))*Inputs!$B$1+((Inputs!$G$5:$G$230&lt;&gt;"moeda")*(Inputs!$G$5:$G$230&lt;&gt;"acoes")))*INDEX(Inputs!$K$5:$AJ$230,0,MATCH(U$2,Inputs!$K$4:$AJ$4,0)))))</f>
        <v>15.648</v>
      </c>
      <c r="V97" s="6">
        <f>IF(ISNA(MATCH(V$2,Inputs!$K$4:$AJ$4,0)),NA(),IF(SUMPRODUCT((Inputs!$A$5:$A$230=$B97)*ISNUMBER(INDEX(Inputs!$K$5:$AJ$230,0,MATCH(V$2,Inputs!$K$4:$AJ$4,0))))+SUMPRODUCT((Inputs!$C$5:$C$230=$B97)*ISNUMBER(INDEX(Inputs!$K$5:$AJ$230,0,MATCH(V$2,Inputs!$K$4:$AJ$4,0))))+SUMPRODUCT((Inputs!$E$5:$E$230=$B97)*ISNUMBER(INDEX(Inputs!$K$5:$AJ$230,0,MATCH(V$2,Inputs!$K$4:$AJ$4,0))))=0,NA(),SUMPRODUCT((Inputs!$A$5:$A$230=$B97)*Inputs!$B$5:$B$230*(((Inputs!$G$5:$G$230="moeda")+(Inputs!$G$5:$G$230="acoes"))*Inputs!$B$1+((Inputs!$G$5:$G$230&lt;&gt;"moeda")*(Inputs!$G$5:$G$230&lt;&gt;"acoes")))*INDEX(Inputs!$K$5:$AJ$230,0,MATCH(V$2,Inputs!$K$4:$AJ$4,0)))+SUMPRODUCT((Inputs!$C$5:$C$230=$B97)*Inputs!$D$5:$D$230*(((Inputs!$G$5:$G$230="moeda")+(Inputs!$G$5:$G$230="acoes"))*Inputs!$B$1+((Inputs!$G$5:$G$230&lt;&gt;"moeda")*(Inputs!$G$5:$G$230&lt;&gt;"acoes")))*INDEX(Inputs!$K$5:$AJ$230,0,MATCH(V$2,Inputs!$K$4:$AJ$4,0)))+SUMPRODUCT((Inputs!$E$5:$E$230=$B97)*Inputs!$F$5:$F$230*(((Inputs!$G$5:$G$230="moeda")+(Inputs!$G$5:$G$230="acoes"))*Inputs!$B$1+((Inputs!$G$5:$G$230&lt;&gt;"moeda")*(Inputs!$G$5:$G$230&lt;&gt;"acoes")))*INDEX(Inputs!$K$5:$AJ$230,0,MATCH(V$2,Inputs!$K$4:$AJ$4,0)))))</f>
        <v>21.937</v>
      </c>
      <c r="W97" s="3">
        <f>SUM(S97:V97)</f>
        <v>64.577</v>
      </c>
      <c r="X97" s="6">
        <f>IF(ISNA(MATCH(X$2,Inputs!$K$4:$AJ$4,0)),NA(),IF(SUMPRODUCT((Inputs!$A$5:$A$230=$B97)*ISNUMBER(INDEX(Inputs!$K$5:$AJ$230,0,MATCH(X$2,Inputs!$K$4:$AJ$4,0))))+SUMPRODUCT((Inputs!$C$5:$C$230=$B97)*ISNUMBER(INDEX(Inputs!$K$5:$AJ$230,0,MATCH(X$2,Inputs!$K$4:$AJ$4,0))))+SUMPRODUCT((Inputs!$E$5:$E$230=$B97)*ISNUMBER(INDEX(Inputs!$K$5:$AJ$230,0,MATCH(X$2,Inputs!$K$4:$AJ$4,0))))=0,NA(),SUMPRODUCT((Inputs!$A$5:$A$230=$B97)*Inputs!$B$5:$B$230*(((Inputs!$G$5:$G$230="moeda")+(Inputs!$G$5:$G$230="acoes"))*Inputs!$B$1+((Inputs!$G$5:$G$230&lt;&gt;"moeda")*(Inputs!$G$5:$G$230&lt;&gt;"acoes")))*INDEX(Inputs!$K$5:$AJ$230,0,MATCH(X$2,Inputs!$K$4:$AJ$4,0)))+SUMPRODUCT((Inputs!$C$5:$C$230=$B97)*Inputs!$D$5:$D$230*(((Inputs!$G$5:$G$230="moeda")+(Inputs!$G$5:$G$230="acoes"))*Inputs!$B$1+((Inputs!$G$5:$G$230&lt;&gt;"moeda")*(Inputs!$G$5:$G$230&lt;&gt;"acoes")))*INDEX(Inputs!$K$5:$AJ$230,0,MATCH(X$2,Inputs!$K$4:$AJ$4,0)))+SUMPRODUCT((Inputs!$E$5:$E$230=$B97)*Inputs!$F$5:$F$230*(((Inputs!$G$5:$G$230="moeda")+(Inputs!$G$5:$G$230="acoes"))*Inputs!$B$1+((Inputs!$G$5:$G$230&lt;&gt;"moeda")*(Inputs!$G$5:$G$230&lt;&gt;"acoes")))*INDEX(Inputs!$K$5:$AJ$230,0,MATCH(X$2,Inputs!$K$4:$AJ$4,0)))))</f>
        <v>15.292</v>
      </c>
      <c r="Y97" s="6">
        <f>IF(ISNA(MATCH(Y$2,Inputs!$K$4:$AJ$4,0)),NA(),IF(SUMPRODUCT((Inputs!$A$5:$A$230=$B97)*ISNUMBER(INDEX(Inputs!$K$5:$AJ$230,0,MATCH(Y$2,Inputs!$K$4:$AJ$4,0))))+SUMPRODUCT((Inputs!$C$5:$C$230=$B97)*ISNUMBER(INDEX(Inputs!$K$5:$AJ$230,0,MATCH(Y$2,Inputs!$K$4:$AJ$4,0))))+SUMPRODUCT((Inputs!$E$5:$E$230=$B97)*ISNUMBER(INDEX(Inputs!$K$5:$AJ$230,0,MATCH(Y$2,Inputs!$K$4:$AJ$4,0))))=0,NA(),SUMPRODUCT((Inputs!$A$5:$A$230=$B97)*Inputs!$B$5:$B$230*(((Inputs!$G$5:$G$230="moeda")+(Inputs!$G$5:$G$230="acoes"))*Inputs!$B$1+((Inputs!$G$5:$G$230&lt;&gt;"moeda")*(Inputs!$G$5:$G$230&lt;&gt;"acoes")))*INDEX(Inputs!$K$5:$AJ$230,0,MATCH(Y$2,Inputs!$K$4:$AJ$4,0)))+SUMPRODUCT((Inputs!$C$5:$C$230=$B97)*Inputs!$D$5:$D$230*(((Inputs!$G$5:$G$230="moeda")+(Inputs!$G$5:$G$230="acoes"))*Inputs!$B$1+((Inputs!$G$5:$G$230&lt;&gt;"moeda")*(Inputs!$G$5:$G$230&lt;&gt;"acoes")))*INDEX(Inputs!$K$5:$AJ$230,0,MATCH(Y$2,Inputs!$K$4:$AJ$4,0)))+SUMPRODUCT((Inputs!$E$5:$E$230=$B97)*Inputs!$F$5:$F$230*(((Inputs!$G$5:$G$230="moeda")+(Inputs!$G$5:$G$230="acoes"))*Inputs!$B$1+((Inputs!$G$5:$G$230&lt;&gt;"moeda")*(Inputs!$G$5:$G$230&lt;&gt;"acoes")))*INDEX(Inputs!$K$5:$AJ$230,0,MATCH(Y$2,Inputs!$K$4:$AJ$4,0)))))</f>
        <v>14.334</v>
      </c>
      <c r="Z97" s="6">
        <f>IF(ISNA(MATCH(Z$2,Inputs!$K$4:$AJ$4,0)),NA(),IF(SUMPRODUCT((Inputs!$A$5:$A$230=$B97)*ISNUMBER(INDEX(Inputs!$K$5:$AJ$230,0,MATCH(Z$2,Inputs!$K$4:$AJ$4,0))))+SUMPRODUCT((Inputs!$C$5:$C$230=$B97)*ISNUMBER(INDEX(Inputs!$K$5:$AJ$230,0,MATCH(Z$2,Inputs!$K$4:$AJ$4,0))))+SUMPRODUCT((Inputs!$E$5:$E$230=$B97)*ISNUMBER(INDEX(Inputs!$K$5:$AJ$230,0,MATCH(Z$2,Inputs!$K$4:$AJ$4,0))))=0,NA(),SUMPRODUCT((Inputs!$A$5:$A$230=$B97)*Inputs!$B$5:$B$230*(((Inputs!$G$5:$G$230="moeda")+(Inputs!$G$5:$G$230="acoes"))*Inputs!$B$1+((Inputs!$G$5:$G$230&lt;&gt;"moeda")*(Inputs!$G$5:$G$230&lt;&gt;"acoes")))*INDEX(Inputs!$K$5:$AJ$230,0,MATCH(Z$2,Inputs!$K$4:$AJ$4,0)))+SUMPRODUCT((Inputs!$C$5:$C$230=$B97)*Inputs!$D$5:$D$230*(((Inputs!$G$5:$G$230="moeda")+(Inputs!$G$5:$G$230="acoes"))*Inputs!$B$1+((Inputs!$G$5:$G$230&lt;&gt;"moeda")*(Inputs!$G$5:$G$230&lt;&gt;"acoes")))*INDEX(Inputs!$K$5:$AJ$230,0,MATCH(Z$2,Inputs!$K$4:$AJ$4,0)))+SUMPRODUCT((Inputs!$E$5:$E$230=$B97)*Inputs!$F$5:$F$230*(((Inputs!$G$5:$G$230="moeda")+(Inputs!$G$5:$G$230="acoes"))*Inputs!$B$1+((Inputs!$G$5:$G$230&lt;&gt;"moeda")*(Inputs!$G$5:$G$230&lt;&gt;"acoes")))*INDEX(Inputs!$K$5:$AJ$230,0,MATCH(Z$2,Inputs!$K$4:$AJ$4,0)))))</f>
        <v>11.443</v>
      </c>
      <c r="AA97" s="6">
        <f>IF(ISNA(MATCH(AA$2,Inputs!$K$4:$AJ$4,0)),NA(),IF(SUMPRODUCT((Inputs!$A$5:$A$230=$B97)*ISNUMBER(INDEX(Inputs!$K$5:$AJ$230,0,MATCH(AA$2,Inputs!$K$4:$AJ$4,0))))+SUMPRODUCT((Inputs!$C$5:$C$230=$B97)*ISNUMBER(INDEX(Inputs!$K$5:$AJ$230,0,MATCH(AA$2,Inputs!$K$4:$AJ$4,0))))+SUMPRODUCT((Inputs!$E$5:$E$230=$B97)*ISNUMBER(INDEX(Inputs!$K$5:$AJ$230,0,MATCH(AA$2,Inputs!$K$4:$AJ$4,0))))=0,NA(),SUMPRODUCT((Inputs!$A$5:$A$230=$B97)*Inputs!$B$5:$B$230*(((Inputs!$G$5:$G$230="moeda")+(Inputs!$G$5:$G$230="acoes"))*Inputs!$B$1+((Inputs!$G$5:$G$230&lt;&gt;"moeda")*(Inputs!$G$5:$G$230&lt;&gt;"acoes")))*INDEX(Inputs!$K$5:$AJ$230,0,MATCH(AA$2,Inputs!$K$4:$AJ$4,0)))+SUMPRODUCT((Inputs!$C$5:$C$230=$B97)*Inputs!$D$5:$D$230*(((Inputs!$G$5:$G$230="moeda")+(Inputs!$G$5:$G$230="acoes"))*Inputs!$B$1+((Inputs!$G$5:$G$230&lt;&gt;"moeda")*(Inputs!$G$5:$G$230&lt;&gt;"acoes")))*INDEX(Inputs!$K$5:$AJ$230,0,MATCH(AA$2,Inputs!$K$4:$AJ$4,0)))+SUMPRODUCT((Inputs!$E$5:$E$230=$B97)*Inputs!$F$5:$F$230*(((Inputs!$G$5:$G$230="moeda")+(Inputs!$G$5:$G$230="acoes"))*Inputs!$B$1+((Inputs!$G$5:$G$230&lt;&gt;"moeda")*(Inputs!$G$5:$G$230&lt;&gt;"acoes")))*INDEX(Inputs!$K$5:$AJ$230,0,MATCH(AA$2,Inputs!$K$4:$AJ$4,0)))))</f>
        <v>12.037</v>
      </c>
      <c r="AB97" s="3">
        <f>SUM(X97:AA97)</f>
        <v>53.106</v>
      </c>
      <c r="AC97" s="6">
        <f>IF(ISNA(MATCH(AC$2,Inputs!$K$4:$AJ$4,0)),NA(),IF(SUMPRODUCT((Inputs!$A$5:$A$230=$B97)*ISNUMBER(INDEX(Inputs!$K$5:$AJ$230,0,MATCH(AC$2,Inputs!$K$4:$AJ$4,0))))+SUMPRODUCT((Inputs!$C$5:$C$230=$B97)*ISNUMBER(INDEX(Inputs!$K$5:$AJ$230,0,MATCH(AC$2,Inputs!$K$4:$AJ$4,0))))+SUMPRODUCT((Inputs!$E$5:$E$230=$B97)*ISNUMBER(INDEX(Inputs!$K$5:$AJ$230,0,MATCH(AC$2,Inputs!$K$4:$AJ$4,0))))=0,NA(),SUMPRODUCT((Inputs!$A$5:$A$230=$B97)*Inputs!$B$5:$B$230*(((Inputs!$G$5:$G$230="moeda")+(Inputs!$G$5:$G$230="acoes"))*Inputs!$B$1+((Inputs!$G$5:$G$230&lt;&gt;"moeda")*(Inputs!$G$5:$G$230&lt;&gt;"acoes")))*INDEX(Inputs!$K$5:$AJ$230,0,MATCH(AC$2,Inputs!$K$4:$AJ$4,0)))+SUMPRODUCT((Inputs!$C$5:$C$230=$B97)*Inputs!$D$5:$D$230*(((Inputs!$G$5:$G$230="moeda")+(Inputs!$G$5:$G$230="acoes"))*Inputs!$B$1+((Inputs!$G$5:$G$230&lt;&gt;"moeda")*(Inputs!$G$5:$G$230&lt;&gt;"acoes")))*INDEX(Inputs!$K$5:$AJ$230,0,MATCH(AC$2,Inputs!$K$4:$AJ$4,0)))+SUMPRODUCT((Inputs!$E$5:$E$230=$B97)*Inputs!$F$5:$F$230*(((Inputs!$G$5:$G$230="moeda")+(Inputs!$G$5:$G$230="acoes"))*Inputs!$B$1+((Inputs!$G$5:$G$230&lt;&gt;"moeda")*(Inputs!$G$5:$G$230&lt;&gt;"acoes")))*INDEX(Inputs!$K$5:$AJ$230,0,MATCH(AC$2,Inputs!$K$4:$AJ$4,0)))))</f>
        <v>19.264</v>
      </c>
      <c r="AD97" s="6">
        <f>IF(ISNA(MATCH(AD$2,Inputs!$K$4:$AJ$4,0)),NA(),IF(SUMPRODUCT((Inputs!$A$5:$A$230=$B97)*ISNUMBER(INDEX(Inputs!$K$5:$AJ$230,0,MATCH(AD$2,Inputs!$K$4:$AJ$4,0))))+SUMPRODUCT((Inputs!$C$5:$C$230=$B97)*ISNUMBER(INDEX(Inputs!$K$5:$AJ$230,0,MATCH(AD$2,Inputs!$K$4:$AJ$4,0))))+SUMPRODUCT((Inputs!$E$5:$E$230=$B97)*ISNUMBER(INDEX(Inputs!$K$5:$AJ$230,0,MATCH(AD$2,Inputs!$K$4:$AJ$4,0))))=0,NA(),SUMPRODUCT((Inputs!$A$5:$A$230=$B97)*Inputs!$B$5:$B$230*(((Inputs!$G$5:$G$230="moeda")+(Inputs!$G$5:$G$230="acoes"))*Inputs!$B$1+((Inputs!$G$5:$G$230&lt;&gt;"moeda")*(Inputs!$G$5:$G$230&lt;&gt;"acoes")))*INDEX(Inputs!$K$5:$AJ$230,0,MATCH(AD$2,Inputs!$K$4:$AJ$4,0)))+SUMPRODUCT((Inputs!$C$5:$C$230=$B97)*Inputs!$D$5:$D$230*(((Inputs!$G$5:$G$230="moeda")+(Inputs!$G$5:$G$230="acoes"))*Inputs!$B$1+((Inputs!$G$5:$G$230&lt;&gt;"moeda")*(Inputs!$G$5:$G$230&lt;&gt;"acoes")))*INDEX(Inputs!$K$5:$AJ$230,0,MATCH(AD$2,Inputs!$K$4:$AJ$4,0)))+SUMPRODUCT((Inputs!$E$5:$E$230=$B97)*Inputs!$F$5:$F$230*(((Inputs!$G$5:$G$230="moeda")+(Inputs!$G$5:$G$230="acoes"))*Inputs!$B$1+((Inputs!$G$5:$G$230&lt;&gt;"moeda")*(Inputs!$G$5:$G$230&lt;&gt;"acoes")))*INDEX(Inputs!$K$5:$AJ$230,0,MATCH(AD$2,Inputs!$K$4:$AJ$4,0)))))</f>
        <v>12.909</v>
      </c>
      <c r="AE97" s="6" t="e">
        <f>IF(ISNA(MATCH(AE$2,Inputs!$K$4:$AJ$4,0)),NA(),IF(SUMPRODUCT((Inputs!$A$5:$A$230=$B97)*ISNUMBER(INDEX(Inputs!$K$5:$AJ$230,0,MATCH(AE$2,Inputs!$K$4:$AJ$4,0))))+SUMPRODUCT((Inputs!$C$5:$C$230=$B97)*ISNUMBER(INDEX(Inputs!$K$5:$AJ$230,0,MATCH(AE$2,Inputs!$K$4:$AJ$4,0))))+SUMPRODUCT((Inputs!$E$5:$E$230=$B97)*ISNUMBER(INDEX(Inputs!$K$5:$AJ$230,0,MATCH(AE$2,Inputs!$K$4:$AJ$4,0))))=0,NA(),SUMPRODUCT((Inputs!$A$5:$A$230=$B97)*Inputs!$B$5:$B$230*(((Inputs!$G$5:$G$230="moeda")+(Inputs!$G$5:$G$230="acoes"))*Inputs!$B$1+((Inputs!$G$5:$G$230&lt;&gt;"moeda")*(Inputs!$G$5:$G$230&lt;&gt;"acoes")))*INDEX(Inputs!$K$5:$AJ$230,0,MATCH(AE$2,Inputs!$K$4:$AJ$4,0)))+SUMPRODUCT((Inputs!$C$5:$C$230=$B97)*Inputs!$D$5:$D$230*(((Inputs!$G$5:$G$230="moeda")+(Inputs!$G$5:$G$230="acoes"))*Inputs!$B$1+((Inputs!$G$5:$G$230&lt;&gt;"moeda")*(Inputs!$G$5:$G$230&lt;&gt;"acoes")))*INDEX(Inputs!$K$5:$AJ$230,0,MATCH(AE$2,Inputs!$K$4:$AJ$4,0)))+SUMPRODUCT((Inputs!$E$5:$E$230=$B97)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7" s="6" t="e">
        <f>IF(ISNA(MATCH(AF$2,Inputs!$K$4:$AJ$4,0)),NA(),IF(SUMPRODUCT((Inputs!$A$5:$A$230=$B97)*ISNUMBER(INDEX(Inputs!$K$5:$AJ$230,0,MATCH(AF$2,Inputs!$K$4:$AJ$4,0))))+SUMPRODUCT((Inputs!$C$5:$C$230=$B97)*ISNUMBER(INDEX(Inputs!$K$5:$AJ$230,0,MATCH(AF$2,Inputs!$K$4:$AJ$4,0))))+SUMPRODUCT((Inputs!$E$5:$E$230=$B97)*ISNUMBER(INDEX(Inputs!$K$5:$AJ$230,0,MATCH(AF$2,Inputs!$K$4:$AJ$4,0))))=0,NA(),SUMPRODUCT((Inputs!$A$5:$A$230=$B97)*Inputs!$B$5:$B$230*(((Inputs!$G$5:$G$230="moeda")+(Inputs!$G$5:$G$230="acoes"))*Inputs!$B$1+((Inputs!$G$5:$G$230&lt;&gt;"moeda")*(Inputs!$G$5:$G$230&lt;&gt;"acoes")))*INDEX(Inputs!$K$5:$AJ$230,0,MATCH(AF$2,Inputs!$K$4:$AJ$4,0)))+SUMPRODUCT((Inputs!$C$5:$C$230=$B97)*Inputs!$D$5:$D$230*(((Inputs!$G$5:$G$230="moeda")+(Inputs!$G$5:$G$230="acoes"))*Inputs!$B$1+((Inputs!$G$5:$G$230&lt;&gt;"moeda")*(Inputs!$G$5:$G$230&lt;&gt;"acoes")))*INDEX(Inputs!$K$5:$AJ$230,0,MATCH(AF$2,Inputs!$K$4:$AJ$4,0)))+SUMPRODUCT((Inputs!$E$5:$E$230=$B97)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7" s="3" t="e">
        <f>SUM(AC97:AF97)</f>
        <v>#N/A</v>
      </c>
      <c r="AH97" s="6">
        <f>IF(ISNA(MATCH(AH$2,Inputs!$K$4:$AJ$4,0)),NA(),IF(SUMPRODUCT((Inputs!$A$5:$A$230=$B97)*ISNUMBER(INDEX(Inputs!$K$5:$AJ$230,0,MATCH(AH$2,Inputs!$K$4:$AJ$4,0))))+SUMPRODUCT((Inputs!$C$5:$C$230=$B97)*ISNUMBER(INDEX(Inputs!$K$5:$AJ$230,0,MATCH(AH$2,Inputs!$K$4:$AJ$4,0))))+SUMPRODUCT((Inputs!$E$5:$E$230=$B97)*ISNUMBER(INDEX(Inputs!$K$5:$AJ$230,0,MATCH(AH$2,Inputs!$K$4:$AJ$4,0))))=0,NA(),SUMPRODUCT((Inputs!$A$5:$A$230=$B97)*Inputs!$B$5:$B$230*(((Inputs!$G$5:$G$230="moeda")+(Inputs!$G$5:$G$230="acoes"))*Inputs!$B$1+((Inputs!$G$5:$G$230&lt;&gt;"moeda")*(Inputs!$G$5:$G$230&lt;&gt;"acoes")))*INDEX(Inputs!$K$5:$AJ$230,0,MATCH(AH$2,Inputs!$K$4:$AJ$4,0)))+SUMPRODUCT((Inputs!$C$5:$C$230=$B97)*Inputs!$D$5:$D$230*(((Inputs!$G$5:$G$230="moeda")+(Inputs!$G$5:$G$230="acoes"))*Inputs!$B$1+((Inputs!$G$5:$G$230&lt;&gt;"moeda")*(Inputs!$G$5:$G$230&lt;&gt;"acoes")))*INDEX(Inputs!$K$5:$AJ$230,0,MATCH(AH$2,Inputs!$K$4:$AJ$4,0)))+SUMPRODUCT((Inputs!$E$5:$E$230=$B97)*Inputs!$F$5:$F$230*(((Inputs!$G$5:$G$230="moeda")+(Inputs!$G$5:$G$230="acoes"))*Inputs!$B$1+((Inputs!$G$5:$G$230&lt;&gt;"moeda")*(Inputs!$G$5:$G$230&lt;&gt;"acoes")))*INDEX(Inputs!$K$5:$AJ$230,0,MATCH(AH$2,Inputs!$K$4:$AJ$4,0)))))</f>
        <v>16.248</v>
      </c>
      <c r="AI97" s="6">
        <f>IF(ISNA(MATCH(AI$2,Inputs!$K$4:$AJ$4,0)),NA(),IF(SUMPRODUCT((Inputs!$A$5:$A$230=$B97)*ISNUMBER(INDEX(Inputs!$K$5:$AJ$230,0,MATCH(AI$2,Inputs!$K$4:$AJ$4,0))))+SUMPRODUCT((Inputs!$C$5:$C$230=$B97)*ISNUMBER(INDEX(Inputs!$K$5:$AJ$230,0,MATCH(AI$2,Inputs!$K$4:$AJ$4,0))))+SUMPRODUCT((Inputs!$E$5:$E$230=$B97)*ISNUMBER(INDEX(Inputs!$K$5:$AJ$230,0,MATCH(AI$2,Inputs!$K$4:$AJ$4,0))))=0,NA(),SUMPRODUCT((Inputs!$A$5:$A$230=$B97)*Inputs!$B$5:$B$230*(((Inputs!$G$5:$G$230="moeda")+(Inputs!$G$5:$G$230="acoes"))*Inputs!$B$1+((Inputs!$G$5:$G$230&lt;&gt;"moeda")*(Inputs!$G$5:$G$230&lt;&gt;"acoes")))*INDEX(Inputs!$K$5:$AJ$230,0,MATCH(AI$2,Inputs!$K$4:$AJ$4,0)))+SUMPRODUCT((Inputs!$C$5:$C$230=$B97)*Inputs!$D$5:$D$230*(((Inputs!$G$5:$G$230="moeda")+(Inputs!$G$5:$G$230="acoes"))*Inputs!$B$1+((Inputs!$G$5:$G$230&lt;&gt;"moeda")*(Inputs!$G$5:$G$230&lt;&gt;"acoes")))*INDEX(Inputs!$K$5:$AJ$230,0,MATCH(AI$2,Inputs!$K$4:$AJ$4,0)))+SUMPRODUCT((Inputs!$E$5:$E$230=$B97)*Inputs!$F$5:$F$230*(((Inputs!$G$5:$G$230="moeda")+(Inputs!$G$5:$G$230="acoes"))*Inputs!$B$1+((Inputs!$G$5:$G$230&lt;&gt;"moeda")*(Inputs!$G$5:$G$230&lt;&gt;"acoes")))*INDEX(Inputs!$K$5:$AJ$230,0,MATCH(AI$2,Inputs!$K$4:$AJ$4,0)))))</f>
        <v>6.448</v>
      </c>
      <c r="AJ97" s="6">
        <f>IF(ISNA(MATCH(AJ$2,Inputs!$K$4:$AJ$4,0)),NA(),IF(SUMPRODUCT((Inputs!$A$5:$A$230=$B97)*ISNUMBER(INDEX(Inputs!$K$5:$AJ$230,0,MATCH(AJ$2,Inputs!$K$4:$AJ$4,0))))+SUMPRODUCT((Inputs!$C$5:$C$230=$B97)*ISNUMBER(INDEX(Inputs!$K$5:$AJ$230,0,MATCH(AJ$2,Inputs!$K$4:$AJ$4,0))))+SUMPRODUCT((Inputs!$E$5:$E$230=$B97)*ISNUMBER(INDEX(Inputs!$K$5:$AJ$230,0,MATCH(AJ$2,Inputs!$K$4:$AJ$4,0))))=0,NA(),SUMPRODUCT((Inputs!$A$5:$A$230=$B97)*Inputs!$B$5:$B$230*(((Inputs!$G$5:$G$230="moeda")+(Inputs!$G$5:$G$230="acoes"))*Inputs!$B$1+((Inputs!$G$5:$G$230&lt;&gt;"moeda")*(Inputs!$G$5:$G$230&lt;&gt;"acoes")))*INDEX(Inputs!$K$5:$AJ$230,0,MATCH(AJ$2,Inputs!$K$4:$AJ$4,0)))+SUMPRODUCT((Inputs!$C$5:$C$230=$B97)*Inputs!$D$5:$D$230*(((Inputs!$G$5:$G$230="moeda")+(Inputs!$G$5:$G$230="acoes"))*Inputs!$B$1+((Inputs!$G$5:$G$230&lt;&gt;"moeda")*(Inputs!$G$5:$G$230&lt;&gt;"acoes")))*INDEX(Inputs!$K$5:$AJ$230,0,MATCH(AJ$2,Inputs!$K$4:$AJ$4,0)))+SUMPRODUCT((Inputs!$E$5:$E$230=$B97)*Inputs!$F$5:$F$230*(((Inputs!$G$5:$G$230="moeda")+(Inputs!$G$5:$G$230="acoes"))*Inputs!$B$1+((Inputs!$G$5:$G$230&lt;&gt;"moeda")*(Inputs!$G$5:$G$230&lt;&gt;"acoes")))*INDEX(Inputs!$K$5:$AJ$230,0,MATCH(AJ$2,Inputs!$K$4:$AJ$4,0)))))</f>
        <v>12.124</v>
      </c>
      <c r="AK97" s="6">
        <f>IF(ISNA(MATCH(AK$2,Inputs!$K$4:$AJ$4,0)),NA(),IF(SUMPRODUCT((Inputs!$A$5:$A$230=$B97)*ISNUMBER(INDEX(Inputs!$K$5:$AJ$230,0,MATCH(AK$2,Inputs!$K$4:$AJ$4,0))))+SUMPRODUCT((Inputs!$C$5:$C$230=$B97)*ISNUMBER(INDEX(Inputs!$K$5:$AJ$230,0,MATCH(AK$2,Inputs!$K$4:$AJ$4,0))))+SUMPRODUCT((Inputs!$E$5:$E$230=$B97)*ISNUMBER(INDEX(Inputs!$K$5:$AJ$230,0,MATCH(AK$2,Inputs!$K$4:$AJ$4,0))))=0,NA(),SUMPRODUCT((Inputs!$A$5:$A$230=$B97)*Inputs!$B$5:$B$230*(((Inputs!$G$5:$G$230="moeda")+(Inputs!$G$5:$G$230="acoes"))*Inputs!$B$1+((Inputs!$G$5:$G$230&lt;&gt;"moeda")*(Inputs!$G$5:$G$230&lt;&gt;"acoes")))*INDEX(Inputs!$K$5:$AJ$230,0,MATCH(AK$2,Inputs!$K$4:$AJ$4,0)))+SUMPRODUCT((Inputs!$C$5:$C$230=$B97)*Inputs!$D$5:$D$230*(((Inputs!$G$5:$G$230="moeda")+(Inputs!$G$5:$G$230="acoes"))*Inputs!$B$1+((Inputs!$G$5:$G$230&lt;&gt;"moeda")*(Inputs!$G$5:$G$230&lt;&gt;"acoes")))*INDEX(Inputs!$K$5:$AJ$230,0,MATCH(AK$2,Inputs!$K$4:$AJ$4,0)))+SUMPRODUCT((Inputs!$E$5:$E$230=$B97)*Inputs!$F$5:$F$230*(((Inputs!$G$5:$G$230="moeda")+(Inputs!$G$5:$G$230="acoes"))*Inputs!$B$1+((Inputs!$G$5:$G$230&lt;&gt;"moeda")*(Inputs!$G$5:$G$230&lt;&gt;"acoes")))*INDEX(Inputs!$K$5:$AJ$230,0,MATCH(AK$2,Inputs!$K$4:$AJ$4,0)))))</f>
        <v>17.608</v>
      </c>
      <c r="AL97" s="3">
        <f>SUM(AH97:AK97)</f>
        <v>52.428</v>
      </c>
    </row>
    <row r="98">
      <c r="B98" s="46" t="n">
        <v>90</v>
      </c>
      <c r="C98" s="29" t="inlineStr">
        <is>
          <t>Geracao | Lavrinhas</t>
        </is>
      </c>
      <c r="D98" s="6">
        <f>IF(ISNA(MATCH(D$2,Inputs!$K$4:$AJ$4,0)),NA(),IF(SUMPRODUCT((Inputs!$A$5:$A$230=$B98)*ISNUMBER(INDEX(Inputs!$K$5:$AJ$230,0,MATCH(D$2,Inputs!$K$4:$AJ$4,0))))+SUMPRODUCT((Inputs!$C$5:$C$230=$B98)*ISNUMBER(INDEX(Inputs!$K$5:$AJ$230,0,MATCH(D$2,Inputs!$K$4:$AJ$4,0))))+SUMPRODUCT((Inputs!$E$5:$E$230=$B98)*ISNUMBER(INDEX(Inputs!$K$5:$AJ$230,0,MATCH(D$2,Inputs!$K$4:$AJ$4,0))))=0,NA(),SUMPRODUCT((Inputs!$A$5:$A$230=$B98)*Inputs!$B$5:$B$230*(((Inputs!$G$5:$G$230="moeda")+(Inputs!$G$5:$G$230="acoes"))*Inputs!$B$1+((Inputs!$G$5:$G$230&lt;&gt;"moeda")*(Inputs!$G$5:$G$230&lt;&gt;"acoes")))*INDEX(Inputs!$K$5:$AJ$230,0,MATCH(D$2,Inputs!$K$4:$AJ$4,0)))+SUMPRODUCT((Inputs!$C$5:$C$230=$B98)*Inputs!$D$5:$D$230*(((Inputs!$G$5:$G$230="moeda")+(Inputs!$G$5:$G$230="acoes"))*Inputs!$B$1+((Inputs!$G$5:$G$230&lt;&gt;"moeda")*(Inputs!$G$5:$G$230&lt;&gt;"acoes")))*INDEX(Inputs!$K$5:$AJ$230,0,MATCH(D$2,Inputs!$K$4:$AJ$4,0)))+SUMPRODUCT((Inputs!$E$5:$E$230=$B98)*Inputs!$F$5:$F$230*(((Inputs!$G$5:$G$230="moeda")+(Inputs!$G$5:$G$230="acoes"))*Inputs!$B$1+((Inputs!$G$5:$G$230&lt;&gt;"moeda")*(Inputs!$G$5:$G$230&lt;&gt;"acoes")))*INDEX(Inputs!$K$5:$AJ$230,0,MATCH(D$2,Inputs!$K$4:$AJ$4,0)))))</f>
        <v>19.635</v>
      </c>
      <c r="E98" s="6">
        <f>IF(ISNA(MATCH(E$2,Inputs!$K$4:$AJ$4,0)),NA(),IF(SUMPRODUCT((Inputs!$A$5:$A$230=$B98)*ISNUMBER(INDEX(Inputs!$K$5:$AJ$230,0,MATCH(E$2,Inputs!$K$4:$AJ$4,0))))+SUMPRODUCT((Inputs!$C$5:$C$230=$B98)*ISNUMBER(INDEX(Inputs!$K$5:$AJ$230,0,MATCH(E$2,Inputs!$K$4:$AJ$4,0))))+SUMPRODUCT((Inputs!$E$5:$E$230=$B98)*ISNUMBER(INDEX(Inputs!$K$5:$AJ$230,0,MATCH(E$2,Inputs!$K$4:$AJ$4,0))))=0,NA(),SUMPRODUCT((Inputs!$A$5:$A$230=$B98)*Inputs!$B$5:$B$230*(((Inputs!$G$5:$G$230="moeda")+(Inputs!$G$5:$G$230="acoes"))*Inputs!$B$1+((Inputs!$G$5:$G$230&lt;&gt;"moeda")*(Inputs!$G$5:$G$230&lt;&gt;"acoes")))*INDEX(Inputs!$K$5:$AJ$230,0,MATCH(E$2,Inputs!$K$4:$AJ$4,0)))+SUMPRODUCT((Inputs!$C$5:$C$230=$B98)*Inputs!$D$5:$D$230*(((Inputs!$G$5:$G$230="moeda")+(Inputs!$G$5:$G$230="acoes"))*Inputs!$B$1+((Inputs!$G$5:$G$230&lt;&gt;"moeda")*(Inputs!$G$5:$G$230&lt;&gt;"acoes")))*INDEX(Inputs!$K$5:$AJ$230,0,MATCH(E$2,Inputs!$K$4:$AJ$4,0)))+SUMPRODUCT((Inputs!$E$5:$E$230=$B98)*Inputs!$F$5:$F$230*(((Inputs!$G$5:$G$230="moeda")+(Inputs!$G$5:$G$230="acoes"))*Inputs!$B$1+((Inputs!$G$5:$G$230&lt;&gt;"moeda")*(Inputs!$G$5:$G$230&lt;&gt;"acoes")))*INDEX(Inputs!$K$5:$AJ$230,0,MATCH(E$2,Inputs!$K$4:$AJ$4,0)))))</f>
        <v>21.937</v>
      </c>
      <c r="F98" s="6">
        <f>IF(ISNA(MATCH(F$2,Inputs!$K$4:$AJ$4,0)),NA(),IF(SUMPRODUCT((Inputs!$A$5:$A$230=$B98)*ISNUMBER(INDEX(Inputs!$K$5:$AJ$230,0,MATCH(F$2,Inputs!$K$4:$AJ$4,0))))+SUMPRODUCT((Inputs!$C$5:$C$230=$B98)*ISNUMBER(INDEX(Inputs!$K$5:$AJ$230,0,MATCH(F$2,Inputs!$K$4:$AJ$4,0))))+SUMPRODUCT((Inputs!$E$5:$E$230=$B98)*ISNUMBER(INDEX(Inputs!$K$5:$AJ$230,0,MATCH(F$2,Inputs!$K$4:$AJ$4,0))))=0,NA(),SUMPRODUCT((Inputs!$A$5:$A$230=$B98)*Inputs!$B$5:$B$230*(((Inputs!$G$5:$G$230="moeda")+(Inputs!$G$5:$G$230="acoes"))*Inputs!$B$1+((Inputs!$G$5:$G$230&lt;&gt;"moeda")*(Inputs!$G$5:$G$230&lt;&gt;"acoes")))*INDEX(Inputs!$K$5:$AJ$230,0,MATCH(F$2,Inputs!$K$4:$AJ$4,0)))+SUMPRODUCT((Inputs!$C$5:$C$230=$B98)*Inputs!$D$5:$D$230*(((Inputs!$G$5:$G$230="moeda")+(Inputs!$G$5:$G$230="acoes"))*Inputs!$B$1+((Inputs!$G$5:$G$230&lt;&gt;"moeda")*(Inputs!$G$5:$G$230&lt;&gt;"acoes")))*INDEX(Inputs!$K$5:$AJ$230,0,MATCH(F$2,Inputs!$K$4:$AJ$4,0)))+SUMPRODUCT((Inputs!$E$5:$E$230=$B98)*Inputs!$F$5:$F$230*(((Inputs!$G$5:$G$230="moeda")+(Inputs!$G$5:$G$230="acoes"))*Inputs!$B$1+((Inputs!$G$5:$G$230&lt;&gt;"moeda")*(Inputs!$G$5:$G$230&lt;&gt;"acoes")))*INDEX(Inputs!$K$5:$AJ$230,0,MATCH(F$2,Inputs!$K$4:$AJ$4,0)))))</f>
        <v>18.735</v>
      </c>
      <c r="G98" s="6">
        <f>IF(ISNA(MATCH(G$2,Inputs!$K$4:$AJ$4,0)),NA(),IF(SUMPRODUCT((Inputs!$A$5:$A$230=$B98)*ISNUMBER(INDEX(Inputs!$K$5:$AJ$230,0,MATCH(G$2,Inputs!$K$4:$AJ$4,0))))+SUMPRODUCT((Inputs!$C$5:$C$230=$B98)*ISNUMBER(INDEX(Inputs!$K$5:$AJ$230,0,MATCH(G$2,Inputs!$K$4:$AJ$4,0))))+SUMPRODUCT((Inputs!$E$5:$E$230=$B98)*ISNUMBER(INDEX(Inputs!$K$5:$AJ$230,0,MATCH(G$2,Inputs!$K$4:$AJ$4,0))))=0,NA(),SUMPRODUCT((Inputs!$A$5:$A$230=$B98)*Inputs!$B$5:$B$230*(((Inputs!$G$5:$G$230="moeda")+(Inputs!$G$5:$G$230="acoes"))*Inputs!$B$1+((Inputs!$G$5:$G$230&lt;&gt;"moeda")*(Inputs!$G$5:$G$230&lt;&gt;"acoes")))*INDEX(Inputs!$K$5:$AJ$230,0,MATCH(G$2,Inputs!$K$4:$AJ$4,0)))+SUMPRODUCT((Inputs!$C$5:$C$230=$B98)*Inputs!$D$5:$D$230*(((Inputs!$G$5:$G$230="moeda")+(Inputs!$G$5:$G$230="acoes"))*Inputs!$B$1+((Inputs!$G$5:$G$230&lt;&gt;"moeda")*(Inputs!$G$5:$G$230&lt;&gt;"acoes")))*INDEX(Inputs!$K$5:$AJ$230,0,MATCH(G$2,Inputs!$K$4:$AJ$4,0)))+SUMPRODUCT((Inputs!$E$5:$E$230=$B98)*Inputs!$F$5:$F$230*(((Inputs!$G$5:$G$230="moeda")+(Inputs!$G$5:$G$230="acoes"))*Inputs!$B$1+((Inputs!$G$5:$G$230&lt;&gt;"moeda")*(Inputs!$G$5:$G$230&lt;&gt;"acoes")))*INDEX(Inputs!$K$5:$AJ$230,0,MATCH(G$2,Inputs!$K$4:$AJ$4,0)))))</f>
        <v>22.265</v>
      </c>
      <c r="H98" s="3">
        <f>SUM(D98:G98)</f>
        <v>82.572</v>
      </c>
      <c r="I98" s="6">
        <f>IF(ISNA(MATCH(I$2,Inputs!$K$4:$AJ$4,0)),NA(),IF(SUMPRODUCT((Inputs!$A$5:$A$230=$B98)*ISNUMBER(INDEX(Inputs!$K$5:$AJ$230,0,MATCH(I$2,Inputs!$K$4:$AJ$4,0))))+SUMPRODUCT((Inputs!$C$5:$C$230=$B98)*ISNUMBER(INDEX(Inputs!$K$5:$AJ$230,0,MATCH(I$2,Inputs!$K$4:$AJ$4,0))))+SUMPRODUCT((Inputs!$E$5:$E$230=$B98)*ISNUMBER(INDEX(Inputs!$K$5:$AJ$230,0,MATCH(I$2,Inputs!$K$4:$AJ$4,0))))=0,NA(),SUMPRODUCT((Inputs!$A$5:$A$230=$B98)*Inputs!$B$5:$B$230*(((Inputs!$G$5:$G$230="moeda")+(Inputs!$G$5:$G$230="acoes"))*Inputs!$B$1+((Inputs!$G$5:$G$230&lt;&gt;"moeda")*(Inputs!$G$5:$G$230&lt;&gt;"acoes")))*INDEX(Inputs!$K$5:$AJ$230,0,MATCH(I$2,Inputs!$K$4:$AJ$4,0)))+SUMPRODUCT((Inputs!$C$5:$C$230=$B98)*Inputs!$D$5:$D$230*(((Inputs!$G$5:$G$230="moeda")+(Inputs!$G$5:$G$230="acoes"))*Inputs!$B$1+((Inputs!$G$5:$G$230&lt;&gt;"moeda")*(Inputs!$G$5:$G$230&lt;&gt;"acoes")))*INDEX(Inputs!$K$5:$AJ$230,0,MATCH(I$2,Inputs!$K$4:$AJ$4,0)))+SUMPRODUCT((Inputs!$E$5:$E$230=$B98)*Inputs!$F$5:$F$230*(((Inputs!$G$5:$G$230="moeda")+(Inputs!$G$5:$G$230="acoes"))*Inputs!$B$1+((Inputs!$G$5:$G$230&lt;&gt;"moeda")*(Inputs!$G$5:$G$230&lt;&gt;"acoes")))*INDEX(Inputs!$K$5:$AJ$230,0,MATCH(I$2,Inputs!$K$4:$AJ$4,0)))))</f>
        <v>15.738</v>
      </c>
      <c r="J98" s="6">
        <f>IF(ISNA(MATCH(J$2,Inputs!$K$4:$AJ$4,0)),NA(),IF(SUMPRODUCT((Inputs!$A$5:$A$230=$B98)*ISNUMBER(INDEX(Inputs!$K$5:$AJ$230,0,MATCH(J$2,Inputs!$K$4:$AJ$4,0))))+SUMPRODUCT((Inputs!$C$5:$C$230=$B98)*ISNUMBER(INDEX(Inputs!$K$5:$AJ$230,0,MATCH(J$2,Inputs!$K$4:$AJ$4,0))))+SUMPRODUCT((Inputs!$E$5:$E$230=$B98)*ISNUMBER(INDEX(Inputs!$K$5:$AJ$230,0,MATCH(J$2,Inputs!$K$4:$AJ$4,0))))=0,NA(),SUMPRODUCT((Inputs!$A$5:$A$230=$B98)*Inputs!$B$5:$B$230*(((Inputs!$G$5:$G$230="moeda")+(Inputs!$G$5:$G$230="acoes"))*Inputs!$B$1+((Inputs!$G$5:$G$230&lt;&gt;"moeda")*(Inputs!$G$5:$G$230&lt;&gt;"acoes")))*INDEX(Inputs!$K$5:$AJ$230,0,MATCH(J$2,Inputs!$K$4:$AJ$4,0)))+SUMPRODUCT((Inputs!$C$5:$C$230=$B98)*Inputs!$D$5:$D$230*(((Inputs!$G$5:$G$230="moeda")+(Inputs!$G$5:$G$230="acoes"))*Inputs!$B$1+((Inputs!$G$5:$G$230&lt;&gt;"moeda")*(Inputs!$G$5:$G$230&lt;&gt;"acoes")))*INDEX(Inputs!$K$5:$AJ$230,0,MATCH(J$2,Inputs!$K$4:$AJ$4,0)))+SUMPRODUCT((Inputs!$E$5:$E$230=$B98)*Inputs!$F$5:$F$230*(((Inputs!$G$5:$G$230="moeda")+(Inputs!$G$5:$G$230="acoes"))*Inputs!$B$1+((Inputs!$G$5:$G$230&lt;&gt;"moeda")*(Inputs!$G$5:$G$230&lt;&gt;"acoes")))*INDEX(Inputs!$K$5:$AJ$230,0,MATCH(J$2,Inputs!$K$4:$AJ$4,0)))))</f>
        <v>13.163</v>
      </c>
      <c r="K98" s="6">
        <f>IF(ISNA(MATCH(K$2,Inputs!$K$4:$AJ$4,0)),NA(),IF(SUMPRODUCT((Inputs!$A$5:$A$230=$B98)*ISNUMBER(INDEX(Inputs!$K$5:$AJ$230,0,MATCH(K$2,Inputs!$K$4:$AJ$4,0))))+SUMPRODUCT((Inputs!$C$5:$C$230=$B98)*ISNUMBER(INDEX(Inputs!$K$5:$AJ$230,0,MATCH(K$2,Inputs!$K$4:$AJ$4,0))))+SUMPRODUCT((Inputs!$E$5:$E$230=$B98)*ISNUMBER(INDEX(Inputs!$K$5:$AJ$230,0,MATCH(K$2,Inputs!$K$4:$AJ$4,0))))=0,NA(),SUMPRODUCT((Inputs!$A$5:$A$230=$B98)*Inputs!$B$5:$B$230*(((Inputs!$G$5:$G$230="moeda")+(Inputs!$G$5:$G$230="acoes"))*Inputs!$B$1+((Inputs!$G$5:$G$230&lt;&gt;"moeda")*(Inputs!$G$5:$G$230&lt;&gt;"acoes")))*INDEX(Inputs!$K$5:$AJ$230,0,MATCH(K$2,Inputs!$K$4:$AJ$4,0)))+SUMPRODUCT((Inputs!$C$5:$C$230=$B98)*Inputs!$D$5:$D$230*(((Inputs!$G$5:$G$230="moeda")+(Inputs!$G$5:$G$230="acoes"))*Inputs!$B$1+((Inputs!$G$5:$G$230&lt;&gt;"moeda")*(Inputs!$G$5:$G$230&lt;&gt;"acoes")))*INDEX(Inputs!$K$5:$AJ$230,0,MATCH(K$2,Inputs!$K$4:$AJ$4,0)))+SUMPRODUCT((Inputs!$E$5:$E$230=$B98)*Inputs!$F$5:$F$230*(((Inputs!$G$5:$G$230="moeda")+(Inputs!$G$5:$G$230="acoes"))*Inputs!$B$1+((Inputs!$G$5:$G$230&lt;&gt;"moeda")*(Inputs!$G$5:$G$230&lt;&gt;"acoes")))*INDEX(Inputs!$K$5:$AJ$230,0,MATCH(K$2,Inputs!$K$4:$AJ$4,0)))))</f>
        <v>14.995</v>
      </c>
      <c r="L98" s="6">
        <f>IF(ISNA(MATCH(L$2,Inputs!$K$4:$AJ$4,0)),NA(),IF(SUMPRODUCT((Inputs!$A$5:$A$230=$B98)*ISNUMBER(INDEX(Inputs!$K$5:$AJ$230,0,MATCH(L$2,Inputs!$K$4:$AJ$4,0))))+SUMPRODUCT((Inputs!$C$5:$C$230=$B98)*ISNUMBER(INDEX(Inputs!$K$5:$AJ$230,0,MATCH(L$2,Inputs!$K$4:$AJ$4,0))))+SUMPRODUCT((Inputs!$E$5:$E$230=$B98)*ISNUMBER(INDEX(Inputs!$K$5:$AJ$230,0,MATCH(L$2,Inputs!$K$4:$AJ$4,0))))=0,NA(),SUMPRODUCT((Inputs!$A$5:$A$230=$B98)*Inputs!$B$5:$B$230*(((Inputs!$G$5:$G$230="moeda")+(Inputs!$G$5:$G$230="acoes"))*Inputs!$B$1+((Inputs!$G$5:$G$230&lt;&gt;"moeda")*(Inputs!$G$5:$G$230&lt;&gt;"acoes")))*INDEX(Inputs!$K$5:$AJ$230,0,MATCH(L$2,Inputs!$K$4:$AJ$4,0)))+SUMPRODUCT((Inputs!$C$5:$C$230=$B98)*Inputs!$D$5:$D$230*(((Inputs!$G$5:$G$230="moeda")+(Inputs!$G$5:$G$230="acoes"))*Inputs!$B$1+((Inputs!$G$5:$G$230&lt;&gt;"moeda")*(Inputs!$G$5:$G$230&lt;&gt;"acoes")))*INDEX(Inputs!$K$5:$AJ$230,0,MATCH(L$2,Inputs!$K$4:$AJ$4,0)))+SUMPRODUCT((Inputs!$E$5:$E$230=$B98)*Inputs!$F$5:$F$230*(((Inputs!$G$5:$G$230="moeda")+(Inputs!$G$5:$G$230="acoes"))*Inputs!$B$1+((Inputs!$G$5:$G$230&lt;&gt;"moeda")*(Inputs!$G$5:$G$230&lt;&gt;"acoes")))*INDEX(Inputs!$K$5:$AJ$230,0,MATCH(L$2,Inputs!$K$4:$AJ$4,0)))))</f>
        <v>15.477</v>
      </c>
      <c r="M98" s="3">
        <f>SUM(I98:L98)</f>
        <v>59.373</v>
      </c>
      <c r="N98" s="6">
        <f>IF(ISNA(MATCH(N$2,Inputs!$K$4:$AJ$4,0)),NA(),IF(SUMPRODUCT((Inputs!$A$5:$A$230=$B98)*ISNUMBER(INDEX(Inputs!$K$5:$AJ$230,0,MATCH(N$2,Inputs!$K$4:$AJ$4,0))))+SUMPRODUCT((Inputs!$C$5:$C$230=$B98)*ISNUMBER(INDEX(Inputs!$K$5:$AJ$230,0,MATCH(N$2,Inputs!$K$4:$AJ$4,0))))+SUMPRODUCT((Inputs!$E$5:$E$230=$B98)*ISNUMBER(INDEX(Inputs!$K$5:$AJ$230,0,MATCH(N$2,Inputs!$K$4:$AJ$4,0))))=0,NA(),SUMPRODUCT((Inputs!$A$5:$A$230=$B98)*Inputs!$B$5:$B$230*(((Inputs!$G$5:$G$230="moeda")+(Inputs!$G$5:$G$230="acoes"))*Inputs!$B$1+((Inputs!$G$5:$G$230&lt;&gt;"moeda")*(Inputs!$G$5:$G$230&lt;&gt;"acoes")))*INDEX(Inputs!$K$5:$AJ$230,0,MATCH(N$2,Inputs!$K$4:$AJ$4,0)))+SUMPRODUCT((Inputs!$C$5:$C$230=$B98)*Inputs!$D$5:$D$230*(((Inputs!$G$5:$G$230="moeda")+(Inputs!$G$5:$G$230="acoes"))*Inputs!$B$1+((Inputs!$G$5:$G$230&lt;&gt;"moeda")*(Inputs!$G$5:$G$230&lt;&gt;"acoes")))*INDEX(Inputs!$K$5:$AJ$230,0,MATCH(N$2,Inputs!$K$4:$AJ$4,0)))+SUMPRODUCT((Inputs!$E$5:$E$230=$B98)*Inputs!$F$5:$F$230*(((Inputs!$G$5:$G$230="moeda")+(Inputs!$G$5:$G$230="acoes"))*Inputs!$B$1+((Inputs!$G$5:$G$230&lt;&gt;"moeda")*(Inputs!$G$5:$G$230&lt;&gt;"acoes")))*INDEX(Inputs!$K$5:$AJ$230,0,MATCH(N$2,Inputs!$K$4:$AJ$4,0)))))</f>
        <v>13.581</v>
      </c>
      <c r="O98" s="6">
        <f>IF(ISNA(MATCH(O$2,Inputs!$K$4:$AJ$4,0)),NA(),IF(SUMPRODUCT((Inputs!$A$5:$A$230=$B98)*ISNUMBER(INDEX(Inputs!$K$5:$AJ$230,0,MATCH(O$2,Inputs!$K$4:$AJ$4,0))))+SUMPRODUCT((Inputs!$C$5:$C$230=$B98)*ISNUMBER(INDEX(Inputs!$K$5:$AJ$230,0,MATCH(O$2,Inputs!$K$4:$AJ$4,0))))+SUMPRODUCT((Inputs!$E$5:$E$230=$B98)*ISNUMBER(INDEX(Inputs!$K$5:$AJ$230,0,MATCH(O$2,Inputs!$K$4:$AJ$4,0))))=0,NA(),SUMPRODUCT((Inputs!$A$5:$A$230=$B98)*Inputs!$B$5:$B$230*(((Inputs!$G$5:$G$230="moeda")+(Inputs!$G$5:$G$230="acoes"))*Inputs!$B$1+((Inputs!$G$5:$G$230&lt;&gt;"moeda")*(Inputs!$G$5:$G$230&lt;&gt;"acoes")))*INDEX(Inputs!$K$5:$AJ$230,0,MATCH(O$2,Inputs!$K$4:$AJ$4,0)))+SUMPRODUCT((Inputs!$C$5:$C$230=$B98)*Inputs!$D$5:$D$230*(((Inputs!$G$5:$G$230="moeda")+(Inputs!$G$5:$G$230="acoes"))*Inputs!$B$1+((Inputs!$G$5:$G$230&lt;&gt;"moeda")*(Inputs!$G$5:$G$230&lt;&gt;"acoes")))*INDEX(Inputs!$K$5:$AJ$230,0,MATCH(O$2,Inputs!$K$4:$AJ$4,0)))+SUMPRODUCT((Inputs!$E$5:$E$230=$B98)*Inputs!$F$5:$F$230*(((Inputs!$G$5:$G$230="moeda")+(Inputs!$G$5:$G$230="acoes"))*Inputs!$B$1+((Inputs!$G$5:$G$230&lt;&gt;"moeda")*(Inputs!$G$5:$G$230&lt;&gt;"acoes")))*INDEX(Inputs!$K$5:$AJ$230,0,MATCH(O$2,Inputs!$K$4:$AJ$4,0)))))</f>
        <v>13.546</v>
      </c>
      <c r="P98" s="6">
        <f>IF(ISNA(MATCH(P$2,Inputs!$K$4:$AJ$4,0)),NA(),IF(SUMPRODUCT((Inputs!$A$5:$A$230=$B98)*ISNUMBER(INDEX(Inputs!$K$5:$AJ$230,0,MATCH(P$2,Inputs!$K$4:$AJ$4,0))))+SUMPRODUCT((Inputs!$C$5:$C$230=$B98)*ISNUMBER(INDEX(Inputs!$K$5:$AJ$230,0,MATCH(P$2,Inputs!$K$4:$AJ$4,0))))+SUMPRODUCT((Inputs!$E$5:$E$230=$B98)*ISNUMBER(INDEX(Inputs!$K$5:$AJ$230,0,MATCH(P$2,Inputs!$K$4:$AJ$4,0))))=0,NA(),SUMPRODUCT((Inputs!$A$5:$A$230=$B98)*Inputs!$B$5:$B$230*(((Inputs!$G$5:$G$230="moeda")+(Inputs!$G$5:$G$230="acoes"))*Inputs!$B$1+((Inputs!$G$5:$G$230&lt;&gt;"moeda")*(Inputs!$G$5:$G$230&lt;&gt;"acoes")))*INDEX(Inputs!$K$5:$AJ$230,0,MATCH(P$2,Inputs!$K$4:$AJ$4,0)))+SUMPRODUCT((Inputs!$C$5:$C$230=$B98)*Inputs!$D$5:$D$230*(((Inputs!$G$5:$G$230="moeda")+(Inputs!$G$5:$G$230="acoes"))*Inputs!$B$1+((Inputs!$G$5:$G$230&lt;&gt;"moeda")*(Inputs!$G$5:$G$230&lt;&gt;"acoes")))*INDEX(Inputs!$K$5:$AJ$230,0,MATCH(P$2,Inputs!$K$4:$AJ$4,0)))+SUMPRODUCT((Inputs!$E$5:$E$230=$B98)*Inputs!$F$5:$F$230*(((Inputs!$G$5:$G$230="moeda")+(Inputs!$G$5:$G$230="acoes"))*Inputs!$B$1+((Inputs!$G$5:$G$230&lt;&gt;"moeda")*(Inputs!$G$5:$G$230&lt;&gt;"acoes")))*INDEX(Inputs!$K$5:$AJ$230,0,MATCH(P$2,Inputs!$K$4:$AJ$4,0)))))</f>
        <v>13.672</v>
      </c>
      <c r="Q98" s="6">
        <f>IF(ISNA(MATCH(Q$2,Inputs!$K$4:$AJ$4,0)),NA(),IF(SUMPRODUCT((Inputs!$A$5:$A$230=$B98)*ISNUMBER(INDEX(Inputs!$K$5:$AJ$230,0,MATCH(Q$2,Inputs!$K$4:$AJ$4,0))))+SUMPRODUCT((Inputs!$C$5:$C$230=$B98)*ISNUMBER(INDEX(Inputs!$K$5:$AJ$230,0,MATCH(Q$2,Inputs!$K$4:$AJ$4,0))))+SUMPRODUCT((Inputs!$E$5:$E$230=$B98)*ISNUMBER(INDEX(Inputs!$K$5:$AJ$230,0,MATCH(Q$2,Inputs!$K$4:$AJ$4,0))))=0,NA(),SUMPRODUCT((Inputs!$A$5:$A$230=$B98)*Inputs!$B$5:$B$230*(((Inputs!$G$5:$G$230="moeda")+(Inputs!$G$5:$G$230="acoes"))*Inputs!$B$1+((Inputs!$G$5:$G$230&lt;&gt;"moeda")*(Inputs!$G$5:$G$230&lt;&gt;"acoes")))*INDEX(Inputs!$K$5:$AJ$230,0,MATCH(Q$2,Inputs!$K$4:$AJ$4,0)))+SUMPRODUCT((Inputs!$C$5:$C$230=$B98)*Inputs!$D$5:$D$230*(((Inputs!$G$5:$G$230="moeda")+(Inputs!$G$5:$G$230="acoes"))*Inputs!$B$1+((Inputs!$G$5:$G$230&lt;&gt;"moeda")*(Inputs!$G$5:$G$230&lt;&gt;"acoes")))*INDEX(Inputs!$K$5:$AJ$230,0,MATCH(Q$2,Inputs!$K$4:$AJ$4,0)))+SUMPRODUCT((Inputs!$E$5:$E$230=$B98)*Inputs!$F$5:$F$230*(((Inputs!$G$5:$G$230="moeda")+(Inputs!$G$5:$G$230="acoes"))*Inputs!$B$1+((Inputs!$G$5:$G$230&lt;&gt;"moeda")*(Inputs!$G$5:$G$230&lt;&gt;"acoes")))*INDEX(Inputs!$K$5:$AJ$230,0,MATCH(Q$2,Inputs!$K$4:$AJ$4,0)))))</f>
        <v>14.144</v>
      </c>
      <c r="R98" s="3">
        <f>SUM(N98:Q98)</f>
        <v>54.943</v>
      </c>
      <c r="S98" s="6">
        <f>IF(ISNA(MATCH(S$2,Inputs!$K$4:$AJ$4,0)),NA(),IF(SUMPRODUCT((Inputs!$A$5:$A$230=$B98)*ISNUMBER(INDEX(Inputs!$K$5:$AJ$230,0,MATCH(S$2,Inputs!$K$4:$AJ$4,0))))+SUMPRODUCT((Inputs!$C$5:$C$230=$B98)*ISNUMBER(INDEX(Inputs!$K$5:$AJ$230,0,MATCH(S$2,Inputs!$K$4:$AJ$4,0))))+SUMPRODUCT((Inputs!$E$5:$E$230=$B98)*ISNUMBER(INDEX(Inputs!$K$5:$AJ$230,0,MATCH(S$2,Inputs!$K$4:$AJ$4,0))))=0,NA(),SUMPRODUCT((Inputs!$A$5:$A$230=$B98)*Inputs!$B$5:$B$230*(((Inputs!$G$5:$G$230="moeda")+(Inputs!$G$5:$G$230="acoes"))*Inputs!$B$1+((Inputs!$G$5:$G$230&lt;&gt;"moeda")*(Inputs!$G$5:$G$230&lt;&gt;"acoes")))*INDEX(Inputs!$K$5:$AJ$230,0,MATCH(S$2,Inputs!$K$4:$AJ$4,0)))+SUMPRODUCT((Inputs!$C$5:$C$230=$B98)*Inputs!$D$5:$D$230*(((Inputs!$G$5:$G$230="moeda")+(Inputs!$G$5:$G$230="acoes"))*Inputs!$B$1+((Inputs!$G$5:$G$230&lt;&gt;"moeda")*(Inputs!$G$5:$G$230&lt;&gt;"acoes")))*INDEX(Inputs!$K$5:$AJ$230,0,MATCH(S$2,Inputs!$K$4:$AJ$4,0)))+SUMPRODUCT((Inputs!$E$5:$E$230=$B98)*Inputs!$F$5:$F$230*(((Inputs!$G$5:$G$230="moeda")+(Inputs!$G$5:$G$230="acoes"))*Inputs!$B$1+((Inputs!$G$5:$G$230&lt;&gt;"moeda")*(Inputs!$G$5:$G$230&lt;&gt;"acoes")))*INDEX(Inputs!$K$5:$AJ$230,0,MATCH(S$2,Inputs!$K$4:$AJ$4,0)))))</f>
        <v>13.953</v>
      </c>
      <c r="T98" s="6">
        <f>IF(ISNA(MATCH(T$2,Inputs!$K$4:$AJ$4,0)),NA(),IF(SUMPRODUCT((Inputs!$A$5:$A$230=$B98)*ISNUMBER(INDEX(Inputs!$K$5:$AJ$230,0,MATCH(T$2,Inputs!$K$4:$AJ$4,0))))+SUMPRODUCT((Inputs!$C$5:$C$230=$B98)*ISNUMBER(INDEX(Inputs!$K$5:$AJ$230,0,MATCH(T$2,Inputs!$K$4:$AJ$4,0))))+SUMPRODUCT((Inputs!$E$5:$E$230=$B98)*ISNUMBER(INDEX(Inputs!$K$5:$AJ$230,0,MATCH(T$2,Inputs!$K$4:$AJ$4,0))))=0,NA(),SUMPRODUCT((Inputs!$A$5:$A$230=$B98)*Inputs!$B$5:$B$230*(((Inputs!$G$5:$G$230="moeda")+(Inputs!$G$5:$G$230="acoes"))*Inputs!$B$1+((Inputs!$G$5:$G$230&lt;&gt;"moeda")*(Inputs!$G$5:$G$230&lt;&gt;"acoes")))*INDEX(Inputs!$K$5:$AJ$230,0,MATCH(T$2,Inputs!$K$4:$AJ$4,0)))+SUMPRODUCT((Inputs!$C$5:$C$230=$B98)*Inputs!$D$5:$D$230*(((Inputs!$G$5:$G$230="moeda")+(Inputs!$G$5:$G$230="acoes"))*Inputs!$B$1+((Inputs!$G$5:$G$230&lt;&gt;"moeda")*(Inputs!$G$5:$G$230&lt;&gt;"acoes")))*INDEX(Inputs!$K$5:$AJ$230,0,MATCH(T$2,Inputs!$K$4:$AJ$4,0)))+SUMPRODUCT((Inputs!$E$5:$E$230=$B98)*Inputs!$F$5:$F$230*(((Inputs!$G$5:$G$230="moeda")+(Inputs!$G$5:$G$230="acoes"))*Inputs!$B$1+((Inputs!$G$5:$G$230&lt;&gt;"moeda")*(Inputs!$G$5:$G$230&lt;&gt;"acoes")))*INDEX(Inputs!$K$5:$AJ$230,0,MATCH(T$2,Inputs!$K$4:$AJ$4,0)))))</f>
        <v>12.234</v>
      </c>
      <c r="U98" s="6">
        <f>IF(ISNA(MATCH(U$2,Inputs!$K$4:$AJ$4,0)),NA(),IF(SUMPRODUCT((Inputs!$A$5:$A$230=$B98)*ISNUMBER(INDEX(Inputs!$K$5:$AJ$230,0,MATCH(U$2,Inputs!$K$4:$AJ$4,0))))+SUMPRODUCT((Inputs!$C$5:$C$230=$B98)*ISNUMBER(INDEX(Inputs!$K$5:$AJ$230,0,MATCH(U$2,Inputs!$K$4:$AJ$4,0))))+SUMPRODUCT((Inputs!$E$5:$E$230=$B98)*ISNUMBER(INDEX(Inputs!$K$5:$AJ$230,0,MATCH(U$2,Inputs!$K$4:$AJ$4,0))))=0,NA(),SUMPRODUCT((Inputs!$A$5:$A$230=$B98)*Inputs!$B$5:$B$230*(((Inputs!$G$5:$G$230="moeda")+(Inputs!$G$5:$G$230="acoes"))*Inputs!$B$1+((Inputs!$G$5:$G$230&lt;&gt;"moeda")*(Inputs!$G$5:$G$230&lt;&gt;"acoes")))*INDEX(Inputs!$K$5:$AJ$230,0,MATCH(U$2,Inputs!$K$4:$AJ$4,0)))+SUMPRODUCT((Inputs!$C$5:$C$230=$B98)*Inputs!$D$5:$D$230*(((Inputs!$G$5:$G$230="moeda")+(Inputs!$G$5:$G$230="acoes"))*Inputs!$B$1+((Inputs!$G$5:$G$230&lt;&gt;"moeda")*(Inputs!$G$5:$G$230&lt;&gt;"acoes")))*INDEX(Inputs!$K$5:$AJ$230,0,MATCH(U$2,Inputs!$K$4:$AJ$4,0)))+SUMPRODUCT((Inputs!$E$5:$E$230=$B98)*Inputs!$F$5:$F$230*(((Inputs!$G$5:$G$230="moeda")+(Inputs!$G$5:$G$230="acoes"))*Inputs!$B$1+((Inputs!$G$5:$G$230&lt;&gt;"moeda")*(Inputs!$G$5:$G$230&lt;&gt;"acoes")))*INDEX(Inputs!$K$5:$AJ$230,0,MATCH(U$2,Inputs!$K$4:$AJ$4,0)))))</f>
        <v>13.531</v>
      </c>
      <c r="V98" s="6">
        <f>IF(ISNA(MATCH(V$2,Inputs!$K$4:$AJ$4,0)),NA(),IF(SUMPRODUCT((Inputs!$A$5:$A$230=$B98)*ISNUMBER(INDEX(Inputs!$K$5:$AJ$230,0,MATCH(V$2,Inputs!$K$4:$AJ$4,0))))+SUMPRODUCT((Inputs!$C$5:$C$230=$B98)*ISNUMBER(INDEX(Inputs!$K$5:$AJ$230,0,MATCH(V$2,Inputs!$K$4:$AJ$4,0))))+SUMPRODUCT((Inputs!$E$5:$E$230=$B98)*ISNUMBER(INDEX(Inputs!$K$5:$AJ$230,0,MATCH(V$2,Inputs!$K$4:$AJ$4,0))))=0,NA(),SUMPRODUCT((Inputs!$A$5:$A$230=$B98)*Inputs!$B$5:$B$230*(((Inputs!$G$5:$G$230="moeda")+(Inputs!$G$5:$G$230="acoes"))*Inputs!$B$1+((Inputs!$G$5:$G$230&lt;&gt;"moeda")*(Inputs!$G$5:$G$230&lt;&gt;"acoes")))*INDEX(Inputs!$K$5:$AJ$230,0,MATCH(V$2,Inputs!$K$4:$AJ$4,0)))+SUMPRODUCT((Inputs!$C$5:$C$230=$B98)*Inputs!$D$5:$D$230*(((Inputs!$G$5:$G$230="moeda")+(Inputs!$G$5:$G$230="acoes"))*Inputs!$B$1+((Inputs!$G$5:$G$230&lt;&gt;"moeda")*(Inputs!$G$5:$G$230&lt;&gt;"acoes")))*INDEX(Inputs!$K$5:$AJ$230,0,MATCH(V$2,Inputs!$K$4:$AJ$4,0)))+SUMPRODUCT((Inputs!$E$5:$E$230=$B98)*Inputs!$F$5:$F$230*(((Inputs!$G$5:$G$230="moeda")+(Inputs!$G$5:$G$230="acoes"))*Inputs!$B$1+((Inputs!$G$5:$G$230&lt;&gt;"moeda")*(Inputs!$G$5:$G$230&lt;&gt;"acoes")))*INDEX(Inputs!$K$5:$AJ$230,0,MATCH(V$2,Inputs!$K$4:$AJ$4,0)))))</f>
        <v>21.894</v>
      </c>
      <c r="W98" s="3">
        <f>SUM(S98:V98)</f>
        <v>61.612</v>
      </c>
      <c r="X98" s="6">
        <f>IF(ISNA(MATCH(X$2,Inputs!$K$4:$AJ$4,0)),NA(),IF(SUMPRODUCT((Inputs!$A$5:$A$230=$B98)*ISNUMBER(INDEX(Inputs!$K$5:$AJ$230,0,MATCH(X$2,Inputs!$K$4:$AJ$4,0))))+SUMPRODUCT((Inputs!$C$5:$C$230=$B98)*ISNUMBER(INDEX(Inputs!$K$5:$AJ$230,0,MATCH(X$2,Inputs!$K$4:$AJ$4,0))))+SUMPRODUCT((Inputs!$E$5:$E$230=$B98)*ISNUMBER(INDEX(Inputs!$K$5:$AJ$230,0,MATCH(X$2,Inputs!$K$4:$AJ$4,0))))=0,NA(),SUMPRODUCT((Inputs!$A$5:$A$230=$B98)*Inputs!$B$5:$B$230*(((Inputs!$G$5:$G$230="moeda")+(Inputs!$G$5:$G$230="acoes"))*Inputs!$B$1+((Inputs!$G$5:$G$230&lt;&gt;"moeda")*(Inputs!$G$5:$G$230&lt;&gt;"acoes")))*INDEX(Inputs!$K$5:$AJ$230,0,MATCH(X$2,Inputs!$K$4:$AJ$4,0)))+SUMPRODUCT((Inputs!$C$5:$C$230=$B98)*Inputs!$D$5:$D$230*(((Inputs!$G$5:$G$230="moeda")+(Inputs!$G$5:$G$230="acoes"))*Inputs!$B$1+((Inputs!$G$5:$G$230&lt;&gt;"moeda")*(Inputs!$G$5:$G$230&lt;&gt;"acoes")))*INDEX(Inputs!$K$5:$AJ$230,0,MATCH(X$2,Inputs!$K$4:$AJ$4,0)))+SUMPRODUCT((Inputs!$E$5:$E$230=$B98)*Inputs!$F$5:$F$230*(((Inputs!$G$5:$G$230="moeda")+(Inputs!$G$5:$G$230="acoes"))*Inputs!$B$1+((Inputs!$G$5:$G$230&lt;&gt;"moeda")*(Inputs!$G$5:$G$230&lt;&gt;"acoes")))*INDEX(Inputs!$K$5:$AJ$230,0,MATCH(X$2,Inputs!$K$4:$AJ$4,0)))))</f>
        <v>15.335</v>
      </c>
      <c r="Y98" s="6">
        <f>IF(ISNA(MATCH(Y$2,Inputs!$K$4:$AJ$4,0)),NA(),IF(SUMPRODUCT((Inputs!$A$5:$A$230=$B98)*ISNUMBER(INDEX(Inputs!$K$5:$AJ$230,0,MATCH(Y$2,Inputs!$K$4:$AJ$4,0))))+SUMPRODUCT((Inputs!$C$5:$C$230=$B98)*ISNUMBER(INDEX(Inputs!$K$5:$AJ$230,0,MATCH(Y$2,Inputs!$K$4:$AJ$4,0))))+SUMPRODUCT((Inputs!$E$5:$E$230=$B98)*ISNUMBER(INDEX(Inputs!$K$5:$AJ$230,0,MATCH(Y$2,Inputs!$K$4:$AJ$4,0))))=0,NA(),SUMPRODUCT((Inputs!$A$5:$A$230=$B98)*Inputs!$B$5:$B$230*(((Inputs!$G$5:$G$230="moeda")+(Inputs!$G$5:$G$230="acoes"))*Inputs!$B$1+((Inputs!$G$5:$G$230&lt;&gt;"moeda")*(Inputs!$G$5:$G$230&lt;&gt;"acoes")))*INDEX(Inputs!$K$5:$AJ$230,0,MATCH(Y$2,Inputs!$K$4:$AJ$4,0)))+SUMPRODUCT((Inputs!$C$5:$C$230=$B98)*Inputs!$D$5:$D$230*(((Inputs!$G$5:$G$230="moeda")+(Inputs!$G$5:$G$230="acoes"))*Inputs!$B$1+((Inputs!$G$5:$G$230&lt;&gt;"moeda")*(Inputs!$G$5:$G$230&lt;&gt;"acoes")))*INDEX(Inputs!$K$5:$AJ$230,0,MATCH(Y$2,Inputs!$K$4:$AJ$4,0)))+SUMPRODUCT((Inputs!$E$5:$E$230=$B98)*Inputs!$F$5:$F$230*(((Inputs!$G$5:$G$230="moeda")+(Inputs!$G$5:$G$230="acoes"))*Inputs!$B$1+((Inputs!$G$5:$G$230&lt;&gt;"moeda")*(Inputs!$G$5:$G$230&lt;&gt;"acoes")))*INDEX(Inputs!$K$5:$AJ$230,0,MATCH(Y$2,Inputs!$K$4:$AJ$4,0)))))</f>
        <v>16.888</v>
      </c>
      <c r="Z98" s="6">
        <f>IF(ISNA(MATCH(Z$2,Inputs!$K$4:$AJ$4,0)),NA(),IF(SUMPRODUCT((Inputs!$A$5:$A$230=$B98)*ISNUMBER(INDEX(Inputs!$K$5:$AJ$230,0,MATCH(Z$2,Inputs!$K$4:$AJ$4,0))))+SUMPRODUCT((Inputs!$C$5:$C$230=$B98)*ISNUMBER(INDEX(Inputs!$K$5:$AJ$230,0,MATCH(Z$2,Inputs!$K$4:$AJ$4,0))))+SUMPRODUCT((Inputs!$E$5:$E$230=$B98)*ISNUMBER(INDEX(Inputs!$K$5:$AJ$230,0,MATCH(Z$2,Inputs!$K$4:$AJ$4,0))))=0,NA(),SUMPRODUCT((Inputs!$A$5:$A$230=$B98)*Inputs!$B$5:$B$230*(((Inputs!$G$5:$G$230="moeda")+(Inputs!$G$5:$G$230="acoes"))*Inputs!$B$1+((Inputs!$G$5:$G$230&lt;&gt;"moeda")*(Inputs!$G$5:$G$230&lt;&gt;"acoes")))*INDEX(Inputs!$K$5:$AJ$230,0,MATCH(Z$2,Inputs!$K$4:$AJ$4,0)))+SUMPRODUCT((Inputs!$C$5:$C$230=$B98)*Inputs!$D$5:$D$230*(((Inputs!$G$5:$G$230="moeda")+(Inputs!$G$5:$G$230="acoes"))*Inputs!$B$1+((Inputs!$G$5:$G$230&lt;&gt;"moeda")*(Inputs!$G$5:$G$230&lt;&gt;"acoes")))*INDEX(Inputs!$K$5:$AJ$230,0,MATCH(Z$2,Inputs!$K$4:$AJ$4,0)))+SUMPRODUCT((Inputs!$E$5:$E$230=$B98)*Inputs!$F$5:$F$230*(((Inputs!$G$5:$G$230="moeda")+(Inputs!$G$5:$G$230="acoes"))*Inputs!$B$1+((Inputs!$G$5:$G$230&lt;&gt;"moeda")*(Inputs!$G$5:$G$230&lt;&gt;"acoes")))*INDEX(Inputs!$K$5:$AJ$230,0,MATCH(Z$2,Inputs!$K$4:$AJ$4,0)))))</f>
        <v>18.261</v>
      </c>
      <c r="AA98" s="6">
        <f>IF(ISNA(MATCH(AA$2,Inputs!$K$4:$AJ$4,0)),NA(),IF(SUMPRODUCT((Inputs!$A$5:$A$230=$B98)*ISNUMBER(INDEX(Inputs!$K$5:$AJ$230,0,MATCH(AA$2,Inputs!$K$4:$AJ$4,0))))+SUMPRODUCT((Inputs!$C$5:$C$230=$B98)*ISNUMBER(INDEX(Inputs!$K$5:$AJ$230,0,MATCH(AA$2,Inputs!$K$4:$AJ$4,0))))+SUMPRODUCT((Inputs!$E$5:$E$230=$B98)*ISNUMBER(INDEX(Inputs!$K$5:$AJ$230,0,MATCH(AA$2,Inputs!$K$4:$AJ$4,0))))=0,NA(),SUMPRODUCT((Inputs!$A$5:$A$230=$B98)*Inputs!$B$5:$B$230*(((Inputs!$G$5:$G$230="moeda")+(Inputs!$G$5:$G$230="acoes"))*Inputs!$B$1+((Inputs!$G$5:$G$230&lt;&gt;"moeda")*(Inputs!$G$5:$G$230&lt;&gt;"acoes")))*INDEX(Inputs!$K$5:$AJ$230,0,MATCH(AA$2,Inputs!$K$4:$AJ$4,0)))+SUMPRODUCT((Inputs!$C$5:$C$230=$B98)*Inputs!$D$5:$D$230*(((Inputs!$G$5:$G$230="moeda")+(Inputs!$G$5:$G$230="acoes"))*Inputs!$B$1+((Inputs!$G$5:$G$230&lt;&gt;"moeda")*(Inputs!$G$5:$G$230&lt;&gt;"acoes")))*INDEX(Inputs!$K$5:$AJ$230,0,MATCH(AA$2,Inputs!$K$4:$AJ$4,0)))+SUMPRODUCT((Inputs!$E$5:$E$230=$B98)*Inputs!$F$5:$F$230*(((Inputs!$G$5:$G$230="moeda")+(Inputs!$G$5:$G$230="acoes"))*Inputs!$B$1+((Inputs!$G$5:$G$230&lt;&gt;"moeda")*(Inputs!$G$5:$G$230&lt;&gt;"acoes")))*INDEX(Inputs!$K$5:$AJ$230,0,MATCH(AA$2,Inputs!$K$4:$AJ$4,0)))))</f>
        <v>13.379</v>
      </c>
      <c r="AB98" s="3">
        <f>SUM(X98:AA98)</f>
        <v>63.863</v>
      </c>
      <c r="AC98" s="6">
        <f>IF(ISNA(MATCH(AC$2,Inputs!$K$4:$AJ$4,0)),NA(),IF(SUMPRODUCT((Inputs!$A$5:$A$230=$B98)*ISNUMBER(INDEX(Inputs!$K$5:$AJ$230,0,MATCH(AC$2,Inputs!$K$4:$AJ$4,0))))+SUMPRODUCT((Inputs!$C$5:$C$230=$B98)*ISNUMBER(INDEX(Inputs!$K$5:$AJ$230,0,MATCH(AC$2,Inputs!$K$4:$AJ$4,0))))+SUMPRODUCT((Inputs!$E$5:$E$230=$B98)*ISNUMBER(INDEX(Inputs!$K$5:$AJ$230,0,MATCH(AC$2,Inputs!$K$4:$AJ$4,0))))=0,NA(),SUMPRODUCT((Inputs!$A$5:$A$230=$B98)*Inputs!$B$5:$B$230*(((Inputs!$G$5:$G$230="moeda")+(Inputs!$G$5:$G$230="acoes"))*Inputs!$B$1+((Inputs!$G$5:$G$230&lt;&gt;"moeda")*(Inputs!$G$5:$G$230&lt;&gt;"acoes")))*INDEX(Inputs!$K$5:$AJ$230,0,MATCH(AC$2,Inputs!$K$4:$AJ$4,0)))+SUMPRODUCT((Inputs!$C$5:$C$230=$B98)*Inputs!$D$5:$D$230*(((Inputs!$G$5:$G$230="moeda")+(Inputs!$G$5:$G$230="acoes"))*Inputs!$B$1+((Inputs!$G$5:$G$230&lt;&gt;"moeda")*(Inputs!$G$5:$G$230&lt;&gt;"acoes")))*INDEX(Inputs!$K$5:$AJ$230,0,MATCH(AC$2,Inputs!$K$4:$AJ$4,0)))+SUMPRODUCT((Inputs!$E$5:$E$230=$B98)*Inputs!$F$5:$F$230*(((Inputs!$G$5:$G$230="moeda")+(Inputs!$G$5:$G$230="acoes"))*Inputs!$B$1+((Inputs!$G$5:$G$230&lt;&gt;"moeda")*(Inputs!$G$5:$G$230&lt;&gt;"acoes")))*INDEX(Inputs!$K$5:$AJ$230,0,MATCH(AC$2,Inputs!$K$4:$AJ$4,0)))))</f>
        <v>18.625</v>
      </c>
      <c r="AD98" s="6">
        <f>IF(ISNA(MATCH(AD$2,Inputs!$K$4:$AJ$4,0)),NA(),IF(SUMPRODUCT((Inputs!$A$5:$A$230=$B98)*ISNUMBER(INDEX(Inputs!$K$5:$AJ$230,0,MATCH(AD$2,Inputs!$K$4:$AJ$4,0))))+SUMPRODUCT((Inputs!$C$5:$C$230=$B98)*ISNUMBER(INDEX(Inputs!$K$5:$AJ$230,0,MATCH(AD$2,Inputs!$K$4:$AJ$4,0))))+SUMPRODUCT((Inputs!$E$5:$E$230=$B98)*ISNUMBER(INDEX(Inputs!$K$5:$AJ$230,0,MATCH(AD$2,Inputs!$K$4:$AJ$4,0))))=0,NA(),SUMPRODUCT((Inputs!$A$5:$A$230=$B98)*Inputs!$B$5:$B$230*(((Inputs!$G$5:$G$230="moeda")+(Inputs!$G$5:$G$230="acoes"))*Inputs!$B$1+((Inputs!$G$5:$G$230&lt;&gt;"moeda")*(Inputs!$G$5:$G$230&lt;&gt;"acoes")))*INDEX(Inputs!$K$5:$AJ$230,0,MATCH(AD$2,Inputs!$K$4:$AJ$4,0)))+SUMPRODUCT((Inputs!$C$5:$C$230=$B98)*Inputs!$D$5:$D$230*(((Inputs!$G$5:$G$230="moeda")+(Inputs!$G$5:$G$230="acoes"))*Inputs!$B$1+((Inputs!$G$5:$G$230&lt;&gt;"moeda")*(Inputs!$G$5:$G$230&lt;&gt;"acoes")))*INDEX(Inputs!$K$5:$AJ$230,0,MATCH(AD$2,Inputs!$K$4:$AJ$4,0)))+SUMPRODUCT((Inputs!$E$5:$E$230=$B98)*Inputs!$F$5:$F$230*(((Inputs!$G$5:$G$230="moeda")+(Inputs!$G$5:$G$230="acoes"))*Inputs!$B$1+((Inputs!$G$5:$G$230&lt;&gt;"moeda")*(Inputs!$G$5:$G$230&lt;&gt;"acoes")))*INDEX(Inputs!$K$5:$AJ$230,0,MATCH(AD$2,Inputs!$K$4:$AJ$4,0)))))</f>
        <v>13.067</v>
      </c>
      <c r="AE98" s="6" t="e">
        <f>IF(ISNA(MATCH(AE$2,Inputs!$K$4:$AJ$4,0)),NA(),IF(SUMPRODUCT((Inputs!$A$5:$A$230=$B98)*ISNUMBER(INDEX(Inputs!$K$5:$AJ$230,0,MATCH(AE$2,Inputs!$K$4:$AJ$4,0))))+SUMPRODUCT((Inputs!$C$5:$C$230=$B98)*ISNUMBER(INDEX(Inputs!$K$5:$AJ$230,0,MATCH(AE$2,Inputs!$K$4:$AJ$4,0))))+SUMPRODUCT((Inputs!$E$5:$E$230=$B98)*ISNUMBER(INDEX(Inputs!$K$5:$AJ$230,0,MATCH(AE$2,Inputs!$K$4:$AJ$4,0))))=0,NA(),SUMPRODUCT((Inputs!$A$5:$A$230=$B98)*Inputs!$B$5:$B$230*(((Inputs!$G$5:$G$230="moeda")+(Inputs!$G$5:$G$230="acoes"))*Inputs!$B$1+((Inputs!$G$5:$G$230&lt;&gt;"moeda")*(Inputs!$G$5:$G$230&lt;&gt;"acoes")))*INDEX(Inputs!$K$5:$AJ$230,0,MATCH(AE$2,Inputs!$K$4:$AJ$4,0)))+SUMPRODUCT((Inputs!$C$5:$C$230=$B98)*Inputs!$D$5:$D$230*(((Inputs!$G$5:$G$230="moeda")+(Inputs!$G$5:$G$230="acoes"))*Inputs!$B$1+((Inputs!$G$5:$G$230&lt;&gt;"moeda")*(Inputs!$G$5:$G$230&lt;&gt;"acoes")))*INDEX(Inputs!$K$5:$AJ$230,0,MATCH(AE$2,Inputs!$K$4:$AJ$4,0)))+SUMPRODUCT((Inputs!$E$5:$E$230=$B98)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8" s="6" t="e">
        <f>IF(ISNA(MATCH(AF$2,Inputs!$K$4:$AJ$4,0)),NA(),IF(SUMPRODUCT((Inputs!$A$5:$A$230=$B98)*ISNUMBER(INDEX(Inputs!$K$5:$AJ$230,0,MATCH(AF$2,Inputs!$K$4:$AJ$4,0))))+SUMPRODUCT((Inputs!$C$5:$C$230=$B98)*ISNUMBER(INDEX(Inputs!$K$5:$AJ$230,0,MATCH(AF$2,Inputs!$K$4:$AJ$4,0))))+SUMPRODUCT((Inputs!$E$5:$E$230=$B98)*ISNUMBER(INDEX(Inputs!$K$5:$AJ$230,0,MATCH(AF$2,Inputs!$K$4:$AJ$4,0))))=0,NA(),SUMPRODUCT((Inputs!$A$5:$A$230=$B98)*Inputs!$B$5:$B$230*(((Inputs!$G$5:$G$230="moeda")+(Inputs!$G$5:$G$230="acoes"))*Inputs!$B$1+((Inputs!$G$5:$G$230&lt;&gt;"moeda")*(Inputs!$G$5:$G$230&lt;&gt;"acoes")))*INDEX(Inputs!$K$5:$AJ$230,0,MATCH(AF$2,Inputs!$K$4:$AJ$4,0)))+SUMPRODUCT((Inputs!$C$5:$C$230=$B98)*Inputs!$D$5:$D$230*(((Inputs!$G$5:$G$230="moeda")+(Inputs!$G$5:$G$230="acoes"))*Inputs!$B$1+((Inputs!$G$5:$G$230&lt;&gt;"moeda")*(Inputs!$G$5:$G$230&lt;&gt;"acoes")))*INDEX(Inputs!$K$5:$AJ$230,0,MATCH(AF$2,Inputs!$K$4:$AJ$4,0)))+SUMPRODUCT((Inputs!$E$5:$E$230=$B98)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8" s="3" t="e">
        <f>SUM(AC98:AF98)</f>
        <v>#N/A</v>
      </c>
      <c r="AH98" s="6">
        <f>IF(ISNA(MATCH(AH$2,Inputs!$K$4:$AJ$4,0)),NA(),IF(SUMPRODUCT((Inputs!$A$5:$A$230=$B98)*ISNUMBER(INDEX(Inputs!$K$5:$AJ$230,0,MATCH(AH$2,Inputs!$K$4:$AJ$4,0))))+SUMPRODUCT((Inputs!$C$5:$C$230=$B98)*ISNUMBER(INDEX(Inputs!$K$5:$AJ$230,0,MATCH(AH$2,Inputs!$K$4:$AJ$4,0))))+SUMPRODUCT((Inputs!$E$5:$E$230=$B98)*ISNUMBER(INDEX(Inputs!$K$5:$AJ$230,0,MATCH(AH$2,Inputs!$K$4:$AJ$4,0))))=0,NA(),SUMPRODUCT((Inputs!$A$5:$A$230=$B98)*Inputs!$B$5:$B$230*(((Inputs!$G$5:$G$230="moeda")+(Inputs!$G$5:$G$230="acoes"))*Inputs!$B$1+((Inputs!$G$5:$G$230&lt;&gt;"moeda")*(Inputs!$G$5:$G$230&lt;&gt;"acoes")))*INDEX(Inputs!$K$5:$AJ$230,0,MATCH(AH$2,Inputs!$K$4:$AJ$4,0)))+SUMPRODUCT((Inputs!$C$5:$C$230=$B98)*Inputs!$D$5:$D$230*(((Inputs!$G$5:$G$230="moeda")+(Inputs!$G$5:$G$230="acoes"))*Inputs!$B$1+((Inputs!$G$5:$G$230&lt;&gt;"moeda")*(Inputs!$G$5:$G$230&lt;&gt;"acoes")))*INDEX(Inputs!$K$5:$AJ$230,0,MATCH(AH$2,Inputs!$K$4:$AJ$4,0)))+SUMPRODUCT((Inputs!$E$5:$E$230=$B98)*Inputs!$F$5:$F$230*(((Inputs!$G$5:$G$230="moeda")+(Inputs!$G$5:$G$230="acoes"))*Inputs!$B$1+((Inputs!$G$5:$G$230&lt;&gt;"moeda")*(Inputs!$G$5:$G$230&lt;&gt;"acoes")))*INDEX(Inputs!$K$5:$AJ$230,0,MATCH(AH$2,Inputs!$K$4:$AJ$4,0)))))</f>
        <v>16.28</v>
      </c>
      <c r="AI98" s="6">
        <f>IF(ISNA(MATCH(AI$2,Inputs!$K$4:$AJ$4,0)),NA(),IF(SUMPRODUCT((Inputs!$A$5:$A$230=$B98)*ISNUMBER(INDEX(Inputs!$K$5:$AJ$230,0,MATCH(AI$2,Inputs!$K$4:$AJ$4,0))))+SUMPRODUCT((Inputs!$C$5:$C$230=$B98)*ISNUMBER(INDEX(Inputs!$K$5:$AJ$230,0,MATCH(AI$2,Inputs!$K$4:$AJ$4,0))))+SUMPRODUCT((Inputs!$E$5:$E$230=$B98)*ISNUMBER(INDEX(Inputs!$K$5:$AJ$230,0,MATCH(AI$2,Inputs!$K$4:$AJ$4,0))))=0,NA(),SUMPRODUCT((Inputs!$A$5:$A$230=$B98)*Inputs!$B$5:$B$230*(((Inputs!$G$5:$G$230="moeda")+(Inputs!$G$5:$G$230="acoes"))*Inputs!$B$1+((Inputs!$G$5:$G$230&lt;&gt;"moeda")*(Inputs!$G$5:$G$230&lt;&gt;"acoes")))*INDEX(Inputs!$K$5:$AJ$230,0,MATCH(AI$2,Inputs!$K$4:$AJ$4,0)))+SUMPRODUCT((Inputs!$C$5:$C$230=$B98)*Inputs!$D$5:$D$230*(((Inputs!$G$5:$G$230="moeda")+(Inputs!$G$5:$G$230="acoes"))*Inputs!$B$1+((Inputs!$G$5:$G$230&lt;&gt;"moeda")*(Inputs!$G$5:$G$230&lt;&gt;"acoes")))*INDEX(Inputs!$K$5:$AJ$230,0,MATCH(AI$2,Inputs!$K$4:$AJ$4,0)))+SUMPRODUCT((Inputs!$E$5:$E$230=$B98)*Inputs!$F$5:$F$230*(((Inputs!$G$5:$G$230="moeda")+(Inputs!$G$5:$G$230="acoes"))*Inputs!$B$1+((Inputs!$G$5:$G$230&lt;&gt;"moeda")*(Inputs!$G$5:$G$230&lt;&gt;"acoes")))*INDEX(Inputs!$K$5:$AJ$230,0,MATCH(AI$2,Inputs!$K$4:$AJ$4,0)))))</f>
        <v>7.292</v>
      </c>
      <c r="AJ98" s="6">
        <f>IF(ISNA(MATCH(AJ$2,Inputs!$K$4:$AJ$4,0)),NA(),IF(SUMPRODUCT((Inputs!$A$5:$A$230=$B98)*ISNUMBER(INDEX(Inputs!$K$5:$AJ$230,0,MATCH(AJ$2,Inputs!$K$4:$AJ$4,0))))+SUMPRODUCT((Inputs!$C$5:$C$230=$B98)*ISNUMBER(INDEX(Inputs!$K$5:$AJ$230,0,MATCH(AJ$2,Inputs!$K$4:$AJ$4,0))))+SUMPRODUCT((Inputs!$E$5:$E$230=$B98)*ISNUMBER(INDEX(Inputs!$K$5:$AJ$230,0,MATCH(AJ$2,Inputs!$K$4:$AJ$4,0))))=0,NA(),SUMPRODUCT((Inputs!$A$5:$A$230=$B98)*Inputs!$B$5:$B$230*(((Inputs!$G$5:$G$230="moeda")+(Inputs!$G$5:$G$230="acoes"))*Inputs!$B$1+((Inputs!$G$5:$G$230&lt;&gt;"moeda")*(Inputs!$G$5:$G$230&lt;&gt;"acoes")))*INDEX(Inputs!$K$5:$AJ$230,0,MATCH(AJ$2,Inputs!$K$4:$AJ$4,0)))+SUMPRODUCT((Inputs!$C$5:$C$230=$B98)*Inputs!$D$5:$D$230*(((Inputs!$G$5:$G$230="moeda")+(Inputs!$G$5:$G$230="acoes"))*Inputs!$B$1+((Inputs!$G$5:$G$230&lt;&gt;"moeda")*(Inputs!$G$5:$G$230&lt;&gt;"acoes")))*INDEX(Inputs!$K$5:$AJ$230,0,MATCH(AJ$2,Inputs!$K$4:$AJ$4,0)))+SUMPRODUCT((Inputs!$E$5:$E$230=$B98)*Inputs!$F$5:$F$230*(((Inputs!$G$5:$G$230="moeda")+(Inputs!$G$5:$G$230="acoes"))*Inputs!$B$1+((Inputs!$G$5:$G$230&lt;&gt;"moeda")*(Inputs!$G$5:$G$230&lt;&gt;"acoes")))*INDEX(Inputs!$K$5:$AJ$230,0,MATCH(AJ$2,Inputs!$K$4:$AJ$4,0)))))</f>
        <v>11.255</v>
      </c>
      <c r="AK98" s="6">
        <f>IF(ISNA(MATCH(AK$2,Inputs!$K$4:$AJ$4,0)),NA(),IF(SUMPRODUCT((Inputs!$A$5:$A$230=$B98)*ISNUMBER(INDEX(Inputs!$K$5:$AJ$230,0,MATCH(AK$2,Inputs!$K$4:$AJ$4,0))))+SUMPRODUCT((Inputs!$C$5:$C$230=$B98)*ISNUMBER(INDEX(Inputs!$K$5:$AJ$230,0,MATCH(AK$2,Inputs!$K$4:$AJ$4,0))))+SUMPRODUCT((Inputs!$E$5:$E$230=$B98)*ISNUMBER(INDEX(Inputs!$K$5:$AJ$230,0,MATCH(AK$2,Inputs!$K$4:$AJ$4,0))))=0,NA(),SUMPRODUCT((Inputs!$A$5:$A$230=$B98)*Inputs!$B$5:$B$230*(((Inputs!$G$5:$G$230="moeda")+(Inputs!$G$5:$G$230="acoes"))*Inputs!$B$1+((Inputs!$G$5:$G$230&lt;&gt;"moeda")*(Inputs!$G$5:$G$230&lt;&gt;"acoes")))*INDEX(Inputs!$K$5:$AJ$230,0,MATCH(AK$2,Inputs!$K$4:$AJ$4,0)))+SUMPRODUCT((Inputs!$C$5:$C$230=$B98)*Inputs!$D$5:$D$230*(((Inputs!$G$5:$G$230="moeda")+(Inputs!$G$5:$G$230="acoes"))*Inputs!$B$1+((Inputs!$G$5:$G$230&lt;&gt;"moeda")*(Inputs!$G$5:$G$230&lt;&gt;"acoes")))*INDEX(Inputs!$K$5:$AJ$230,0,MATCH(AK$2,Inputs!$K$4:$AJ$4,0)))+SUMPRODUCT((Inputs!$E$5:$E$230=$B98)*Inputs!$F$5:$F$230*(((Inputs!$G$5:$G$230="moeda")+(Inputs!$G$5:$G$230="acoes"))*Inputs!$B$1+((Inputs!$G$5:$G$230&lt;&gt;"moeda")*(Inputs!$G$5:$G$230&lt;&gt;"acoes")))*INDEX(Inputs!$K$5:$AJ$230,0,MATCH(AK$2,Inputs!$K$4:$AJ$4,0)))))</f>
        <v>17.69</v>
      </c>
      <c r="AL98" s="3">
        <f>SUM(AH98:AK98)</f>
        <v>52.517</v>
      </c>
    </row>
    <row r="99">
      <c r="B99" s="46" t="n">
        <v>91</v>
      </c>
      <c r="C99" s="29" t="inlineStr">
        <is>
          <t>Geracao | Verde 08</t>
        </is>
      </c>
      <c r="D99" s="6">
        <f>IF(ISNA(MATCH(D$2,Inputs!$K$4:$AJ$4,0)),NA(),IF(SUMPRODUCT((Inputs!$A$5:$A$230=$B99)*ISNUMBER(INDEX(Inputs!$K$5:$AJ$230,0,MATCH(D$2,Inputs!$K$4:$AJ$4,0))))+SUMPRODUCT((Inputs!$C$5:$C$230=$B99)*ISNUMBER(INDEX(Inputs!$K$5:$AJ$230,0,MATCH(D$2,Inputs!$K$4:$AJ$4,0))))+SUMPRODUCT((Inputs!$E$5:$E$230=$B99)*ISNUMBER(INDEX(Inputs!$K$5:$AJ$230,0,MATCH(D$2,Inputs!$K$4:$AJ$4,0))))=0,NA(),SUMPRODUCT((Inputs!$A$5:$A$230=$B99)*Inputs!$B$5:$B$230*(((Inputs!$G$5:$G$230="moeda")+(Inputs!$G$5:$G$230="acoes"))*Inputs!$B$1+((Inputs!$G$5:$G$230&lt;&gt;"moeda")*(Inputs!$G$5:$G$230&lt;&gt;"acoes")))*INDEX(Inputs!$K$5:$AJ$230,0,MATCH(D$2,Inputs!$K$4:$AJ$4,0)))+SUMPRODUCT((Inputs!$C$5:$C$230=$B99)*Inputs!$D$5:$D$230*(((Inputs!$G$5:$G$230="moeda")+(Inputs!$G$5:$G$230="acoes"))*Inputs!$B$1+((Inputs!$G$5:$G$230&lt;&gt;"moeda")*(Inputs!$G$5:$G$230&lt;&gt;"acoes")))*INDEX(Inputs!$K$5:$AJ$230,0,MATCH(D$2,Inputs!$K$4:$AJ$4,0)))+SUMPRODUCT((Inputs!$E$5:$E$230=$B99)*Inputs!$F$5:$F$230*(((Inputs!$G$5:$G$230="moeda")+(Inputs!$G$5:$G$230="acoes"))*Inputs!$B$1+((Inputs!$G$5:$G$230&lt;&gt;"moeda")*(Inputs!$G$5:$G$230&lt;&gt;"acoes")))*INDEX(Inputs!$K$5:$AJ$230,0,MATCH(D$2,Inputs!$K$4:$AJ$4,0)))))</f>
        <v>22.614</v>
      </c>
      <c r="E99" s="6">
        <f>IF(ISNA(MATCH(E$2,Inputs!$K$4:$AJ$4,0)),NA(),IF(SUMPRODUCT((Inputs!$A$5:$A$230=$B99)*ISNUMBER(INDEX(Inputs!$K$5:$AJ$230,0,MATCH(E$2,Inputs!$K$4:$AJ$4,0))))+SUMPRODUCT((Inputs!$C$5:$C$230=$B99)*ISNUMBER(INDEX(Inputs!$K$5:$AJ$230,0,MATCH(E$2,Inputs!$K$4:$AJ$4,0))))+SUMPRODUCT((Inputs!$E$5:$E$230=$B99)*ISNUMBER(INDEX(Inputs!$K$5:$AJ$230,0,MATCH(E$2,Inputs!$K$4:$AJ$4,0))))=0,NA(),SUMPRODUCT((Inputs!$A$5:$A$230=$B99)*Inputs!$B$5:$B$230*(((Inputs!$G$5:$G$230="moeda")+(Inputs!$G$5:$G$230="acoes"))*Inputs!$B$1+((Inputs!$G$5:$G$230&lt;&gt;"moeda")*(Inputs!$G$5:$G$230&lt;&gt;"acoes")))*INDEX(Inputs!$K$5:$AJ$230,0,MATCH(E$2,Inputs!$K$4:$AJ$4,0)))+SUMPRODUCT((Inputs!$C$5:$C$230=$B99)*Inputs!$D$5:$D$230*(((Inputs!$G$5:$G$230="moeda")+(Inputs!$G$5:$G$230="acoes"))*Inputs!$B$1+((Inputs!$G$5:$G$230&lt;&gt;"moeda")*(Inputs!$G$5:$G$230&lt;&gt;"acoes")))*INDEX(Inputs!$K$5:$AJ$230,0,MATCH(E$2,Inputs!$K$4:$AJ$4,0)))+SUMPRODUCT((Inputs!$E$5:$E$230=$B99)*Inputs!$F$5:$F$230*(((Inputs!$G$5:$G$230="moeda")+(Inputs!$G$5:$G$230="acoes"))*Inputs!$B$1+((Inputs!$G$5:$G$230&lt;&gt;"moeda")*(Inputs!$G$5:$G$230&lt;&gt;"acoes")))*INDEX(Inputs!$K$5:$AJ$230,0,MATCH(E$2,Inputs!$K$4:$AJ$4,0)))))</f>
        <v>18.136</v>
      </c>
      <c r="F99" s="6">
        <f>IF(ISNA(MATCH(F$2,Inputs!$K$4:$AJ$4,0)),NA(),IF(SUMPRODUCT((Inputs!$A$5:$A$230=$B99)*ISNUMBER(INDEX(Inputs!$K$5:$AJ$230,0,MATCH(F$2,Inputs!$K$4:$AJ$4,0))))+SUMPRODUCT((Inputs!$C$5:$C$230=$B99)*ISNUMBER(INDEX(Inputs!$K$5:$AJ$230,0,MATCH(F$2,Inputs!$K$4:$AJ$4,0))))+SUMPRODUCT((Inputs!$E$5:$E$230=$B99)*ISNUMBER(INDEX(Inputs!$K$5:$AJ$230,0,MATCH(F$2,Inputs!$K$4:$AJ$4,0))))=0,NA(),SUMPRODUCT((Inputs!$A$5:$A$230=$B99)*Inputs!$B$5:$B$230*(((Inputs!$G$5:$G$230="moeda")+(Inputs!$G$5:$G$230="acoes"))*Inputs!$B$1+((Inputs!$G$5:$G$230&lt;&gt;"moeda")*(Inputs!$G$5:$G$230&lt;&gt;"acoes")))*INDEX(Inputs!$K$5:$AJ$230,0,MATCH(F$2,Inputs!$K$4:$AJ$4,0)))+SUMPRODUCT((Inputs!$C$5:$C$230=$B99)*Inputs!$D$5:$D$230*(((Inputs!$G$5:$G$230="moeda")+(Inputs!$G$5:$G$230="acoes"))*Inputs!$B$1+((Inputs!$G$5:$G$230&lt;&gt;"moeda")*(Inputs!$G$5:$G$230&lt;&gt;"acoes")))*INDEX(Inputs!$K$5:$AJ$230,0,MATCH(F$2,Inputs!$K$4:$AJ$4,0)))+SUMPRODUCT((Inputs!$E$5:$E$230=$B99)*Inputs!$F$5:$F$230*(((Inputs!$G$5:$G$230="moeda")+(Inputs!$G$5:$G$230="acoes"))*Inputs!$B$1+((Inputs!$G$5:$G$230&lt;&gt;"moeda")*(Inputs!$G$5:$G$230&lt;&gt;"acoes")))*INDEX(Inputs!$K$5:$AJ$230,0,MATCH(F$2,Inputs!$K$4:$AJ$4,0)))))</f>
        <v>16.571</v>
      </c>
      <c r="G99" s="6">
        <f>IF(ISNA(MATCH(G$2,Inputs!$K$4:$AJ$4,0)),NA(),IF(SUMPRODUCT((Inputs!$A$5:$A$230=$B99)*ISNUMBER(INDEX(Inputs!$K$5:$AJ$230,0,MATCH(G$2,Inputs!$K$4:$AJ$4,0))))+SUMPRODUCT((Inputs!$C$5:$C$230=$B99)*ISNUMBER(INDEX(Inputs!$K$5:$AJ$230,0,MATCH(G$2,Inputs!$K$4:$AJ$4,0))))+SUMPRODUCT((Inputs!$E$5:$E$230=$B99)*ISNUMBER(INDEX(Inputs!$K$5:$AJ$230,0,MATCH(G$2,Inputs!$K$4:$AJ$4,0))))=0,NA(),SUMPRODUCT((Inputs!$A$5:$A$230=$B99)*Inputs!$B$5:$B$230*(((Inputs!$G$5:$G$230="moeda")+(Inputs!$G$5:$G$230="acoes"))*Inputs!$B$1+((Inputs!$G$5:$G$230&lt;&gt;"moeda")*(Inputs!$G$5:$G$230&lt;&gt;"acoes")))*INDEX(Inputs!$K$5:$AJ$230,0,MATCH(G$2,Inputs!$K$4:$AJ$4,0)))+SUMPRODUCT((Inputs!$C$5:$C$230=$B99)*Inputs!$D$5:$D$230*(((Inputs!$G$5:$G$230="moeda")+(Inputs!$G$5:$G$230="acoes"))*Inputs!$B$1+((Inputs!$G$5:$G$230&lt;&gt;"moeda")*(Inputs!$G$5:$G$230&lt;&gt;"acoes")))*INDEX(Inputs!$K$5:$AJ$230,0,MATCH(G$2,Inputs!$K$4:$AJ$4,0)))+SUMPRODUCT((Inputs!$E$5:$E$230=$B99)*Inputs!$F$5:$F$230*(((Inputs!$G$5:$G$230="moeda")+(Inputs!$G$5:$G$230="acoes"))*Inputs!$B$1+((Inputs!$G$5:$G$230&lt;&gt;"moeda")*(Inputs!$G$5:$G$230&lt;&gt;"acoes")))*INDEX(Inputs!$K$5:$AJ$230,0,MATCH(G$2,Inputs!$K$4:$AJ$4,0)))))</f>
        <v>14.689</v>
      </c>
      <c r="H99" s="3">
        <f>SUM(D99:G99)</f>
        <v>72.01</v>
      </c>
      <c r="I99" s="6">
        <f>IF(ISNA(MATCH(I$2,Inputs!$K$4:$AJ$4,0)),NA(),IF(SUMPRODUCT((Inputs!$A$5:$A$230=$B99)*ISNUMBER(INDEX(Inputs!$K$5:$AJ$230,0,MATCH(I$2,Inputs!$K$4:$AJ$4,0))))+SUMPRODUCT((Inputs!$C$5:$C$230=$B99)*ISNUMBER(INDEX(Inputs!$K$5:$AJ$230,0,MATCH(I$2,Inputs!$K$4:$AJ$4,0))))+SUMPRODUCT((Inputs!$E$5:$E$230=$B99)*ISNUMBER(INDEX(Inputs!$K$5:$AJ$230,0,MATCH(I$2,Inputs!$K$4:$AJ$4,0))))=0,NA(),SUMPRODUCT((Inputs!$A$5:$A$230=$B99)*Inputs!$B$5:$B$230*(((Inputs!$G$5:$G$230="moeda")+(Inputs!$G$5:$G$230="acoes"))*Inputs!$B$1+((Inputs!$G$5:$G$230&lt;&gt;"moeda")*(Inputs!$G$5:$G$230&lt;&gt;"acoes")))*INDEX(Inputs!$K$5:$AJ$230,0,MATCH(I$2,Inputs!$K$4:$AJ$4,0)))+SUMPRODUCT((Inputs!$C$5:$C$230=$B99)*Inputs!$D$5:$D$230*(((Inputs!$G$5:$G$230="moeda")+(Inputs!$G$5:$G$230="acoes"))*Inputs!$B$1+((Inputs!$G$5:$G$230&lt;&gt;"moeda")*(Inputs!$G$5:$G$230&lt;&gt;"acoes")))*INDEX(Inputs!$K$5:$AJ$230,0,MATCH(I$2,Inputs!$K$4:$AJ$4,0)))+SUMPRODUCT((Inputs!$E$5:$E$230=$B99)*Inputs!$F$5:$F$230*(((Inputs!$G$5:$G$230="moeda")+(Inputs!$G$5:$G$230="acoes"))*Inputs!$B$1+((Inputs!$G$5:$G$230&lt;&gt;"moeda")*(Inputs!$G$5:$G$230&lt;&gt;"acoes")))*INDEX(Inputs!$K$5:$AJ$230,0,MATCH(I$2,Inputs!$K$4:$AJ$4,0)))))</f>
        <v>8.603</v>
      </c>
      <c r="J99" s="6">
        <f>IF(ISNA(MATCH(J$2,Inputs!$K$4:$AJ$4,0)),NA(),IF(SUMPRODUCT((Inputs!$A$5:$A$230=$B99)*ISNUMBER(INDEX(Inputs!$K$5:$AJ$230,0,MATCH(J$2,Inputs!$K$4:$AJ$4,0))))+SUMPRODUCT((Inputs!$C$5:$C$230=$B99)*ISNUMBER(INDEX(Inputs!$K$5:$AJ$230,0,MATCH(J$2,Inputs!$K$4:$AJ$4,0))))+SUMPRODUCT((Inputs!$E$5:$E$230=$B99)*ISNUMBER(INDEX(Inputs!$K$5:$AJ$230,0,MATCH(J$2,Inputs!$K$4:$AJ$4,0))))=0,NA(),SUMPRODUCT((Inputs!$A$5:$A$230=$B99)*Inputs!$B$5:$B$230*(((Inputs!$G$5:$G$230="moeda")+(Inputs!$G$5:$G$230="acoes"))*Inputs!$B$1+((Inputs!$G$5:$G$230&lt;&gt;"moeda")*(Inputs!$G$5:$G$230&lt;&gt;"acoes")))*INDEX(Inputs!$K$5:$AJ$230,0,MATCH(J$2,Inputs!$K$4:$AJ$4,0)))+SUMPRODUCT((Inputs!$C$5:$C$230=$B99)*Inputs!$D$5:$D$230*(((Inputs!$G$5:$G$230="moeda")+(Inputs!$G$5:$G$230="acoes"))*Inputs!$B$1+((Inputs!$G$5:$G$230&lt;&gt;"moeda")*(Inputs!$G$5:$G$230&lt;&gt;"acoes")))*INDEX(Inputs!$K$5:$AJ$230,0,MATCH(J$2,Inputs!$K$4:$AJ$4,0)))+SUMPRODUCT((Inputs!$E$5:$E$230=$B99)*Inputs!$F$5:$F$230*(((Inputs!$G$5:$G$230="moeda")+(Inputs!$G$5:$G$230="acoes"))*Inputs!$B$1+((Inputs!$G$5:$G$230&lt;&gt;"moeda")*(Inputs!$G$5:$G$230&lt;&gt;"acoes")))*INDEX(Inputs!$K$5:$AJ$230,0,MATCH(J$2,Inputs!$K$4:$AJ$4,0)))))</f>
        <v>4.374</v>
      </c>
      <c r="K99" s="6">
        <f>IF(ISNA(MATCH(K$2,Inputs!$K$4:$AJ$4,0)),NA(),IF(SUMPRODUCT((Inputs!$A$5:$A$230=$B99)*ISNUMBER(INDEX(Inputs!$K$5:$AJ$230,0,MATCH(K$2,Inputs!$K$4:$AJ$4,0))))+SUMPRODUCT((Inputs!$C$5:$C$230=$B99)*ISNUMBER(INDEX(Inputs!$K$5:$AJ$230,0,MATCH(K$2,Inputs!$K$4:$AJ$4,0))))+SUMPRODUCT((Inputs!$E$5:$E$230=$B99)*ISNUMBER(INDEX(Inputs!$K$5:$AJ$230,0,MATCH(K$2,Inputs!$K$4:$AJ$4,0))))=0,NA(),SUMPRODUCT((Inputs!$A$5:$A$230=$B99)*Inputs!$B$5:$B$230*(((Inputs!$G$5:$G$230="moeda")+(Inputs!$G$5:$G$230="acoes"))*Inputs!$B$1+((Inputs!$G$5:$G$230&lt;&gt;"moeda")*(Inputs!$G$5:$G$230&lt;&gt;"acoes")))*INDEX(Inputs!$K$5:$AJ$230,0,MATCH(K$2,Inputs!$K$4:$AJ$4,0)))+SUMPRODUCT((Inputs!$C$5:$C$230=$B99)*Inputs!$D$5:$D$230*(((Inputs!$G$5:$G$230="moeda")+(Inputs!$G$5:$G$230="acoes"))*Inputs!$B$1+((Inputs!$G$5:$G$230&lt;&gt;"moeda")*(Inputs!$G$5:$G$230&lt;&gt;"acoes")))*INDEX(Inputs!$K$5:$AJ$230,0,MATCH(K$2,Inputs!$K$4:$AJ$4,0)))+SUMPRODUCT((Inputs!$E$5:$E$230=$B99)*Inputs!$F$5:$F$230*(((Inputs!$G$5:$G$230="moeda")+(Inputs!$G$5:$G$230="acoes"))*Inputs!$B$1+((Inputs!$G$5:$G$230&lt;&gt;"moeda")*(Inputs!$G$5:$G$230&lt;&gt;"acoes")))*INDEX(Inputs!$K$5:$AJ$230,0,MATCH(K$2,Inputs!$K$4:$AJ$4,0)))))</f>
        <v>6.817</v>
      </c>
      <c r="L99" s="6">
        <f>IF(ISNA(MATCH(L$2,Inputs!$K$4:$AJ$4,0)),NA(),IF(SUMPRODUCT((Inputs!$A$5:$A$230=$B99)*ISNUMBER(INDEX(Inputs!$K$5:$AJ$230,0,MATCH(L$2,Inputs!$K$4:$AJ$4,0))))+SUMPRODUCT((Inputs!$C$5:$C$230=$B99)*ISNUMBER(INDEX(Inputs!$K$5:$AJ$230,0,MATCH(L$2,Inputs!$K$4:$AJ$4,0))))+SUMPRODUCT((Inputs!$E$5:$E$230=$B99)*ISNUMBER(INDEX(Inputs!$K$5:$AJ$230,0,MATCH(L$2,Inputs!$K$4:$AJ$4,0))))=0,NA(),SUMPRODUCT((Inputs!$A$5:$A$230=$B99)*Inputs!$B$5:$B$230*(((Inputs!$G$5:$G$230="moeda")+(Inputs!$G$5:$G$230="acoes"))*Inputs!$B$1+((Inputs!$G$5:$G$230&lt;&gt;"moeda")*(Inputs!$G$5:$G$230&lt;&gt;"acoes")))*INDEX(Inputs!$K$5:$AJ$230,0,MATCH(L$2,Inputs!$K$4:$AJ$4,0)))+SUMPRODUCT((Inputs!$C$5:$C$230=$B99)*Inputs!$D$5:$D$230*(((Inputs!$G$5:$G$230="moeda")+(Inputs!$G$5:$G$230="acoes"))*Inputs!$B$1+((Inputs!$G$5:$G$230&lt;&gt;"moeda")*(Inputs!$G$5:$G$230&lt;&gt;"acoes")))*INDEX(Inputs!$K$5:$AJ$230,0,MATCH(L$2,Inputs!$K$4:$AJ$4,0)))+SUMPRODUCT((Inputs!$E$5:$E$230=$B99)*Inputs!$F$5:$F$230*(((Inputs!$G$5:$G$230="moeda")+(Inputs!$G$5:$G$230="acoes"))*Inputs!$B$1+((Inputs!$G$5:$G$230&lt;&gt;"moeda")*(Inputs!$G$5:$G$230&lt;&gt;"acoes")))*INDEX(Inputs!$K$5:$AJ$230,0,MATCH(L$2,Inputs!$K$4:$AJ$4,0)))))</f>
        <v>8.063</v>
      </c>
      <c r="M99" s="3">
        <f>SUM(I99:L99)</f>
        <v>27.857</v>
      </c>
      <c r="N99" s="6">
        <f>IF(ISNA(MATCH(N$2,Inputs!$K$4:$AJ$4,0)),NA(),IF(SUMPRODUCT((Inputs!$A$5:$A$230=$B99)*ISNUMBER(INDEX(Inputs!$K$5:$AJ$230,0,MATCH(N$2,Inputs!$K$4:$AJ$4,0))))+SUMPRODUCT((Inputs!$C$5:$C$230=$B99)*ISNUMBER(INDEX(Inputs!$K$5:$AJ$230,0,MATCH(N$2,Inputs!$K$4:$AJ$4,0))))+SUMPRODUCT((Inputs!$E$5:$E$230=$B99)*ISNUMBER(INDEX(Inputs!$K$5:$AJ$230,0,MATCH(N$2,Inputs!$K$4:$AJ$4,0))))=0,NA(),SUMPRODUCT((Inputs!$A$5:$A$230=$B99)*Inputs!$B$5:$B$230*(((Inputs!$G$5:$G$230="moeda")+(Inputs!$G$5:$G$230="acoes"))*Inputs!$B$1+((Inputs!$G$5:$G$230&lt;&gt;"moeda")*(Inputs!$G$5:$G$230&lt;&gt;"acoes")))*INDEX(Inputs!$K$5:$AJ$230,0,MATCH(N$2,Inputs!$K$4:$AJ$4,0)))+SUMPRODUCT((Inputs!$C$5:$C$230=$B99)*Inputs!$D$5:$D$230*(((Inputs!$G$5:$G$230="moeda")+(Inputs!$G$5:$G$230="acoes"))*Inputs!$B$1+((Inputs!$G$5:$G$230&lt;&gt;"moeda")*(Inputs!$G$5:$G$230&lt;&gt;"acoes")))*INDEX(Inputs!$K$5:$AJ$230,0,MATCH(N$2,Inputs!$K$4:$AJ$4,0)))+SUMPRODUCT((Inputs!$E$5:$E$230=$B99)*Inputs!$F$5:$F$230*(((Inputs!$G$5:$G$230="moeda")+(Inputs!$G$5:$G$230="acoes"))*Inputs!$B$1+((Inputs!$G$5:$G$230&lt;&gt;"moeda")*(Inputs!$G$5:$G$230&lt;&gt;"acoes")))*INDEX(Inputs!$K$5:$AJ$230,0,MATCH(N$2,Inputs!$K$4:$AJ$4,0)))))</f>
        <v>11.516</v>
      </c>
      <c r="O99" s="6">
        <f>IF(ISNA(MATCH(O$2,Inputs!$K$4:$AJ$4,0)),NA(),IF(SUMPRODUCT((Inputs!$A$5:$A$230=$B99)*ISNUMBER(INDEX(Inputs!$K$5:$AJ$230,0,MATCH(O$2,Inputs!$K$4:$AJ$4,0))))+SUMPRODUCT((Inputs!$C$5:$C$230=$B99)*ISNUMBER(INDEX(Inputs!$K$5:$AJ$230,0,MATCH(O$2,Inputs!$K$4:$AJ$4,0))))+SUMPRODUCT((Inputs!$E$5:$E$230=$B99)*ISNUMBER(INDEX(Inputs!$K$5:$AJ$230,0,MATCH(O$2,Inputs!$K$4:$AJ$4,0))))=0,NA(),SUMPRODUCT((Inputs!$A$5:$A$230=$B99)*Inputs!$B$5:$B$230*(((Inputs!$G$5:$G$230="moeda")+(Inputs!$G$5:$G$230="acoes"))*Inputs!$B$1+((Inputs!$G$5:$G$230&lt;&gt;"moeda")*(Inputs!$G$5:$G$230&lt;&gt;"acoes")))*INDEX(Inputs!$K$5:$AJ$230,0,MATCH(O$2,Inputs!$K$4:$AJ$4,0)))+SUMPRODUCT((Inputs!$C$5:$C$230=$B99)*Inputs!$D$5:$D$230*(((Inputs!$G$5:$G$230="moeda")+(Inputs!$G$5:$G$230="acoes"))*Inputs!$B$1+((Inputs!$G$5:$G$230&lt;&gt;"moeda")*(Inputs!$G$5:$G$230&lt;&gt;"acoes")))*INDEX(Inputs!$K$5:$AJ$230,0,MATCH(O$2,Inputs!$K$4:$AJ$4,0)))+SUMPRODUCT((Inputs!$E$5:$E$230=$B99)*Inputs!$F$5:$F$230*(((Inputs!$G$5:$G$230="moeda")+(Inputs!$G$5:$G$230="acoes"))*Inputs!$B$1+((Inputs!$G$5:$G$230&lt;&gt;"moeda")*(Inputs!$G$5:$G$230&lt;&gt;"acoes")))*INDEX(Inputs!$K$5:$AJ$230,0,MATCH(O$2,Inputs!$K$4:$AJ$4,0)))))</f>
        <v>10.734</v>
      </c>
      <c r="P99" s="6">
        <f>IF(ISNA(MATCH(P$2,Inputs!$K$4:$AJ$4,0)),NA(),IF(SUMPRODUCT((Inputs!$A$5:$A$230=$B99)*ISNUMBER(INDEX(Inputs!$K$5:$AJ$230,0,MATCH(P$2,Inputs!$K$4:$AJ$4,0))))+SUMPRODUCT((Inputs!$C$5:$C$230=$B99)*ISNUMBER(INDEX(Inputs!$K$5:$AJ$230,0,MATCH(P$2,Inputs!$K$4:$AJ$4,0))))+SUMPRODUCT((Inputs!$E$5:$E$230=$B99)*ISNUMBER(INDEX(Inputs!$K$5:$AJ$230,0,MATCH(P$2,Inputs!$K$4:$AJ$4,0))))=0,NA(),SUMPRODUCT((Inputs!$A$5:$A$230=$B99)*Inputs!$B$5:$B$230*(((Inputs!$G$5:$G$230="moeda")+(Inputs!$G$5:$G$230="acoes"))*Inputs!$B$1+((Inputs!$G$5:$G$230&lt;&gt;"moeda")*(Inputs!$G$5:$G$230&lt;&gt;"acoes")))*INDEX(Inputs!$K$5:$AJ$230,0,MATCH(P$2,Inputs!$K$4:$AJ$4,0)))+SUMPRODUCT((Inputs!$C$5:$C$230=$B99)*Inputs!$D$5:$D$230*(((Inputs!$G$5:$G$230="moeda")+(Inputs!$G$5:$G$230="acoes"))*Inputs!$B$1+((Inputs!$G$5:$G$230&lt;&gt;"moeda")*(Inputs!$G$5:$G$230&lt;&gt;"acoes")))*INDEX(Inputs!$K$5:$AJ$230,0,MATCH(P$2,Inputs!$K$4:$AJ$4,0)))+SUMPRODUCT((Inputs!$E$5:$E$230=$B99)*Inputs!$F$5:$F$230*(((Inputs!$G$5:$G$230="moeda")+(Inputs!$G$5:$G$230="acoes"))*Inputs!$B$1+((Inputs!$G$5:$G$230&lt;&gt;"moeda")*(Inputs!$G$5:$G$230&lt;&gt;"acoes")))*INDEX(Inputs!$K$5:$AJ$230,0,MATCH(P$2,Inputs!$K$4:$AJ$4,0)))))</f>
        <v>10.983</v>
      </c>
      <c r="Q99" s="6">
        <f>IF(ISNA(MATCH(Q$2,Inputs!$K$4:$AJ$4,0)),NA(),IF(SUMPRODUCT((Inputs!$A$5:$A$230=$B99)*ISNUMBER(INDEX(Inputs!$K$5:$AJ$230,0,MATCH(Q$2,Inputs!$K$4:$AJ$4,0))))+SUMPRODUCT((Inputs!$C$5:$C$230=$B99)*ISNUMBER(INDEX(Inputs!$K$5:$AJ$230,0,MATCH(Q$2,Inputs!$K$4:$AJ$4,0))))+SUMPRODUCT((Inputs!$E$5:$E$230=$B99)*ISNUMBER(INDEX(Inputs!$K$5:$AJ$230,0,MATCH(Q$2,Inputs!$K$4:$AJ$4,0))))=0,NA(),SUMPRODUCT((Inputs!$A$5:$A$230=$B99)*Inputs!$B$5:$B$230*(((Inputs!$G$5:$G$230="moeda")+(Inputs!$G$5:$G$230="acoes"))*Inputs!$B$1+((Inputs!$G$5:$G$230&lt;&gt;"moeda")*(Inputs!$G$5:$G$230&lt;&gt;"acoes")))*INDEX(Inputs!$K$5:$AJ$230,0,MATCH(Q$2,Inputs!$K$4:$AJ$4,0)))+SUMPRODUCT((Inputs!$C$5:$C$230=$B99)*Inputs!$D$5:$D$230*(((Inputs!$G$5:$G$230="moeda")+(Inputs!$G$5:$G$230="acoes"))*Inputs!$B$1+((Inputs!$G$5:$G$230&lt;&gt;"moeda")*(Inputs!$G$5:$G$230&lt;&gt;"acoes")))*INDEX(Inputs!$K$5:$AJ$230,0,MATCH(Q$2,Inputs!$K$4:$AJ$4,0)))+SUMPRODUCT((Inputs!$E$5:$E$230=$B99)*Inputs!$F$5:$F$230*(((Inputs!$G$5:$G$230="moeda")+(Inputs!$G$5:$G$230="acoes"))*Inputs!$B$1+((Inputs!$G$5:$G$230&lt;&gt;"moeda")*(Inputs!$G$5:$G$230&lt;&gt;"acoes")))*INDEX(Inputs!$K$5:$AJ$230,0,MATCH(Q$2,Inputs!$K$4:$AJ$4,0)))))</f>
        <v>11.809</v>
      </c>
      <c r="R99" s="3">
        <f>SUM(N99:Q99)</f>
        <v>45.042</v>
      </c>
      <c r="S99" s="6">
        <f>IF(ISNA(MATCH(S$2,Inputs!$K$4:$AJ$4,0)),NA(),IF(SUMPRODUCT((Inputs!$A$5:$A$230=$B99)*ISNUMBER(INDEX(Inputs!$K$5:$AJ$230,0,MATCH(S$2,Inputs!$K$4:$AJ$4,0))))+SUMPRODUCT((Inputs!$C$5:$C$230=$B99)*ISNUMBER(INDEX(Inputs!$K$5:$AJ$230,0,MATCH(S$2,Inputs!$K$4:$AJ$4,0))))+SUMPRODUCT((Inputs!$E$5:$E$230=$B99)*ISNUMBER(INDEX(Inputs!$K$5:$AJ$230,0,MATCH(S$2,Inputs!$K$4:$AJ$4,0))))=0,NA(),SUMPRODUCT((Inputs!$A$5:$A$230=$B99)*Inputs!$B$5:$B$230*(((Inputs!$G$5:$G$230="moeda")+(Inputs!$G$5:$G$230="acoes"))*Inputs!$B$1+((Inputs!$G$5:$G$230&lt;&gt;"moeda")*(Inputs!$G$5:$G$230&lt;&gt;"acoes")))*INDEX(Inputs!$K$5:$AJ$230,0,MATCH(S$2,Inputs!$K$4:$AJ$4,0)))+SUMPRODUCT((Inputs!$C$5:$C$230=$B99)*Inputs!$D$5:$D$230*(((Inputs!$G$5:$G$230="moeda")+(Inputs!$G$5:$G$230="acoes"))*Inputs!$B$1+((Inputs!$G$5:$G$230&lt;&gt;"moeda")*(Inputs!$G$5:$G$230&lt;&gt;"acoes")))*INDEX(Inputs!$K$5:$AJ$230,0,MATCH(S$2,Inputs!$K$4:$AJ$4,0)))+SUMPRODUCT((Inputs!$E$5:$E$230=$B99)*Inputs!$F$5:$F$230*(((Inputs!$G$5:$G$230="moeda")+(Inputs!$G$5:$G$230="acoes"))*Inputs!$B$1+((Inputs!$G$5:$G$230&lt;&gt;"moeda")*(Inputs!$G$5:$G$230&lt;&gt;"acoes")))*INDEX(Inputs!$K$5:$AJ$230,0,MATCH(S$2,Inputs!$K$4:$AJ$4,0)))))</f>
        <v>12.324</v>
      </c>
      <c r="T99" s="6">
        <f>IF(ISNA(MATCH(T$2,Inputs!$K$4:$AJ$4,0)),NA(),IF(SUMPRODUCT((Inputs!$A$5:$A$230=$B99)*ISNUMBER(INDEX(Inputs!$K$5:$AJ$230,0,MATCH(T$2,Inputs!$K$4:$AJ$4,0))))+SUMPRODUCT((Inputs!$C$5:$C$230=$B99)*ISNUMBER(INDEX(Inputs!$K$5:$AJ$230,0,MATCH(T$2,Inputs!$K$4:$AJ$4,0))))+SUMPRODUCT((Inputs!$E$5:$E$230=$B99)*ISNUMBER(INDEX(Inputs!$K$5:$AJ$230,0,MATCH(T$2,Inputs!$K$4:$AJ$4,0))))=0,NA(),SUMPRODUCT((Inputs!$A$5:$A$230=$B99)*Inputs!$B$5:$B$230*(((Inputs!$G$5:$G$230="moeda")+(Inputs!$G$5:$G$230="acoes"))*Inputs!$B$1+((Inputs!$G$5:$G$230&lt;&gt;"moeda")*(Inputs!$G$5:$G$230&lt;&gt;"acoes")))*INDEX(Inputs!$K$5:$AJ$230,0,MATCH(T$2,Inputs!$K$4:$AJ$4,0)))+SUMPRODUCT((Inputs!$C$5:$C$230=$B99)*Inputs!$D$5:$D$230*(((Inputs!$G$5:$G$230="moeda")+(Inputs!$G$5:$G$230="acoes"))*Inputs!$B$1+((Inputs!$G$5:$G$230&lt;&gt;"moeda")*(Inputs!$G$5:$G$230&lt;&gt;"acoes")))*INDEX(Inputs!$K$5:$AJ$230,0,MATCH(T$2,Inputs!$K$4:$AJ$4,0)))+SUMPRODUCT((Inputs!$E$5:$E$230=$B99)*Inputs!$F$5:$F$230*(((Inputs!$G$5:$G$230="moeda")+(Inputs!$G$5:$G$230="acoes"))*Inputs!$B$1+((Inputs!$G$5:$G$230&lt;&gt;"moeda")*(Inputs!$G$5:$G$230&lt;&gt;"acoes")))*INDEX(Inputs!$K$5:$AJ$230,0,MATCH(T$2,Inputs!$K$4:$AJ$4,0)))))</f>
        <v>11.292</v>
      </c>
      <c r="U99" s="6">
        <f>IF(ISNA(MATCH(U$2,Inputs!$K$4:$AJ$4,0)),NA(),IF(SUMPRODUCT((Inputs!$A$5:$A$230=$B99)*ISNUMBER(INDEX(Inputs!$K$5:$AJ$230,0,MATCH(U$2,Inputs!$K$4:$AJ$4,0))))+SUMPRODUCT((Inputs!$C$5:$C$230=$B99)*ISNUMBER(INDEX(Inputs!$K$5:$AJ$230,0,MATCH(U$2,Inputs!$K$4:$AJ$4,0))))+SUMPRODUCT((Inputs!$E$5:$E$230=$B99)*ISNUMBER(INDEX(Inputs!$K$5:$AJ$230,0,MATCH(U$2,Inputs!$K$4:$AJ$4,0))))=0,NA(),SUMPRODUCT((Inputs!$A$5:$A$230=$B99)*Inputs!$B$5:$B$230*(((Inputs!$G$5:$G$230="moeda")+(Inputs!$G$5:$G$230="acoes"))*Inputs!$B$1+((Inputs!$G$5:$G$230&lt;&gt;"moeda")*(Inputs!$G$5:$G$230&lt;&gt;"acoes")))*INDEX(Inputs!$K$5:$AJ$230,0,MATCH(U$2,Inputs!$K$4:$AJ$4,0)))+SUMPRODUCT((Inputs!$C$5:$C$230=$B99)*Inputs!$D$5:$D$230*(((Inputs!$G$5:$G$230="moeda")+(Inputs!$G$5:$G$230="acoes"))*Inputs!$B$1+((Inputs!$G$5:$G$230&lt;&gt;"moeda")*(Inputs!$G$5:$G$230&lt;&gt;"acoes")))*INDEX(Inputs!$K$5:$AJ$230,0,MATCH(U$2,Inputs!$K$4:$AJ$4,0)))+SUMPRODUCT((Inputs!$E$5:$E$230=$B99)*Inputs!$F$5:$F$230*(((Inputs!$G$5:$G$230="moeda")+(Inputs!$G$5:$G$230="acoes"))*Inputs!$B$1+((Inputs!$G$5:$G$230&lt;&gt;"moeda")*(Inputs!$G$5:$G$230&lt;&gt;"acoes")))*INDEX(Inputs!$K$5:$AJ$230,0,MATCH(U$2,Inputs!$K$4:$AJ$4,0)))))</f>
        <v>11.624</v>
      </c>
      <c r="V99" s="6">
        <f>IF(ISNA(MATCH(V$2,Inputs!$K$4:$AJ$4,0)),NA(),IF(SUMPRODUCT((Inputs!$A$5:$A$230=$B99)*ISNUMBER(INDEX(Inputs!$K$5:$AJ$230,0,MATCH(V$2,Inputs!$K$4:$AJ$4,0))))+SUMPRODUCT((Inputs!$C$5:$C$230=$B99)*ISNUMBER(INDEX(Inputs!$K$5:$AJ$230,0,MATCH(V$2,Inputs!$K$4:$AJ$4,0))))+SUMPRODUCT((Inputs!$E$5:$E$230=$B99)*ISNUMBER(INDEX(Inputs!$K$5:$AJ$230,0,MATCH(V$2,Inputs!$K$4:$AJ$4,0))))=0,NA(),SUMPRODUCT((Inputs!$A$5:$A$230=$B99)*Inputs!$B$5:$B$230*(((Inputs!$G$5:$G$230="moeda")+(Inputs!$G$5:$G$230="acoes"))*Inputs!$B$1+((Inputs!$G$5:$G$230&lt;&gt;"moeda")*(Inputs!$G$5:$G$230&lt;&gt;"acoes")))*INDEX(Inputs!$K$5:$AJ$230,0,MATCH(V$2,Inputs!$K$4:$AJ$4,0)))+SUMPRODUCT((Inputs!$C$5:$C$230=$B99)*Inputs!$D$5:$D$230*(((Inputs!$G$5:$G$230="moeda")+(Inputs!$G$5:$G$230="acoes"))*Inputs!$B$1+((Inputs!$G$5:$G$230&lt;&gt;"moeda")*(Inputs!$G$5:$G$230&lt;&gt;"acoes")))*INDEX(Inputs!$K$5:$AJ$230,0,MATCH(V$2,Inputs!$K$4:$AJ$4,0)))+SUMPRODUCT((Inputs!$E$5:$E$230=$B99)*Inputs!$F$5:$F$230*(((Inputs!$G$5:$G$230="moeda")+(Inputs!$G$5:$G$230="acoes"))*Inputs!$B$1+((Inputs!$G$5:$G$230&lt;&gt;"moeda")*(Inputs!$G$5:$G$230&lt;&gt;"acoes")))*INDEX(Inputs!$K$5:$AJ$230,0,MATCH(V$2,Inputs!$K$4:$AJ$4,0)))))</f>
        <v>12.227</v>
      </c>
      <c r="W99" s="3">
        <f>SUM(S99:V99)</f>
        <v>47.467</v>
      </c>
      <c r="X99" s="6">
        <f>IF(ISNA(MATCH(X$2,Inputs!$K$4:$AJ$4,0)),NA(),IF(SUMPRODUCT((Inputs!$A$5:$A$230=$B99)*ISNUMBER(INDEX(Inputs!$K$5:$AJ$230,0,MATCH(X$2,Inputs!$K$4:$AJ$4,0))))+SUMPRODUCT((Inputs!$C$5:$C$230=$B99)*ISNUMBER(INDEX(Inputs!$K$5:$AJ$230,0,MATCH(X$2,Inputs!$K$4:$AJ$4,0))))+SUMPRODUCT((Inputs!$E$5:$E$230=$B99)*ISNUMBER(INDEX(Inputs!$K$5:$AJ$230,0,MATCH(X$2,Inputs!$K$4:$AJ$4,0))))=0,NA(),SUMPRODUCT((Inputs!$A$5:$A$230=$B99)*Inputs!$B$5:$B$230*(((Inputs!$G$5:$G$230="moeda")+(Inputs!$G$5:$G$230="acoes"))*Inputs!$B$1+((Inputs!$G$5:$G$230&lt;&gt;"moeda")*(Inputs!$G$5:$G$230&lt;&gt;"acoes")))*INDEX(Inputs!$K$5:$AJ$230,0,MATCH(X$2,Inputs!$K$4:$AJ$4,0)))+SUMPRODUCT((Inputs!$C$5:$C$230=$B99)*Inputs!$D$5:$D$230*(((Inputs!$G$5:$G$230="moeda")+(Inputs!$G$5:$G$230="acoes"))*Inputs!$B$1+((Inputs!$G$5:$G$230&lt;&gt;"moeda")*(Inputs!$G$5:$G$230&lt;&gt;"acoes")))*INDEX(Inputs!$K$5:$AJ$230,0,MATCH(X$2,Inputs!$K$4:$AJ$4,0)))+SUMPRODUCT((Inputs!$E$5:$E$230=$B99)*Inputs!$F$5:$F$230*(((Inputs!$G$5:$G$230="moeda")+(Inputs!$G$5:$G$230="acoes"))*Inputs!$B$1+((Inputs!$G$5:$G$230&lt;&gt;"moeda")*(Inputs!$G$5:$G$230&lt;&gt;"acoes")))*INDEX(Inputs!$K$5:$AJ$230,0,MATCH(X$2,Inputs!$K$4:$AJ$4,0)))))</f>
        <v>13.293</v>
      </c>
      <c r="Y99" s="6">
        <f>IF(ISNA(MATCH(Y$2,Inputs!$K$4:$AJ$4,0)),NA(),IF(SUMPRODUCT((Inputs!$A$5:$A$230=$B99)*ISNUMBER(INDEX(Inputs!$K$5:$AJ$230,0,MATCH(Y$2,Inputs!$K$4:$AJ$4,0))))+SUMPRODUCT((Inputs!$C$5:$C$230=$B99)*ISNUMBER(INDEX(Inputs!$K$5:$AJ$230,0,MATCH(Y$2,Inputs!$K$4:$AJ$4,0))))+SUMPRODUCT((Inputs!$E$5:$E$230=$B99)*ISNUMBER(INDEX(Inputs!$K$5:$AJ$230,0,MATCH(Y$2,Inputs!$K$4:$AJ$4,0))))=0,NA(),SUMPRODUCT((Inputs!$A$5:$A$230=$B99)*Inputs!$B$5:$B$230*(((Inputs!$G$5:$G$230="moeda")+(Inputs!$G$5:$G$230="acoes"))*Inputs!$B$1+((Inputs!$G$5:$G$230&lt;&gt;"moeda")*(Inputs!$G$5:$G$230&lt;&gt;"acoes")))*INDEX(Inputs!$K$5:$AJ$230,0,MATCH(Y$2,Inputs!$K$4:$AJ$4,0)))+SUMPRODUCT((Inputs!$C$5:$C$230=$B99)*Inputs!$D$5:$D$230*(((Inputs!$G$5:$G$230="moeda")+(Inputs!$G$5:$G$230="acoes"))*Inputs!$B$1+((Inputs!$G$5:$G$230&lt;&gt;"moeda")*(Inputs!$G$5:$G$230&lt;&gt;"acoes")))*INDEX(Inputs!$K$5:$AJ$230,0,MATCH(Y$2,Inputs!$K$4:$AJ$4,0)))+SUMPRODUCT((Inputs!$E$5:$E$230=$B99)*Inputs!$F$5:$F$230*(((Inputs!$G$5:$G$230="moeda")+(Inputs!$G$5:$G$230="acoes"))*Inputs!$B$1+((Inputs!$G$5:$G$230&lt;&gt;"moeda")*(Inputs!$G$5:$G$230&lt;&gt;"acoes")))*INDEX(Inputs!$K$5:$AJ$230,0,MATCH(Y$2,Inputs!$K$4:$AJ$4,0)))))</f>
        <v>11.798</v>
      </c>
      <c r="Z99" s="6">
        <f>IF(ISNA(MATCH(Z$2,Inputs!$K$4:$AJ$4,0)),NA(),IF(SUMPRODUCT((Inputs!$A$5:$A$230=$B99)*ISNUMBER(INDEX(Inputs!$K$5:$AJ$230,0,MATCH(Z$2,Inputs!$K$4:$AJ$4,0))))+SUMPRODUCT((Inputs!$C$5:$C$230=$B99)*ISNUMBER(INDEX(Inputs!$K$5:$AJ$230,0,MATCH(Z$2,Inputs!$K$4:$AJ$4,0))))+SUMPRODUCT((Inputs!$E$5:$E$230=$B99)*ISNUMBER(INDEX(Inputs!$K$5:$AJ$230,0,MATCH(Z$2,Inputs!$K$4:$AJ$4,0))))=0,NA(),SUMPRODUCT((Inputs!$A$5:$A$230=$B99)*Inputs!$B$5:$B$230*(((Inputs!$G$5:$G$230="moeda")+(Inputs!$G$5:$G$230="acoes"))*Inputs!$B$1+((Inputs!$G$5:$G$230&lt;&gt;"moeda")*(Inputs!$G$5:$G$230&lt;&gt;"acoes")))*INDEX(Inputs!$K$5:$AJ$230,0,MATCH(Z$2,Inputs!$K$4:$AJ$4,0)))+SUMPRODUCT((Inputs!$C$5:$C$230=$B99)*Inputs!$D$5:$D$230*(((Inputs!$G$5:$G$230="moeda")+(Inputs!$G$5:$G$230="acoes"))*Inputs!$B$1+((Inputs!$G$5:$G$230&lt;&gt;"moeda")*(Inputs!$G$5:$G$230&lt;&gt;"acoes")))*INDEX(Inputs!$K$5:$AJ$230,0,MATCH(Z$2,Inputs!$K$4:$AJ$4,0)))+SUMPRODUCT((Inputs!$E$5:$E$230=$B99)*Inputs!$F$5:$F$230*(((Inputs!$G$5:$G$230="moeda")+(Inputs!$G$5:$G$230="acoes"))*Inputs!$B$1+((Inputs!$G$5:$G$230&lt;&gt;"moeda")*(Inputs!$G$5:$G$230&lt;&gt;"acoes")))*INDEX(Inputs!$K$5:$AJ$230,0,MATCH(Z$2,Inputs!$K$4:$AJ$4,0)))))</f>
        <v>11.951</v>
      </c>
      <c r="AA99" s="6">
        <f>IF(ISNA(MATCH(AA$2,Inputs!$K$4:$AJ$4,0)),NA(),IF(SUMPRODUCT((Inputs!$A$5:$A$230=$B99)*ISNUMBER(INDEX(Inputs!$K$5:$AJ$230,0,MATCH(AA$2,Inputs!$K$4:$AJ$4,0))))+SUMPRODUCT((Inputs!$C$5:$C$230=$B99)*ISNUMBER(INDEX(Inputs!$K$5:$AJ$230,0,MATCH(AA$2,Inputs!$K$4:$AJ$4,0))))+SUMPRODUCT((Inputs!$E$5:$E$230=$B99)*ISNUMBER(INDEX(Inputs!$K$5:$AJ$230,0,MATCH(AA$2,Inputs!$K$4:$AJ$4,0))))=0,NA(),SUMPRODUCT((Inputs!$A$5:$A$230=$B99)*Inputs!$B$5:$B$230*(((Inputs!$G$5:$G$230="moeda")+(Inputs!$G$5:$G$230="acoes"))*Inputs!$B$1+((Inputs!$G$5:$G$230&lt;&gt;"moeda")*(Inputs!$G$5:$G$230&lt;&gt;"acoes")))*INDEX(Inputs!$K$5:$AJ$230,0,MATCH(AA$2,Inputs!$K$4:$AJ$4,0)))+SUMPRODUCT((Inputs!$C$5:$C$230=$B99)*Inputs!$D$5:$D$230*(((Inputs!$G$5:$G$230="moeda")+(Inputs!$G$5:$G$230="acoes"))*Inputs!$B$1+((Inputs!$G$5:$G$230&lt;&gt;"moeda")*(Inputs!$G$5:$G$230&lt;&gt;"acoes")))*INDEX(Inputs!$K$5:$AJ$230,0,MATCH(AA$2,Inputs!$K$4:$AJ$4,0)))+SUMPRODUCT((Inputs!$E$5:$E$230=$B99)*Inputs!$F$5:$F$230*(((Inputs!$G$5:$G$230="moeda")+(Inputs!$G$5:$G$230="acoes"))*Inputs!$B$1+((Inputs!$G$5:$G$230&lt;&gt;"moeda")*(Inputs!$G$5:$G$230&lt;&gt;"acoes")))*INDEX(Inputs!$K$5:$AJ$230,0,MATCH(AA$2,Inputs!$K$4:$AJ$4,0)))))</f>
        <v>12.879</v>
      </c>
      <c r="AB99" s="3">
        <f>SUM(X99:AA99)</f>
        <v>49.921</v>
      </c>
      <c r="AC99" s="6">
        <f>IF(ISNA(MATCH(AC$2,Inputs!$K$4:$AJ$4,0)),NA(),IF(SUMPRODUCT((Inputs!$A$5:$A$230=$B99)*ISNUMBER(INDEX(Inputs!$K$5:$AJ$230,0,MATCH(AC$2,Inputs!$K$4:$AJ$4,0))))+SUMPRODUCT((Inputs!$C$5:$C$230=$B99)*ISNUMBER(INDEX(Inputs!$K$5:$AJ$230,0,MATCH(AC$2,Inputs!$K$4:$AJ$4,0))))+SUMPRODUCT((Inputs!$E$5:$E$230=$B99)*ISNUMBER(INDEX(Inputs!$K$5:$AJ$230,0,MATCH(AC$2,Inputs!$K$4:$AJ$4,0))))=0,NA(),SUMPRODUCT((Inputs!$A$5:$A$230=$B99)*Inputs!$B$5:$B$230*(((Inputs!$G$5:$G$230="moeda")+(Inputs!$G$5:$G$230="acoes"))*Inputs!$B$1+((Inputs!$G$5:$G$230&lt;&gt;"moeda")*(Inputs!$G$5:$G$230&lt;&gt;"acoes")))*INDEX(Inputs!$K$5:$AJ$230,0,MATCH(AC$2,Inputs!$K$4:$AJ$4,0)))+SUMPRODUCT((Inputs!$C$5:$C$230=$B99)*Inputs!$D$5:$D$230*(((Inputs!$G$5:$G$230="moeda")+(Inputs!$G$5:$G$230="acoes"))*Inputs!$B$1+((Inputs!$G$5:$G$230&lt;&gt;"moeda")*(Inputs!$G$5:$G$230&lt;&gt;"acoes")))*INDEX(Inputs!$K$5:$AJ$230,0,MATCH(AC$2,Inputs!$K$4:$AJ$4,0)))+SUMPRODUCT((Inputs!$E$5:$E$230=$B99)*Inputs!$F$5:$F$230*(((Inputs!$G$5:$G$230="moeda")+(Inputs!$G$5:$G$230="acoes"))*Inputs!$B$1+((Inputs!$G$5:$G$230&lt;&gt;"moeda")*(Inputs!$G$5:$G$230&lt;&gt;"acoes")))*INDEX(Inputs!$K$5:$AJ$230,0,MATCH(AC$2,Inputs!$K$4:$AJ$4,0)))))</f>
        <v>16.181</v>
      </c>
      <c r="AD99" s="6">
        <f>IF(ISNA(MATCH(AD$2,Inputs!$K$4:$AJ$4,0)),NA(),IF(SUMPRODUCT((Inputs!$A$5:$A$230=$B99)*ISNUMBER(INDEX(Inputs!$K$5:$AJ$230,0,MATCH(AD$2,Inputs!$K$4:$AJ$4,0))))+SUMPRODUCT((Inputs!$C$5:$C$230=$B99)*ISNUMBER(INDEX(Inputs!$K$5:$AJ$230,0,MATCH(AD$2,Inputs!$K$4:$AJ$4,0))))+SUMPRODUCT((Inputs!$E$5:$E$230=$B99)*ISNUMBER(INDEX(Inputs!$K$5:$AJ$230,0,MATCH(AD$2,Inputs!$K$4:$AJ$4,0))))=0,NA(),SUMPRODUCT((Inputs!$A$5:$A$230=$B99)*Inputs!$B$5:$B$230*(((Inputs!$G$5:$G$230="moeda")+(Inputs!$G$5:$G$230="acoes"))*Inputs!$B$1+((Inputs!$G$5:$G$230&lt;&gt;"moeda")*(Inputs!$G$5:$G$230&lt;&gt;"acoes")))*INDEX(Inputs!$K$5:$AJ$230,0,MATCH(AD$2,Inputs!$K$4:$AJ$4,0)))+SUMPRODUCT((Inputs!$C$5:$C$230=$B99)*Inputs!$D$5:$D$230*(((Inputs!$G$5:$G$230="moeda")+(Inputs!$G$5:$G$230="acoes"))*Inputs!$B$1+((Inputs!$G$5:$G$230&lt;&gt;"moeda")*(Inputs!$G$5:$G$230&lt;&gt;"acoes")))*INDEX(Inputs!$K$5:$AJ$230,0,MATCH(AD$2,Inputs!$K$4:$AJ$4,0)))+SUMPRODUCT((Inputs!$E$5:$E$230=$B99)*Inputs!$F$5:$F$230*(((Inputs!$G$5:$G$230="moeda")+(Inputs!$G$5:$G$230="acoes"))*Inputs!$B$1+((Inputs!$G$5:$G$230&lt;&gt;"moeda")*(Inputs!$G$5:$G$230&lt;&gt;"acoes")))*INDEX(Inputs!$K$5:$AJ$230,0,MATCH(AD$2,Inputs!$K$4:$AJ$4,0)))))</f>
        <v>12.579</v>
      </c>
      <c r="AE99" s="6" t="e">
        <f>IF(ISNA(MATCH(AE$2,Inputs!$K$4:$AJ$4,0)),NA(),IF(SUMPRODUCT((Inputs!$A$5:$A$230=$B99)*ISNUMBER(INDEX(Inputs!$K$5:$AJ$230,0,MATCH(AE$2,Inputs!$K$4:$AJ$4,0))))+SUMPRODUCT((Inputs!$C$5:$C$230=$B99)*ISNUMBER(INDEX(Inputs!$K$5:$AJ$230,0,MATCH(AE$2,Inputs!$K$4:$AJ$4,0))))+SUMPRODUCT((Inputs!$E$5:$E$230=$B99)*ISNUMBER(INDEX(Inputs!$K$5:$AJ$230,0,MATCH(AE$2,Inputs!$K$4:$AJ$4,0))))=0,NA(),SUMPRODUCT((Inputs!$A$5:$A$230=$B99)*Inputs!$B$5:$B$230*(((Inputs!$G$5:$G$230="moeda")+(Inputs!$G$5:$G$230="acoes"))*Inputs!$B$1+((Inputs!$G$5:$G$230&lt;&gt;"moeda")*(Inputs!$G$5:$G$230&lt;&gt;"acoes")))*INDEX(Inputs!$K$5:$AJ$230,0,MATCH(AE$2,Inputs!$K$4:$AJ$4,0)))+SUMPRODUCT((Inputs!$C$5:$C$230=$B99)*Inputs!$D$5:$D$230*(((Inputs!$G$5:$G$230="moeda")+(Inputs!$G$5:$G$230="acoes"))*Inputs!$B$1+((Inputs!$G$5:$G$230&lt;&gt;"moeda")*(Inputs!$G$5:$G$230&lt;&gt;"acoes")))*INDEX(Inputs!$K$5:$AJ$230,0,MATCH(AE$2,Inputs!$K$4:$AJ$4,0)))+SUMPRODUCT((Inputs!$E$5:$E$230=$B99)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99" s="6" t="e">
        <f>IF(ISNA(MATCH(AF$2,Inputs!$K$4:$AJ$4,0)),NA(),IF(SUMPRODUCT((Inputs!$A$5:$A$230=$B99)*ISNUMBER(INDEX(Inputs!$K$5:$AJ$230,0,MATCH(AF$2,Inputs!$K$4:$AJ$4,0))))+SUMPRODUCT((Inputs!$C$5:$C$230=$B99)*ISNUMBER(INDEX(Inputs!$K$5:$AJ$230,0,MATCH(AF$2,Inputs!$K$4:$AJ$4,0))))+SUMPRODUCT((Inputs!$E$5:$E$230=$B99)*ISNUMBER(INDEX(Inputs!$K$5:$AJ$230,0,MATCH(AF$2,Inputs!$K$4:$AJ$4,0))))=0,NA(),SUMPRODUCT((Inputs!$A$5:$A$230=$B99)*Inputs!$B$5:$B$230*(((Inputs!$G$5:$G$230="moeda")+(Inputs!$G$5:$G$230="acoes"))*Inputs!$B$1+((Inputs!$G$5:$G$230&lt;&gt;"moeda")*(Inputs!$G$5:$G$230&lt;&gt;"acoes")))*INDEX(Inputs!$K$5:$AJ$230,0,MATCH(AF$2,Inputs!$K$4:$AJ$4,0)))+SUMPRODUCT((Inputs!$C$5:$C$230=$B99)*Inputs!$D$5:$D$230*(((Inputs!$G$5:$G$230="moeda")+(Inputs!$G$5:$G$230="acoes"))*Inputs!$B$1+((Inputs!$G$5:$G$230&lt;&gt;"moeda")*(Inputs!$G$5:$G$230&lt;&gt;"acoes")))*INDEX(Inputs!$K$5:$AJ$230,0,MATCH(AF$2,Inputs!$K$4:$AJ$4,0)))+SUMPRODUCT((Inputs!$E$5:$E$230=$B99)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99" s="3" t="e">
        <f>SUM(AC99:AF99)</f>
        <v>#N/A</v>
      </c>
      <c r="AH99" s="6">
        <f>IF(ISNA(MATCH(AH$2,Inputs!$K$4:$AJ$4,0)),NA(),IF(SUMPRODUCT((Inputs!$A$5:$A$230=$B99)*ISNUMBER(INDEX(Inputs!$K$5:$AJ$230,0,MATCH(AH$2,Inputs!$K$4:$AJ$4,0))))+SUMPRODUCT((Inputs!$C$5:$C$230=$B99)*ISNUMBER(INDEX(Inputs!$K$5:$AJ$230,0,MATCH(AH$2,Inputs!$K$4:$AJ$4,0))))+SUMPRODUCT((Inputs!$E$5:$E$230=$B99)*ISNUMBER(INDEX(Inputs!$K$5:$AJ$230,0,MATCH(AH$2,Inputs!$K$4:$AJ$4,0))))=0,NA(),SUMPRODUCT((Inputs!$A$5:$A$230=$B99)*Inputs!$B$5:$B$230*(((Inputs!$G$5:$G$230="moeda")+(Inputs!$G$5:$G$230="acoes"))*Inputs!$B$1+((Inputs!$G$5:$G$230&lt;&gt;"moeda")*(Inputs!$G$5:$G$230&lt;&gt;"acoes")))*INDEX(Inputs!$K$5:$AJ$230,0,MATCH(AH$2,Inputs!$K$4:$AJ$4,0)))+SUMPRODUCT((Inputs!$C$5:$C$230=$B99)*Inputs!$D$5:$D$230*(((Inputs!$G$5:$G$230="moeda")+(Inputs!$G$5:$G$230="acoes"))*Inputs!$B$1+((Inputs!$G$5:$G$230&lt;&gt;"moeda")*(Inputs!$G$5:$G$230&lt;&gt;"acoes")))*INDEX(Inputs!$K$5:$AJ$230,0,MATCH(AH$2,Inputs!$K$4:$AJ$4,0)))+SUMPRODUCT((Inputs!$E$5:$E$230=$B99)*Inputs!$F$5:$F$230*(((Inputs!$G$5:$G$230="moeda")+(Inputs!$G$5:$G$230="acoes"))*Inputs!$B$1+((Inputs!$G$5:$G$230&lt;&gt;"moeda")*(Inputs!$G$5:$G$230&lt;&gt;"acoes")))*INDEX(Inputs!$K$5:$AJ$230,0,MATCH(AH$2,Inputs!$K$4:$AJ$4,0)))))</f>
        <v>18.875</v>
      </c>
      <c r="AI99" s="6">
        <f>IF(ISNA(MATCH(AI$2,Inputs!$K$4:$AJ$4,0)),NA(),IF(SUMPRODUCT((Inputs!$A$5:$A$230=$B99)*ISNUMBER(INDEX(Inputs!$K$5:$AJ$230,0,MATCH(AI$2,Inputs!$K$4:$AJ$4,0))))+SUMPRODUCT((Inputs!$C$5:$C$230=$B99)*ISNUMBER(INDEX(Inputs!$K$5:$AJ$230,0,MATCH(AI$2,Inputs!$K$4:$AJ$4,0))))+SUMPRODUCT((Inputs!$E$5:$E$230=$B99)*ISNUMBER(INDEX(Inputs!$K$5:$AJ$230,0,MATCH(AI$2,Inputs!$K$4:$AJ$4,0))))=0,NA(),SUMPRODUCT((Inputs!$A$5:$A$230=$B99)*Inputs!$B$5:$B$230*(((Inputs!$G$5:$G$230="moeda")+(Inputs!$G$5:$G$230="acoes"))*Inputs!$B$1+((Inputs!$G$5:$G$230&lt;&gt;"moeda")*(Inputs!$G$5:$G$230&lt;&gt;"acoes")))*INDEX(Inputs!$K$5:$AJ$230,0,MATCH(AI$2,Inputs!$K$4:$AJ$4,0)))+SUMPRODUCT((Inputs!$C$5:$C$230=$B99)*Inputs!$D$5:$D$230*(((Inputs!$G$5:$G$230="moeda")+(Inputs!$G$5:$G$230="acoes"))*Inputs!$B$1+((Inputs!$G$5:$G$230&lt;&gt;"moeda")*(Inputs!$G$5:$G$230&lt;&gt;"acoes")))*INDEX(Inputs!$K$5:$AJ$230,0,MATCH(AI$2,Inputs!$K$4:$AJ$4,0)))+SUMPRODUCT((Inputs!$E$5:$E$230=$B99)*Inputs!$F$5:$F$230*(((Inputs!$G$5:$G$230="moeda")+(Inputs!$G$5:$G$230="acoes"))*Inputs!$B$1+((Inputs!$G$5:$G$230&lt;&gt;"moeda")*(Inputs!$G$5:$G$230&lt;&gt;"acoes")))*INDEX(Inputs!$K$5:$AJ$230,0,MATCH(AI$2,Inputs!$K$4:$AJ$4,0)))))</f>
        <v>10.975</v>
      </c>
      <c r="AJ99" s="6">
        <f>IF(ISNA(MATCH(AJ$2,Inputs!$K$4:$AJ$4,0)),NA(),IF(SUMPRODUCT((Inputs!$A$5:$A$230=$B99)*ISNUMBER(INDEX(Inputs!$K$5:$AJ$230,0,MATCH(AJ$2,Inputs!$K$4:$AJ$4,0))))+SUMPRODUCT((Inputs!$C$5:$C$230=$B99)*ISNUMBER(INDEX(Inputs!$K$5:$AJ$230,0,MATCH(AJ$2,Inputs!$K$4:$AJ$4,0))))+SUMPRODUCT((Inputs!$E$5:$E$230=$B99)*ISNUMBER(INDEX(Inputs!$K$5:$AJ$230,0,MATCH(AJ$2,Inputs!$K$4:$AJ$4,0))))=0,NA(),SUMPRODUCT((Inputs!$A$5:$A$230=$B99)*Inputs!$B$5:$B$230*(((Inputs!$G$5:$G$230="moeda")+(Inputs!$G$5:$G$230="acoes"))*Inputs!$B$1+((Inputs!$G$5:$G$230&lt;&gt;"moeda")*(Inputs!$G$5:$G$230&lt;&gt;"acoes")))*INDEX(Inputs!$K$5:$AJ$230,0,MATCH(AJ$2,Inputs!$K$4:$AJ$4,0)))+SUMPRODUCT((Inputs!$C$5:$C$230=$B99)*Inputs!$D$5:$D$230*(((Inputs!$G$5:$G$230="moeda")+(Inputs!$G$5:$G$230="acoes"))*Inputs!$B$1+((Inputs!$G$5:$G$230&lt;&gt;"moeda")*(Inputs!$G$5:$G$230&lt;&gt;"acoes")))*INDEX(Inputs!$K$5:$AJ$230,0,MATCH(AJ$2,Inputs!$K$4:$AJ$4,0)))+SUMPRODUCT((Inputs!$E$5:$E$230=$B99)*Inputs!$F$5:$F$230*(((Inputs!$G$5:$G$230="moeda")+(Inputs!$G$5:$G$230="acoes"))*Inputs!$B$1+((Inputs!$G$5:$G$230&lt;&gt;"moeda")*(Inputs!$G$5:$G$230&lt;&gt;"acoes")))*INDEX(Inputs!$K$5:$AJ$230,0,MATCH(AJ$2,Inputs!$K$4:$AJ$4,0)))))</f>
        <v>9.195</v>
      </c>
      <c r="AK99" s="6">
        <f>IF(ISNA(MATCH(AK$2,Inputs!$K$4:$AJ$4,0)),NA(),IF(SUMPRODUCT((Inputs!$A$5:$A$230=$B99)*ISNUMBER(INDEX(Inputs!$K$5:$AJ$230,0,MATCH(AK$2,Inputs!$K$4:$AJ$4,0))))+SUMPRODUCT((Inputs!$C$5:$C$230=$B99)*ISNUMBER(INDEX(Inputs!$K$5:$AJ$230,0,MATCH(AK$2,Inputs!$K$4:$AJ$4,0))))+SUMPRODUCT((Inputs!$E$5:$E$230=$B99)*ISNUMBER(INDEX(Inputs!$K$5:$AJ$230,0,MATCH(AK$2,Inputs!$K$4:$AJ$4,0))))=0,NA(),SUMPRODUCT((Inputs!$A$5:$A$230=$B99)*Inputs!$B$5:$B$230*(((Inputs!$G$5:$G$230="moeda")+(Inputs!$G$5:$G$230="acoes"))*Inputs!$B$1+((Inputs!$G$5:$G$230&lt;&gt;"moeda")*(Inputs!$G$5:$G$230&lt;&gt;"acoes")))*INDEX(Inputs!$K$5:$AJ$230,0,MATCH(AK$2,Inputs!$K$4:$AJ$4,0)))+SUMPRODUCT((Inputs!$C$5:$C$230=$B99)*Inputs!$D$5:$D$230*(((Inputs!$G$5:$G$230="moeda")+(Inputs!$G$5:$G$230="acoes"))*Inputs!$B$1+((Inputs!$G$5:$G$230&lt;&gt;"moeda")*(Inputs!$G$5:$G$230&lt;&gt;"acoes")))*INDEX(Inputs!$K$5:$AJ$230,0,MATCH(AK$2,Inputs!$K$4:$AJ$4,0)))+SUMPRODUCT((Inputs!$E$5:$E$230=$B99)*Inputs!$F$5:$F$230*(((Inputs!$G$5:$G$230="moeda")+(Inputs!$G$5:$G$230="acoes"))*Inputs!$B$1+((Inputs!$G$5:$G$230&lt;&gt;"moeda")*(Inputs!$G$5:$G$230&lt;&gt;"acoes")))*INDEX(Inputs!$K$5:$AJ$230,0,MATCH(AK$2,Inputs!$K$4:$AJ$4,0)))))</f>
        <v>17.263</v>
      </c>
      <c r="AL99" s="3">
        <f>SUM(AH99:AK99)</f>
        <v>56.308</v>
      </c>
    </row>
    <row r="100">
      <c r="B100" s="46" t="n">
        <v>92</v>
      </c>
      <c r="C100" s="29" t="inlineStr">
        <is>
          <t>Geracao | EDV I</t>
        </is>
      </c>
      <c r="D100" s="6">
        <f>IF(ISNA(MATCH(D$2,Inputs!$K$4:$AJ$4,0)),NA(),IF(SUMPRODUCT((Inputs!$A$5:$A$230=$B100)*ISNUMBER(INDEX(Inputs!$K$5:$AJ$230,0,MATCH(D$2,Inputs!$K$4:$AJ$4,0))))+SUMPRODUCT((Inputs!$C$5:$C$230=$B100)*ISNUMBER(INDEX(Inputs!$K$5:$AJ$230,0,MATCH(D$2,Inputs!$K$4:$AJ$4,0))))+SUMPRODUCT((Inputs!$E$5:$E$230=$B100)*ISNUMBER(INDEX(Inputs!$K$5:$AJ$230,0,MATCH(D$2,Inputs!$K$4:$AJ$4,0))))=0,NA(),SUMPRODUCT((Inputs!$A$5:$A$230=$B100)*Inputs!$B$5:$B$230*(((Inputs!$G$5:$G$230="moeda")+(Inputs!$G$5:$G$230="acoes"))*Inputs!$B$1+((Inputs!$G$5:$G$230&lt;&gt;"moeda")*(Inputs!$G$5:$G$230&lt;&gt;"acoes")))*INDEX(Inputs!$K$5:$AJ$230,0,MATCH(D$2,Inputs!$K$4:$AJ$4,0)))+SUMPRODUCT((Inputs!$C$5:$C$230=$B100)*Inputs!$D$5:$D$230*(((Inputs!$G$5:$G$230="moeda")+(Inputs!$G$5:$G$230="acoes"))*Inputs!$B$1+((Inputs!$G$5:$G$230&lt;&gt;"moeda")*(Inputs!$G$5:$G$230&lt;&gt;"acoes")))*INDEX(Inputs!$K$5:$AJ$230,0,MATCH(D$2,Inputs!$K$4:$AJ$4,0)))+SUMPRODUCT((Inputs!$E$5:$E$230=$B100)*Inputs!$F$5:$F$230*(((Inputs!$G$5:$G$230="moeda")+(Inputs!$G$5:$G$230="acoes"))*Inputs!$B$1+((Inputs!$G$5:$G$230&lt;&gt;"moeda")*(Inputs!$G$5:$G$230&lt;&gt;"acoes")))*INDEX(Inputs!$K$5:$AJ$230,0,MATCH(D$2,Inputs!$K$4:$AJ$4,0)))))</f>
        <v>3.233</v>
      </c>
      <c r="E100" s="6">
        <f>IF(ISNA(MATCH(E$2,Inputs!$K$4:$AJ$4,0)),NA(),IF(SUMPRODUCT((Inputs!$A$5:$A$230=$B100)*ISNUMBER(INDEX(Inputs!$K$5:$AJ$230,0,MATCH(E$2,Inputs!$K$4:$AJ$4,0))))+SUMPRODUCT((Inputs!$C$5:$C$230=$B100)*ISNUMBER(INDEX(Inputs!$K$5:$AJ$230,0,MATCH(E$2,Inputs!$K$4:$AJ$4,0))))+SUMPRODUCT((Inputs!$E$5:$E$230=$B100)*ISNUMBER(INDEX(Inputs!$K$5:$AJ$230,0,MATCH(E$2,Inputs!$K$4:$AJ$4,0))))=0,NA(),SUMPRODUCT((Inputs!$A$5:$A$230=$B100)*Inputs!$B$5:$B$230*(((Inputs!$G$5:$G$230="moeda")+(Inputs!$G$5:$G$230="acoes"))*Inputs!$B$1+((Inputs!$G$5:$G$230&lt;&gt;"moeda")*(Inputs!$G$5:$G$230&lt;&gt;"acoes")))*INDEX(Inputs!$K$5:$AJ$230,0,MATCH(E$2,Inputs!$K$4:$AJ$4,0)))+SUMPRODUCT((Inputs!$C$5:$C$230=$B100)*Inputs!$D$5:$D$230*(((Inputs!$G$5:$G$230="moeda")+(Inputs!$G$5:$G$230="acoes"))*Inputs!$B$1+((Inputs!$G$5:$G$230&lt;&gt;"moeda")*(Inputs!$G$5:$G$230&lt;&gt;"acoes")))*INDEX(Inputs!$K$5:$AJ$230,0,MATCH(E$2,Inputs!$K$4:$AJ$4,0)))+SUMPRODUCT((Inputs!$E$5:$E$230=$B100)*Inputs!$F$5:$F$230*(((Inputs!$G$5:$G$230="moeda")+(Inputs!$G$5:$G$230="acoes"))*Inputs!$B$1+((Inputs!$G$5:$G$230&lt;&gt;"moeda")*(Inputs!$G$5:$G$230&lt;&gt;"acoes")))*INDEX(Inputs!$K$5:$AJ$230,0,MATCH(E$2,Inputs!$K$4:$AJ$4,0)))))</f>
        <v>3.359</v>
      </c>
      <c r="F100" s="6">
        <f>IF(ISNA(MATCH(F$2,Inputs!$K$4:$AJ$4,0)),NA(),IF(SUMPRODUCT((Inputs!$A$5:$A$230=$B100)*ISNUMBER(INDEX(Inputs!$K$5:$AJ$230,0,MATCH(F$2,Inputs!$K$4:$AJ$4,0))))+SUMPRODUCT((Inputs!$C$5:$C$230=$B100)*ISNUMBER(INDEX(Inputs!$K$5:$AJ$230,0,MATCH(F$2,Inputs!$K$4:$AJ$4,0))))+SUMPRODUCT((Inputs!$E$5:$E$230=$B100)*ISNUMBER(INDEX(Inputs!$K$5:$AJ$230,0,MATCH(F$2,Inputs!$K$4:$AJ$4,0))))=0,NA(),SUMPRODUCT((Inputs!$A$5:$A$230=$B100)*Inputs!$B$5:$B$230*(((Inputs!$G$5:$G$230="moeda")+(Inputs!$G$5:$G$230="acoes"))*Inputs!$B$1+((Inputs!$G$5:$G$230&lt;&gt;"moeda")*(Inputs!$G$5:$G$230&lt;&gt;"acoes")))*INDEX(Inputs!$K$5:$AJ$230,0,MATCH(F$2,Inputs!$K$4:$AJ$4,0)))+SUMPRODUCT((Inputs!$C$5:$C$230=$B100)*Inputs!$D$5:$D$230*(((Inputs!$G$5:$G$230="moeda")+(Inputs!$G$5:$G$230="acoes"))*Inputs!$B$1+((Inputs!$G$5:$G$230&lt;&gt;"moeda")*(Inputs!$G$5:$G$230&lt;&gt;"acoes")))*INDEX(Inputs!$K$5:$AJ$230,0,MATCH(F$2,Inputs!$K$4:$AJ$4,0)))+SUMPRODUCT((Inputs!$E$5:$E$230=$B100)*Inputs!$F$5:$F$230*(((Inputs!$G$5:$G$230="moeda")+(Inputs!$G$5:$G$230="acoes"))*Inputs!$B$1+((Inputs!$G$5:$G$230&lt;&gt;"moeda")*(Inputs!$G$5:$G$230&lt;&gt;"acoes")))*INDEX(Inputs!$K$5:$AJ$230,0,MATCH(F$2,Inputs!$K$4:$AJ$4,0)))))</f>
        <v>7.146</v>
      </c>
      <c r="G100" s="6">
        <f>IF(ISNA(MATCH(G$2,Inputs!$K$4:$AJ$4,0)),NA(),IF(SUMPRODUCT((Inputs!$A$5:$A$230=$B100)*ISNUMBER(INDEX(Inputs!$K$5:$AJ$230,0,MATCH(G$2,Inputs!$K$4:$AJ$4,0))))+SUMPRODUCT((Inputs!$C$5:$C$230=$B100)*ISNUMBER(INDEX(Inputs!$K$5:$AJ$230,0,MATCH(G$2,Inputs!$K$4:$AJ$4,0))))+SUMPRODUCT((Inputs!$E$5:$E$230=$B100)*ISNUMBER(INDEX(Inputs!$K$5:$AJ$230,0,MATCH(G$2,Inputs!$K$4:$AJ$4,0))))=0,NA(),SUMPRODUCT((Inputs!$A$5:$A$230=$B100)*Inputs!$B$5:$B$230*(((Inputs!$G$5:$G$230="moeda")+(Inputs!$G$5:$G$230="acoes"))*Inputs!$B$1+((Inputs!$G$5:$G$230&lt;&gt;"moeda")*(Inputs!$G$5:$G$230&lt;&gt;"acoes")))*INDEX(Inputs!$K$5:$AJ$230,0,MATCH(G$2,Inputs!$K$4:$AJ$4,0)))+SUMPRODUCT((Inputs!$C$5:$C$230=$B100)*Inputs!$D$5:$D$230*(((Inputs!$G$5:$G$230="moeda")+(Inputs!$G$5:$G$230="acoes"))*Inputs!$B$1+((Inputs!$G$5:$G$230&lt;&gt;"moeda")*(Inputs!$G$5:$G$230&lt;&gt;"acoes")))*INDEX(Inputs!$K$5:$AJ$230,0,MATCH(G$2,Inputs!$K$4:$AJ$4,0)))+SUMPRODUCT((Inputs!$E$5:$E$230=$B100)*Inputs!$F$5:$F$230*(((Inputs!$G$5:$G$230="moeda")+(Inputs!$G$5:$G$230="acoes"))*Inputs!$B$1+((Inputs!$G$5:$G$230&lt;&gt;"moeda")*(Inputs!$G$5:$G$230&lt;&gt;"acoes")))*INDEX(Inputs!$K$5:$AJ$230,0,MATCH(G$2,Inputs!$K$4:$AJ$4,0)))))</f>
        <v>3.934</v>
      </c>
      <c r="H100" s="3">
        <f>SUM(D100:G100)</f>
        <v>17.672</v>
      </c>
      <c r="I100" s="6">
        <f>IF(ISNA(MATCH(I$2,Inputs!$K$4:$AJ$4,0)),NA(),IF(SUMPRODUCT((Inputs!$A$5:$A$230=$B100)*ISNUMBER(INDEX(Inputs!$K$5:$AJ$230,0,MATCH(I$2,Inputs!$K$4:$AJ$4,0))))+SUMPRODUCT((Inputs!$C$5:$C$230=$B100)*ISNUMBER(INDEX(Inputs!$K$5:$AJ$230,0,MATCH(I$2,Inputs!$K$4:$AJ$4,0))))+SUMPRODUCT((Inputs!$E$5:$E$230=$B100)*ISNUMBER(INDEX(Inputs!$K$5:$AJ$230,0,MATCH(I$2,Inputs!$K$4:$AJ$4,0))))=0,NA(),SUMPRODUCT((Inputs!$A$5:$A$230=$B100)*Inputs!$B$5:$B$230*(((Inputs!$G$5:$G$230="moeda")+(Inputs!$G$5:$G$230="acoes"))*Inputs!$B$1+((Inputs!$G$5:$G$230&lt;&gt;"moeda")*(Inputs!$G$5:$G$230&lt;&gt;"acoes")))*INDEX(Inputs!$K$5:$AJ$230,0,MATCH(I$2,Inputs!$K$4:$AJ$4,0)))+SUMPRODUCT((Inputs!$C$5:$C$230=$B100)*Inputs!$D$5:$D$230*(((Inputs!$G$5:$G$230="moeda")+(Inputs!$G$5:$G$230="acoes"))*Inputs!$B$1+((Inputs!$G$5:$G$230&lt;&gt;"moeda")*(Inputs!$G$5:$G$230&lt;&gt;"acoes")))*INDEX(Inputs!$K$5:$AJ$230,0,MATCH(I$2,Inputs!$K$4:$AJ$4,0)))+SUMPRODUCT((Inputs!$E$5:$E$230=$B100)*Inputs!$F$5:$F$230*(((Inputs!$G$5:$G$230="moeda")+(Inputs!$G$5:$G$230="acoes"))*Inputs!$B$1+((Inputs!$G$5:$G$230&lt;&gt;"moeda")*(Inputs!$G$5:$G$230&lt;&gt;"acoes")))*INDEX(Inputs!$K$5:$AJ$230,0,MATCH(I$2,Inputs!$K$4:$AJ$4,0)))))</f>
        <v>3.559</v>
      </c>
      <c r="J100" s="6">
        <f>IF(ISNA(MATCH(J$2,Inputs!$K$4:$AJ$4,0)),NA(),IF(SUMPRODUCT((Inputs!$A$5:$A$230=$B100)*ISNUMBER(INDEX(Inputs!$K$5:$AJ$230,0,MATCH(J$2,Inputs!$K$4:$AJ$4,0))))+SUMPRODUCT((Inputs!$C$5:$C$230=$B100)*ISNUMBER(INDEX(Inputs!$K$5:$AJ$230,0,MATCH(J$2,Inputs!$K$4:$AJ$4,0))))+SUMPRODUCT((Inputs!$E$5:$E$230=$B100)*ISNUMBER(INDEX(Inputs!$K$5:$AJ$230,0,MATCH(J$2,Inputs!$K$4:$AJ$4,0))))=0,NA(),SUMPRODUCT((Inputs!$A$5:$A$230=$B100)*Inputs!$B$5:$B$230*(((Inputs!$G$5:$G$230="moeda")+(Inputs!$G$5:$G$230="acoes"))*Inputs!$B$1+((Inputs!$G$5:$G$230&lt;&gt;"moeda")*(Inputs!$G$5:$G$230&lt;&gt;"acoes")))*INDEX(Inputs!$K$5:$AJ$230,0,MATCH(J$2,Inputs!$K$4:$AJ$4,0)))+SUMPRODUCT((Inputs!$C$5:$C$230=$B100)*Inputs!$D$5:$D$230*(((Inputs!$G$5:$G$230="moeda")+(Inputs!$G$5:$G$230="acoes"))*Inputs!$B$1+((Inputs!$G$5:$G$230&lt;&gt;"moeda")*(Inputs!$G$5:$G$230&lt;&gt;"acoes")))*INDEX(Inputs!$K$5:$AJ$230,0,MATCH(J$2,Inputs!$K$4:$AJ$4,0)))+SUMPRODUCT((Inputs!$E$5:$E$230=$B100)*Inputs!$F$5:$F$230*(((Inputs!$G$5:$G$230="moeda")+(Inputs!$G$5:$G$230="acoes"))*Inputs!$B$1+((Inputs!$G$5:$G$230&lt;&gt;"moeda")*(Inputs!$G$5:$G$230&lt;&gt;"acoes")))*INDEX(Inputs!$K$5:$AJ$230,0,MATCH(J$2,Inputs!$K$4:$AJ$4,0)))))</f>
        <v>3.605</v>
      </c>
      <c r="K100" s="6">
        <f>IF(ISNA(MATCH(K$2,Inputs!$K$4:$AJ$4,0)),NA(),IF(SUMPRODUCT((Inputs!$A$5:$A$230=$B100)*ISNUMBER(INDEX(Inputs!$K$5:$AJ$230,0,MATCH(K$2,Inputs!$K$4:$AJ$4,0))))+SUMPRODUCT((Inputs!$C$5:$C$230=$B100)*ISNUMBER(INDEX(Inputs!$K$5:$AJ$230,0,MATCH(K$2,Inputs!$K$4:$AJ$4,0))))+SUMPRODUCT((Inputs!$E$5:$E$230=$B100)*ISNUMBER(INDEX(Inputs!$K$5:$AJ$230,0,MATCH(K$2,Inputs!$K$4:$AJ$4,0))))=0,NA(),SUMPRODUCT((Inputs!$A$5:$A$230=$B100)*Inputs!$B$5:$B$230*(((Inputs!$G$5:$G$230="moeda")+(Inputs!$G$5:$G$230="acoes"))*Inputs!$B$1+((Inputs!$G$5:$G$230&lt;&gt;"moeda")*(Inputs!$G$5:$G$230&lt;&gt;"acoes")))*INDEX(Inputs!$K$5:$AJ$230,0,MATCH(K$2,Inputs!$K$4:$AJ$4,0)))+SUMPRODUCT((Inputs!$C$5:$C$230=$B100)*Inputs!$D$5:$D$230*(((Inputs!$G$5:$G$230="moeda")+(Inputs!$G$5:$G$230="acoes"))*Inputs!$B$1+((Inputs!$G$5:$G$230&lt;&gt;"moeda")*(Inputs!$G$5:$G$230&lt;&gt;"acoes")))*INDEX(Inputs!$K$5:$AJ$230,0,MATCH(K$2,Inputs!$K$4:$AJ$4,0)))+SUMPRODUCT((Inputs!$E$5:$E$230=$B100)*Inputs!$F$5:$F$230*(((Inputs!$G$5:$G$230="moeda")+(Inputs!$G$5:$G$230="acoes"))*Inputs!$B$1+((Inputs!$G$5:$G$230&lt;&gt;"moeda")*(Inputs!$G$5:$G$230&lt;&gt;"acoes")))*INDEX(Inputs!$K$5:$AJ$230,0,MATCH(K$2,Inputs!$K$4:$AJ$4,0)))))</f>
        <v>3.667</v>
      </c>
      <c r="L100" s="6">
        <f>IF(ISNA(MATCH(L$2,Inputs!$K$4:$AJ$4,0)),NA(),IF(SUMPRODUCT((Inputs!$A$5:$A$230=$B100)*ISNUMBER(INDEX(Inputs!$K$5:$AJ$230,0,MATCH(L$2,Inputs!$K$4:$AJ$4,0))))+SUMPRODUCT((Inputs!$C$5:$C$230=$B100)*ISNUMBER(INDEX(Inputs!$K$5:$AJ$230,0,MATCH(L$2,Inputs!$K$4:$AJ$4,0))))+SUMPRODUCT((Inputs!$E$5:$E$230=$B100)*ISNUMBER(INDEX(Inputs!$K$5:$AJ$230,0,MATCH(L$2,Inputs!$K$4:$AJ$4,0))))=0,NA(),SUMPRODUCT((Inputs!$A$5:$A$230=$B100)*Inputs!$B$5:$B$230*(((Inputs!$G$5:$G$230="moeda")+(Inputs!$G$5:$G$230="acoes"))*Inputs!$B$1+((Inputs!$G$5:$G$230&lt;&gt;"moeda")*(Inputs!$G$5:$G$230&lt;&gt;"acoes")))*INDEX(Inputs!$K$5:$AJ$230,0,MATCH(L$2,Inputs!$K$4:$AJ$4,0)))+SUMPRODUCT((Inputs!$C$5:$C$230=$B100)*Inputs!$D$5:$D$230*(((Inputs!$G$5:$G$230="moeda")+(Inputs!$G$5:$G$230="acoes"))*Inputs!$B$1+((Inputs!$G$5:$G$230&lt;&gt;"moeda")*(Inputs!$G$5:$G$230&lt;&gt;"acoes")))*INDEX(Inputs!$K$5:$AJ$230,0,MATCH(L$2,Inputs!$K$4:$AJ$4,0)))+SUMPRODUCT((Inputs!$E$5:$E$230=$B100)*Inputs!$F$5:$F$230*(((Inputs!$G$5:$G$230="moeda")+(Inputs!$G$5:$G$230="acoes"))*Inputs!$B$1+((Inputs!$G$5:$G$230&lt;&gt;"moeda")*(Inputs!$G$5:$G$230&lt;&gt;"acoes")))*INDEX(Inputs!$K$5:$AJ$230,0,MATCH(L$2,Inputs!$K$4:$AJ$4,0)))))</f>
        <v>3.671</v>
      </c>
      <c r="M100" s="3">
        <f>SUM(I100:L100)</f>
        <v>14.502</v>
      </c>
      <c r="N100" s="6">
        <f>IF(ISNA(MATCH(N$2,Inputs!$K$4:$AJ$4,0)),NA(),IF(SUMPRODUCT((Inputs!$A$5:$A$230=$B100)*ISNUMBER(INDEX(Inputs!$K$5:$AJ$230,0,MATCH(N$2,Inputs!$K$4:$AJ$4,0))))+SUMPRODUCT((Inputs!$C$5:$C$230=$B100)*ISNUMBER(INDEX(Inputs!$K$5:$AJ$230,0,MATCH(N$2,Inputs!$K$4:$AJ$4,0))))+SUMPRODUCT((Inputs!$E$5:$E$230=$B100)*ISNUMBER(INDEX(Inputs!$K$5:$AJ$230,0,MATCH(N$2,Inputs!$K$4:$AJ$4,0))))=0,NA(),SUMPRODUCT((Inputs!$A$5:$A$230=$B100)*Inputs!$B$5:$B$230*(((Inputs!$G$5:$G$230="moeda")+(Inputs!$G$5:$G$230="acoes"))*Inputs!$B$1+((Inputs!$G$5:$G$230&lt;&gt;"moeda")*(Inputs!$G$5:$G$230&lt;&gt;"acoes")))*INDEX(Inputs!$K$5:$AJ$230,0,MATCH(N$2,Inputs!$K$4:$AJ$4,0)))+SUMPRODUCT((Inputs!$C$5:$C$230=$B100)*Inputs!$D$5:$D$230*(((Inputs!$G$5:$G$230="moeda")+(Inputs!$G$5:$G$230="acoes"))*Inputs!$B$1+((Inputs!$G$5:$G$230&lt;&gt;"moeda")*(Inputs!$G$5:$G$230&lt;&gt;"acoes")))*INDEX(Inputs!$K$5:$AJ$230,0,MATCH(N$2,Inputs!$K$4:$AJ$4,0)))+SUMPRODUCT((Inputs!$E$5:$E$230=$B100)*Inputs!$F$5:$F$230*(((Inputs!$G$5:$G$230="moeda")+(Inputs!$G$5:$G$230="acoes"))*Inputs!$B$1+((Inputs!$G$5:$G$230&lt;&gt;"moeda")*(Inputs!$G$5:$G$230&lt;&gt;"acoes")))*INDEX(Inputs!$K$5:$AJ$230,0,MATCH(N$2,Inputs!$K$4:$AJ$4,0)))))</f>
        <v>3.774</v>
      </c>
      <c r="O100" s="6">
        <f>IF(ISNA(MATCH(O$2,Inputs!$K$4:$AJ$4,0)),NA(),IF(SUMPRODUCT((Inputs!$A$5:$A$230=$B100)*ISNUMBER(INDEX(Inputs!$K$5:$AJ$230,0,MATCH(O$2,Inputs!$K$4:$AJ$4,0))))+SUMPRODUCT((Inputs!$C$5:$C$230=$B100)*ISNUMBER(INDEX(Inputs!$K$5:$AJ$230,0,MATCH(O$2,Inputs!$K$4:$AJ$4,0))))+SUMPRODUCT((Inputs!$E$5:$E$230=$B100)*ISNUMBER(INDEX(Inputs!$K$5:$AJ$230,0,MATCH(O$2,Inputs!$K$4:$AJ$4,0))))=0,NA(),SUMPRODUCT((Inputs!$A$5:$A$230=$B100)*Inputs!$B$5:$B$230*(((Inputs!$G$5:$G$230="moeda")+(Inputs!$G$5:$G$230="acoes"))*Inputs!$B$1+((Inputs!$G$5:$G$230&lt;&gt;"moeda")*(Inputs!$G$5:$G$230&lt;&gt;"acoes")))*INDEX(Inputs!$K$5:$AJ$230,0,MATCH(O$2,Inputs!$K$4:$AJ$4,0)))+SUMPRODUCT((Inputs!$C$5:$C$230=$B100)*Inputs!$D$5:$D$230*(((Inputs!$G$5:$G$230="moeda")+(Inputs!$G$5:$G$230="acoes"))*Inputs!$B$1+((Inputs!$G$5:$G$230&lt;&gt;"moeda")*(Inputs!$G$5:$G$230&lt;&gt;"acoes")))*INDEX(Inputs!$K$5:$AJ$230,0,MATCH(O$2,Inputs!$K$4:$AJ$4,0)))+SUMPRODUCT((Inputs!$E$5:$E$230=$B100)*Inputs!$F$5:$F$230*(((Inputs!$G$5:$G$230="moeda")+(Inputs!$G$5:$G$230="acoes"))*Inputs!$B$1+((Inputs!$G$5:$G$230&lt;&gt;"moeda")*(Inputs!$G$5:$G$230&lt;&gt;"acoes")))*INDEX(Inputs!$K$5:$AJ$230,0,MATCH(O$2,Inputs!$K$4:$AJ$4,0)))))</f>
        <v>3.461</v>
      </c>
      <c r="P100" s="6">
        <f>IF(ISNA(MATCH(P$2,Inputs!$K$4:$AJ$4,0)),NA(),IF(SUMPRODUCT((Inputs!$A$5:$A$230=$B100)*ISNUMBER(INDEX(Inputs!$K$5:$AJ$230,0,MATCH(P$2,Inputs!$K$4:$AJ$4,0))))+SUMPRODUCT((Inputs!$C$5:$C$230=$B100)*ISNUMBER(INDEX(Inputs!$K$5:$AJ$230,0,MATCH(P$2,Inputs!$K$4:$AJ$4,0))))+SUMPRODUCT((Inputs!$E$5:$E$230=$B100)*ISNUMBER(INDEX(Inputs!$K$5:$AJ$230,0,MATCH(P$2,Inputs!$K$4:$AJ$4,0))))=0,NA(),SUMPRODUCT((Inputs!$A$5:$A$230=$B100)*Inputs!$B$5:$B$230*(((Inputs!$G$5:$G$230="moeda")+(Inputs!$G$5:$G$230="acoes"))*Inputs!$B$1+((Inputs!$G$5:$G$230&lt;&gt;"moeda")*(Inputs!$G$5:$G$230&lt;&gt;"acoes")))*INDEX(Inputs!$K$5:$AJ$230,0,MATCH(P$2,Inputs!$K$4:$AJ$4,0)))+SUMPRODUCT((Inputs!$C$5:$C$230=$B100)*Inputs!$D$5:$D$230*(((Inputs!$G$5:$G$230="moeda")+(Inputs!$G$5:$G$230="acoes"))*Inputs!$B$1+((Inputs!$G$5:$G$230&lt;&gt;"moeda")*(Inputs!$G$5:$G$230&lt;&gt;"acoes")))*INDEX(Inputs!$K$5:$AJ$230,0,MATCH(P$2,Inputs!$K$4:$AJ$4,0)))+SUMPRODUCT((Inputs!$E$5:$E$230=$B100)*Inputs!$F$5:$F$230*(((Inputs!$G$5:$G$230="moeda")+(Inputs!$G$5:$G$230="acoes"))*Inputs!$B$1+((Inputs!$G$5:$G$230&lt;&gt;"moeda")*(Inputs!$G$5:$G$230&lt;&gt;"acoes")))*INDEX(Inputs!$K$5:$AJ$230,0,MATCH(P$2,Inputs!$K$4:$AJ$4,0)))))</f>
        <v>4.19</v>
      </c>
      <c r="Q100" s="6">
        <f>IF(ISNA(MATCH(Q$2,Inputs!$K$4:$AJ$4,0)),NA(),IF(SUMPRODUCT((Inputs!$A$5:$A$230=$B100)*ISNUMBER(INDEX(Inputs!$K$5:$AJ$230,0,MATCH(Q$2,Inputs!$K$4:$AJ$4,0))))+SUMPRODUCT((Inputs!$C$5:$C$230=$B100)*ISNUMBER(INDEX(Inputs!$K$5:$AJ$230,0,MATCH(Q$2,Inputs!$K$4:$AJ$4,0))))+SUMPRODUCT((Inputs!$E$5:$E$230=$B100)*ISNUMBER(INDEX(Inputs!$K$5:$AJ$230,0,MATCH(Q$2,Inputs!$K$4:$AJ$4,0))))=0,NA(),SUMPRODUCT((Inputs!$A$5:$A$230=$B100)*Inputs!$B$5:$B$230*(((Inputs!$G$5:$G$230="moeda")+(Inputs!$G$5:$G$230="acoes"))*Inputs!$B$1+((Inputs!$G$5:$G$230&lt;&gt;"moeda")*(Inputs!$G$5:$G$230&lt;&gt;"acoes")))*INDEX(Inputs!$K$5:$AJ$230,0,MATCH(Q$2,Inputs!$K$4:$AJ$4,0)))+SUMPRODUCT((Inputs!$C$5:$C$230=$B100)*Inputs!$D$5:$D$230*(((Inputs!$G$5:$G$230="moeda")+(Inputs!$G$5:$G$230="acoes"))*Inputs!$B$1+((Inputs!$G$5:$G$230&lt;&gt;"moeda")*(Inputs!$G$5:$G$230&lt;&gt;"acoes")))*INDEX(Inputs!$K$5:$AJ$230,0,MATCH(Q$2,Inputs!$K$4:$AJ$4,0)))+SUMPRODUCT((Inputs!$E$5:$E$230=$B100)*Inputs!$F$5:$F$230*(((Inputs!$G$5:$G$230="moeda")+(Inputs!$G$5:$G$230="acoes"))*Inputs!$B$1+((Inputs!$G$5:$G$230&lt;&gt;"moeda")*(Inputs!$G$5:$G$230&lt;&gt;"acoes")))*INDEX(Inputs!$K$5:$AJ$230,0,MATCH(Q$2,Inputs!$K$4:$AJ$4,0)))))</f>
        <v>4.087</v>
      </c>
      <c r="R100" s="3">
        <f>SUM(N100:Q100)</f>
        <v>15.512</v>
      </c>
      <c r="S100" s="6">
        <f>IF(ISNA(MATCH(S$2,Inputs!$K$4:$AJ$4,0)),NA(),IF(SUMPRODUCT((Inputs!$A$5:$A$230=$B100)*ISNUMBER(INDEX(Inputs!$K$5:$AJ$230,0,MATCH(S$2,Inputs!$K$4:$AJ$4,0))))+SUMPRODUCT((Inputs!$C$5:$C$230=$B100)*ISNUMBER(INDEX(Inputs!$K$5:$AJ$230,0,MATCH(S$2,Inputs!$K$4:$AJ$4,0))))+SUMPRODUCT((Inputs!$E$5:$E$230=$B100)*ISNUMBER(INDEX(Inputs!$K$5:$AJ$230,0,MATCH(S$2,Inputs!$K$4:$AJ$4,0))))=0,NA(),SUMPRODUCT((Inputs!$A$5:$A$230=$B100)*Inputs!$B$5:$B$230*(((Inputs!$G$5:$G$230="moeda")+(Inputs!$G$5:$G$230="acoes"))*Inputs!$B$1+((Inputs!$G$5:$G$230&lt;&gt;"moeda")*(Inputs!$G$5:$G$230&lt;&gt;"acoes")))*INDEX(Inputs!$K$5:$AJ$230,0,MATCH(S$2,Inputs!$K$4:$AJ$4,0)))+SUMPRODUCT((Inputs!$C$5:$C$230=$B100)*Inputs!$D$5:$D$230*(((Inputs!$G$5:$G$230="moeda")+(Inputs!$G$5:$G$230="acoes"))*Inputs!$B$1+((Inputs!$G$5:$G$230&lt;&gt;"moeda")*(Inputs!$G$5:$G$230&lt;&gt;"acoes")))*INDEX(Inputs!$K$5:$AJ$230,0,MATCH(S$2,Inputs!$K$4:$AJ$4,0)))+SUMPRODUCT((Inputs!$E$5:$E$230=$B100)*Inputs!$F$5:$F$230*(((Inputs!$G$5:$G$230="moeda")+(Inputs!$G$5:$G$230="acoes"))*Inputs!$B$1+((Inputs!$G$5:$G$230&lt;&gt;"moeda")*(Inputs!$G$5:$G$230&lt;&gt;"acoes")))*INDEX(Inputs!$K$5:$AJ$230,0,MATCH(S$2,Inputs!$K$4:$AJ$4,0)))))</f>
        <v>2.918</v>
      </c>
      <c r="T100" s="6">
        <f>IF(ISNA(MATCH(T$2,Inputs!$K$4:$AJ$4,0)),NA(),IF(SUMPRODUCT((Inputs!$A$5:$A$230=$B100)*ISNUMBER(INDEX(Inputs!$K$5:$AJ$230,0,MATCH(T$2,Inputs!$K$4:$AJ$4,0))))+SUMPRODUCT((Inputs!$C$5:$C$230=$B100)*ISNUMBER(INDEX(Inputs!$K$5:$AJ$230,0,MATCH(T$2,Inputs!$K$4:$AJ$4,0))))+SUMPRODUCT((Inputs!$E$5:$E$230=$B100)*ISNUMBER(INDEX(Inputs!$K$5:$AJ$230,0,MATCH(T$2,Inputs!$K$4:$AJ$4,0))))=0,NA(),SUMPRODUCT((Inputs!$A$5:$A$230=$B100)*Inputs!$B$5:$B$230*(((Inputs!$G$5:$G$230="moeda")+(Inputs!$G$5:$G$230="acoes"))*Inputs!$B$1+((Inputs!$G$5:$G$230&lt;&gt;"moeda")*(Inputs!$G$5:$G$230&lt;&gt;"acoes")))*INDEX(Inputs!$K$5:$AJ$230,0,MATCH(T$2,Inputs!$K$4:$AJ$4,0)))+SUMPRODUCT((Inputs!$C$5:$C$230=$B100)*Inputs!$D$5:$D$230*(((Inputs!$G$5:$G$230="moeda")+(Inputs!$G$5:$G$230="acoes"))*Inputs!$B$1+((Inputs!$G$5:$G$230&lt;&gt;"moeda")*(Inputs!$G$5:$G$230&lt;&gt;"acoes")))*INDEX(Inputs!$K$5:$AJ$230,0,MATCH(T$2,Inputs!$K$4:$AJ$4,0)))+SUMPRODUCT((Inputs!$E$5:$E$230=$B100)*Inputs!$F$5:$F$230*(((Inputs!$G$5:$G$230="moeda")+(Inputs!$G$5:$G$230="acoes"))*Inputs!$B$1+((Inputs!$G$5:$G$230&lt;&gt;"moeda")*(Inputs!$G$5:$G$230&lt;&gt;"acoes")))*INDEX(Inputs!$K$5:$AJ$230,0,MATCH(T$2,Inputs!$K$4:$AJ$4,0)))))</f>
        <v>1.988</v>
      </c>
      <c r="U100" s="6">
        <f>IF(ISNA(MATCH(U$2,Inputs!$K$4:$AJ$4,0)),NA(),IF(SUMPRODUCT((Inputs!$A$5:$A$230=$B100)*ISNUMBER(INDEX(Inputs!$K$5:$AJ$230,0,MATCH(U$2,Inputs!$K$4:$AJ$4,0))))+SUMPRODUCT((Inputs!$C$5:$C$230=$B100)*ISNUMBER(INDEX(Inputs!$K$5:$AJ$230,0,MATCH(U$2,Inputs!$K$4:$AJ$4,0))))+SUMPRODUCT((Inputs!$E$5:$E$230=$B100)*ISNUMBER(INDEX(Inputs!$K$5:$AJ$230,0,MATCH(U$2,Inputs!$K$4:$AJ$4,0))))=0,NA(),SUMPRODUCT((Inputs!$A$5:$A$230=$B100)*Inputs!$B$5:$B$230*(((Inputs!$G$5:$G$230="moeda")+(Inputs!$G$5:$G$230="acoes"))*Inputs!$B$1+((Inputs!$G$5:$G$230&lt;&gt;"moeda")*(Inputs!$G$5:$G$230&lt;&gt;"acoes")))*INDEX(Inputs!$K$5:$AJ$230,0,MATCH(U$2,Inputs!$K$4:$AJ$4,0)))+SUMPRODUCT((Inputs!$C$5:$C$230=$B100)*Inputs!$D$5:$D$230*(((Inputs!$G$5:$G$230="moeda")+(Inputs!$G$5:$G$230="acoes"))*Inputs!$B$1+((Inputs!$G$5:$G$230&lt;&gt;"moeda")*(Inputs!$G$5:$G$230&lt;&gt;"acoes")))*INDEX(Inputs!$K$5:$AJ$230,0,MATCH(U$2,Inputs!$K$4:$AJ$4,0)))+SUMPRODUCT((Inputs!$E$5:$E$230=$B100)*Inputs!$F$5:$F$230*(((Inputs!$G$5:$G$230="moeda")+(Inputs!$G$5:$G$230="acoes"))*Inputs!$B$1+((Inputs!$G$5:$G$230&lt;&gt;"moeda")*(Inputs!$G$5:$G$230&lt;&gt;"acoes")))*INDEX(Inputs!$K$5:$AJ$230,0,MATCH(U$2,Inputs!$K$4:$AJ$4,0)))))</f>
        <v>2.443</v>
      </c>
      <c r="V100" s="6">
        <f>IF(ISNA(MATCH(V$2,Inputs!$K$4:$AJ$4,0)),NA(),IF(SUMPRODUCT((Inputs!$A$5:$A$230=$B100)*ISNUMBER(INDEX(Inputs!$K$5:$AJ$230,0,MATCH(V$2,Inputs!$K$4:$AJ$4,0))))+SUMPRODUCT((Inputs!$C$5:$C$230=$B100)*ISNUMBER(INDEX(Inputs!$K$5:$AJ$230,0,MATCH(V$2,Inputs!$K$4:$AJ$4,0))))+SUMPRODUCT((Inputs!$E$5:$E$230=$B100)*ISNUMBER(INDEX(Inputs!$K$5:$AJ$230,0,MATCH(V$2,Inputs!$K$4:$AJ$4,0))))=0,NA(),SUMPRODUCT((Inputs!$A$5:$A$230=$B100)*Inputs!$B$5:$B$230*(((Inputs!$G$5:$G$230="moeda")+(Inputs!$G$5:$G$230="acoes"))*Inputs!$B$1+((Inputs!$G$5:$G$230&lt;&gt;"moeda")*(Inputs!$G$5:$G$230&lt;&gt;"acoes")))*INDEX(Inputs!$K$5:$AJ$230,0,MATCH(V$2,Inputs!$K$4:$AJ$4,0)))+SUMPRODUCT((Inputs!$C$5:$C$230=$B100)*Inputs!$D$5:$D$230*(((Inputs!$G$5:$G$230="moeda")+(Inputs!$G$5:$G$230="acoes"))*Inputs!$B$1+((Inputs!$G$5:$G$230&lt;&gt;"moeda")*(Inputs!$G$5:$G$230&lt;&gt;"acoes")))*INDEX(Inputs!$K$5:$AJ$230,0,MATCH(V$2,Inputs!$K$4:$AJ$4,0)))+SUMPRODUCT((Inputs!$E$5:$E$230=$B100)*Inputs!$F$5:$F$230*(((Inputs!$G$5:$G$230="moeda")+(Inputs!$G$5:$G$230="acoes"))*Inputs!$B$1+((Inputs!$G$5:$G$230&lt;&gt;"moeda")*(Inputs!$G$5:$G$230&lt;&gt;"acoes")))*INDEX(Inputs!$K$5:$AJ$230,0,MATCH(V$2,Inputs!$K$4:$AJ$4,0)))))</f>
        <v>5.512</v>
      </c>
      <c r="W100" s="3">
        <f>SUM(S100:V100)</f>
        <v>12.861</v>
      </c>
      <c r="X100" s="6">
        <f>IF(ISNA(MATCH(X$2,Inputs!$K$4:$AJ$4,0)),NA(),IF(SUMPRODUCT((Inputs!$A$5:$A$230=$B100)*ISNUMBER(INDEX(Inputs!$K$5:$AJ$230,0,MATCH(X$2,Inputs!$K$4:$AJ$4,0))))+SUMPRODUCT((Inputs!$C$5:$C$230=$B100)*ISNUMBER(INDEX(Inputs!$K$5:$AJ$230,0,MATCH(X$2,Inputs!$K$4:$AJ$4,0))))+SUMPRODUCT((Inputs!$E$5:$E$230=$B100)*ISNUMBER(INDEX(Inputs!$K$5:$AJ$230,0,MATCH(X$2,Inputs!$K$4:$AJ$4,0))))=0,NA(),SUMPRODUCT((Inputs!$A$5:$A$230=$B100)*Inputs!$B$5:$B$230*(((Inputs!$G$5:$G$230="moeda")+(Inputs!$G$5:$G$230="acoes"))*Inputs!$B$1+((Inputs!$G$5:$G$230&lt;&gt;"moeda")*(Inputs!$G$5:$G$230&lt;&gt;"acoes")))*INDEX(Inputs!$K$5:$AJ$230,0,MATCH(X$2,Inputs!$K$4:$AJ$4,0)))+SUMPRODUCT((Inputs!$C$5:$C$230=$B100)*Inputs!$D$5:$D$230*(((Inputs!$G$5:$G$230="moeda")+(Inputs!$G$5:$G$230="acoes"))*Inputs!$B$1+((Inputs!$G$5:$G$230&lt;&gt;"moeda")*(Inputs!$G$5:$G$230&lt;&gt;"acoes")))*INDEX(Inputs!$K$5:$AJ$230,0,MATCH(X$2,Inputs!$K$4:$AJ$4,0)))+SUMPRODUCT((Inputs!$E$5:$E$230=$B100)*Inputs!$F$5:$F$230*(((Inputs!$G$5:$G$230="moeda")+(Inputs!$G$5:$G$230="acoes"))*Inputs!$B$1+((Inputs!$G$5:$G$230&lt;&gt;"moeda")*(Inputs!$G$5:$G$230&lt;&gt;"acoes")))*INDEX(Inputs!$K$5:$AJ$230,0,MATCH(X$2,Inputs!$K$4:$AJ$4,0)))))</f>
        <v>2.62</v>
      </c>
      <c r="Y100" s="6">
        <f>IF(ISNA(MATCH(Y$2,Inputs!$K$4:$AJ$4,0)),NA(),IF(SUMPRODUCT((Inputs!$A$5:$A$230=$B100)*ISNUMBER(INDEX(Inputs!$K$5:$AJ$230,0,MATCH(Y$2,Inputs!$K$4:$AJ$4,0))))+SUMPRODUCT((Inputs!$C$5:$C$230=$B100)*ISNUMBER(INDEX(Inputs!$K$5:$AJ$230,0,MATCH(Y$2,Inputs!$K$4:$AJ$4,0))))+SUMPRODUCT((Inputs!$E$5:$E$230=$B100)*ISNUMBER(INDEX(Inputs!$K$5:$AJ$230,0,MATCH(Y$2,Inputs!$K$4:$AJ$4,0))))=0,NA(),SUMPRODUCT((Inputs!$A$5:$A$230=$B100)*Inputs!$B$5:$B$230*(((Inputs!$G$5:$G$230="moeda")+(Inputs!$G$5:$G$230="acoes"))*Inputs!$B$1+((Inputs!$G$5:$G$230&lt;&gt;"moeda")*(Inputs!$G$5:$G$230&lt;&gt;"acoes")))*INDEX(Inputs!$K$5:$AJ$230,0,MATCH(Y$2,Inputs!$K$4:$AJ$4,0)))+SUMPRODUCT((Inputs!$C$5:$C$230=$B100)*Inputs!$D$5:$D$230*(((Inputs!$G$5:$G$230="moeda")+(Inputs!$G$5:$G$230="acoes"))*Inputs!$B$1+((Inputs!$G$5:$G$230&lt;&gt;"moeda")*(Inputs!$G$5:$G$230&lt;&gt;"acoes")))*INDEX(Inputs!$K$5:$AJ$230,0,MATCH(Y$2,Inputs!$K$4:$AJ$4,0)))+SUMPRODUCT((Inputs!$E$5:$E$230=$B100)*Inputs!$F$5:$F$230*(((Inputs!$G$5:$G$230="moeda")+(Inputs!$G$5:$G$230="acoes"))*Inputs!$B$1+((Inputs!$G$5:$G$230&lt;&gt;"moeda")*(Inputs!$G$5:$G$230&lt;&gt;"acoes")))*INDEX(Inputs!$K$5:$AJ$230,0,MATCH(Y$2,Inputs!$K$4:$AJ$4,0)))))</f>
        <v>3.445</v>
      </c>
      <c r="Z100" s="6">
        <f>IF(ISNA(MATCH(Z$2,Inputs!$K$4:$AJ$4,0)),NA(),IF(SUMPRODUCT((Inputs!$A$5:$A$230=$B100)*ISNUMBER(INDEX(Inputs!$K$5:$AJ$230,0,MATCH(Z$2,Inputs!$K$4:$AJ$4,0))))+SUMPRODUCT((Inputs!$C$5:$C$230=$B100)*ISNUMBER(INDEX(Inputs!$K$5:$AJ$230,0,MATCH(Z$2,Inputs!$K$4:$AJ$4,0))))+SUMPRODUCT((Inputs!$E$5:$E$230=$B100)*ISNUMBER(INDEX(Inputs!$K$5:$AJ$230,0,MATCH(Z$2,Inputs!$K$4:$AJ$4,0))))=0,NA(),SUMPRODUCT((Inputs!$A$5:$A$230=$B100)*Inputs!$B$5:$B$230*(((Inputs!$G$5:$G$230="moeda")+(Inputs!$G$5:$G$230="acoes"))*Inputs!$B$1+((Inputs!$G$5:$G$230&lt;&gt;"moeda")*(Inputs!$G$5:$G$230&lt;&gt;"acoes")))*INDEX(Inputs!$K$5:$AJ$230,0,MATCH(Z$2,Inputs!$K$4:$AJ$4,0)))+SUMPRODUCT((Inputs!$C$5:$C$230=$B100)*Inputs!$D$5:$D$230*(((Inputs!$G$5:$G$230="moeda")+(Inputs!$G$5:$G$230="acoes"))*Inputs!$B$1+((Inputs!$G$5:$G$230&lt;&gt;"moeda")*(Inputs!$G$5:$G$230&lt;&gt;"acoes")))*INDEX(Inputs!$K$5:$AJ$230,0,MATCH(Z$2,Inputs!$K$4:$AJ$4,0)))+SUMPRODUCT((Inputs!$E$5:$E$230=$B100)*Inputs!$F$5:$F$230*(((Inputs!$G$5:$G$230="moeda")+(Inputs!$G$5:$G$230="acoes"))*Inputs!$B$1+((Inputs!$G$5:$G$230&lt;&gt;"moeda")*(Inputs!$G$5:$G$230&lt;&gt;"acoes")))*INDEX(Inputs!$K$5:$AJ$230,0,MATCH(Z$2,Inputs!$K$4:$AJ$4,0)))))</f>
        <v>4.265</v>
      </c>
      <c r="AA100" s="6">
        <f>IF(ISNA(MATCH(AA$2,Inputs!$K$4:$AJ$4,0)),NA(),IF(SUMPRODUCT((Inputs!$A$5:$A$230=$B100)*ISNUMBER(INDEX(Inputs!$K$5:$AJ$230,0,MATCH(AA$2,Inputs!$K$4:$AJ$4,0))))+SUMPRODUCT((Inputs!$C$5:$C$230=$B100)*ISNUMBER(INDEX(Inputs!$K$5:$AJ$230,0,MATCH(AA$2,Inputs!$K$4:$AJ$4,0))))+SUMPRODUCT((Inputs!$E$5:$E$230=$B100)*ISNUMBER(INDEX(Inputs!$K$5:$AJ$230,0,MATCH(AA$2,Inputs!$K$4:$AJ$4,0))))=0,NA(),SUMPRODUCT((Inputs!$A$5:$A$230=$B100)*Inputs!$B$5:$B$230*(((Inputs!$G$5:$G$230="moeda")+(Inputs!$G$5:$G$230="acoes"))*Inputs!$B$1+((Inputs!$G$5:$G$230&lt;&gt;"moeda")*(Inputs!$G$5:$G$230&lt;&gt;"acoes")))*INDEX(Inputs!$K$5:$AJ$230,0,MATCH(AA$2,Inputs!$K$4:$AJ$4,0)))+SUMPRODUCT((Inputs!$C$5:$C$230=$B100)*Inputs!$D$5:$D$230*(((Inputs!$G$5:$G$230="moeda")+(Inputs!$G$5:$G$230="acoes"))*Inputs!$B$1+((Inputs!$G$5:$G$230&lt;&gt;"moeda")*(Inputs!$G$5:$G$230&lt;&gt;"acoes")))*INDEX(Inputs!$K$5:$AJ$230,0,MATCH(AA$2,Inputs!$K$4:$AJ$4,0)))+SUMPRODUCT((Inputs!$E$5:$E$230=$B100)*Inputs!$F$5:$F$230*(((Inputs!$G$5:$G$230="moeda")+(Inputs!$G$5:$G$230="acoes"))*Inputs!$B$1+((Inputs!$G$5:$G$230&lt;&gt;"moeda")*(Inputs!$G$5:$G$230&lt;&gt;"acoes")))*INDEX(Inputs!$K$5:$AJ$230,0,MATCH(AA$2,Inputs!$K$4:$AJ$4,0)))))</f>
        <v>4.443</v>
      </c>
      <c r="AB100" s="3">
        <f>SUM(X100:AA100)</f>
        <v>14.773</v>
      </c>
      <c r="AC100" s="6">
        <f>IF(ISNA(MATCH(AC$2,Inputs!$K$4:$AJ$4,0)),NA(),IF(SUMPRODUCT((Inputs!$A$5:$A$230=$B100)*ISNUMBER(INDEX(Inputs!$K$5:$AJ$230,0,MATCH(AC$2,Inputs!$K$4:$AJ$4,0))))+SUMPRODUCT((Inputs!$C$5:$C$230=$B100)*ISNUMBER(INDEX(Inputs!$K$5:$AJ$230,0,MATCH(AC$2,Inputs!$K$4:$AJ$4,0))))+SUMPRODUCT((Inputs!$E$5:$E$230=$B100)*ISNUMBER(INDEX(Inputs!$K$5:$AJ$230,0,MATCH(AC$2,Inputs!$K$4:$AJ$4,0))))=0,NA(),SUMPRODUCT((Inputs!$A$5:$A$230=$B100)*Inputs!$B$5:$B$230*(((Inputs!$G$5:$G$230="moeda")+(Inputs!$G$5:$G$230="acoes"))*Inputs!$B$1+((Inputs!$G$5:$G$230&lt;&gt;"moeda")*(Inputs!$G$5:$G$230&lt;&gt;"acoes")))*INDEX(Inputs!$K$5:$AJ$230,0,MATCH(AC$2,Inputs!$K$4:$AJ$4,0)))+SUMPRODUCT((Inputs!$C$5:$C$230=$B100)*Inputs!$D$5:$D$230*(((Inputs!$G$5:$G$230="moeda")+(Inputs!$G$5:$G$230="acoes"))*Inputs!$B$1+((Inputs!$G$5:$G$230&lt;&gt;"moeda")*(Inputs!$G$5:$G$230&lt;&gt;"acoes")))*INDEX(Inputs!$K$5:$AJ$230,0,MATCH(AC$2,Inputs!$K$4:$AJ$4,0)))+SUMPRODUCT((Inputs!$E$5:$E$230=$B100)*Inputs!$F$5:$F$230*(((Inputs!$G$5:$G$230="moeda")+(Inputs!$G$5:$G$230="acoes"))*Inputs!$B$1+((Inputs!$G$5:$G$230&lt;&gt;"moeda")*(Inputs!$G$5:$G$230&lt;&gt;"acoes")))*INDEX(Inputs!$K$5:$AJ$230,0,MATCH(AC$2,Inputs!$K$4:$AJ$4,0)))))</f>
        <v>3.461</v>
      </c>
      <c r="AD100" s="6">
        <f>IF(ISNA(MATCH(AD$2,Inputs!$K$4:$AJ$4,0)),NA(),IF(SUMPRODUCT((Inputs!$A$5:$A$230=$B100)*ISNUMBER(INDEX(Inputs!$K$5:$AJ$230,0,MATCH(AD$2,Inputs!$K$4:$AJ$4,0))))+SUMPRODUCT((Inputs!$C$5:$C$230=$B100)*ISNUMBER(INDEX(Inputs!$K$5:$AJ$230,0,MATCH(AD$2,Inputs!$K$4:$AJ$4,0))))+SUMPRODUCT((Inputs!$E$5:$E$230=$B100)*ISNUMBER(INDEX(Inputs!$K$5:$AJ$230,0,MATCH(AD$2,Inputs!$K$4:$AJ$4,0))))=0,NA(),SUMPRODUCT((Inputs!$A$5:$A$230=$B100)*Inputs!$B$5:$B$230*(((Inputs!$G$5:$G$230="moeda")+(Inputs!$G$5:$G$230="acoes"))*Inputs!$B$1+((Inputs!$G$5:$G$230&lt;&gt;"moeda")*(Inputs!$G$5:$G$230&lt;&gt;"acoes")))*INDEX(Inputs!$K$5:$AJ$230,0,MATCH(AD$2,Inputs!$K$4:$AJ$4,0)))+SUMPRODUCT((Inputs!$C$5:$C$230=$B100)*Inputs!$D$5:$D$230*(((Inputs!$G$5:$G$230="moeda")+(Inputs!$G$5:$G$230="acoes"))*Inputs!$B$1+((Inputs!$G$5:$G$230&lt;&gt;"moeda")*(Inputs!$G$5:$G$230&lt;&gt;"acoes")))*INDEX(Inputs!$K$5:$AJ$230,0,MATCH(AD$2,Inputs!$K$4:$AJ$4,0)))+SUMPRODUCT((Inputs!$E$5:$E$230=$B100)*Inputs!$F$5:$F$230*(((Inputs!$G$5:$G$230="moeda")+(Inputs!$G$5:$G$230="acoes"))*Inputs!$B$1+((Inputs!$G$5:$G$230&lt;&gt;"moeda")*(Inputs!$G$5:$G$230&lt;&gt;"acoes")))*INDEX(Inputs!$K$5:$AJ$230,0,MATCH(AD$2,Inputs!$K$4:$AJ$4,0)))))</f>
        <v>1.656</v>
      </c>
      <c r="AE100" s="6" t="e">
        <f>IF(ISNA(MATCH(AE$2,Inputs!$K$4:$AJ$4,0)),NA(),IF(SUMPRODUCT((Inputs!$A$5:$A$230=$B100)*ISNUMBER(INDEX(Inputs!$K$5:$AJ$230,0,MATCH(AE$2,Inputs!$K$4:$AJ$4,0))))+SUMPRODUCT((Inputs!$C$5:$C$230=$B100)*ISNUMBER(INDEX(Inputs!$K$5:$AJ$230,0,MATCH(AE$2,Inputs!$K$4:$AJ$4,0))))+SUMPRODUCT((Inputs!$E$5:$E$230=$B100)*ISNUMBER(INDEX(Inputs!$K$5:$AJ$230,0,MATCH(AE$2,Inputs!$K$4:$AJ$4,0))))=0,NA(),SUMPRODUCT((Inputs!$A$5:$A$230=$B100)*Inputs!$B$5:$B$230*(((Inputs!$G$5:$G$230="moeda")+(Inputs!$G$5:$G$230="acoes"))*Inputs!$B$1+((Inputs!$G$5:$G$230&lt;&gt;"moeda")*(Inputs!$G$5:$G$230&lt;&gt;"acoes")))*INDEX(Inputs!$K$5:$AJ$230,0,MATCH(AE$2,Inputs!$K$4:$AJ$4,0)))+SUMPRODUCT((Inputs!$C$5:$C$230=$B100)*Inputs!$D$5:$D$230*(((Inputs!$G$5:$G$230="moeda")+(Inputs!$G$5:$G$230="acoes"))*Inputs!$B$1+((Inputs!$G$5:$G$230&lt;&gt;"moeda")*(Inputs!$G$5:$G$230&lt;&gt;"acoes")))*INDEX(Inputs!$K$5:$AJ$230,0,MATCH(AE$2,Inputs!$K$4:$AJ$4,0)))+SUMPRODUCT((Inputs!$E$5:$E$230=$B100)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00" s="6" t="e">
        <f>IF(ISNA(MATCH(AF$2,Inputs!$K$4:$AJ$4,0)),NA(),IF(SUMPRODUCT((Inputs!$A$5:$A$230=$B100)*ISNUMBER(INDEX(Inputs!$K$5:$AJ$230,0,MATCH(AF$2,Inputs!$K$4:$AJ$4,0))))+SUMPRODUCT((Inputs!$C$5:$C$230=$B100)*ISNUMBER(INDEX(Inputs!$K$5:$AJ$230,0,MATCH(AF$2,Inputs!$K$4:$AJ$4,0))))+SUMPRODUCT((Inputs!$E$5:$E$230=$B100)*ISNUMBER(INDEX(Inputs!$K$5:$AJ$230,0,MATCH(AF$2,Inputs!$K$4:$AJ$4,0))))=0,NA(),SUMPRODUCT((Inputs!$A$5:$A$230=$B100)*Inputs!$B$5:$B$230*(((Inputs!$G$5:$G$230="moeda")+(Inputs!$G$5:$G$230="acoes"))*Inputs!$B$1+((Inputs!$G$5:$G$230&lt;&gt;"moeda")*(Inputs!$G$5:$G$230&lt;&gt;"acoes")))*INDEX(Inputs!$K$5:$AJ$230,0,MATCH(AF$2,Inputs!$K$4:$AJ$4,0)))+SUMPRODUCT((Inputs!$C$5:$C$230=$B100)*Inputs!$D$5:$D$230*(((Inputs!$G$5:$G$230="moeda")+(Inputs!$G$5:$G$230="acoes"))*Inputs!$B$1+((Inputs!$G$5:$G$230&lt;&gt;"moeda")*(Inputs!$G$5:$G$230&lt;&gt;"acoes")))*INDEX(Inputs!$K$5:$AJ$230,0,MATCH(AF$2,Inputs!$K$4:$AJ$4,0)))+SUMPRODUCT((Inputs!$E$5:$E$230=$B100)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00" s="3" t="e">
        <f>SUM(AC100:AF100)</f>
        <v>#N/A</v>
      </c>
      <c r="AH100" s="6">
        <f>IF(ISNA(MATCH(AH$2,Inputs!$K$4:$AJ$4,0)),NA(),IF(SUMPRODUCT((Inputs!$A$5:$A$230=$B100)*ISNUMBER(INDEX(Inputs!$K$5:$AJ$230,0,MATCH(AH$2,Inputs!$K$4:$AJ$4,0))))+SUMPRODUCT((Inputs!$C$5:$C$230=$B100)*ISNUMBER(INDEX(Inputs!$K$5:$AJ$230,0,MATCH(AH$2,Inputs!$K$4:$AJ$4,0))))+SUMPRODUCT((Inputs!$E$5:$E$230=$B100)*ISNUMBER(INDEX(Inputs!$K$5:$AJ$230,0,MATCH(AH$2,Inputs!$K$4:$AJ$4,0))))=0,NA(),SUMPRODUCT((Inputs!$A$5:$A$230=$B100)*Inputs!$B$5:$B$230*(((Inputs!$G$5:$G$230="moeda")+(Inputs!$G$5:$G$230="acoes"))*Inputs!$B$1+((Inputs!$G$5:$G$230&lt;&gt;"moeda")*(Inputs!$G$5:$G$230&lt;&gt;"acoes")))*INDEX(Inputs!$K$5:$AJ$230,0,MATCH(AH$2,Inputs!$K$4:$AJ$4,0)))+SUMPRODUCT((Inputs!$C$5:$C$230=$B100)*Inputs!$D$5:$D$230*(((Inputs!$G$5:$G$230="moeda")+(Inputs!$G$5:$G$230="acoes"))*Inputs!$B$1+((Inputs!$G$5:$G$230&lt;&gt;"moeda")*(Inputs!$G$5:$G$230&lt;&gt;"acoes")))*INDEX(Inputs!$K$5:$AJ$230,0,MATCH(AH$2,Inputs!$K$4:$AJ$4,0)))+SUMPRODUCT((Inputs!$E$5:$E$230=$B100)*Inputs!$F$5:$F$230*(((Inputs!$G$5:$G$230="moeda")+(Inputs!$G$5:$G$230="acoes"))*Inputs!$B$1+((Inputs!$G$5:$G$230&lt;&gt;"moeda")*(Inputs!$G$5:$G$230&lt;&gt;"acoes")))*INDEX(Inputs!$K$5:$AJ$230,0,MATCH(AH$2,Inputs!$K$4:$AJ$4,0)))))</f>
        <v>3.128</v>
      </c>
      <c r="AI100" s="6">
        <f>IF(ISNA(MATCH(AI$2,Inputs!$K$4:$AJ$4,0)),NA(),IF(SUMPRODUCT((Inputs!$A$5:$A$230=$B100)*ISNUMBER(INDEX(Inputs!$K$5:$AJ$230,0,MATCH(AI$2,Inputs!$K$4:$AJ$4,0))))+SUMPRODUCT((Inputs!$C$5:$C$230=$B100)*ISNUMBER(INDEX(Inputs!$K$5:$AJ$230,0,MATCH(AI$2,Inputs!$K$4:$AJ$4,0))))+SUMPRODUCT((Inputs!$E$5:$E$230=$B100)*ISNUMBER(INDEX(Inputs!$K$5:$AJ$230,0,MATCH(AI$2,Inputs!$K$4:$AJ$4,0))))=0,NA(),SUMPRODUCT((Inputs!$A$5:$A$230=$B100)*Inputs!$B$5:$B$230*(((Inputs!$G$5:$G$230="moeda")+(Inputs!$G$5:$G$230="acoes"))*Inputs!$B$1+((Inputs!$G$5:$G$230&lt;&gt;"moeda")*(Inputs!$G$5:$G$230&lt;&gt;"acoes")))*INDEX(Inputs!$K$5:$AJ$230,0,MATCH(AI$2,Inputs!$K$4:$AJ$4,0)))+SUMPRODUCT((Inputs!$C$5:$C$230=$B100)*Inputs!$D$5:$D$230*(((Inputs!$G$5:$G$230="moeda")+(Inputs!$G$5:$G$230="acoes"))*Inputs!$B$1+((Inputs!$G$5:$G$230&lt;&gt;"moeda")*(Inputs!$G$5:$G$230&lt;&gt;"acoes")))*INDEX(Inputs!$K$5:$AJ$230,0,MATCH(AI$2,Inputs!$K$4:$AJ$4,0)))+SUMPRODUCT((Inputs!$E$5:$E$230=$B100)*Inputs!$F$5:$F$230*(((Inputs!$G$5:$G$230="moeda")+(Inputs!$G$5:$G$230="acoes"))*Inputs!$B$1+((Inputs!$G$5:$G$230&lt;&gt;"moeda")*(Inputs!$G$5:$G$230&lt;&gt;"acoes")))*INDEX(Inputs!$K$5:$AJ$230,0,MATCH(AI$2,Inputs!$K$4:$AJ$4,0)))))</f>
        <v>3.125</v>
      </c>
      <c r="AJ100" s="6">
        <f>IF(ISNA(MATCH(AJ$2,Inputs!$K$4:$AJ$4,0)),NA(),IF(SUMPRODUCT((Inputs!$A$5:$A$230=$B100)*ISNUMBER(INDEX(Inputs!$K$5:$AJ$230,0,MATCH(AJ$2,Inputs!$K$4:$AJ$4,0))))+SUMPRODUCT((Inputs!$C$5:$C$230=$B100)*ISNUMBER(INDEX(Inputs!$K$5:$AJ$230,0,MATCH(AJ$2,Inputs!$K$4:$AJ$4,0))))+SUMPRODUCT((Inputs!$E$5:$E$230=$B100)*ISNUMBER(INDEX(Inputs!$K$5:$AJ$230,0,MATCH(AJ$2,Inputs!$K$4:$AJ$4,0))))=0,NA(),SUMPRODUCT((Inputs!$A$5:$A$230=$B100)*Inputs!$B$5:$B$230*(((Inputs!$G$5:$G$230="moeda")+(Inputs!$G$5:$G$230="acoes"))*Inputs!$B$1+((Inputs!$G$5:$G$230&lt;&gt;"moeda")*(Inputs!$G$5:$G$230&lt;&gt;"acoes")))*INDEX(Inputs!$K$5:$AJ$230,0,MATCH(AJ$2,Inputs!$K$4:$AJ$4,0)))+SUMPRODUCT((Inputs!$C$5:$C$230=$B100)*Inputs!$D$5:$D$230*(((Inputs!$G$5:$G$230="moeda")+(Inputs!$G$5:$G$230="acoes"))*Inputs!$B$1+((Inputs!$G$5:$G$230&lt;&gt;"moeda")*(Inputs!$G$5:$G$230&lt;&gt;"acoes")))*INDEX(Inputs!$K$5:$AJ$230,0,MATCH(AJ$2,Inputs!$K$4:$AJ$4,0)))+SUMPRODUCT((Inputs!$E$5:$E$230=$B100)*Inputs!$F$5:$F$230*(((Inputs!$G$5:$G$230="moeda")+(Inputs!$G$5:$G$230="acoes"))*Inputs!$B$1+((Inputs!$G$5:$G$230&lt;&gt;"moeda")*(Inputs!$G$5:$G$230&lt;&gt;"acoes")))*INDEX(Inputs!$K$5:$AJ$230,0,MATCH(AJ$2,Inputs!$K$4:$AJ$4,0)))))</f>
        <v>3.162</v>
      </c>
      <c r="AK100" s="6">
        <f>IF(ISNA(MATCH(AK$2,Inputs!$K$4:$AJ$4,0)),NA(),IF(SUMPRODUCT((Inputs!$A$5:$A$230=$B100)*ISNUMBER(INDEX(Inputs!$K$5:$AJ$230,0,MATCH(AK$2,Inputs!$K$4:$AJ$4,0))))+SUMPRODUCT((Inputs!$C$5:$C$230=$B100)*ISNUMBER(INDEX(Inputs!$K$5:$AJ$230,0,MATCH(AK$2,Inputs!$K$4:$AJ$4,0))))+SUMPRODUCT((Inputs!$E$5:$E$230=$B100)*ISNUMBER(INDEX(Inputs!$K$5:$AJ$230,0,MATCH(AK$2,Inputs!$K$4:$AJ$4,0))))=0,NA(),SUMPRODUCT((Inputs!$A$5:$A$230=$B100)*Inputs!$B$5:$B$230*(((Inputs!$G$5:$G$230="moeda")+(Inputs!$G$5:$G$230="acoes"))*Inputs!$B$1+((Inputs!$G$5:$G$230&lt;&gt;"moeda")*(Inputs!$G$5:$G$230&lt;&gt;"acoes")))*INDEX(Inputs!$K$5:$AJ$230,0,MATCH(AK$2,Inputs!$K$4:$AJ$4,0)))+SUMPRODUCT((Inputs!$C$5:$C$230=$B100)*Inputs!$D$5:$D$230*(((Inputs!$G$5:$G$230="moeda")+(Inputs!$G$5:$G$230="acoes"))*Inputs!$B$1+((Inputs!$G$5:$G$230&lt;&gt;"moeda")*(Inputs!$G$5:$G$230&lt;&gt;"acoes")))*INDEX(Inputs!$K$5:$AJ$230,0,MATCH(AK$2,Inputs!$K$4:$AJ$4,0)))+SUMPRODUCT((Inputs!$E$5:$E$230=$B100)*Inputs!$F$5:$F$230*(((Inputs!$G$5:$G$230="moeda")+(Inputs!$G$5:$G$230="acoes"))*Inputs!$B$1+((Inputs!$G$5:$G$230&lt;&gt;"moeda")*(Inputs!$G$5:$G$230&lt;&gt;"acoes")))*INDEX(Inputs!$K$5:$AJ$230,0,MATCH(AK$2,Inputs!$K$4:$AJ$4,0)))))</f>
        <v>3.17</v>
      </c>
      <c r="AL100" s="3">
        <f>SUM(AH100:AK100)</f>
        <v>12.585</v>
      </c>
    </row>
    <row r="101">
      <c r="B101" s="46" t="n">
        <v>93</v>
      </c>
      <c r="C101" s="29" t="inlineStr">
        <is>
          <t>Geracao | EDV II</t>
        </is>
      </c>
      <c r="D101" s="6">
        <f>IF(ISNA(MATCH(D$2,Inputs!$K$4:$AJ$4,0)),NA(),IF(SUMPRODUCT((Inputs!$A$5:$A$230=$B101)*ISNUMBER(INDEX(Inputs!$K$5:$AJ$230,0,MATCH(D$2,Inputs!$K$4:$AJ$4,0))))+SUMPRODUCT((Inputs!$C$5:$C$230=$B101)*ISNUMBER(INDEX(Inputs!$K$5:$AJ$230,0,MATCH(D$2,Inputs!$K$4:$AJ$4,0))))+SUMPRODUCT((Inputs!$E$5:$E$230=$B101)*ISNUMBER(INDEX(Inputs!$K$5:$AJ$230,0,MATCH(D$2,Inputs!$K$4:$AJ$4,0))))=0,NA(),SUMPRODUCT((Inputs!$A$5:$A$230=$B101)*Inputs!$B$5:$B$230*(((Inputs!$G$5:$G$230="moeda")+(Inputs!$G$5:$G$230="acoes"))*Inputs!$B$1+((Inputs!$G$5:$G$230&lt;&gt;"moeda")*(Inputs!$G$5:$G$230&lt;&gt;"acoes")))*INDEX(Inputs!$K$5:$AJ$230,0,MATCH(D$2,Inputs!$K$4:$AJ$4,0)))+SUMPRODUCT((Inputs!$C$5:$C$230=$B101)*Inputs!$D$5:$D$230*(((Inputs!$G$5:$G$230="moeda")+(Inputs!$G$5:$G$230="acoes"))*Inputs!$B$1+((Inputs!$G$5:$G$230&lt;&gt;"moeda")*(Inputs!$G$5:$G$230&lt;&gt;"acoes")))*INDEX(Inputs!$K$5:$AJ$230,0,MATCH(D$2,Inputs!$K$4:$AJ$4,0)))+SUMPRODUCT((Inputs!$E$5:$E$230=$B101)*Inputs!$F$5:$F$230*(((Inputs!$G$5:$G$230="moeda")+(Inputs!$G$5:$G$230="acoes"))*Inputs!$B$1+((Inputs!$G$5:$G$230&lt;&gt;"moeda")*(Inputs!$G$5:$G$230&lt;&gt;"acoes")))*INDEX(Inputs!$K$5:$AJ$230,0,MATCH(D$2,Inputs!$K$4:$AJ$4,0)))))</f>
        <v>1.869</v>
      </c>
      <c r="E101" s="6">
        <f>IF(ISNA(MATCH(E$2,Inputs!$K$4:$AJ$4,0)),NA(),IF(SUMPRODUCT((Inputs!$A$5:$A$230=$B101)*ISNUMBER(INDEX(Inputs!$K$5:$AJ$230,0,MATCH(E$2,Inputs!$K$4:$AJ$4,0))))+SUMPRODUCT((Inputs!$C$5:$C$230=$B101)*ISNUMBER(INDEX(Inputs!$K$5:$AJ$230,0,MATCH(E$2,Inputs!$K$4:$AJ$4,0))))+SUMPRODUCT((Inputs!$E$5:$E$230=$B101)*ISNUMBER(INDEX(Inputs!$K$5:$AJ$230,0,MATCH(E$2,Inputs!$K$4:$AJ$4,0))))=0,NA(),SUMPRODUCT((Inputs!$A$5:$A$230=$B101)*Inputs!$B$5:$B$230*(((Inputs!$G$5:$G$230="moeda")+(Inputs!$G$5:$G$230="acoes"))*Inputs!$B$1+((Inputs!$G$5:$G$230&lt;&gt;"moeda")*(Inputs!$G$5:$G$230&lt;&gt;"acoes")))*INDEX(Inputs!$K$5:$AJ$230,0,MATCH(E$2,Inputs!$K$4:$AJ$4,0)))+SUMPRODUCT((Inputs!$C$5:$C$230=$B101)*Inputs!$D$5:$D$230*(((Inputs!$G$5:$G$230="moeda")+(Inputs!$G$5:$G$230="acoes"))*Inputs!$B$1+((Inputs!$G$5:$G$230&lt;&gt;"moeda")*(Inputs!$G$5:$G$230&lt;&gt;"acoes")))*INDEX(Inputs!$K$5:$AJ$230,0,MATCH(E$2,Inputs!$K$4:$AJ$4,0)))+SUMPRODUCT((Inputs!$E$5:$E$230=$B101)*Inputs!$F$5:$F$230*(((Inputs!$G$5:$G$230="moeda")+(Inputs!$G$5:$G$230="acoes"))*Inputs!$B$1+((Inputs!$G$5:$G$230&lt;&gt;"moeda")*(Inputs!$G$5:$G$230&lt;&gt;"acoes")))*INDEX(Inputs!$K$5:$AJ$230,0,MATCH(E$2,Inputs!$K$4:$AJ$4,0)))))</f>
        <v>1.969</v>
      </c>
      <c r="F101" s="6">
        <f>IF(ISNA(MATCH(F$2,Inputs!$K$4:$AJ$4,0)),NA(),IF(SUMPRODUCT((Inputs!$A$5:$A$230=$B101)*ISNUMBER(INDEX(Inputs!$K$5:$AJ$230,0,MATCH(F$2,Inputs!$K$4:$AJ$4,0))))+SUMPRODUCT((Inputs!$C$5:$C$230=$B101)*ISNUMBER(INDEX(Inputs!$K$5:$AJ$230,0,MATCH(F$2,Inputs!$K$4:$AJ$4,0))))+SUMPRODUCT((Inputs!$E$5:$E$230=$B101)*ISNUMBER(INDEX(Inputs!$K$5:$AJ$230,0,MATCH(F$2,Inputs!$K$4:$AJ$4,0))))=0,NA(),SUMPRODUCT((Inputs!$A$5:$A$230=$B101)*Inputs!$B$5:$B$230*(((Inputs!$G$5:$G$230="moeda")+(Inputs!$G$5:$G$230="acoes"))*Inputs!$B$1+((Inputs!$G$5:$G$230&lt;&gt;"moeda")*(Inputs!$G$5:$G$230&lt;&gt;"acoes")))*INDEX(Inputs!$K$5:$AJ$230,0,MATCH(F$2,Inputs!$K$4:$AJ$4,0)))+SUMPRODUCT((Inputs!$C$5:$C$230=$B101)*Inputs!$D$5:$D$230*(((Inputs!$G$5:$G$230="moeda")+(Inputs!$G$5:$G$230="acoes"))*Inputs!$B$1+((Inputs!$G$5:$G$230&lt;&gt;"moeda")*(Inputs!$G$5:$G$230&lt;&gt;"acoes")))*INDEX(Inputs!$K$5:$AJ$230,0,MATCH(F$2,Inputs!$K$4:$AJ$4,0)))+SUMPRODUCT((Inputs!$E$5:$E$230=$B101)*Inputs!$F$5:$F$230*(((Inputs!$G$5:$G$230="moeda")+(Inputs!$G$5:$G$230="acoes"))*Inputs!$B$1+((Inputs!$G$5:$G$230&lt;&gt;"moeda")*(Inputs!$G$5:$G$230&lt;&gt;"acoes")))*INDEX(Inputs!$K$5:$AJ$230,0,MATCH(F$2,Inputs!$K$4:$AJ$4,0)))))</f>
        <v>3.03</v>
      </c>
      <c r="G101" s="6">
        <f>IF(ISNA(MATCH(G$2,Inputs!$K$4:$AJ$4,0)),NA(),IF(SUMPRODUCT((Inputs!$A$5:$A$230=$B101)*ISNUMBER(INDEX(Inputs!$K$5:$AJ$230,0,MATCH(G$2,Inputs!$K$4:$AJ$4,0))))+SUMPRODUCT((Inputs!$C$5:$C$230=$B101)*ISNUMBER(INDEX(Inputs!$K$5:$AJ$230,0,MATCH(G$2,Inputs!$K$4:$AJ$4,0))))+SUMPRODUCT((Inputs!$E$5:$E$230=$B101)*ISNUMBER(INDEX(Inputs!$K$5:$AJ$230,0,MATCH(G$2,Inputs!$K$4:$AJ$4,0))))=0,NA(),SUMPRODUCT((Inputs!$A$5:$A$230=$B101)*Inputs!$B$5:$B$230*(((Inputs!$G$5:$G$230="moeda")+(Inputs!$G$5:$G$230="acoes"))*Inputs!$B$1+((Inputs!$G$5:$G$230&lt;&gt;"moeda")*(Inputs!$G$5:$G$230&lt;&gt;"acoes")))*INDEX(Inputs!$K$5:$AJ$230,0,MATCH(G$2,Inputs!$K$4:$AJ$4,0)))+SUMPRODUCT((Inputs!$C$5:$C$230=$B101)*Inputs!$D$5:$D$230*(((Inputs!$G$5:$G$230="moeda")+(Inputs!$G$5:$G$230="acoes"))*Inputs!$B$1+((Inputs!$G$5:$G$230&lt;&gt;"moeda")*(Inputs!$G$5:$G$230&lt;&gt;"acoes")))*INDEX(Inputs!$K$5:$AJ$230,0,MATCH(G$2,Inputs!$K$4:$AJ$4,0)))+SUMPRODUCT((Inputs!$E$5:$E$230=$B101)*Inputs!$F$5:$F$230*(((Inputs!$G$5:$G$230="moeda")+(Inputs!$G$5:$G$230="acoes"))*Inputs!$B$1+((Inputs!$G$5:$G$230&lt;&gt;"moeda")*(Inputs!$G$5:$G$230&lt;&gt;"acoes")))*INDEX(Inputs!$K$5:$AJ$230,0,MATCH(G$2,Inputs!$K$4:$AJ$4,0)))))</f>
        <v>2.112</v>
      </c>
      <c r="H101" s="3">
        <f>SUM(D101:G101)</f>
        <v>8.98</v>
      </c>
      <c r="I101" s="6">
        <f>IF(ISNA(MATCH(I$2,Inputs!$K$4:$AJ$4,0)),NA(),IF(SUMPRODUCT((Inputs!$A$5:$A$230=$B101)*ISNUMBER(INDEX(Inputs!$K$5:$AJ$230,0,MATCH(I$2,Inputs!$K$4:$AJ$4,0))))+SUMPRODUCT((Inputs!$C$5:$C$230=$B101)*ISNUMBER(INDEX(Inputs!$K$5:$AJ$230,0,MATCH(I$2,Inputs!$K$4:$AJ$4,0))))+SUMPRODUCT((Inputs!$E$5:$E$230=$B101)*ISNUMBER(INDEX(Inputs!$K$5:$AJ$230,0,MATCH(I$2,Inputs!$K$4:$AJ$4,0))))=0,NA(),SUMPRODUCT((Inputs!$A$5:$A$230=$B101)*Inputs!$B$5:$B$230*(((Inputs!$G$5:$G$230="moeda")+(Inputs!$G$5:$G$230="acoes"))*Inputs!$B$1+((Inputs!$G$5:$G$230&lt;&gt;"moeda")*(Inputs!$G$5:$G$230&lt;&gt;"acoes")))*INDEX(Inputs!$K$5:$AJ$230,0,MATCH(I$2,Inputs!$K$4:$AJ$4,0)))+SUMPRODUCT((Inputs!$C$5:$C$230=$B101)*Inputs!$D$5:$D$230*(((Inputs!$G$5:$G$230="moeda")+(Inputs!$G$5:$G$230="acoes"))*Inputs!$B$1+((Inputs!$G$5:$G$230&lt;&gt;"moeda")*(Inputs!$G$5:$G$230&lt;&gt;"acoes")))*INDEX(Inputs!$K$5:$AJ$230,0,MATCH(I$2,Inputs!$K$4:$AJ$4,0)))+SUMPRODUCT((Inputs!$E$5:$E$230=$B101)*Inputs!$F$5:$F$230*(((Inputs!$G$5:$G$230="moeda")+(Inputs!$G$5:$G$230="acoes"))*Inputs!$B$1+((Inputs!$G$5:$G$230&lt;&gt;"moeda")*(Inputs!$G$5:$G$230&lt;&gt;"acoes")))*INDEX(Inputs!$K$5:$AJ$230,0,MATCH(I$2,Inputs!$K$4:$AJ$4,0)))))</f>
        <v>2.059</v>
      </c>
      <c r="J101" s="6">
        <f>IF(ISNA(MATCH(J$2,Inputs!$K$4:$AJ$4,0)),NA(),IF(SUMPRODUCT((Inputs!$A$5:$A$230=$B101)*ISNUMBER(INDEX(Inputs!$K$5:$AJ$230,0,MATCH(J$2,Inputs!$K$4:$AJ$4,0))))+SUMPRODUCT((Inputs!$C$5:$C$230=$B101)*ISNUMBER(INDEX(Inputs!$K$5:$AJ$230,0,MATCH(J$2,Inputs!$K$4:$AJ$4,0))))+SUMPRODUCT((Inputs!$E$5:$E$230=$B101)*ISNUMBER(INDEX(Inputs!$K$5:$AJ$230,0,MATCH(J$2,Inputs!$K$4:$AJ$4,0))))=0,NA(),SUMPRODUCT((Inputs!$A$5:$A$230=$B101)*Inputs!$B$5:$B$230*(((Inputs!$G$5:$G$230="moeda")+(Inputs!$G$5:$G$230="acoes"))*Inputs!$B$1+((Inputs!$G$5:$G$230&lt;&gt;"moeda")*(Inputs!$G$5:$G$230&lt;&gt;"acoes")))*INDEX(Inputs!$K$5:$AJ$230,0,MATCH(J$2,Inputs!$K$4:$AJ$4,0)))+SUMPRODUCT((Inputs!$C$5:$C$230=$B101)*Inputs!$D$5:$D$230*(((Inputs!$G$5:$G$230="moeda")+(Inputs!$G$5:$G$230="acoes"))*Inputs!$B$1+((Inputs!$G$5:$G$230&lt;&gt;"moeda")*(Inputs!$G$5:$G$230&lt;&gt;"acoes")))*INDEX(Inputs!$K$5:$AJ$230,0,MATCH(J$2,Inputs!$K$4:$AJ$4,0)))+SUMPRODUCT((Inputs!$E$5:$E$230=$B101)*Inputs!$F$5:$F$230*(((Inputs!$G$5:$G$230="moeda")+(Inputs!$G$5:$G$230="acoes"))*Inputs!$B$1+((Inputs!$G$5:$G$230&lt;&gt;"moeda")*(Inputs!$G$5:$G$230&lt;&gt;"acoes")))*INDEX(Inputs!$K$5:$AJ$230,0,MATCH(J$2,Inputs!$K$4:$AJ$4,0)))))</f>
        <v>2.094</v>
      </c>
      <c r="K101" s="6">
        <f>IF(ISNA(MATCH(K$2,Inputs!$K$4:$AJ$4,0)),NA(),IF(SUMPRODUCT((Inputs!$A$5:$A$230=$B101)*ISNUMBER(INDEX(Inputs!$K$5:$AJ$230,0,MATCH(K$2,Inputs!$K$4:$AJ$4,0))))+SUMPRODUCT((Inputs!$C$5:$C$230=$B101)*ISNUMBER(INDEX(Inputs!$K$5:$AJ$230,0,MATCH(K$2,Inputs!$K$4:$AJ$4,0))))+SUMPRODUCT((Inputs!$E$5:$E$230=$B101)*ISNUMBER(INDEX(Inputs!$K$5:$AJ$230,0,MATCH(K$2,Inputs!$K$4:$AJ$4,0))))=0,NA(),SUMPRODUCT((Inputs!$A$5:$A$230=$B101)*Inputs!$B$5:$B$230*(((Inputs!$G$5:$G$230="moeda")+(Inputs!$G$5:$G$230="acoes"))*Inputs!$B$1+((Inputs!$G$5:$G$230&lt;&gt;"moeda")*(Inputs!$G$5:$G$230&lt;&gt;"acoes")))*INDEX(Inputs!$K$5:$AJ$230,0,MATCH(K$2,Inputs!$K$4:$AJ$4,0)))+SUMPRODUCT((Inputs!$C$5:$C$230=$B101)*Inputs!$D$5:$D$230*(((Inputs!$G$5:$G$230="moeda")+(Inputs!$G$5:$G$230="acoes"))*Inputs!$B$1+((Inputs!$G$5:$G$230&lt;&gt;"moeda")*(Inputs!$G$5:$G$230&lt;&gt;"acoes")))*INDEX(Inputs!$K$5:$AJ$230,0,MATCH(K$2,Inputs!$K$4:$AJ$4,0)))+SUMPRODUCT((Inputs!$E$5:$E$230=$B101)*Inputs!$F$5:$F$230*(((Inputs!$G$5:$G$230="moeda")+(Inputs!$G$5:$G$230="acoes"))*Inputs!$B$1+((Inputs!$G$5:$G$230&lt;&gt;"moeda")*(Inputs!$G$5:$G$230&lt;&gt;"acoes")))*INDEX(Inputs!$K$5:$AJ$230,0,MATCH(K$2,Inputs!$K$4:$AJ$4,0)))))</f>
        <v>2.126</v>
      </c>
      <c r="L101" s="6">
        <f>IF(ISNA(MATCH(L$2,Inputs!$K$4:$AJ$4,0)),NA(),IF(SUMPRODUCT((Inputs!$A$5:$A$230=$B101)*ISNUMBER(INDEX(Inputs!$K$5:$AJ$230,0,MATCH(L$2,Inputs!$K$4:$AJ$4,0))))+SUMPRODUCT((Inputs!$C$5:$C$230=$B101)*ISNUMBER(INDEX(Inputs!$K$5:$AJ$230,0,MATCH(L$2,Inputs!$K$4:$AJ$4,0))))+SUMPRODUCT((Inputs!$E$5:$E$230=$B101)*ISNUMBER(INDEX(Inputs!$K$5:$AJ$230,0,MATCH(L$2,Inputs!$K$4:$AJ$4,0))))=0,NA(),SUMPRODUCT((Inputs!$A$5:$A$230=$B101)*Inputs!$B$5:$B$230*(((Inputs!$G$5:$G$230="moeda")+(Inputs!$G$5:$G$230="acoes"))*Inputs!$B$1+((Inputs!$G$5:$G$230&lt;&gt;"moeda")*(Inputs!$G$5:$G$230&lt;&gt;"acoes")))*INDEX(Inputs!$K$5:$AJ$230,0,MATCH(L$2,Inputs!$K$4:$AJ$4,0)))+SUMPRODUCT((Inputs!$C$5:$C$230=$B101)*Inputs!$D$5:$D$230*(((Inputs!$G$5:$G$230="moeda")+(Inputs!$G$5:$G$230="acoes"))*Inputs!$B$1+((Inputs!$G$5:$G$230&lt;&gt;"moeda")*(Inputs!$G$5:$G$230&lt;&gt;"acoes")))*INDEX(Inputs!$K$5:$AJ$230,0,MATCH(L$2,Inputs!$K$4:$AJ$4,0)))+SUMPRODUCT((Inputs!$E$5:$E$230=$B101)*Inputs!$F$5:$F$230*(((Inputs!$G$5:$G$230="moeda")+(Inputs!$G$5:$G$230="acoes"))*Inputs!$B$1+((Inputs!$G$5:$G$230&lt;&gt;"moeda")*(Inputs!$G$5:$G$230&lt;&gt;"acoes")))*INDEX(Inputs!$K$5:$AJ$230,0,MATCH(L$2,Inputs!$K$4:$AJ$4,0)))))</f>
        <v>2.127</v>
      </c>
      <c r="M101" s="3">
        <f>SUM(I101:L101)</f>
        <v>8.406</v>
      </c>
      <c r="N101" s="6">
        <f>IF(ISNA(MATCH(N$2,Inputs!$K$4:$AJ$4,0)),NA(),IF(SUMPRODUCT((Inputs!$A$5:$A$230=$B101)*ISNUMBER(INDEX(Inputs!$K$5:$AJ$230,0,MATCH(N$2,Inputs!$K$4:$AJ$4,0))))+SUMPRODUCT((Inputs!$C$5:$C$230=$B101)*ISNUMBER(INDEX(Inputs!$K$5:$AJ$230,0,MATCH(N$2,Inputs!$K$4:$AJ$4,0))))+SUMPRODUCT((Inputs!$E$5:$E$230=$B101)*ISNUMBER(INDEX(Inputs!$K$5:$AJ$230,0,MATCH(N$2,Inputs!$K$4:$AJ$4,0))))=0,NA(),SUMPRODUCT((Inputs!$A$5:$A$230=$B101)*Inputs!$B$5:$B$230*(((Inputs!$G$5:$G$230="moeda")+(Inputs!$G$5:$G$230="acoes"))*Inputs!$B$1+((Inputs!$G$5:$G$230&lt;&gt;"moeda")*(Inputs!$G$5:$G$230&lt;&gt;"acoes")))*INDEX(Inputs!$K$5:$AJ$230,0,MATCH(N$2,Inputs!$K$4:$AJ$4,0)))+SUMPRODUCT((Inputs!$C$5:$C$230=$B101)*Inputs!$D$5:$D$230*(((Inputs!$G$5:$G$230="moeda")+(Inputs!$G$5:$G$230="acoes"))*Inputs!$B$1+((Inputs!$G$5:$G$230&lt;&gt;"moeda")*(Inputs!$G$5:$G$230&lt;&gt;"acoes")))*INDEX(Inputs!$K$5:$AJ$230,0,MATCH(N$2,Inputs!$K$4:$AJ$4,0)))+SUMPRODUCT((Inputs!$E$5:$E$230=$B101)*Inputs!$F$5:$F$230*(((Inputs!$G$5:$G$230="moeda")+(Inputs!$G$5:$G$230="acoes"))*Inputs!$B$1+((Inputs!$G$5:$G$230&lt;&gt;"moeda")*(Inputs!$G$5:$G$230&lt;&gt;"acoes")))*INDEX(Inputs!$K$5:$AJ$230,0,MATCH(N$2,Inputs!$K$4:$AJ$4,0)))))</f>
        <v>2.22</v>
      </c>
      <c r="O101" s="6">
        <f>IF(ISNA(MATCH(O$2,Inputs!$K$4:$AJ$4,0)),NA(),IF(SUMPRODUCT((Inputs!$A$5:$A$230=$B101)*ISNUMBER(INDEX(Inputs!$K$5:$AJ$230,0,MATCH(O$2,Inputs!$K$4:$AJ$4,0))))+SUMPRODUCT((Inputs!$C$5:$C$230=$B101)*ISNUMBER(INDEX(Inputs!$K$5:$AJ$230,0,MATCH(O$2,Inputs!$K$4:$AJ$4,0))))+SUMPRODUCT((Inputs!$E$5:$E$230=$B101)*ISNUMBER(INDEX(Inputs!$K$5:$AJ$230,0,MATCH(O$2,Inputs!$K$4:$AJ$4,0))))=0,NA(),SUMPRODUCT((Inputs!$A$5:$A$230=$B101)*Inputs!$B$5:$B$230*(((Inputs!$G$5:$G$230="moeda")+(Inputs!$G$5:$G$230="acoes"))*Inputs!$B$1+((Inputs!$G$5:$G$230&lt;&gt;"moeda")*(Inputs!$G$5:$G$230&lt;&gt;"acoes")))*INDEX(Inputs!$K$5:$AJ$230,0,MATCH(O$2,Inputs!$K$4:$AJ$4,0)))+SUMPRODUCT((Inputs!$C$5:$C$230=$B101)*Inputs!$D$5:$D$230*(((Inputs!$G$5:$G$230="moeda")+(Inputs!$G$5:$G$230="acoes"))*Inputs!$B$1+((Inputs!$G$5:$G$230&lt;&gt;"moeda")*(Inputs!$G$5:$G$230&lt;&gt;"acoes")))*INDEX(Inputs!$K$5:$AJ$230,0,MATCH(O$2,Inputs!$K$4:$AJ$4,0)))+SUMPRODUCT((Inputs!$E$5:$E$230=$B101)*Inputs!$F$5:$F$230*(((Inputs!$G$5:$G$230="moeda")+(Inputs!$G$5:$G$230="acoes"))*Inputs!$B$1+((Inputs!$G$5:$G$230&lt;&gt;"moeda")*(Inputs!$G$5:$G$230&lt;&gt;"acoes")))*INDEX(Inputs!$K$5:$AJ$230,0,MATCH(O$2,Inputs!$K$4:$AJ$4,0)))))</f>
        <v>1.664</v>
      </c>
      <c r="P101" s="6">
        <f>IF(ISNA(MATCH(P$2,Inputs!$K$4:$AJ$4,0)),NA(),IF(SUMPRODUCT((Inputs!$A$5:$A$230=$B101)*ISNUMBER(INDEX(Inputs!$K$5:$AJ$230,0,MATCH(P$2,Inputs!$K$4:$AJ$4,0))))+SUMPRODUCT((Inputs!$C$5:$C$230=$B101)*ISNUMBER(INDEX(Inputs!$K$5:$AJ$230,0,MATCH(P$2,Inputs!$K$4:$AJ$4,0))))+SUMPRODUCT((Inputs!$E$5:$E$230=$B101)*ISNUMBER(INDEX(Inputs!$K$5:$AJ$230,0,MATCH(P$2,Inputs!$K$4:$AJ$4,0))))=0,NA(),SUMPRODUCT((Inputs!$A$5:$A$230=$B101)*Inputs!$B$5:$B$230*(((Inputs!$G$5:$G$230="moeda")+(Inputs!$G$5:$G$230="acoes"))*Inputs!$B$1+((Inputs!$G$5:$G$230&lt;&gt;"moeda")*(Inputs!$G$5:$G$230&lt;&gt;"acoes")))*INDEX(Inputs!$K$5:$AJ$230,0,MATCH(P$2,Inputs!$K$4:$AJ$4,0)))+SUMPRODUCT((Inputs!$C$5:$C$230=$B101)*Inputs!$D$5:$D$230*(((Inputs!$G$5:$G$230="moeda")+(Inputs!$G$5:$G$230="acoes"))*Inputs!$B$1+((Inputs!$G$5:$G$230&lt;&gt;"moeda")*(Inputs!$G$5:$G$230&lt;&gt;"acoes")))*INDEX(Inputs!$K$5:$AJ$230,0,MATCH(P$2,Inputs!$K$4:$AJ$4,0)))+SUMPRODUCT((Inputs!$E$5:$E$230=$B101)*Inputs!$F$5:$F$230*(((Inputs!$G$5:$G$230="moeda")+(Inputs!$G$5:$G$230="acoes"))*Inputs!$B$1+((Inputs!$G$5:$G$230&lt;&gt;"moeda")*(Inputs!$G$5:$G$230&lt;&gt;"acoes")))*INDEX(Inputs!$K$5:$AJ$230,0,MATCH(P$2,Inputs!$K$4:$AJ$4,0)))))</f>
        <v>2.365</v>
      </c>
      <c r="Q101" s="6">
        <f>IF(ISNA(MATCH(Q$2,Inputs!$K$4:$AJ$4,0)),NA(),IF(SUMPRODUCT((Inputs!$A$5:$A$230=$B101)*ISNUMBER(INDEX(Inputs!$K$5:$AJ$230,0,MATCH(Q$2,Inputs!$K$4:$AJ$4,0))))+SUMPRODUCT((Inputs!$C$5:$C$230=$B101)*ISNUMBER(INDEX(Inputs!$K$5:$AJ$230,0,MATCH(Q$2,Inputs!$K$4:$AJ$4,0))))+SUMPRODUCT((Inputs!$E$5:$E$230=$B101)*ISNUMBER(INDEX(Inputs!$K$5:$AJ$230,0,MATCH(Q$2,Inputs!$K$4:$AJ$4,0))))=0,NA(),SUMPRODUCT((Inputs!$A$5:$A$230=$B101)*Inputs!$B$5:$B$230*(((Inputs!$G$5:$G$230="moeda")+(Inputs!$G$5:$G$230="acoes"))*Inputs!$B$1+((Inputs!$G$5:$G$230&lt;&gt;"moeda")*(Inputs!$G$5:$G$230&lt;&gt;"acoes")))*INDEX(Inputs!$K$5:$AJ$230,0,MATCH(Q$2,Inputs!$K$4:$AJ$4,0)))+SUMPRODUCT((Inputs!$C$5:$C$230=$B101)*Inputs!$D$5:$D$230*(((Inputs!$G$5:$G$230="moeda")+(Inputs!$G$5:$G$230="acoes"))*Inputs!$B$1+((Inputs!$G$5:$G$230&lt;&gt;"moeda")*(Inputs!$G$5:$G$230&lt;&gt;"acoes")))*INDEX(Inputs!$K$5:$AJ$230,0,MATCH(Q$2,Inputs!$K$4:$AJ$4,0)))+SUMPRODUCT((Inputs!$E$5:$E$230=$B101)*Inputs!$F$5:$F$230*(((Inputs!$G$5:$G$230="moeda")+(Inputs!$G$5:$G$230="acoes"))*Inputs!$B$1+((Inputs!$G$5:$G$230&lt;&gt;"moeda")*(Inputs!$G$5:$G$230&lt;&gt;"acoes")))*INDEX(Inputs!$K$5:$AJ$230,0,MATCH(Q$2,Inputs!$K$4:$AJ$4,0)))))</f>
        <v>2.429</v>
      </c>
      <c r="R101" s="3">
        <f>SUM(N101:Q101)</f>
        <v>8.678</v>
      </c>
      <c r="S101" s="6">
        <f>IF(ISNA(MATCH(S$2,Inputs!$K$4:$AJ$4,0)),NA(),IF(SUMPRODUCT((Inputs!$A$5:$A$230=$B101)*ISNUMBER(INDEX(Inputs!$K$5:$AJ$230,0,MATCH(S$2,Inputs!$K$4:$AJ$4,0))))+SUMPRODUCT((Inputs!$C$5:$C$230=$B101)*ISNUMBER(INDEX(Inputs!$K$5:$AJ$230,0,MATCH(S$2,Inputs!$K$4:$AJ$4,0))))+SUMPRODUCT((Inputs!$E$5:$E$230=$B101)*ISNUMBER(INDEX(Inputs!$K$5:$AJ$230,0,MATCH(S$2,Inputs!$K$4:$AJ$4,0))))=0,NA(),SUMPRODUCT((Inputs!$A$5:$A$230=$B101)*Inputs!$B$5:$B$230*(((Inputs!$G$5:$G$230="moeda")+(Inputs!$G$5:$G$230="acoes"))*Inputs!$B$1+((Inputs!$G$5:$G$230&lt;&gt;"moeda")*(Inputs!$G$5:$G$230&lt;&gt;"acoes")))*INDEX(Inputs!$K$5:$AJ$230,0,MATCH(S$2,Inputs!$K$4:$AJ$4,0)))+SUMPRODUCT((Inputs!$C$5:$C$230=$B101)*Inputs!$D$5:$D$230*(((Inputs!$G$5:$G$230="moeda")+(Inputs!$G$5:$G$230="acoes"))*Inputs!$B$1+((Inputs!$G$5:$G$230&lt;&gt;"moeda")*(Inputs!$G$5:$G$230&lt;&gt;"acoes")))*INDEX(Inputs!$K$5:$AJ$230,0,MATCH(S$2,Inputs!$K$4:$AJ$4,0)))+SUMPRODUCT((Inputs!$E$5:$E$230=$B101)*Inputs!$F$5:$F$230*(((Inputs!$G$5:$G$230="moeda")+(Inputs!$G$5:$G$230="acoes"))*Inputs!$B$1+((Inputs!$G$5:$G$230&lt;&gt;"moeda")*(Inputs!$G$5:$G$230&lt;&gt;"acoes")))*INDEX(Inputs!$K$5:$AJ$230,0,MATCH(S$2,Inputs!$K$4:$AJ$4,0)))))</f>
        <v>1.704</v>
      </c>
      <c r="T101" s="6">
        <f>IF(ISNA(MATCH(T$2,Inputs!$K$4:$AJ$4,0)),NA(),IF(SUMPRODUCT((Inputs!$A$5:$A$230=$B101)*ISNUMBER(INDEX(Inputs!$K$5:$AJ$230,0,MATCH(T$2,Inputs!$K$4:$AJ$4,0))))+SUMPRODUCT((Inputs!$C$5:$C$230=$B101)*ISNUMBER(INDEX(Inputs!$K$5:$AJ$230,0,MATCH(T$2,Inputs!$K$4:$AJ$4,0))))+SUMPRODUCT((Inputs!$E$5:$E$230=$B101)*ISNUMBER(INDEX(Inputs!$K$5:$AJ$230,0,MATCH(T$2,Inputs!$K$4:$AJ$4,0))))=0,NA(),SUMPRODUCT((Inputs!$A$5:$A$230=$B101)*Inputs!$B$5:$B$230*(((Inputs!$G$5:$G$230="moeda")+(Inputs!$G$5:$G$230="acoes"))*Inputs!$B$1+((Inputs!$G$5:$G$230&lt;&gt;"moeda")*(Inputs!$G$5:$G$230&lt;&gt;"acoes")))*INDEX(Inputs!$K$5:$AJ$230,0,MATCH(T$2,Inputs!$K$4:$AJ$4,0)))+SUMPRODUCT((Inputs!$C$5:$C$230=$B101)*Inputs!$D$5:$D$230*(((Inputs!$G$5:$G$230="moeda")+(Inputs!$G$5:$G$230="acoes"))*Inputs!$B$1+((Inputs!$G$5:$G$230&lt;&gt;"moeda")*(Inputs!$G$5:$G$230&lt;&gt;"acoes")))*INDEX(Inputs!$K$5:$AJ$230,0,MATCH(T$2,Inputs!$K$4:$AJ$4,0)))+SUMPRODUCT((Inputs!$E$5:$E$230=$B101)*Inputs!$F$5:$F$230*(((Inputs!$G$5:$G$230="moeda")+(Inputs!$G$5:$G$230="acoes"))*Inputs!$B$1+((Inputs!$G$5:$G$230&lt;&gt;"moeda")*(Inputs!$G$5:$G$230&lt;&gt;"acoes")))*INDEX(Inputs!$K$5:$AJ$230,0,MATCH(T$2,Inputs!$K$4:$AJ$4,0)))))</f>
        <v>0.998</v>
      </c>
      <c r="U101" s="6">
        <f>IF(ISNA(MATCH(U$2,Inputs!$K$4:$AJ$4,0)),NA(),IF(SUMPRODUCT((Inputs!$A$5:$A$230=$B101)*ISNUMBER(INDEX(Inputs!$K$5:$AJ$230,0,MATCH(U$2,Inputs!$K$4:$AJ$4,0))))+SUMPRODUCT((Inputs!$C$5:$C$230=$B101)*ISNUMBER(INDEX(Inputs!$K$5:$AJ$230,0,MATCH(U$2,Inputs!$K$4:$AJ$4,0))))+SUMPRODUCT((Inputs!$E$5:$E$230=$B101)*ISNUMBER(INDEX(Inputs!$K$5:$AJ$230,0,MATCH(U$2,Inputs!$K$4:$AJ$4,0))))=0,NA(),SUMPRODUCT((Inputs!$A$5:$A$230=$B101)*Inputs!$B$5:$B$230*(((Inputs!$G$5:$G$230="moeda")+(Inputs!$G$5:$G$230="acoes"))*Inputs!$B$1+((Inputs!$G$5:$G$230&lt;&gt;"moeda")*(Inputs!$G$5:$G$230&lt;&gt;"acoes")))*INDEX(Inputs!$K$5:$AJ$230,0,MATCH(U$2,Inputs!$K$4:$AJ$4,0)))+SUMPRODUCT((Inputs!$C$5:$C$230=$B101)*Inputs!$D$5:$D$230*(((Inputs!$G$5:$G$230="moeda")+(Inputs!$G$5:$G$230="acoes"))*Inputs!$B$1+((Inputs!$G$5:$G$230&lt;&gt;"moeda")*(Inputs!$G$5:$G$230&lt;&gt;"acoes")))*INDEX(Inputs!$K$5:$AJ$230,0,MATCH(U$2,Inputs!$K$4:$AJ$4,0)))+SUMPRODUCT((Inputs!$E$5:$E$230=$B101)*Inputs!$F$5:$F$230*(((Inputs!$G$5:$G$230="moeda")+(Inputs!$G$5:$G$230="acoes"))*Inputs!$B$1+((Inputs!$G$5:$G$230&lt;&gt;"moeda")*(Inputs!$G$5:$G$230&lt;&gt;"acoes")))*INDEX(Inputs!$K$5:$AJ$230,0,MATCH(U$2,Inputs!$K$4:$AJ$4,0)))))</f>
        <v>1.282</v>
      </c>
      <c r="V101" s="6">
        <f>IF(ISNA(MATCH(V$2,Inputs!$K$4:$AJ$4,0)),NA(),IF(SUMPRODUCT((Inputs!$A$5:$A$230=$B101)*ISNUMBER(INDEX(Inputs!$K$5:$AJ$230,0,MATCH(V$2,Inputs!$K$4:$AJ$4,0))))+SUMPRODUCT((Inputs!$C$5:$C$230=$B101)*ISNUMBER(INDEX(Inputs!$K$5:$AJ$230,0,MATCH(V$2,Inputs!$K$4:$AJ$4,0))))+SUMPRODUCT((Inputs!$E$5:$E$230=$B101)*ISNUMBER(INDEX(Inputs!$K$5:$AJ$230,0,MATCH(V$2,Inputs!$K$4:$AJ$4,0))))=0,NA(),SUMPRODUCT((Inputs!$A$5:$A$230=$B101)*Inputs!$B$5:$B$230*(((Inputs!$G$5:$G$230="moeda")+(Inputs!$G$5:$G$230="acoes"))*Inputs!$B$1+((Inputs!$G$5:$G$230&lt;&gt;"moeda")*(Inputs!$G$5:$G$230&lt;&gt;"acoes")))*INDEX(Inputs!$K$5:$AJ$230,0,MATCH(V$2,Inputs!$K$4:$AJ$4,0)))+SUMPRODUCT((Inputs!$C$5:$C$230=$B101)*Inputs!$D$5:$D$230*(((Inputs!$G$5:$G$230="moeda")+(Inputs!$G$5:$G$230="acoes"))*Inputs!$B$1+((Inputs!$G$5:$G$230&lt;&gt;"moeda")*(Inputs!$G$5:$G$230&lt;&gt;"acoes")))*INDEX(Inputs!$K$5:$AJ$230,0,MATCH(V$2,Inputs!$K$4:$AJ$4,0)))+SUMPRODUCT((Inputs!$E$5:$E$230=$B101)*Inputs!$F$5:$F$230*(((Inputs!$G$5:$G$230="moeda")+(Inputs!$G$5:$G$230="acoes"))*Inputs!$B$1+((Inputs!$G$5:$G$230&lt;&gt;"moeda")*(Inputs!$G$5:$G$230&lt;&gt;"acoes")))*INDEX(Inputs!$K$5:$AJ$230,0,MATCH(V$2,Inputs!$K$4:$AJ$4,0)))))</f>
        <v>2.94</v>
      </c>
      <c r="W101" s="3">
        <f>SUM(S101:V101)</f>
        <v>6.924</v>
      </c>
      <c r="X101" s="6">
        <f>IF(ISNA(MATCH(X$2,Inputs!$K$4:$AJ$4,0)),NA(),IF(SUMPRODUCT((Inputs!$A$5:$A$230=$B101)*ISNUMBER(INDEX(Inputs!$K$5:$AJ$230,0,MATCH(X$2,Inputs!$K$4:$AJ$4,0))))+SUMPRODUCT((Inputs!$C$5:$C$230=$B101)*ISNUMBER(INDEX(Inputs!$K$5:$AJ$230,0,MATCH(X$2,Inputs!$K$4:$AJ$4,0))))+SUMPRODUCT((Inputs!$E$5:$E$230=$B101)*ISNUMBER(INDEX(Inputs!$K$5:$AJ$230,0,MATCH(X$2,Inputs!$K$4:$AJ$4,0))))=0,NA(),SUMPRODUCT((Inputs!$A$5:$A$230=$B101)*Inputs!$B$5:$B$230*(((Inputs!$G$5:$G$230="moeda")+(Inputs!$G$5:$G$230="acoes"))*Inputs!$B$1+((Inputs!$G$5:$G$230&lt;&gt;"moeda")*(Inputs!$G$5:$G$230&lt;&gt;"acoes")))*INDEX(Inputs!$K$5:$AJ$230,0,MATCH(X$2,Inputs!$K$4:$AJ$4,0)))+SUMPRODUCT((Inputs!$C$5:$C$230=$B101)*Inputs!$D$5:$D$230*(((Inputs!$G$5:$G$230="moeda")+(Inputs!$G$5:$G$230="acoes"))*Inputs!$B$1+((Inputs!$G$5:$G$230&lt;&gt;"moeda")*(Inputs!$G$5:$G$230&lt;&gt;"acoes")))*INDEX(Inputs!$K$5:$AJ$230,0,MATCH(X$2,Inputs!$K$4:$AJ$4,0)))+SUMPRODUCT((Inputs!$E$5:$E$230=$B101)*Inputs!$F$5:$F$230*(((Inputs!$G$5:$G$230="moeda")+(Inputs!$G$5:$G$230="acoes"))*Inputs!$B$1+((Inputs!$G$5:$G$230&lt;&gt;"moeda")*(Inputs!$G$5:$G$230&lt;&gt;"acoes")))*INDEX(Inputs!$K$5:$AJ$230,0,MATCH(X$2,Inputs!$K$4:$AJ$4,0)))))</f>
        <v>1.529</v>
      </c>
      <c r="Y101" s="6">
        <f>IF(ISNA(MATCH(Y$2,Inputs!$K$4:$AJ$4,0)),NA(),IF(SUMPRODUCT((Inputs!$A$5:$A$230=$B101)*ISNUMBER(INDEX(Inputs!$K$5:$AJ$230,0,MATCH(Y$2,Inputs!$K$4:$AJ$4,0))))+SUMPRODUCT((Inputs!$C$5:$C$230=$B101)*ISNUMBER(INDEX(Inputs!$K$5:$AJ$230,0,MATCH(Y$2,Inputs!$K$4:$AJ$4,0))))+SUMPRODUCT((Inputs!$E$5:$E$230=$B101)*ISNUMBER(INDEX(Inputs!$K$5:$AJ$230,0,MATCH(Y$2,Inputs!$K$4:$AJ$4,0))))=0,NA(),SUMPRODUCT((Inputs!$A$5:$A$230=$B101)*Inputs!$B$5:$B$230*(((Inputs!$G$5:$G$230="moeda")+(Inputs!$G$5:$G$230="acoes"))*Inputs!$B$1+((Inputs!$G$5:$G$230&lt;&gt;"moeda")*(Inputs!$G$5:$G$230&lt;&gt;"acoes")))*INDEX(Inputs!$K$5:$AJ$230,0,MATCH(Y$2,Inputs!$K$4:$AJ$4,0)))+SUMPRODUCT((Inputs!$C$5:$C$230=$B101)*Inputs!$D$5:$D$230*(((Inputs!$G$5:$G$230="moeda")+(Inputs!$G$5:$G$230="acoes"))*Inputs!$B$1+((Inputs!$G$5:$G$230&lt;&gt;"moeda")*(Inputs!$G$5:$G$230&lt;&gt;"acoes")))*INDEX(Inputs!$K$5:$AJ$230,0,MATCH(Y$2,Inputs!$K$4:$AJ$4,0)))+SUMPRODUCT((Inputs!$E$5:$E$230=$B101)*Inputs!$F$5:$F$230*(((Inputs!$G$5:$G$230="moeda")+(Inputs!$G$5:$G$230="acoes"))*Inputs!$B$1+((Inputs!$G$5:$G$230&lt;&gt;"moeda")*(Inputs!$G$5:$G$230&lt;&gt;"acoes")))*INDEX(Inputs!$K$5:$AJ$230,0,MATCH(Y$2,Inputs!$K$4:$AJ$4,0)))))</f>
        <v>1.975</v>
      </c>
      <c r="Z101" s="6">
        <f>IF(ISNA(MATCH(Z$2,Inputs!$K$4:$AJ$4,0)),NA(),IF(SUMPRODUCT((Inputs!$A$5:$A$230=$B101)*ISNUMBER(INDEX(Inputs!$K$5:$AJ$230,0,MATCH(Z$2,Inputs!$K$4:$AJ$4,0))))+SUMPRODUCT((Inputs!$C$5:$C$230=$B101)*ISNUMBER(INDEX(Inputs!$K$5:$AJ$230,0,MATCH(Z$2,Inputs!$K$4:$AJ$4,0))))+SUMPRODUCT((Inputs!$E$5:$E$230=$B101)*ISNUMBER(INDEX(Inputs!$K$5:$AJ$230,0,MATCH(Z$2,Inputs!$K$4:$AJ$4,0))))=0,NA(),SUMPRODUCT((Inputs!$A$5:$A$230=$B101)*Inputs!$B$5:$B$230*(((Inputs!$G$5:$G$230="moeda")+(Inputs!$G$5:$G$230="acoes"))*Inputs!$B$1+((Inputs!$G$5:$G$230&lt;&gt;"moeda")*(Inputs!$G$5:$G$230&lt;&gt;"acoes")))*INDEX(Inputs!$K$5:$AJ$230,0,MATCH(Z$2,Inputs!$K$4:$AJ$4,0)))+SUMPRODUCT((Inputs!$C$5:$C$230=$B101)*Inputs!$D$5:$D$230*(((Inputs!$G$5:$G$230="moeda")+(Inputs!$G$5:$G$230="acoes"))*Inputs!$B$1+((Inputs!$G$5:$G$230&lt;&gt;"moeda")*(Inputs!$G$5:$G$230&lt;&gt;"acoes")))*INDEX(Inputs!$K$5:$AJ$230,0,MATCH(Z$2,Inputs!$K$4:$AJ$4,0)))+SUMPRODUCT((Inputs!$E$5:$E$230=$B101)*Inputs!$F$5:$F$230*(((Inputs!$G$5:$G$230="moeda")+(Inputs!$G$5:$G$230="acoes"))*Inputs!$B$1+((Inputs!$G$5:$G$230&lt;&gt;"moeda")*(Inputs!$G$5:$G$230&lt;&gt;"acoes")))*INDEX(Inputs!$K$5:$AJ$230,0,MATCH(Z$2,Inputs!$K$4:$AJ$4,0)))))</f>
        <v>2.102</v>
      </c>
      <c r="AA101" s="6">
        <f>IF(ISNA(MATCH(AA$2,Inputs!$K$4:$AJ$4,0)),NA(),IF(SUMPRODUCT((Inputs!$A$5:$A$230=$B101)*ISNUMBER(INDEX(Inputs!$K$5:$AJ$230,0,MATCH(AA$2,Inputs!$K$4:$AJ$4,0))))+SUMPRODUCT((Inputs!$C$5:$C$230=$B101)*ISNUMBER(INDEX(Inputs!$K$5:$AJ$230,0,MATCH(AA$2,Inputs!$K$4:$AJ$4,0))))+SUMPRODUCT((Inputs!$E$5:$E$230=$B101)*ISNUMBER(INDEX(Inputs!$K$5:$AJ$230,0,MATCH(AA$2,Inputs!$K$4:$AJ$4,0))))=0,NA(),SUMPRODUCT((Inputs!$A$5:$A$230=$B101)*Inputs!$B$5:$B$230*(((Inputs!$G$5:$G$230="moeda")+(Inputs!$G$5:$G$230="acoes"))*Inputs!$B$1+((Inputs!$G$5:$G$230&lt;&gt;"moeda")*(Inputs!$G$5:$G$230&lt;&gt;"acoes")))*INDEX(Inputs!$K$5:$AJ$230,0,MATCH(AA$2,Inputs!$K$4:$AJ$4,0)))+SUMPRODUCT((Inputs!$C$5:$C$230=$B101)*Inputs!$D$5:$D$230*(((Inputs!$G$5:$G$230="moeda")+(Inputs!$G$5:$G$230="acoes"))*Inputs!$B$1+((Inputs!$G$5:$G$230&lt;&gt;"moeda")*(Inputs!$G$5:$G$230&lt;&gt;"acoes")))*INDEX(Inputs!$K$5:$AJ$230,0,MATCH(AA$2,Inputs!$K$4:$AJ$4,0)))+SUMPRODUCT((Inputs!$E$5:$E$230=$B101)*Inputs!$F$5:$F$230*(((Inputs!$G$5:$G$230="moeda")+(Inputs!$G$5:$G$230="acoes"))*Inputs!$B$1+((Inputs!$G$5:$G$230&lt;&gt;"moeda")*(Inputs!$G$5:$G$230&lt;&gt;"acoes")))*INDEX(Inputs!$K$5:$AJ$230,0,MATCH(AA$2,Inputs!$K$4:$AJ$4,0)))))</f>
        <v>2.305</v>
      </c>
      <c r="AB101" s="3">
        <f>SUM(X101:AA101)</f>
        <v>7.911</v>
      </c>
      <c r="AC101" s="6">
        <f>IF(ISNA(MATCH(AC$2,Inputs!$K$4:$AJ$4,0)),NA(),IF(SUMPRODUCT((Inputs!$A$5:$A$230=$B101)*ISNUMBER(INDEX(Inputs!$K$5:$AJ$230,0,MATCH(AC$2,Inputs!$K$4:$AJ$4,0))))+SUMPRODUCT((Inputs!$C$5:$C$230=$B101)*ISNUMBER(INDEX(Inputs!$K$5:$AJ$230,0,MATCH(AC$2,Inputs!$K$4:$AJ$4,0))))+SUMPRODUCT((Inputs!$E$5:$E$230=$B101)*ISNUMBER(INDEX(Inputs!$K$5:$AJ$230,0,MATCH(AC$2,Inputs!$K$4:$AJ$4,0))))=0,NA(),SUMPRODUCT((Inputs!$A$5:$A$230=$B101)*Inputs!$B$5:$B$230*(((Inputs!$G$5:$G$230="moeda")+(Inputs!$G$5:$G$230="acoes"))*Inputs!$B$1+((Inputs!$G$5:$G$230&lt;&gt;"moeda")*(Inputs!$G$5:$G$230&lt;&gt;"acoes")))*INDEX(Inputs!$K$5:$AJ$230,0,MATCH(AC$2,Inputs!$K$4:$AJ$4,0)))+SUMPRODUCT((Inputs!$C$5:$C$230=$B101)*Inputs!$D$5:$D$230*(((Inputs!$G$5:$G$230="moeda")+(Inputs!$G$5:$G$230="acoes"))*Inputs!$B$1+((Inputs!$G$5:$G$230&lt;&gt;"moeda")*(Inputs!$G$5:$G$230&lt;&gt;"acoes")))*INDEX(Inputs!$K$5:$AJ$230,0,MATCH(AC$2,Inputs!$K$4:$AJ$4,0)))+SUMPRODUCT((Inputs!$E$5:$E$230=$B101)*Inputs!$F$5:$F$230*(((Inputs!$G$5:$G$230="moeda")+(Inputs!$G$5:$G$230="acoes"))*Inputs!$B$1+((Inputs!$G$5:$G$230&lt;&gt;"moeda")*(Inputs!$G$5:$G$230&lt;&gt;"acoes")))*INDEX(Inputs!$K$5:$AJ$230,0,MATCH(AC$2,Inputs!$K$4:$AJ$4,0)))))</f>
        <v>1.873</v>
      </c>
      <c r="AD101" s="6">
        <f>IF(ISNA(MATCH(AD$2,Inputs!$K$4:$AJ$4,0)),NA(),IF(SUMPRODUCT((Inputs!$A$5:$A$230=$B101)*ISNUMBER(INDEX(Inputs!$K$5:$AJ$230,0,MATCH(AD$2,Inputs!$K$4:$AJ$4,0))))+SUMPRODUCT((Inputs!$C$5:$C$230=$B101)*ISNUMBER(INDEX(Inputs!$K$5:$AJ$230,0,MATCH(AD$2,Inputs!$K$4:$AJ$4,0))))+SUMPRODUCT((Inputs!$E$5:$E$230=$B101)*ISNUMBER(INDEX(Inputs!$K$5:$AJ$230,0,MATCH(AD$2,Inputs!$K$4:$AJ$4,0))))=0,NA(),SUMPRODUCT((Inputs!$A$5:$A$230=$B101)*Inputs!$B$5:$B$230*(((Inputs!$G$5:$G$230="moeda")+(Inputs!$G$5:$G$230="acoes"))*Inputs!$B$1+((Inputs!$G$5:$G$230&lt;&gt;"moeda")*(Inputs!$G$5:$G$230&lt;&gt;"acoes")))*INDEX(Inputs!$K$5:$AJ$230,0,MATCH(AD$2,Inputs!$K$4:$AJ$4,0)))+SUMPRODUCT((Inputs!$C$5:$C$230=$B101)*Inputs!$D$5:$D$230*(((Inputs!$G$5:$G$230="moeda")+(Inputs!$G$5:$G$230="acoes"))*Inputs!$B$1+((Inputs!$G$5:$G$230&lt;&gt;"moeda")*(Inputs!$G$5:$G$230&lt;&gt;"acoes")))*INDEX(Inputs!$K$5:$AJ$230,0,MATCH(AD$2,Inputs!$K$4:$AJ$4,0)))+SUMPRODUCT((Inputs!$E$5:$E$230=$B101)*Inputs!$F$5:$F$230*(((Inputs!$G$5:$G$230="moeda")+(Inputs!$G$5:$G$230="acoes"))*Inputs!$B$1+((Inputs!$G$5:$G$230&lt;&gt;"moeda")*(Inputs!$G$5:$G$230&lt;&gt;"acoes")))*INDEX(Inputs!$K$5:$AJ$230,0,MATCH(AD$2,Inputs!$K$4:$AJ$4,0)))))</f>
        <v>0.996</v>
      </c>
      <c r="AE101" s="6" t="e">
        <f>IF(ISNA(MATCH(AE$2,Inputs!$K$4:$AJ$4,0)),NA(),IF(SUMPRODUCT((Inputs!$A$5:$A$230=$B101)*ISNUMBER(INDEX(Inputs!$K$5:$AJ$230,0,MATCH(AE$2,Inputs!$K$4:$AJ$4,0))))+SUMPRODUCT((Inputs!$C$5:$C$230=$B101)*ISNUMBER(INDEX(Inputs!$K$5:$AJ$230,0,MATCH(AE$2,Inputs!$K$4:$AJ$4,0))))+SUMPRODUCT((Inputs!$E$5:$E$230=$B101)*ISNUMBER(INDEX(Inputs!$K$5:$AJ$230,0,MATCH(AE$2,Inputs!$K$4:$AJ$4,0))))=0,NA(),SUMPRODUCT((Inputs!$A$5:$A$230=$B101)*Inputs!$B$5:$B$230*(((Inputs!$G$5:$G$230="moeda")+(Inputs!$G$5:$G$230="acoes"))*Inputs!$B$1+((Inputs!$G$5:$G$230&lt;&gt;"moeda")*(Inputs!$G$5:$G$230&lt;&gt;"acoes")))*INDEX(Inputs!$K$5:$AJ$230,0,MATCH(AE$2,Inputs!$K$4:$AJ$4,0)))+SUMPRODUCT((Inputs!$C$5:$C$230=$B101)*Inputs!$D$5:$D$230*(((Inputs!$G$5:$G$230="moeda")+(Inputs!$G$5:$G$230="acoes"))*Inputs!$B$1+((Inputs!$G$5:$G$230&lt;&gt;"moeda")*(Inputs!$G$5:$G$230&lt;&gt;"acoes")))*INDEX(Inputs!$K$5:$AJ$230,0,MATCH(AE$2,Inputs!$K$4:$AJ$4,0)))+SUMPRODUCT((Inputs!$E$5:$E$230=$B101)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01" s="6" t="e">
        <f>IF(ISNA(MATCH(AF$2,Inputs!$K$4:$AJ$4,0)),NA(),IF(SUMPRODUCT((Inputs!$A$5:$A$230=$B101)*ISNUMBER(INDEX(Inputs!$K$5:$AJ$230,0,MATCH(AF$2,Inputs!$K$4:$AJ$4,0))))+SUMPRODUCT((Inputs!$C$5:$C$230=$B101)*ISNUMBER(INDEX(Inputs!$K$5:$AJ$230,0,MATCH(AF$2,Inputs!$K$4:$AJ$4,0))))+SUMPRODUCT((Inputs!$E$5:$E$230=$B101)*ISNUMBER(INDEX(Inputs!$K$5:$AJ$230,0,MATCH(AF$2,Inputs!$K$4:$AJ$4,0))))=0,NA(),SUMPRODUCT((Inputs!$A$5:$A$230=$B101)*Inputs!$B$5:$B$230*(((Inputs!$G$5:$G$230="moeda")+(Inputs!$G$5:$G$230="acoes"))*Inputs!$B$1+((Inputs!$G$5:$G$230&lt;&gt;"moeda")*(Inputs!$G$5:$G$230&lt;&gt;"acoes")))*INDEX(Inputs!$K$5:$AJ$230,0,MATCH(AF$2,Inputs!$K$4:$AJ$4,0)))+SUMPRODUCT((Inputs!$C$5:$C$230=$B101)*Inputs!$D$5:$D$230*(((Inputs!$G$5:$G$230="moeda")+(Inputs!$G$5:$G$230="acoes"))*Inputs!$B$1+((Inputs!$G$5:$G$230&lt;&gt;"moeda")*(Inputs!$G$5:$G$230&lt;&gt;"acoes")))*INDEX(Inputs!$K$5:$AJ$230,0,MATCH(AF$2,Inputs!$K$4:$AJ$4,0)))+SUMPRODUCT((Inputs!$E$5:$E$230=$B101)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01" s="3" t="e">
        <f>SUM(AC101:AF101)</f>
        <v>#N/A</v>
      </c>
      <c r="AH101" s="6">
        <f>IF(ISNA(MATCH(AH$2,Inputs!$K$4:$AJ$4,0)),NA(),IF(SUMPRODUCT((Inputs!$A$5:$A$230=$B101)*ISNUMBER(INDEX(Inputs!$K$5:$AJ$230,0,MATCH(AH$2,Inputs!$K$4:$AJ$4,0))))+SUMPRODUCT((Inputs!$C$5:$C$230=$B101)*ISNUMBER(INDEX(Inputs!$K$5:$AJ$230,0,MATCH(AH$2,Inputs!$K$4:$AJ$4,0))))+SUMPRODUCT((Inputs!$E$5:$E$230=$B101)*ISNUMBER(INDEX(Inputs!$K$5:$AJ$230,0,MATCH(AH$2,Inputs!$K$4:$AJ$4,0))))=0,NA(),SUMPRODUCT((Inputs!$A$5:$A$230=$B101)*Inputs!$B$5:$B$230*(((Inputs!$G$5:$G$230="moeda")+(Inputs!$G$5:$G$230="acoes"))*Inputs!$B$1+((Inputs!$G$5:$G$230&lt;&gt;"moeda")*(Inputs!$G$5:$G$230&lt;&gt;"acoes")))*INDEX(Inputs!$K$5:$AJ$230,0,MATCH(AH$2,Inputs!$K$4:$AJ$4,0)))+SUMPRODUCT((Inputs!$C$5:$C$230=$B101)*Inputs!$D$5:$D$230*(((Inputs!$G$5:$G$230="moeda")+(Inputs!$G$5:$G$230="acoes"))*Inputs!$B$1+((Inputs!$G$5:$G$230&lt;&gt;"moeda")*(Inputs!$G$5:$G$230&lt;&gt;"acoes")))*INDEX(Inputs!$K$5:$AJ$230,0,MATCH(AH$2,Inputs!$K$4:$AJ$4,0)))+SUMPRODUCT((Inputs!$E$5:$E$230=$B101)*Inputs!$F$5:$F$230*(((Inputs!$G$5:$G$230="moeda")+(Inputs!$G$5:$G$230="acoes"))*Inputs!$B$1+((Inputs!$G$5:$G$230&lt;&gt;"moeda")*(Inputs!$G$5:$G$230&lt;&gt;"acoes")))*INDEX(Inputs!$K$5:$AJ$230,0,MATCH(AH$2,Inputs!$K$4:$AJ$4,0)))))</f>
        <v>1.822</v>
      </c>
      <c r="AI101" s="6">
        <f>IF(ISNA(MATCH(AI$2,Inputs!$K$4:$AJ$4,0)),NA(),IF(SUMPRODUCT((Inputs!$A$5:$A$230=$B101)*ISNUMBER(INDEX(Inputs!$K$5:$AJ$230,0,MATCH(AI$2,Inputs!$K$4:$AJ$4,0))))+SUMPRODUCT((Inputs!$C$5:$C$230=$B101)*ISNUMBER(INDEX(Inputs!$K$5:$AJ$230,0,MATCH(AI$2,Inputs!$K$4:$AJ$4,0))))+SUMPRODUCT((Inputs!$E$5:$E$230=$B101)*ISNUMBER(INDEX(Inputs!$K$5:$AJ$230,0,MATCH(AI$2,Inputs!$K$4:$AJ$4,0))))=0,NA(),SUMPRODUCT((Inputs!$A$5:$A$230=$B101)*Inputs!$B$5:$B$230*(((Inputs!$G$5:$G$230="moeda")+(Inputs!$G$5:$G$230="acoes"))*Inputs!$B$1+((Inputs!$G$5:$G$230&lt;&gt;"moeda")*(Inputs!$G$5:$G$230&lt;&gt;"acoes")))*INDEX(Inputs!$K$5:$AJ$230,0,MATCH(AI$2,Inputs!$K$4:$AJ$4,0)))+SUMPRODUCT((Inputs!$C$5:$C$230=$B101)*Inputs!$D$5:$D$230*(((Inputs!$G$5:$G$230="moeda")+(Inputs!$G$5:$G$230="acoes"))*Inputs!$B$1+((Inputs!$G$5:$G$230&lt;&gt;"moeda")*(Inputs!$G$5:$G$230&lt;&gt;"acoes")))*INDEX(Inputs!$K$5:$AJ$230,0,MATCH(AI$2,Inputs!$K$4:$AJ$4,0)))+SUMPRODUCT((Inputs!$E$5:$E$230=$B101)*Inputs!$F$5:$F$230*(((Inputs!$G$5:$G$230="moeda")+(Inputs!$G$5:$G$230="acoes"))*Inputs!$B$1+((Inputs!$G$5:$G$230&lt;&gt;"moeda")*(Inputs!$G$5:$G$230&lt;&gt;"acoes")))*INDEX(Inputs!$K$5:$AJ$230,0,MATCH(AI$2,Inputs!$K$4:$AJ$4,0)))))</f>
        <v>1.814</v>
      </c>
      <c r="AJ101" s="6">
        <f>IF(ISNA(MATCH(AJ$2,Inputs!$K$4:$AJ$4,0)),NA(),IF(SUMPRODUCT((Inputs!$A$5:$A$230=$B101)*ISNUMBER(INDEX(Inputs!$K$5:$AJ$230,0,MATCH(AJ$2,Inputs!$K$4:$AJ$4,0))))+SUMPRODUCT((Inputs!$C$5:$C$230=$B101)*ISNUMBER(INDEX(Inputs!$K$5:$AJ$230,0,MATCH(AJ$2,Inputs!$K$4:$AJ$4,0))))+SUMPRODUCT((Inputs!$E$5:$E$230=$B101)*ISNUMBER(INDEX(Inputs!$K$5:$AJ$230,0,MATCH(AJ$2,Inputs!$K$4:$AJ$4,0))))=0,NA(),SUMPRODUCT((Inputs!$A$5:$A$230=$B101)*Inputs!$B$5:$B$230*(((Inputs!$G$5:$G$230="moeda")+(Inputs!$G$5:$G$230="acoes"))*Inputs!$B$1+((Inputs!$G$5:$G$230&lt;&gt;"moeda")*(Inputs!$G$5:$G$230&lt;&gt;"acoes")))*INDEX(Inputs!$K$5:$AJ$230,0,MATCH(AJ$2,Inputs!$K$4:$AJ$4,0)))+SUMPRODUCT((Inputs!$C$5:$C$230=$B101)*Inputs!$D$5:$D$230*(((Inputs!$G$5:$G$230="moeda")+(Inputs!$G$5:$G$230="acoes"))*Inputs!$B$1+((Inputs!$G$5:$G$230&lt;&gt;"moeda")*(Inputs!$G$5:$G$230&lt;&gt;"acoes")))*INDEX(Inputs!$K$5:$AJ$230,0,MATCH(AJ$2,Inputs!$K$4:$AJ$4,0)))+SUMPRODUCT((Inputs!$E$5:$E$230=$B101)*Inputs!$F$5:$F$230*(((Inputs!$G$5:$G$230="moeda")+(Inputs!$G$5:$G$230="acoes"))*Inputs!$B$1+((Inputs!$G$5:$G$230&lt;&gt;"moeda")*(Inputs!$G$5:$G$230&lt;&gt;"acoes")))*INDEX(Inputs!$K$5:$AJ$230,0,MATCH(AJ$2,Inputs!$K$4:$AJ$4,0)))))</f>
        <v>1.813</v>
      </c>
      <c r="AK101" s="6">
        <f>IF(ISNA(MATCH(AK$2,Inputs!$K$4:$AJ$4,0)),NA(),IF(SUMPRODUCT((Inputs!$A$5:$A$230=$B101)*ISNUMBER(INDEX(Inputs!$K$5:$AJ$230,0,MATCH(AK$2,Inputs!$K$4:$AJ$4,0))))+SUMPRODUCT((Inputs!$C$5:$C$230=$B101)*ISNUMBER(INDEX(Inputs!$K$5:$AJ$230,0,MATCH(AK$2,Inputs!$K$4:$AJ$4,0))))+SUMPRODUCT((Inputs!$E$5:$E$230=$B101)*ISNUMBER(INDEX(Inputs!$K$5:$AJ$230,0,MATCH(AK$2,Inputs!$K$4:$AJ$4,0))))=0,NA(),SUMPRODUCT((Inputs!$A$5:$A$230=$B101)*Inputs!$B$5:$B$230*(((Inputs!$G$5:$G$230="moeda")+(Inputs!$G$5:$G$230="acoes"))*Inputs!$B$1+((Inputs!$G$5:$G$230&lt;&gt;"moeda")*(Inputs!$G$5:$G$230&lt;&gt;"acoes")))*INDEX(Inputs!$K$5:$AJ$230,0,MATCH(AK$2,Inputs!$K$4:$AJ$4,0)))+SUMPRODUCT((Inputs!$C$5:$C$230=$B101)*Inputs!$D$5:$D$230*(((Inputs!$G$5:$G$230="moeda")+(Inputs!$G$5:$G$230="acoes"))*Inputs!$B$1+((Inputs!$G$5:$G$230&lt;&gt;"moeda")*(Inputs!$G$5:$G$230&lt;&gt;"acoes")))*INDEX(Inputs!$K$5:$AJ$230,0,MATCH(AK$2,Inputs!$K$4:$AJ$4,0)))+SUMPRODUCT((Inputs!$E$5:$E$230=$B101)*Inputs!$F$5:$F$230*(((Inputs!$G$5:$G$230="moeda")+(Inputs!$G$5:$G$230="acoes"))*Inputs!$B$1+((Inputs!$G$5:$G$230&lt;&gt;"moeda")*(Inputs!$G$5:$G$230&lt;&gt;"acoes")))*INDEX(Inputs!$K$5:$AJ$230,0,MATCH(AK$2,Inputs!$K$4:$AJ$4,0)))))</f>
        <v>1.857</v>
      </c>
      <c r="AL101" s="3">
        <f>SUM(AH101:AK101)</f>
        <v>7.306</v>
      </c>
    </row>
    <row r="102">
      <c r="B102" s="46" t="n">
        <v>94</v>
      </c>
      <c r="C102" s="29" t="inlineStr">
        <is>
          <t>Geracao | EDV III</t>
        </is>
      </c>
      <c r="D102" s="6">
        <f>IF(ISNA(MATCH(D$2,Inputs!$K$4:$AJ$4,0)),NA(),IF(SUMPRODUCT((Inputs!$A$5:$A$230=$B102)*ISNUMBER(INDEX(Inputs!$K$5:$AJ$230,0,MATCH(D$2,Inputs!$K$4:$AJ$4,0))))+SUMPRODUCT((Inputs!$C$5:$C$230=$B102)*ISNUMBER(INDEX(Inputs!$K$5:$AJ$230,0,MATCH(D$2,Inputs!$K$4:$AJ$4,0))))+SUMPRODUCT((Inputs!$E$5:$E$230=$B102)*ISNUMBER(INDEX(Inputs!$K$5:$AJ$230,0,MATCH(D$2,Inputs!$K$4:$AJ$4,0))))=0,NA(),SUMPRODUCT((Inputs!$A$5:$A$230=$B102)*Inputs!$B$5:$B$230*(((Inputs!$G$5:$G$230="moeda")+(Inputs!$G$5:$G$230="acoes"))*Inputs!$B$1+((Inputs!$G$5:$G$230&lt;&gt;"moeda")*(Inputs!$G$5:$G$230&lt;&gt;"acoes")))*INDEX(Inputs!$K$5:$AJ$230,0,MATCH(D$2,Inputs!$K$4:$AJ$4,0)))+SUMPRODUCT((Inputs!$C$5:$C$230=$B102)*Inputs!$D$5:$D$230*(((Inputs!$G$5:$G$230="moeda")+(Inputs!$G$5:$G$230="acoes"))*Inputs!$B$1+((Inputs!$G$5:$G$230&lt;&gt;"moeda")*(Inputs!$G$5:$G$230&lt;&gt;"acoes")))*INDEX(Inputs!$K$5:$AJ$230,0,MATCH(D$2,Inputs!$K$4:$AJ$4,0)))+SUMPRODUCT((Inputs!$E$5:$E$230=$B102)*Inputs!$F$5:$F$230*(((Inputs!$G$5:$G$230="moeda")+(Inputs!$G$5:$G$230="acoes"))*Inputs!$B$1+((Inputs!$G$5:$G$230&lt;&gt;"moeda")*(Inputs!$G$5:$G$230&lt;&gt;"acoes")))*INDEX(Inputs!$K$5:$AJ$230,0,MATCH(D$2,Inputs!$K$4:$AJ$4,0)))))</f>
        <v>2.841</v>
      </c>
      <c r="E102" s="6">
        <f>IF(ISNA(MATCH(E$2,Inputs!$K$4:$AJ$4,0)),NA(),IF(SUMPRODUCT((Inputs!$A$5:$A$230=$B102)*ISNUMBER(INDEX(Inputs!$K$5:$AJ$230,0,MATCH(E$2,Inputs!$K$4:$AJ$4,0))))+SUMPRODUCT((Inputs!$C$5:$C$230=$B102)*ISNUMBER(INDEX(Inputs!$K$5:$AJ$230,0,MATCH(E$2,Inputs!$K$4:$AJ$4,0))))+SUMPRODUCT((Inputs!$E$5:$E$230=$B102)*ISNUMBER(INDEX(Inputs!$K$5:$AJ$230,0,MATCH(E$2,Inputs!$K$4:$AJ$4,0))))=0,NA(),SUMPRODUCT((Inputs!$A$5:$A$230=$B102)*Inputs!$B$5:$B$230*(((Inputs!$G$5:$G$230="moeda")+(Inputs!$G$5:$G$230="acoes"))*Inputs!$B$1+((Inputs!$G$5:$G$230&lt;&gt;"moeda")*(Inputs!$G$5:$G$230&lt;&gt;"acoes")))*INDEX(Inputs!$K$5:$AJ$230,0,MATCH(E$2,Inputs!$K$4:$AJ$4,0)))+SUMPRODUCT((Inputs!$C$5:$C$230=$B102)*Inputs!$D$5:$D$230*(((Inputs!$G$5:$G$230="moeda")+(Inputs!$G$5:$G$230="acoes"))*Inputs!$B$1+((Inputs!$G$5:$G$230&lt;&gt;"moeda")*(Inputs!$G$5:$G$230&lt;&gt;"acoes")))*INDEX(Inputs!$K$5:$AJ$230,0,MATCH(E$2,Inputs!$K$4:$AJ$4,0)))+SUMPRODUCT((Inputs!$E$5:$E$230=$B102)*Inputs!$F$5:$F$230*(((Inputs!$G$5:$G$230="moeda")+(Inputs!$G$5:$G$230="acoes"))*Inputs!$B$1+((Inputs!$G$5:$G$230&lt;&gt;"moeda")*(Inputs!$G$5:$G$230&lt;&gt;"acoes")))*INDEX(Inputs!$K$5:$AJ$230,0,MATCH(E$2,Inputs!$K$4:$AJ$4,0)))))</f>
        <v>2.895</v>
      </c>
      <c r="F102" s="6">
        <f>IF(ISNA(MATCH(F$2,Inputs!$K$4:$AJ$4,0)),NA(),IF(SUMPRODUCT((Inputs!$A$5:$A$230=$B102)*ISNUMBER(INDEX(Inputs!$K$5:$AJ$230,0,MATCH(F$2,Inputs!$K$4:$AJ$4,0))))+SUMPRODUCT((Inputs!$C$5:$C$230=$B102)*ISNUMBER(INDEX(Inputs!$K$5:$AJ$230,0,MATCH(F$2,Inputs!$K$4:$AJ$4,0))))+SUMPRODUCT((Inputs!$E$5:$E$230=$B102)*ISNUMBER(INDEX(Inputs!$K$5:$AJ$230,0,MATCH(F$2,Inputs!$K$4:$AJ$4,0))))=0,NA(),SUMPRODUCT((Inputs!$A$5:$A$230=$B102)*Inputs!$B$5:$B$230*(((Inputs!$G$5:$G$230="moeda")+(Inputs!$G$5:$G$230="acoes"))*Inputs!$B$1+((Inputs!$G$5:$G$230&lt;&gt;"moeda")*(Inputs!$G$5:$G$230&lt;&gt;"acoes")))*INDEX(Inputs!$K$5:$AJ$230,0,MATCH(F$2,Inputs!$K$4:$AJ$4,0)))+SUMPRODUCT((Inputs!$C$5:$C$230=$B102)*Inputs!$D$5:$D$230*(((Inputs!$G$5:$G$230="moeda")+(Inputs!$G$5:$G$230="acoes"))*Inputs!$B$1+((Inputs!$G$5:$G$230&lt;&gt;"moeda")*(Inputs!$G$5:$G$230&lt;&gt;"acoes")))*INDEX(Inputs!$K$5:$AJ$230,0,MATCH(F$2,Inputs!$K$4:$AJ$4,0)))+SUMPRODUCT((Inputs!$E$5:$E$230=$B102)*Inputs!$F$5:$F$230*(((Inputs!$G$5:$G$230="moeda")+(Inputs!$G$5:$G$230="acoes"))*Inputs!$B$1+((Inputs!$G$5:$G$230&lt;&gt;"moeda")*(Inputs!$G$5:$G$230&lt;&gt;"acoes")))*INDEX(Inputs!$K$5:$AJ$230,0,MATCH(F$2,Inputs!$K$4:$AJ$4,0)))))</f>
        <v>5.581</v>
      </c>
      <c r="G102" s="6">
        <f>IF(ISNA(MATCH(G$2,Inputs!$K$4:$AJ$4,0)),NA(),IF(SUMPRODUCT((Inputs!$A$5:$A$230=$B102)*ISNUMBER(INDEX(Inputs!$K$5:$AJ$230,0,MATCH(G$2,Inputs!$K$4:$AJ$4,0))))+SUMPRODUCT((Inputs!$C$5:$C$230=$B102)*ISNUMBER(INDEX(Inputs!$K$5:$AJ$230,0,MATCH(G$2,Inputs!$K$4:$AJ$4,0))))+SUMPRODUCT((Inputs!$E$5:$E$230=$B102)*ISNUMBER(INDEX(Inputs!$K$5:$AJ$230,0,MATCH(G$2,Inputs!$K$4:$AJ$4,0))))=0,NA(),SUMPRODUCT((Inputs!$A$5:$A$230=$B102)*Inputs!$B$5:$B$230*(((Inputs!$G$5:$G$230="moeda")+(Inputs!$G$5:$G$230="acoes"))*Inputs!$B$1+((Inputs!$G$5:$G$230&lt;&gt;"moeda")*(Inputs!$G$5:$G$230&lt;&gt;"acoes")))*INDEX(Inputs!$K$5:$AJ$230,0,MATCH(G$2,Inputs!$K$4:$AJ$4,0)))+SUMPRODUCT((Inputs!$C$5:$C$230=$B102)*Inputs!$D$5:$D$230*(((Inputs!$G$5:$G$230="moeda")+(Inputs!$G$5:$G$230="acoes"))*Inputs!$B$1+((Inputs!$G$5:$G$230&lt;&gt;"moeda")*(Inputs!$G$5:$G$230&lt;&gt;"acoes")))*INDEX(Inputs!$K$5:$AJ$230,0,MATCH(G$2,Inputs!$K$4:$AJ$4,0)))+SUMPRODUCT((Inputs!$E$5:$E$230=$B102)*Inputs!$F$5:$F$230*(((Inputs!$G$5:$G$230="moeda")+(Inputs!$G$5:$G$230="acoes"))*Inputs!$B$1+((Inputs!$G$5:$G$230&lt;&gt;"moeda")*(Inputs!$G$5:$G$230&lt;&gt;"acoes")))*INDEX(Inputs!$K$5:$AJ$230,0,MATCH(G$2,Inputs!$K$4:$AJ$4,0)))))</f>
        <v>3.284</v>
      </c>
      <c r="H102" s="3">
        <f>SUM(D102:G102)</f>
        <v>14.601</v>
      </c>
      <c r="I102" s="6">
        <f>IF(ISNA(MATCH(I$2,Inputs!$K$4:$AJ$4,0)),NA(),IF(SUMPRODUCT((Inputs!$A$5:$A$230=$B102)*ISNUMBER(INDEX(Inputs!$K$5:$AJ$230,0,MATCH(I$2,Inputs!$K$4:$AJ$4,0))))+SUMPRODUCT((Inputs!$C$5:$C$230=$B102)*ISNUMBER(INDEX(Inputs!$K$5:$AJ$230,0,MATCH(I$2,Inputs!$K$4:$AJ$4,0))))+SUMPRODUCT((Inputs!$E$5:$E$230=$B102)*ISNUMBER(INDEX(Inputs!$K$5:$AJ$230,0,MATCH(I$2,Inputs!$K$4:$AJ$4,0))))=0,NA(),SUMPRODUCT((Inputs!$A$5:$A$230=$B102)*Inputs!$B$5:$B$230*(((Inputs!$G$5:$G$230="moeda")+(Inputs!$G$5:$G$230="acoes"))*Inputs!$B$1+((Inputs!$G$5:$G$230&lt;&gt;"moeda")*(Inputs!$G$5:$G$230&lt;&gt;"acoes")))*INDEX(Inputs!$K$5:$AJ$230,0,MATCH(I$2,Inputs!$K$4:$AJ$4,0)))+SUMPRODUCT((Inputs!$C$5:$C$230=$B102)*Inputs!$D$5:$D$230*(((Inputs!$G$5:$G$230="moeda")+(Inputs!$G$5:$G$230="acoes"))*Inputs!$B$1+((Inputs!$G$5:$G$230&lt;&gt;"moeda")*(Inputs!$G$5:$G$230&lt;&gt;"acoes")))*INDEX(Inputs!$K$5:$AJ$230,0,MATCH(I$2,Inputs!$K$4:$AJ$4,0)))+SUMPRODUCT((Inputs!$E$5:$E$230=$B102)*Inputs!$F$5:$F$230*(((Inputs!$G$5:$G$230="moeda")+(Inputs!$G$5:$G$230="acoes"))*Inputs!$B$1+((Inputs!$G$5:$G$230&lt;&gt;"moeda")*(Inputs!$G$5:$G$230&lt;&gt;"acoes")))*INDEX(Inputs!$K$5:$AJ$230,0,MATCH(I$2,Inputs!$K$4:$AJ$4,0)))))</f>
        <v>3.078</v>
      </c>
      <c r="J102" s="6">
        <f>IF(ISNA(MATCH(J$2,Inputs!$K$4:$AJ$4,0)),NA(),IF(SUMPRODUCT((Inputs!$A$5:$A$230=$B102)*ISNUMBER(INDEX(Inputs!$K$5:$AJ$230,0,MATCH(J$2,Inputs!$K$4:$AJ$4,0))))+SUMPRODUCT((Inputs!$C$5:$C$230=$B102)*ISNUMBER(INDEX(Inputs!$K$5:$AJ$230,0,MATCH(J$2,Inputs!$K$4:$AJ$4,0))))+SUMPRODUCT((Inputs!$E$5:$E$230=$B102)*ISNUMBER(INDEX(Inputs!$K$5:$AJ$230,0,MATCH(J$2,Inputs!$K$4:$AJ$4,0))))=0,NA(),SUMPRODUCT((Inputs!$A$5:$A$230=$B102)*Inputs!$B$5:$B$230*(((Inputs!$G$5:$G$230="moeda")+(Inputs!$G$5:$G$230="acoes"))*Inputs!$B$1+((Inputs!$G$5:$G$230&lt;&gt;"moeda")*(Inputs!$G$5:$G$230&lt;&gt;"acoes")))*INDEX(Inputs!$K$5:$AJ$230,0,MATCH(J$2,Inputs!$K$4:$AJ$4,0)))+SUMPRODUCT((Inputs!$C$5:$C$230=$B102)*Inputs!$D$5:$D$230*(((Inputs!$G$5:$G$230="moeda")+(Inputs!$G$5:$G$230="acoes"))*Inputs!$B$1+((Inputs!$G$5:$G$230&lt;&gt;"moeda")*(Inputs!$G$5:$G$230&lt;&gt;"acoes")))*INDEX(Inputs!$K$5:$AJ$230,0,MATCH(J$2,Inputs!$K$4:$AJ$4,0)))+SUMPRODUCT((Inputs!$E$5:$E$230=$B102)*Inputs!$F$5:$F$230*(((Inputs!$G$5:$G$230="moeda")+(Inputs!$G$5:$G$230="acoes"))*Inputs!$B$1+((Inputs!$G$5:$G$230&lt;&gt;"moeda")*(Inputs!$G$5:$G$230&lt;&gt;"acoes")))*INDEX(Inputs!$K$5:$AJ$230,0,MATCH(J$2,Inputs!$K$4:$AJ$4,0)))))</f>
        <v>3.114</v>
      </c>
      <c r="K102" s="6">
        <f>IF(ISNA(MATCH(K$2,Inputs!$K$4:$AJ$4,0)),NA(),IF(SUMPRODUCT((Inputs!$A$5:$A$230=$B102)*ISNUMBER(INDEX(Inputs!$K$5:$AJ$230,0,MATCH(K$2,Inputs!$K$4:$AJ$4,0))))+SUMPRODUCT((Inputs!$C$5:$C$230=$B102)*ISNUMBER(INDEX(Inputs!$K$5:$AJ$230,0,MATCH(K$2,Inputs!$K$4:$AJ$4,0))))+SUMPRODUCT((Inputs!$E$5:$E$230=$B102)*ISNUMBER(INDEX(Inputs!$K$5:$AJ$230,0,MATCH(K$2,Inputs!$K$4:$AJ$4,0))))=0,NA(),SUMPRODUCT((Inputs!$A$5:$A$230=$B102)*Inputs!$B$5:$B$230*(((Inputs!$G$5:$G$230="moeda")+(Inputs!$G$5:$G$230="acoes"))*Inputs!$B$1+((Inputs!$G$5:$G$230&lt;&gt;"moeda")*(Inputs!$G$5:$G$230&lt;&gt;"acoes")))*INDEX(Inputs!$K$5:$AJ$230,0,MATCH(K$2,Inputs!$K$4:$AJ$4,0)))+SUMPRODUCT((Inputs!$C$5:$C$230=$B102)*Inputs!$D$5:$D$230*(((Inputs!$G$5:$G$230="moeda")+(Inputs!$G$5:$G$230="acoes"))*Inputs!$B$1+((Inputs!$G$5:$G$230&lt;&gt;"moeda")*(Inputs!$G$5:$G$230&lt;&gt;"acoes")))*INDEX(Inputs!$K$5:$AJ$230,0,MATCH(K$2,Inputs!$K$4:$AJ$4,0)))+SUMPRODUCT((Inputs!$E$5:$E$230=$B102)*Inputs!$F$5:$F$230*(((Inputs!$G$5:$G$230="moeda")+(Inputs!$G$5:$G$230="acoes"))*Inputs!$B$1+((Inputs!$G$5:$G$230&lt;&gt;"moeda")*(Inputs!$G$5:$G$230&lt;&gt;"acoes")))*INDEX(Inputs!$K$5:$AJ$230,0,MATCH(K$2,Inputs!$K$4:$AJ$4,0)))))</f>
        <v>3.173</v>
      </c>
      <c r="L102" s="6">
        <f>IF(ISNA(MATCH(L$2,Inputs!$K$4:$AJ$4,0)),NA(),IF(SUMPRODUCT((Inputs!$A$5:$A$230=$B102)*ISNUMBER(INDEX(Inputs!$K$5:$AJ$230,0,MATCH(L$2,Inputs!$K$4:$AJ$4,0))))+SUMPRODUCT((Inputs!$C$5:$C$230=$B102)*ISNUMBER(INDEX(Inputs!$K$5:$AJ$230,0,MATCH(L$2,Inputs!$K$4:$AJ$4,0))))+SUMPRODUCT((Inputs!$E$5:$E$230=$B102)*ISNUMBER(INDEX(Inputs!$K$5:$AJ$230,0,MATCH(L$2,Inputs!$K$4:$AJ$4,0))))=0,NA(),SUMPRODUCT((Inputs!$A$5:$A$230=$B102)*Inputs!$B$5:$B$230*(((Inputs!$G$5:$G$230="moeda")+(Inputs!$G$5:$G$230="acoes"))*Inputs!$B$1+((Inputs!$G$5:$G$230&lt;&gt;"moeda")*(Inputs!$G$5:$G$230&lt;&gt;"acoes")))*INDEX(Inputs!$K$5:$AJ$230,0,MATCH(L$2,Inputs!$K$4:$AJ$4,0)))+SUMPRODUCT((Inputs!$C$5:$C$230=$B102)*Inputs!$D$5:$D$230*(((Inputs!$G$5:$G$230="moeda")+(Inputs!$G$5:$G$230="acoes"))*Inputs!$B$1+((Inputs!$G$5:$G$230&lt;&gt;"moeda")*(Inputs!$G$5:$G$230&lt;&gt;"acoes")))*INDEX(Inputs!$K$5:$AJ$230,0,MATCH(L$2,Inputs!$K$4:$AJ$4,0)))+SUMPRODUCT((Inputs!$E$5:$E$230=$B102)*Inputs!$F$5:$F$230*(((Inputs!$G$5:$G$230="moeda")+(Inputs!$G$5:$G$230="acoes"))*Inputs!$B$1+((Inputs!$G$5:$G$230&lt;&gt;"moeda")*(Inputs!$G$5:$G$230&lt;&gt;"acoes")))*INDEX(Inputs!$K$5:$AJ$230,0,MATCH(L$2,Inputs!$K$4:$AJ$4,0)))))</f>
        <v>3.162</v>
      </c>
      <c r="M102" s="3">
        <f>SUM(I102:L102)</f>
        <v>12.527</v>
      </c>
      <c r="N102" s="6">
        <f>IF(ISNA(MATCH(N$2,Inputs!$K$4:$AJ$4,0)),NA(),IF(SUMPRODUCT((Inputs!$A$5:$A$230=$B102)*ISNUMBER(INDEX(Inputs!$K$5:$AJ$230,0,MATCH(N$2,Inputs!$K$4:$AJ$4,0))))+SUMPRODUCT((Inputs!$C$5:$C$230=$B102)*ISNUMBER(INDEX(Inputs!$K$5:$AJ$230,0,MATCH(N$2,Inputs!$K$4:$AJ$4,0))))+SUMPRODUCT((Inputs!$E$5:$E$230=$B102)*ISNUMBER(INDEX(Inputs!$K$5:$AJ$230,0,MATCH(N$2,Inputs!$K$4:$AJ$4,0))))=0,NA(),SUMPRODUCT((Inputs!$A$5:$A$230=$B102)*Inputs!$B$5:$B$230*(((Inputs!$G$5:$G$230="moeda")+(Inputs!$G$5:$G$230="acoes"))*Inputs!$B$1+((Inputs!$G$5:$G$230&lt;&gt;"moeda")*(Inputs!$G$5:$G$230&lt;&gt;"acoes")))*INDEX(Inputs!$K$5:$AJ$230,0,MATCH(N$2,Inputs!$K$4:$AJ$4,0)))+SUMPRODUCT((Inputs!$C$5:$C$230=$B102)*Inputs!$D$5:$D$230*(((Inputs!$G$5:$G$230="moeda")+(Inputs!$G$5:$G$230="acoes"))*Inputs!$B$1+((Inputs!$G$5:$G$230&lt;&gt;"moeda")*(Inputs!$G$5:$G$230&lt;&gt;"acoes")))*INDEX(Inputs!$K$5:$AJ$230,0,MATCH(N$2,Inputs!$K$4:$AJ$4,0)))+SUMPRODUCT((Inputs!$E$5:$E$230=$B102)*Inputs!$F$5:$F$230*(((Inputs!$G$5:$G$230="moeda")+(Inputs!$G$5:$G$230="acoes"))*Inputs!$B$1+((Inputs!$G$5:$G$230&lt;&gt;"moeda")*(Inputs!$G$5:$G$230&lt;&gt;"acoes")))*INDEX(Inputs!$K$5:$AJ$230,0,MATCH(N$2,Inputs!$K$4:$AJ$4,0)))))</f>
        <v>3.257</v>
      </c>
      <c r="O102" s="6">
        <f>IF(ISNA(MATCH(O$2,Inputs!$K$4:$AJ$4,0)),NA(),IF(SUMPRODUCT((Inputs!$A$5:$A$230=$B102)*ISNUMBER(INDEX(Inputs!$K$5:$AJ$230,0,MATCH(O$2,Inputs!$K$4:$AJ$4,0))))+SUMPRODUCT((Inputs!$C$5:$C$230=$B102)*ISNUMBER(INDEX(Inputs!$K$5:$AJ$230,0,MATCH(O$2,Inputs!$K$4:$AJ$4,0))))+SUMPRODUCT((Inputs!$E$5:$E$230=$B102)*ISNUMBER(INDEX(Inputs!$K$5:$AJ$230,0,MATCH(O$2,Inputs!$K$4:$AJ$4,0))))=0,NA(),SUMPRODUCT((Inputs!$A$5:$A$230=$B102)*Inputs!$B$5:$B$230*(((Inputs!$G$5:$G$230="moeda")+(Inputs!$G$5:$G$230="acoes"))*Inputs!$B$1+((Inputs!$G$5:$G$230&lt;&gt;"moeda")*(Inputs!$G$5:$G$230&lt;&gt;"acoes")))*INDEX(Inputs!$K$5:$AJ$230,0,MATCH(O$2,Inputs!$K$4:$AJ$4,0)))+SUMPRODUCT((Inputs!$C$5:$C$230=$B102)*Inputs!$D$5:$D$230*(((Inputs!$G$5:$G$230="moeda")+(Inputs!$G$5:$G$230="acoes"))*Inputs!$B$1+((Inputs!$G$5:$G$230&lt;&gt;"moeda")*(Inputs!$G$5:$G$230&lt;&gt;"acoes")))*INDEX(Inputs!$K$5:$AJ$230,0,MATCH(O$2,Inputs!$K$4:$AJ$4,0)))+SUMPRODUCT((Inputs!$E$5:$E$230=$B102)*Inputs!$F$5:$F$230*(((Inputs!$G$5:$G$230="moeda")+(Inputs!$G$5:$G$230="acoes"))*Inputs!$B$1+((Inputs!$G$5:$G$230&lt;&gt;"moeda")*(Inputs!$G$5:$G$230&lt;&gt;"acoes")))*INDEX(Inputs!$K$5:$AJ$230,0,MATCH(O$2,Inputs!$K$4:$AJ$4,0)))))</f>
        <v>3.563</v>
      </c>
      <c r="P102" s="6">
        <f>IF(ISNA(MATCH(P$2,Inputs!$K$4:$AJ$4,0)),NA(),IF(SUMPRODUCT((Inputs!$A$5:$A$230=$B102)*ISNUMBER(INDEX(Inputs!$K$5:$AJ$230,0,MATCH(P$2,Inputs!$K$4:$AJ$4,0))))+SUMPRODUCT((Inputs!$C$5:$C$230=$B102)*ISNUMBER(INDEX(Inputs!$K$5:$AJ$230,0,MATCH(P$2,Inputs!$K$4:$AJ$4,0))))+SUMPRODUCT((Inputs!$E$5:$E$230=$B102)*ISNUMBER(INDEX(Inputs!$K$5:$AJ$230,0,MATCH(P$2,Inputs!$K$4:$AJ$4,0))))=0,NA(),SUMPRODUCT((Inputs!$A$5:$A$230=$B102)*Inputs!$B$5:$B$230*(((Inputs!$G$5:$G$230="moeda")+(Inputs!$G$5:$G$230="acoes"))*Inputs!$B$1+((Inputs!$G$5:$G$230&lt;&gt;"moeda")*(Inputs!$G$5:$G$230&lt;&gt;"acoes")))*INDEX(Inputs!$K$5:$AJ$230,0,MATCH(P$2,Inputs!$K$4:$AJ$4,0)))+SUMPRODUCT((Inputs!$C$5:$C$230=$B102)*Inputs!$D$5:$D$230*(((Inputs!$G$5:$G$230="moeda")+(Inputs!$G$5:$G$230="acoes"))*Inputs!$B$1+((Inputs!$G$5:$G$230&lt;&gt;"moeda")*(Inputs!$G$5:$G$230&lt;&gt;"acoes")))*INDEX(Inputs!$K$5:$AJ$230,0,MATCH(P$2,Inputs!$K$4:$AJ$4,0)))+SUMPRODUCT((Inputs!$E$5:$E$230=$B102)*Inputs!$F$5:$F$230*(((Inputs!$G$5:$G$230="moeda")+(Inputs!$G$5:$G$230="acoes"))*Inputs!$B$1+((Inputs!$G$5:$G$230&lt;&gt;"moeda")*(Inputs!$G$5:$G$230&lt;&gt;"acoes")))*INDEX(Inputs!$K$5:$AJ$230,0,MATCH(P$2,Inputs!$K$4:$AJ$4,0)))))</f>
        <v>3.734</v>
      </c>
      <c r="Q102" s="6">
        <f>IF(ISNA(MATCH(Q$2,Inputs!$K$4:$AJ$4,0)),NA(),IF(SUMPRODUCT((Inputs!$A$5:$A$230=$B102)*ISNUMBER(INDEX(Inputs!$K$5:$AJ$230,0,MATCH(Q$2,Inputs!$K$4:$AJ$4,0))))+SUMPRODUCT((Inputs!$C$5:$C$230=$B102)*ISNUMBER(INDEX(Inputs!$K$5:$AJ$230,0,MATCH(Q$2,Inputs!$K$4:$AJ$4,0))))+SUMPRODUCT((Inputs!$E$5:$E$230=$B102)*ISNUMBER(INDEX(Inputs!$K$5:$AJ$230,0,MATCH(Q$2,Inputs!$K$4:$AJ$4,0))))=0,NA(),SUMPRODUCT((Inputs!$A$5:$A$230=$B102)*Inputs!$B$5:$B$230*(((Inputs!$G$5:$G$230="moeda")+(Inputs!$G$5:$G$230="acoes"))*Inputs!$B$1+((Inputs!$G$5:$G$230&lt;&gt;"moeda")*(Inputs!$G$5:$G$230&lt;&gt;"acoes")))*INDEX(Inputs!$K$5:$AJ$230,0,MATCH(Q$2,Inputs!$K$4:$AJ$4,0)))+SUMPRODUCT((Inputs!$C$5:$C$230=$B102)*Inputs!$D$5:$D$230*(((Inputs!$G$5:$G$230="moeda")+(Inputs!$G$5:$G$230="acoes"))*Inputs!$B$1+((Inputs!$G$5:$G$230&lt;&gt;"moeda")*(Inputs!$G$5:$G$230&lt;&gt;"acoes")))*INDEX(Inputs!$K$5:$AJ$230,0,MATCH(Q$2,Inputs!$K$4:$AJ$4,0)))+SUMPRODUCT((Inputs!$E$5:$E$230=$B102)*Inputs!$F$5:$F$230*(((Inputs!$G$5:$G$230="moeda")+(Inputs!$G$5:$G$230="acoes"))*Inputs!$B$1+((Inputs!$G$5:$G$230&lt;&gt;"moeda")*(Inputs!$G$5:$G$230&lt;&gt;"acoes")))*INDEX(Inputs!$K$5:$AJ$230,0,MATCH(Q$2,Inputs!$K$4:$AJ$4,0)))))</f>
        <v>3.147</v>
      </c>
      <c r="R102" s="3">
        <f>SUM(N102:Q102)</f>
        <v>13.701</v>
      </c>
      <c r="S102" s="6">
        <f>IF(ISNA(MATCH(S$2,Inputs!$K$4:$AJ$4,0)),NA(),IF(SUMPRODUCT((Inputs!$A$5:$A$230=$B102)*ISNUMBER(INDEX(Inputs!$K$5:$AJ$230,0,MATCH(S$2,Inputs!$K$4:$AJ$4,0))))+SUMPRODUCT((Inputs!$C$5:$C$230=$B102)*ISNUMBER(INDEX(Inputs!$K$5:$AJ$230,0,MATCH(S$2,Inputs!$K$4:$AJ$4,0))))+SUMPRODUCT((Inputs!$E$5:$E$230=$B102)*ISNUMBER(INDEX(Inputs!$K$5:$AJ$230,0,MATCH(S$2,Inputs!$K$4:$AJ$4,0))))=0,NA(),SUMPRODUCT((Inputs!$A$5:$A$230=$B102)*Inputs!$B$5:$B$230*(((Inputs!$G$5:$G$230="moeda")+(Inputs!$G$5:$G$230="acoes"))*Inputs!$B$1+((Inputs!$G$5:$G$230&lt;&gt;"moeda")*(Inputs!$G$5:$G$230&lt;&gt;"acoes")))*INDEX(Inputs!$K$5:$AJ$230,0,MATCH(S$2,Inputs!$K$4:$AJ$4,0)))+SUMPRODUCT((Inputs!$C$5:$C$230=$B102)*Inputs!$D$5:$D$230*(((Inputs!$G$5:$G$230="moeda")+(Inputs!$G$5:$G$230="acoes"))*Inputs!$B$1+((Inputs!$G$5:$G$230&lt;&gt;"moeda")*(Inputs!$G$5:$G$230&lt;&gt;"acoes")))*INDEX(Inputs!$K$5:$AJ$230,0,MATCH(S$2,Inputs!$K$4:$AJ$4,0)))+SUMPRODUCT((Inputs!$E$5:$E$230=$B102)*Inputs!$F$5:$F$230*(((Inputs!$G$5:$G$230="moeda")+(Inputs!$G$5:$G$230="acoes"))*Inputs!$B$1+((Inputs!$G$5:$G$230&lt;&gt;"moeda")*(Inputs!$G$5:$G$230&lt;&gt;"acoes")))*INDEX(Inputs!$K$5:$AJ$230,0,MATCH(S$2,Inputs!$K$4:$AJ$4,0)))))</f>
        <v>2.391</v>
      </c>
      <c r="T102" s="6">
        <f>IF(ISNA(MATCH(T$2,Inputs!$K$4:$AJ$4,0)),NA(),IF(SUMPRODUCT((Inputs!$A$5:$A$230=$B102)*ISNUMBER(INDEX(Inputs!$K$5:$AJ$230,0,MATCH(T$2,Inputs!$K$4:$AJ$4,0))))+SUMPRODUCT((Inputs!$C$5:$C$230=$B102)*ISNUMBER(INDEX(Inputs!$K$5:$AJ$230,0,MATCH(T$2,Inputs!$K$4:$AJ$4,0))))+SUMPRODUCT((Inputs!$E$5:$E$230=$B102)*ISNUMBER(INDEX(Inputs!$K$5:$AJ$230,0,MATCH(T$2,Inputs!$K$4:$AJ$4,0))))=0,NA(),SUMPRODUCT((Inputs!$A$5:$A$230=$B102)*Inputs!$B$5:$B$230*(((Inputs!$G$5:$G$230="moeda")+(Inputs!$G$5:$G$230="acoes"))*Inputs!$B$1+((Inputs!$G$5:$G$230&lt;&gt;"moeda")*(Inputs!$G$5:$G$230&lt;&gt;"acoes")))*INDEX(Inputs!$K$5:$AJ$230,0,MATCH(T$2,Inputs!$K$4:$AJ$4,0)))+SUMPRODUCT((Inputs!$C$5:$C$230=$B102)*Inputs!$D$5:$D$230*(((Inputs!$G$5:$G$230="moeda")+(Inputs!$G$5:$G$230="acoes"))*Inputs!$B$1+((Inputs!$G$5:$G$230&lt;&gt;"moeda")*(Inputs!$G$5:$G$230&lt;&gt;"acoes")))*INDEX(Inputs!$K$5:$AJ$230,0,MATCH(T$2,Inputs!$K$4:$AJ$4,0)))+SUMPRODUCT((Inputs!$E$5:$E$230=$B102)*Inputs!$F$5:$F$230*(((Inputs!$G$5:$G$230="moeda")+(Inputs!$G$5:$G$230="acoes"))*Inputs!$B$1+((Inputs!$G$5:$G$230&lt;&gt;"moeda")*(Inputs!$G$5:$G$230&lt;&gt;"acoes")))*INDEX(Inputs!$K$5:$AJ$230,0,MATCH(T$2,Inputs!$K$4:$AJ$4,0)))))</f>
        <v>1.558</v>
      </c>
      <c r="U102" s="6">
        <f>IF(ISNA(MATCH(U$2,Inputs!$K$4:$AJ$4,0)),NA(),IF(SUMPRODUCT((Inputs!$A$5:$A$230=$B102)*ISNUMBER(INDEX(Inputs!$K$5:$AJ$230,0,MATCH(U$2,Inputs!$K$4:$AJ$4,0))))+SUMPRODUCT((Inputs!$C$5:$C$230=$B102)*ISNUMBER(INDEX(Inputs!$K$5:$AJ$230,0,MATCH(U$2,Inputs!$K$4:$AJ$4,0))))+SUMPRODUCT((Inputs!$E$5:$E$230=$B102)*ISNUMBER(INDEX(Inputs!$K$5:$AJ$230,0,MATCH(U$2,Inputs!$K$4:$AJ$4,0))))=0,NA(),SUMPRODUCT((Inputs!$A$5:$A$230=$B102)*Inputs!$B$5:$B$230*(((Inputs!$G$5:$G$230="moeda")+(Inputs!$G$5:$G$230="acoes"))*Inputs!$B$1+((Inputs!$G$5:$G$230&lt;&gt;"moeda")*(Inputs!$G$5:$G$230&lt;&gt;"acoes")))*INDEX(Inputs!$K$5:$AJ$230,0,MATCH(U$2,Inputs!$K$4:$AJ$4,0)))+SUMPRODUCT((Inputs!$C$5:$C$230=$B102)*Inputs!$D$5:$D$230*(((Inputs!$G$5:$G$230="moeda")+(Inputs!$G$5:$G$230="acoes"))*Inputs!$B$1+((Inputs!$G$5:$G$230&lt;&gt;"moeda")*(Inputs!$G$5:$G$230&lt;&gt;"acoes")))*INDEX(Inputs!$K$5:$AJ$230,0,MATCH(U$2,Inputs!$K$4:$AJ$4,0)))+SUMPRODUCT((Inputs!$E$5:$E$230=$B102)*Inputs!$F$5:$F$230*(((Inputs!$G$5:$G$230="moeda")+(Inputs!$G$5:$G$230="acoes"))*Inputs!$B$1+((Inputs!$G$5:$G$230&lt;&gt;"moeda")*(Inputs!$G$5:$G$230&lt;&gt;"acoes")))*INDEX(Inputs!$K$5:$AJ$230,0,MATCH(U$2,Inputs!$K$4:$AJ$4,0)))))</f>
        <v>1.996</v>
      </c>
      <c r="V102" s="6">
        <f>IF(ISNA(MATCH(V$2,Inputs!$K$4:$AJ$4,0)),NA(),IF(SUMPRODUCT((Inputs!$A$5:$A$230=$B102)*ISNUMBER(INDEX(Inputs!$K$5:$AJ$230,0,MATCH(V$2,Inputs!$K$4:$AJ$4,0))))+SUMPRODUCT((Inputs!$C$5:$C$230=$B102)*ISNUMBER(INDEX(Inputs!$K$5:$AJ$230,0,MATCH(V$2,Inputs!$K$4:$AJ$4,0))))+SUMPRODUCT((Inputs!$E$5:$E$230=$B102)*ISNUMBER(INDEX(Inputs!$K$5:$AJ$230,0,MATCH(V$2,Inputs!$K$4:$AJ$4,0))))=0,NA(),SUMPRODUCT((Inputs!$A$5:$A$230=$B102)*Inputs!$B$5:$B$230*(((Inputs!$G$5:$G$230="moeda")+(Inputs!$G$5:$G$230="acoes"))*Inputs!$B$1+((Inputs!$G$5:$G$230&lt;&gt;"moeda")*(Inputs!$G$5:$G$230&lt;&gt;"acoes")))*INDEX(Inputs!$K$5:$AJ$230,0,MATCH(V$2,Inputs!$K$4:$AJ$4,0)))+SUMPRODUCT((Inputs!$C$5:$C$230=$B102)*Inputs!$D$5:$D$230*(((Inputs!$G$5:$G$230="moeda")+(Inputs!$G$5:$G$230="acoes"))*Inputs!$B$1+((Inputs!$G$5:$G$230&lt;&gt;"moeda")*(Inputs!$G$5:$G$230&lt;&gt;"acoes")))*INDEX(Inputs!$K$5:$AJ$230,0,MATCH(V$2,Inputs!$K$4:$AJ$4,0)))+SUMPRODUCT((Inputs!$E$5:$E$230=$B102)*Inputs!$F$5:$F$230*(((Inputs!$G$5:$G$230="moeda")+(Inputs!$G$5:$G$230="acoes"))*Inputs!$B$1+((Inputs!$G$5:$G$230&lt;&gt;"moeda")*(Inputs!$G$5:$G$230&lt;&gt;"acoes")))*INDEX(Inputs!$K$5:$AJ$230,0,MATCH(V$2,Inputs!$K$4:$AJ$4,0)))))</f>
        <v>4.753</v>
      </c>
      <c r="W102" s="3">
        <f>SUM(S102:V102)</f>
        <v>10.698</v>
      </c>
      <c r="X102" s="6">
        <f>IF(ISNA(MATCH(X$2,Inputs!$K$4:$AJ$4,0)),NA(),IF(SUMPRODUCT((Inputs!$A$5:$A$230=$B102)*ISNUMBER(INDEX(Inputs!$K$5:$AJ$230,0,MATCH(X$2,Inputs!$K$4:$AJ$4,0))))+SUMPRODUCT((Inputs!$C$5:$C$230=$B102)*ISNUMBER(INDEX(Inputs!$K$5:$AJ$230,0,MATCH(X$2,Inputs!$K$4:$AJ$4,0))))+SUMPRODUCT((Inputs!$E$5:$E$230=$B102)*ISNUMBER(INDEX(Inputs!$K$5:$AJ$230,0,MATCH(X$2,Inputs!$K$4:$AJ$4,0))))=0,NA(),SUMPRODUCT((Inputs!$A$5:$A$230=$B102)*Inputs!$B$5:$B$230*(((Inputs!$G$5:$G$230="moeda")+(Inputs!$G$5:$G$230="acoes"))*Inputs!$B$1+((Inputs!$G$5:$G$230&lt;&gt;"moeda")*(Inputs!$G$5:$G$230&lt;&gt;"acoes")))*INDEX(Inputs!$K$5:$AJ$230,0,MATCH(X$2,Inputs!$K$4:$AJ$4,0)))+SUMPRODUCT((Inputs!$C$5:$C$230=$B102)*Inputs!$D$5:$D$230*(((Inputs!$G$5:$G$230="moeda")+(Inputs!$G$5:$G$230="acoes"))*Inputs!$B$1+((Inputs!$G$5:$G$230&lt;&gt;"moeda")*(Inputs!$G$5:$G$230&lt;&gt;"acoes")))*INDEX(Inputs!$K$5:$AJ$230,0,MATCH(X$2,Inputs!$K$4:$AJ$4,0)))+SUMPRODUCT((Inputs!$E$5:$E$230=$B102)*Inputs!$F$5:$F$230*(((Inputs!$G$5:$G$230="moeda")+(Inputs!$G$5:$G$230="acoes"))*Inputs!$B$1+((Inputs!$G$5:$G$230&lt;&gt;"moeda")*(Inputs!$G$5:$G$230&lt;&gt;"acoes")))*INDEX(Inputs!$K$5:$AJ$230,0,MATCH(X$2,Inputs!$K$4:$AJ$4,0)))))</f>
        <v>2.356</v>
      </c>
      <c r="Y102" s="6">
        <f>IF(ISNA(MATCH(Y$2,Inputs!$K$4:$AJ$4,0)),NA(),IF(SUMPRODUCT((Inputs!$A$5:$A$230=$B102)*ISNUMBER(INDEX(Inputs!$K$5:$AJ$230,0,MATCH(Y$2,Inputs!$K$4:$AJ$4,0))))+SUMPRODUCT((Inputs!$C$5:$C$230=$B102)*ISNUMBER(INDEX(Inputs!$K$5:$AJ$230,0,MATCH(Y$2,Inputs!$K$4:$AJ$4,0))))+SUMPRODUCT((Inputs!$E$5:$E$230=$B102)*ISNUMBER(INDEX(Inputs!$K$5:$AJ$230,0,MATCH(Y$2,Inputs!$K$4:$AJ$4,0))))=0,NA(),SUMPRODUCT((Inputs!$A$5:$A$230=$B102)*Inputs!$B$5:$B$230*(((Inputs!$G$5:$G$230="moeda")+(Inputs!$G$5:$G$230="acoes"))*Inputs!$B$1+((Inputs!$G$5:$G$230&lt;&gt;"moeda")*(Inputs!$G$5:$G$230&lt;&gt;"acoes")))*INDEX(Inputs!$K$5:$AJ$230,0,MATCH(Y$2,Inputs!$K$4:$AJ$4,0)))+SUMPRODUCT((Inputs!$C$5:$C$230=$B102)*Inputs!$D$5:$D$230*(((Inputs!$G$5:$G$230="moeda")+(Inputs!$G$5:$G$230="acoes"))*Inputs!$B$1+((Inputs!$G$5:$G$230&lt;&gt;"moeda")*(Inputs!$G$5:$G$230&lt;&gt;"acoes")))*INDEX(Inputs!$K$5:$AJ$230,0,MATCH(Y$2,Inputs!$K$4:$AJ$4,0)))+SUMPRODUCT((Inputs!$E$5:$E$230=$B102)*Inputs!$F$5:$F$230*(((Inputs!$G$5:$G$230="moeda")+(Inputs!$G$5:$G$230="acoes"))*Inputs!$B$1+((Inputs!$G$5:$G$230&lt;&gt;"moeda")*(Inputs!$G$5:$G$230&lt;&gt;"acoes")))*INDEX(Inputs!$K$5:$AJ$230,0,MATCH(Y$2,Inputs!$K$4:$AJ$4,0)))))</f>
        <v>3.034</v>
      </c>
      <c r="Z102" s="6">
        <f>IF(ISNA(MATCH(Z$2,Inputs!$K$4:$AJ$4,0)),NA(),IF(SUMPRODUCT((Inputs!$A$5:$A$230=$B102)*ISNUMBER(INDEX(Inputs!$K$5:$AJ$230,0,MATCH(Z$2,Inputs!$K$4:$AJ$4,0))))+SUMPRODUCT((Inputs!$C$5:$C$230=$B102)*ISNUMBER(INDEX(Inputs!$K$5:$AJ$230,0,MATCH(Z$2,Inputs!$K$4:$AJ$4,0))))+SUMPRODUCT((Inputs!$E$5:$E$230=$B102)*ISNUMBER(INDEX(Inputs!$K$5:$AJ$230,0,MATCH(Z$2,Inputs!$K$4:$AJ$4,0))))=0,NA(),SUMPRODUCT((Inputs!$A$5:$A$230=$B102)*Inputs!$B$5:$B$230*(((Inputs!$G$5:$G$230="moeda")+(Inputs!$G$5:$G$230="acoes"))*Inputs!$B$1+((Inputs!$G$5:$G$230&lt;&gt;"moeda")*(Inputs!$G$5:$G$230&lt;&gt;"acoes")))*INDEX(Inputs!$K$5:$AJ$230,0,MATCH(Z$2,Inputs!$K$4:$AJ$4,0)))+SUMPRODUCT((Inputs!$C$5:$C$230=$B102)*Inputs!$D$5:$D$230*(((Inputs!$G$5:$G$230="moeda")+(Inputs!$G$5:$G$230="acoes"))*Inputs!$B$1+((Inputs!$G$5:$G$230&lt;&gt;"moeda")*(Inputs!$G$5:$G$230&lt;&gt;"acoes")))*INDEX(Inputs!$K$5:$AJ$230,0,MATCH(Z$2,Inputs!$K$4:$AJ$4,0)))+SUMPRODUCT((Inputs!$E$5:$E$230=$B102)*Inputs!$F$5:$F$230*(((Inputs!$G$5:$G$230="moeda")+(Inputs!$G$5:$G$230="acoes"))*Inputs!$B$1+((Inputs!$G$5:$G$230&lt;&gt;"moeda")*(Inputs!$G$5:$G$230&lt;&gt;"acoes")))*INDEX(Inputs!$K$5:$AJ$230,0,MATCH(Z$2,Inputs!$K$4:$AJ$4,0)))))</f>
        <v>3.547</v>
      </c>
      <c r="AA102" s="6">
        <f>IF(ISNA(MATCH(AA$2,Inputs!$K$4:$AJ$4,0)),NA(),IF(SUMPRODUCT((Inputs!$A$5:$A$230=$B102)*ISNUMBER(INDEX(Inputs!$K$5:$AJ$230,0,MATCH(AA$2,Inputs!$K$4:$AJ$4,0))))+SUMPRODUCT((Inputs!$C$5:$C$230=$B102)*ISNUMBER(INDEX(Inputs!$K$5:$AJ$230,0,MATCH(AA$2,Inputs!$K$4:$AJ$4,0))))+SUMPRODUCT((Inputs!$E$5:$E$230=$B102)*ISNUMBER(INDEX(Inputs!$K$5:$AJ$230,0,MATCH(AA$2,Inputs!$K$4:$AJ$4,0))))=0,NA(),SUMPRODUCT((Inputs!$A$5:$A$230=$B102)*Inputs!$B$5:$B$230*(((Inputs!$G$5:$G$230="moeda")+(Inputs!$G$5:$G$230="acoes"))*Inputs!$B$1+((Inputs!$G$5:$G$230&lt;&gt;"moeda")*(Inputs!$G$5:$G$230&lt;&gt;"acoes")))*INDEX(Inputs!$K$5:$AJ$230,0,MATCH(AA$2,Inputs!$K$4:$AJ$4,0)))+SUMPRODUCT((Inputs!$C$5:$C$230=$B102)*Inputs!$D$5:$D$230*(((Inputs!$G$5:$G$230="moeda")+(Inputs!$G$5:$G$230="acoes"))*Inputs!$B$1+((Inputs!$G$5:$G$230&lt;&gt;"moeda")*(Inputs!$G$5:$G$230&lt;&gt;"acoes")))*INDEX(Inputs!$K$5:$AJ$230,0,MATCH(AA$2,Inputs!$K$4:$AJ$4,0)))+SUMPRODUCT((Inputs!$E$5:$E$230=$B102)*Inputs!$F$5:$F$230*(((Inputs!$G$5:$G$230="moeda")+(Inputs!$G$5:$G$230="acoes"))*Inputs!$B$1+((Inputs!$G$5:$G$230&lt;&gt;"moeda")*(Inputs!$G$5:$G$230&lt;&gt;"acoes")))*INDEX(Inputs!$K$5:$AJ$230,0,MATCH(AA$2,Inputs!$K$4:$AJ$4,0)))))</f>
        <v>3.724</v>
      </c>
      <c r="AB102" s="3">
        <f>SUM(X102:AA102)</f>
        <v>12.661</v>
      </c>
      <c r="AC102" s="6">
        <f>IF(ISNA(MATCH(AC$2,Inputs!$K$4:$AJ$4,0)),NA(),IF(SUMPRODUCT((Inputs!$A$5:$A$230=$B102)*ISNUMBER(INDEX(Inputs!$K$5:$AJ$230,0,MATCH(AC$2,Inputs!$K$4:$AJ$4,0))))+SUMPRODUCT((Inputs!$C$5:$C$230=$B102)*ISNUMBER(INDEX(Inputs!$K$5:$AJ$230,0,MATCH(AC$2,Inputs!$K$4:$AJ$4,0))))+SUMPRODUCT((Inputs!$E$5:$E$230=$B102)*ISNUMBER(INDEX(Inputs!$K$5:$AJ$230,0,MATCH(AC$2,Inputs!$K$4:$AJ$4,0))))=0,NA(),SUMPRODUCT((Inputs!$A$5:$A$230=$B102)*Inputs!$B$5:$B$230*(((Inputs!$G$5:$G$230="moeda")+(Inputs!$G$5:$G$230="acoes"))*Inputs!$B$1+((Inputs!$G$5:$G$230&lt;&gt;"moeda")*(Inputs!$G$5:$G$230&lt;&gt;"acoes")))*INDEX(Inputs!$K$5:$AJ$230,0,MATCH(AC$2,Inputs!$K$4:$AJ$4,0)))+SUMPRODUCT((Inputs!$C$5:$C$230=$B102)*Inputs!$D$5:$D$230*(((Inputs!$G$5:$G$230="moeda")+(Inputs!$G$5:$G$230="acoes"))*Inputs!$B$1+((Inputs!$G$5:$G$230&lt;&gt;"moeda")*(Inputs!$G$5:$G$230&lt;&gt;"acoes")))*INDEX(Inputs!$K$5:$AJ$230,0,MATCH(AC$2,Inputs!$K$4:$AJ$4,0)))+SUMPRODUCT((Inputs!$E$5:$E$230=$B102)*Inputs!$F$5:$F$230*(((Inputs!$G$5:$G$230="moeda")+(Inputs!$G$5:$G$230="acoes"))*Inputs!$B$1+((Inputs!$G$5:$G$230&lt;&gt;"moeda")*(Inputs!$G$5:$G$230&lt;&gt;"acoes")))*INDEX(Inputs!$K$5:$AJ$230,0,MATCH(AC$2,Inputs!$K$4:$AJ$4,0)))))</f>
        <v>2.647</v>
      </c>
      <c r="AD102" s="6">
        <f>IF(ISNA(MATCH(AD$2,Inputs!$K$4:$AJ$4,0)),NA(),IF(SUMPRODUCT((Inputs!$A$5:$A$230=$B102)*ISNUMBER(INDEX(Inputs!$K$5:$AJ$230,0,MATCH(AD$2,Inputs!$K$4:$AJ$4,0))))+SUMPRODUCT((Inputs!$C$5:$C$230=$B102)*ISNUMBER(INDEX(Inputs!$K$5:$AJ$230,0,MATCH(AD$2,Inputs!$K$4:$AJ$4,0))))+SUMPRODUCT((Inputs!$E$5:$E$230=$B102)*ISNUMBER(INDEX(Inputs!$K$5:$AJ$230,0,MATCH(AD$2,Inputs!$K$4:$AJ$4,0))))=0,NA(),SUMPRODUCT((Inputs!$A$5:$A$230=$B102)*Inputs!$B$5:$B$230*(((Inputs!$G$5:$G$230="moeda")+(Inputs!$G$5:$G$230="acoes"))*Inputs!$B$1+((Inputs!$G$5:$G$230&lt;&gt;"moeda")*(Inputs!$G$5:$G$230&lt;&gt;"acoes")))*INDEX(Inputs!$K$5:$AJ$230,0,MATCH(AD$2,Inputs!$K$4:$AJ$4,0)))+SUMPRODUCT((Inputs!$C$5:$C$230=$B102)*Inputs!$D$5:$D$230*(((Inputs!$G$5:$G$230="moeda")+(Inputs!$G$5:$G$230="acoes"))*Inputs!$B$1+((Inputs!$G$5:$G$230&lt;&gt;"moeda")*(Inputs!$G$5:$G$230&lt;&gt;"acoes")))*INDEX(Inputs!$K$5:$AJ$230,0,MATCH(AD$2,Inputs!$K$4:$AJ$4,0)))+SUMPRODUCT((Inputs!$E$5:$E$230=$B102)*Inputs!$F$5:$F$230*(((Inputs!$G$5:$G$230="moeda")+(Inputs!$G$5:$G$230="acoes"))*Inputs!$B$1+((Inputs!$G$5:$G$230&lt;&gt;"moeda")*(Inputs!$G$5:$G$230&lt;&gt;"acoes")))*INDEX(Inputs!$K$5:$AJ$230,0,MATCH(AD$2,Inputs!$K$4:$AJ$4,0)))))</f>
        <v>1.287</v>
      </c>
      <c r="AE102" s="6" t="e">
        <f>IF(ISNA(MATCH(AE$2,Inputs!$K$4:$AJ$4,0)),NA(),IF(SUMPRODUCT((Inputs!$A$5:$A$230=$B102)*ISNUMBER(INDEX(Inputs!$K$5:$AJ$230,0,MATCH(AE$2,Inputs!$K$4:$AJ$4,0))))+SUMPRODUCT((Inputs!$C$5:$C$230=$B102)*ISNUMBER(INDEX(Inputs!$K$5:$AJ$230,0,MATCH(AE$2,Inputs!$K$4:$AJ$4,0))))+SUMPRODUCT((Inputs!$E$5:$E$230=$B102)*ISNUMBER(INDEX(Inputs!$K$5:$AJ$230,0,MATCH(AE$2,Inputs!$K$4:$AJ$4,0))))=0,NA(),SUMPRODUCT((Inputs!$A$5:$A$230=$B102)*Inputs!$B$5:$B$230*(((Inputs!$G$5:$G$230="moeda")+(Inputs!$G$5:$G$230="acoes"))*Inputs!$B$1+((Inputs!$G$5:$G$230&lt;&gt;"moeda")*(Inputs!$G$5:$G$230&lt;&gt;"acoes")))*INDEX(Inputs!$K$5:$AJ$230,0,MATCH(AE$2,Inputs!$K$4:$AJ$4,0)))+SUMPRODUCT((Inputs!$C$5:$C$230=$B102)*Inputs!$D$5:$D$230*(((Inputs!$G$5:$G$230="moeda")+(Inputs!$G$5:$G$230="acoes"))*Inputs!$B$1+((Inputs!$G$5:$G$230&lt;&gt;"moeda")*(Inputs!$G$5:$G$230&lt;&gt;"acoes")))*INDEX(Inputs!$K$5:$AJ$230,0,MATCH(AE$2,Inputs!$K$4:$AJ$4,0)))+SUMPRODUCT((Inputs!$E$5:$E$230=$B102)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02" s="6" t="e">
        <f>IF(ISNA(MATCH(AF$2,Inputs!$K$4:$AJ$4,0)),NA(),IF(SUMPRODUCT((Inputs!$A$5:$A$230=$B102)*ISNUMBER(INDEX(Inputs!$K$5:$AJ$230,0,MATCH(AF$2,Inputs!$K$4:$AJ$4,0))))+SUMPRODUCT((Inputs!$C$5:$C$230=$B102)*ISNUMBER(INDEX(Inputs!$K$5:$AJ$230,0,MATCH(AF$2,Inputs!$K$4:$AJ$4,0))))+SUMPRODUCT((Inputs!$E$5:$E$230=$B102)*ISNUMBER(INDEX(Inputs!$K$5:$AJ$230,0,MATCH(AF$2,Inputs!$K$4:$AJ$4,0))))=0,NA(),SUMPRODUCT((Inputs!$A$5:$A$230=$B102)*Inputs!$B$5:$B$230*(((Inputs!$G$5:$G$230="moeda")+(Inputs!$G$5:$G$230="acoes"))*Inputs!$B$1+((Inputs!$G$5:$G$230&lt;&gt;"moeda")*(Inputs!$G$5:$G$230&lt;&gt;"acoes")))*INDEX(Inputs!$K$5:$AJ$230,0,MATCH(AF$2,Inputs!$K$4:$AJ$4,0)))+SUMPRODUCT((Inputs!$C$5:$C$230=$B102)*Inputs!$D$5:$D$230*(((Inputs!$G$5:$G$230="moeda")+(Inputs!$G$5:$G$230="acoes"))*Inputs!$B$1+((Inputs!$G$5:$G$230&lt;&gt;"moeda")*(Inputs!$G$5:$G$230&lt;&gt;"acoes")))*INDEX(Inputs!$K$5:$AJ$230,0,MATCH(AF$2,Inputs!$K$4:$AJ$4,0)))+SUMPRODUCT((Inputs!$E$5:$E$230=$B102)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02" s="3" t="e">
        <f>SUM(AC102:AF102)</f>
        <v>#N/A</v>
      </c>
      <c r="AH102" s="6">
        <f>IF(ISNA(MATCH(AH$2,Inputs!$K$4:$AJ$4,0)),NA(),IF(SUMPRODUCT((Inputs!$A$5:$A$230=$B102)*ISNUMBER(INDEX(Inputs!$K$5:$AJ$230,0,MATCH(AH$2,Inputs!$K$4:$AJ$4,0))))+SUMPRODUCT((Inputs!$C$5:$C$230=$B102)*ISNUMBER(INDEX(Inputs!$K$5:$AJ$230,0,MATCH(AH$2,Inputs!$K$4:$AJ$4,0))))+SUMPRODUCT((Inputs!$E$5:$E$230=$B102)*ISNUMBER(INDEX(Inputs!$K$5:$AJ$230,0,MATCH(AH$2,Inputs!$K$4:$AJ$4,0))))=0,NA(),SUMPRODUCT((Inputs!$A$5:$A$230=$B102)*Inputs!$B$5:$B$230*(((Inputs!$G$5:$G$230="moeda")+(Inputs!$G$5:$G$230="acoes"))*Inputs!$B$1+((Inputs!$G$5:$G$230&lt;&gt;"moeda")*(Inputs!$G$5:$G$230&lt;&gt;"acoes")))*INDEX(Inputs!$K$5:$AJ$230,0,MATCH(AH$2,Inputs!$K$4:$AJ$4,0)))+SUMPRODUCT((Inputs!$C$5:$C$230=$B102)*Inputs!$D$5:$D$230*(((Inputs!$G$5:$G$230="moeda")+(Inputs!$G$5:$G$230="acoes"))*Inputs!$B$1+((Inputs!$G$5:$G$230&lt;&gt;"moeda")*(Inputs!$G$5:$G$230&lt;&gt;"acoes")))*INDEX(Inputs!$K$5:$AJ$230,0,MATCH(AH$2,Inputs!$K$4:$AJ$4,0)))+SUMPRODUCT((Inputs!$E$5:$E$230=$B102)*Inputs!$F$5:$F$230*(((Inputs!$G$5:$G$230="moeda")+(Inputs!$G$5:$G$230="acoes"))*Inputs!$B$1+((Inputs!$G$5:$G$230&lt;&gt;"moeda")*(Inputs!$G$5:$G$230&lt;&gt;"acoes")))*INDEX(Inputs!$K$5:$AJ$230,0,MATCH(AH$2,Inputs!$K$4:$AJ$4,0)))))</f>
        <v>2.712</v>
      </c>
      <c r="AI102" s="6">
        <f>IF(ISNA(MATCH(AI$2,Inputs!$K$4:$AJ$4,0)),NA(),IF(SUMPRODUCT((Inputs!$A$5:$A$230=$B102)*ISNUMBER(INDEX(Inputs!$K$5:$AJ$230,0,MATCH(AI$2,Inputs!$K$4:$AJ$4,0))))+SUMPRODUCT((Inputs!$C$5:$C$230=$B102)*ISNUMBER(INDEX(Inputs!$K$5:$AJ$230,0,MATCH(AI$2,Inputs!$K$4:$AJ$4,0))))+SUMPRODUCT((Inputs!$E$5:$E$230=$B102)*ISNUMBER(INDEX(Inputs!$K$5:$AJ$230,0,MATCH(AI$2,Inputs!$K$4:$AJ$4,0))))=0,NA(),SUMPRODUCT((Inputs!$A$5:$A$230=$B102)*Inputs!$B$5:$B$230*(((Inputs!$G$5:$G$230="moeda")+(Inputs!$G$5:$G$230="acoes"))*Inputs!$B$1+((Inputs!$G$5:$G$230&lt;&gt;"moeda")*(Inputs!$G$5:$G$230&lt;&gt;"acoes")))*INDEX(Inputs!$K$5:$AJ$230,0,MATCH(AI$2,Inputs!$K$4:$AJ$4,0)))+SUMPRODUCT((Inputs!$C$5:$C$230=$B102)*Inputs!$D$5:$D$230*(((Inputs!$G$5:$G$230="moeda")+(Inputs!$G$5:$G$230="acoes"))*Inputs!$B$1+((Inputs!$G$5:$G$230&lt;&gt;"moeda")*(Inputs!$G$5:$G$230&lt;&gt;"acoes")))*INDEX(Inputs!$K$5:$AJ$230,0,MATCH(AI$2,Inputs!$K$4:$AJ$4,0)))+SUMPRODUCT((Inputs!$E$5:$E$230=$B102)*Inputs!$F$5:$F$230*(((Inputs!$G$5:$G$230="moeda")+(Inputs!$G$5:$G$230="acoes"))*Inputs!$B$1+((Inputs!$G$5:$G$230&lt;&gt;"moeda")*(Inputs!$G$5:$G$230&lt;&gt;"acoes")))*INDEX(Inputs!$K$5:$AJ$230,0,MATCH(AI$2,Inputs!$K$4:$AJ$4,0)))))</f>
        <v>2.704</v>
      </c>
      <c r="AJ102" s="6">
        <f>IF(ISNA(MATCH(AJ$2,Inputs!$K$4:$AJ$4,0)),NA(),IF(SUMPRODUCT((Inputs!$A$5:$A$230=$B102)*ISNUMBER(INDEX(Inputs!$K$5:$AJ$230,0,MATCH(AJ$2,Inputs!$K$4:$AJ$4,0))))+SUMPRODUCT((Inputs!$C$5:$C$230=$B102)*ISNUMBER(INDEX(Inputs!$K$5:$AJ$230,0,MATCH(AJ$2,Inputs!$K$4:$AJ$4,0))))+SUMPRODUCT((Inputs!$E$5:$E$230=$B102)*ISNUMBER(INDEX(Inputs!$K$5:$AJ$230,0,MATCH(AJ$2,Inputs!$K$4:$AJ$4,0))))=0,NA(),SUMPRODUCT((Inputs!$A$5:$A$230=$B102)*Inputs!$B$5:$B$230*(((Inputs!$G$5:$G$230="moeda")+(Inputs!$G$5:$G$230="acoes"))*Inputs!$B$1+((Inputs!$G$5:$G$230&lt;&gt;"moeda")*(Inputs!$G$5:$G$230&lt;&gt;"acoes")))*INDEX(Inputs!$K$5:$AJ$230,0,MATCH(AJ$2,Inputs!$K$4:$AJ$4,0)))+SUMPRODUCT((Inputs!$C$5:$C$230=$B102)*Inputs!$D$5:$D$230*(((Inputs!$G$5:$G$230="moeda")+(Inputs!$G$5:$G$230="acoes"))*Inputs!$B$1+((Inputs!$G$5:$G$230&lt;&gt;"moeda")*(Inputs!$G$5:$G$230&lt;&gt;"acoes")))*INDEX(Inputs!$K$5:$AJ$230,0,MATCH(AJ$2,Inputs!$K$4:$AJ$4,0)))+SUMPRODUCT((Inputs!$E$5:$E$230=$B102)*Inputs!$F$5:$F$230*(((Inputs!$G$5:$G$230="moeda")+(Inputs!$G$5:$G$230="acoes"))*Inputs!$B$1+((Inputs!$G$5:$G$230&lt;&gt;"moeda")*(Inputs!$G$5:$G$230&lt;&gt;"acoes")))*INDEX(Inputs!$K$5:$AJ$230,0,MATCH(AJ$2,Inputs!$K$4:$AJ$4,0)))))</f>
        <v>2.742</v>
      </c>
      <c r="AK102" s="6">
        <f>IF(ISNA(MATCH(AK$2,Inputs!$K$4:$AJ$4,0)),NA(),IF(SUMPRODUCT((Inputs!$A$5:$A$230=$B102)*ISNUMBER(INDEX(Inputs!$K$5:$AJ$230,0,MATCH(AK$2,Inputs!$K$4:$AJ$4,0))))+SUMPRODUCT((Inputs!$C$5:$C$230=$B102)*ISNUMBER(INDEX(Inputs!$K$5:$AJ$230,0,MATCH(AK$2,Inputs!$K$4:$AJ$4,0))))+SUMPRODUCT((Inputs!$E$5:$E$230=$B102)*ISNUMBER(INDEX(Inputs!$K$5:$AJ$230,0,MATCH(AK$2,Inputs!$K$4:$AJ$4,0))))=0,NA(),SUMPRODUCT((Inputs!$A$5:$A$230=$B102)*Inputs!$B$5:$B$230*(((Inputs!$G$5:$G$230="moeda")+(Inputs!$G$5:$G$230="acoes"))*Inputs!$B$1+((Inputs!$G$5:$G$230&lt;&gt;"moeda")*(Inputs!$G$5:$G$230&lt;&gt;"acoes")))*INDEX(Inputs!$K$5:$AJ$230,0,MATCH(AK$2,Inputs!$K$4:$AJ$4,0)))+SUMPRODUCT((Inputs!$C$5:$C$230=$B102)*Inputs!$D$5:$D$230*(((Inputs!$G$5:$G$230="moeda")+(Inputs!$G$5:$G$230="acoes"))*Inputs!$B$1+((Inputs!$G$5:$G$230&lt;&gt;"moeda")*(Inputs!$G$5:$G$230&lt;&gt;"acoes")))*INDEX(Inputs!$K$5:$AJ$230,0,MATCH(AK$2,Inputs!$K$4:$AJ$4,0)))+SUMPRODUCT((Inputs!$E$5:$E$230=$B102)*Inputs!$F$5:$F$230*(((Inputs!$G$5:$G$230="moeda")+(Inputs!$G$5:$G$230="acoes"))*Inputs!$B$1+((Inputs!$G$5:$G$230&lt;&gt;"moeda")*(Inputs!$G$5:$G$230&lt;&gt;"acoes")))*INDEX(Inputs!$K$5:$AJ$230,0,MATCH(AK$2,Inputs!$K$4:$AJ$4,0)))))</f>
        <v>2.753</v>
      </c>
      <c r="AL102" s="3">
        <f>SUM(AH102:AK102)</f>
        <v>10.911</v>
      </c>
    </row>
    <row r="103">
      <c r="B103" s="46" t="n">
        <v>95</v>
      </c>
      <c r="C103" s="29" t="inlineStr">
        <is>
          <t>Geracao | EDV IV</t>
        </is>
      </c>
      <c r="D103" s="6">
        <f>IF(ISNA(MATCH(D$2,Inputs!$K$4:$AJ$4,0)),NA(),IF(SUMPRODUCT((Inputs!$A$5:$A$230=$B103)*ISNUMBER(INDEX(Inputs!$K$5:$AJ$230,0,MATCH(D$2,Inputs!$K$4:$AJ$4,0))))+SUMPRODUCT((Inputs!$C$5:$C$230=$B103)*ISNUMBER(INDEX(Inputs!$K$5:$AJ$230,0,MATCH(D$2,Inputs!$K$4:$AJ$4,0))))+SUMPRODUCT((Inputs!$E$5:$E$230=$B103)*ISNUMBER(INDEX(Inputs!$K$5:$AJ$230,0,MATCH(D$2,Inputs!$K$4:$AJ$4,0))))=0,NA(),SUMPRODUCT((Inputs!$A$5:$A$230=$B103)*Inputs!$B$5:$B$230*(((Inputs!$G$5:$G$230="moeda")+(Inputs!$G$5:$G$230="acoes"))*Inputs!$B$1+((Inputs!$G$5:$G$230&lt;&gt;"moeda")*(Inputs!$G$5:$G$230&lt;&gt;"acoes")))*INDEX(Inputs!$K$5:$AJ$230,0,MATCH(D$2,Inputs!$K$4:$AJ$4,0)))+SUMPRODUCT((Inputs!$C$5:$C$230=$B103)*Inputs!$D$5:$D$230*(((Inputs!$G$5:$G$230="moeda")+(Inputs!$G$5:$G$230="acoes"))*Inputs!$B$1+((Inputs!$G$5:$G$230&lt;&gt;"moeda")*(Inputs!$G$5:$G$230&lt;&gt;"acoes")))*INDEX(Inputs!$K$5:$AJ$230,0,MATCH(D$2,Inputs!$K$4:$AJ$4,0)))+SUMPRODUCT((Inputs!$E$5:$E$230=$B103)*Inputs!$F$5:$F$230*(((Inputs!$G$5:$G$230="moeda")+(Inputs!$G$5:$G$230="acoes"))*Inputs!$B$1+((Inputs!$G$5:$G$230&lt;&gt;"moeda")*(Inputs!$G$5:$G$230&lt;&gt;"acoes")))*INDEX(Inputs!$K$5:$AJ$230,0,MATCH(D$2,Inputs!$K$4:$AJ$4,0)))))</f>
        <v>4.413</v>
      </c>
      <c r="E103" s="6">
        <f>IF(ISNA(MATCH(E$2,Inputs!$K$4:$AJ$4,0)),NA(),IF(SUMPRODUCT((Inputs!$A$5:$A$230=$B103)*ISNUMBER(INDEX(Inputs!$K$5:$AJ$230,0,MATCH(E$2,Inputs!$K$4:$AJ$4,0))))+SUMPRODUCT((Inputs!$C$5:$C$230=$B103)*ISNUMBER(INDEX(Inputs!$K$5:$AJ$230,0,MATCH(E$2,Inputs!$K$4:$AJ$4,0))))+SUMPRODUCT((Inputs!$E$5:$E$230=$B103)*ISNUMBER(INDEX(Inputs!$K$5:$AJ$230,0,MATCH(E$2,Inputs!$K$4:$AJ$4,0))))=0,NA(),SUMPRODUCT((Inputs!$A$5:$A$230=$B103)*Inputs!$B$5:$B$230*(((Inputs!$G$5:$G$230="moeda")+(Inputs!$G$5:$G$230="acoes"))*Inputs!$B$1+((Inputs!$G$5:$G$230&lt;&gt;"moeda")*(Inputs!$G$5:$G$230&lt;&gt;"acoes")))*INDEX(Inputs!$K$5:$AJ$230,0,MATCH(E$2,Inputs!$K$4:$AJ$4,0)))+SUMPRODUCT((Inputs!$C$5:$C$230=$B103)*Inputs!$D$5:$D$230*(((Inputs!$G$5:$G$230="moeda")+(Inputs!$G$5:$G$230="acoes"))*Inputs!$B$1+((Inputs!$G$5:$G$230&lt;&gt;"moeda")*(Inputs!$G$5:$G$230&lt;&gt;"acoes")))*INDEX(Inputs!$K$5:$AJ$230,0,MATCH(E$2,Inputs!$K$4:$AJ$4,0)))+SUMPRODUCT((Inputs!$E$5:$E$230=$B103)*Inputs!$F$5:$F$230*(((Inputs!$G$5:$G$230="moeda")+(Inputs!$G$5:$G$230="acoes"))*Inputs!$B$1+((Inputs!$G$5:$G$230&lt;&gt;"moeda")*(Inputs!$G$5:$G$230&lt;&gt;"acoes")))*INDEX(Inputs!$K$5:$AJ$230,0,MATCH(E$2,Inputs!$K$4:$AJ$4,0)))))</f>
        <v>4.772</v>
      </c>
      <c r="F103" s="6">
        <f>IF(ISNA(MATCH(F$2,Inputs!$K$4:$AJ$4,0)),NA(),IF(SUMPRODUCT((Inputs!$A$5:$A$230=$B103)*ISNUMBER(INDEX(Inputs!$K$5:$AJ$230,0,MATCH(F$2,Inputs!$K$4:$AJ$4,0))))+SUMPRODUCT((Inputs!$C$5:$C$230=$B103)*ISNUMBER(INDEX(Inputs!$K$5:$AJ$230,0,MATCH(F$2,Inputs!$K$4:$AJ$4,0))))+SUMPRODUCT((Inputs!$E$5:$E$230=$B103)*ISNUMBER(INDEX(Inputs!$K$5:$AJ$230,0,MATCH(F$2,Inputs!$K$4:$AJ$4,0))))=0,NA(),SUMPRODUCT((Inputs!$A$5:$A$230=$B103)*Inputs!$B$5:$B$230*(((Inputs!$G$5:$G$230="moeda")+(Inputs!$G$5:$G$230="acoes"))*Inputs!$B$1+((Inputs!$G$5:$G$230&lt;&gt;"moeda")*(Inputs!$G$5:$G$230&lt;&gt;"acoes")))*INDEX(Inputs!$K$5:$AJ$230,0,MATCH(F$2,Inputs!$K$4:$AJ$4,0)))+SUMPRODUCT((Inputs!$C$5:$C$230=$B103)*Inputs!$D$5:$D$230*(((Inputs!$G$5:$G$230="moeda")+(Inputs!$G$5:$G$230="acoes"))*Inputs!$B$1+((Inputs!$G$5:$G$230&lt;&gt;"moeda")*(Inputs!$G$5:$G$230&lt;&gt;"acoes")))*INDEX(Inputs!$K$5:$AJ$230,0,MATCH(F$2,Inputs!$K$4:$AJ$4,0)))+SUMPRODUCT((Inputs!$E$5:$E$230=$B103)*Inputs!$F$5:$F$230*(((Inputs!$G$5:$G$230="moeda")+(Inputs!$G$5:$G$230="acoes"))*Inputs!$B$1+((Inputs!$G$5:$G$230&lt;&gt;"moeda")*(Inputs!$G$5:$G$230&lt;&gt;"acoes")))*INDEX(Inputs!$K$5:$AJ$230,0,MATCH(F$2,Inputs!$K$4:$AJ$4,0)))))</f>
        <v>7.85</v>
      </c>
      <c r="G103" s="6">
        <f>IF(ISNA(MATCH(G$2,Inputs!$K$4:$AJ$4,0)),NA(),IF(SUMPRODUCT((Inputs!$A$5:$A$230=$B103)*ISNUMBER(INDEX(Inputs!$K$5:$AJ$230,0,MATCH(G$2,Inputs!$K$4:$AJ$4,0))))+SUMPRODUCT((Inputs!$C$5:$C$230=$B103)*ISNUMBER(INDEX(Inputs!$K$5:$AJ$230,0,MATCH(G$2,Inputs!$K$4:$AJ$4,0))))+SUMPRODUCT((Inputs!$E$5:$E$230=$B103)*ISNUMBER(INDEX(Inputs!$K$5:$AJ$230,0,MATCH(G$2,Inputs!$K$4:$AJ$4,0))))=0,NA(),SUMPRODUCT((Inputs!$A$5:$A$230=$B103)*Inputs!$B$5:$B$230*(((Inputs!$G$5:$G$230="moeda")+(Inputs!$G$5:$G$230="acoes"))*Inputs!$B$1+((Inputs!$G$5:$G$230&lt;&gt;"moeda")*(Inputs!$G$5:$G$230&lt;&gt;"acoes")))*INDEX(Inputs!$K$5:$AJ$230,0,MATCH(G$2,Inputs!$K$4:$AJ$4,0)))+SUMPRODUCT((Inputs!$C$5:$C$230=$B103)*Inputs!$D$5:$D$230*(((Inputs!$G$5:$G$230="moeda")+(Inputs!$G$5:$G$230="acoes"))*Inputs!$B$1+((Inputs!$G$5:$G$230&lt;&gt;"moeda")*(Inputs!$G$5:$G$230&lt;&gt;"acoes")))*INDEX(Inputs!$K$5:$AJ$230,0,MATCH(G$2,Inputs!$K$4:$AJ$4,0)))+SUMPRODUCT((Inputs!$E$5:$E$230=$B103)*Inputs!$F$5:$F$230*(((Inputs!$G$5:$G$230="moeda")+(Inputs!$G$5:$G$230="acoes"))*Inputs!$B$1+((Inputs!$G$5:$G$230&lt;&gt;"moeda")*(Inputs!$G$5:$G$230&lt;&gt;"acoes")))*INDEX(Inputs!$K$5:$AJ$230,0,MATCH(G$2,Inputs!$K$4:$AJ$4,0)))))</f>
        <v>5.176</v>
      </c>
      <c r="H103" s="3">
        <f>SUM(D103:G103)</f>
        <v>22.211</v>
      </c>
      <c r="I103" s="6">
        <f>IF(ISNA(MATCH(I$2,Inputs!$K$4:$AJ$4,0)),NA(),IF(SUMPRODUCT((Inputs!$A$5:$A$230=$B103)*ISNUMBER(INDEX(Inputs!$K$5:$AJ$230,0,MATCH(I$2,Inputs!$K$4:$AJ$4,0))))+SUMPRODUCT((Inputs!$C$5:$C$230=$B103)*ISNUMBER(INDEX(Inputs!$K$5:$AJ$230,0,MATCH(I$2,Inputs!$K$4:$AJ$4,0))))+SUMPRODUCT((Inputs!$E$5:$E$230=$B103)*ISNUMBER(INDEX(Inputs!$K$5:$AJ$230,0,MATCH(I$2,Inputs!$K$4:$AJ$4,0))))=0,NA(),SUMPRODUCT((Inputs!$A$5:$A$230=$B103)*Inputs!$B$5:$B$230*(((Inputs!$G$5:$G$230="moeda")+(Inputs!$G$5:$G$230="acoes"))*Inputs!$B$1+((Inputs!$G$5:$G$230&lt;&gt;"moeda")*(Inputs!$G$5:$G$230&lt;&gt;"acoes")))*INDEX(Inputs!$K$5:$AJ$230,0,MATCH(I$2,Inputs!$K$4:$AJ$4,0)))+SUMPRODUCT((Inputs!$C$5:$C$230=$B103)*Inputs!$D$5:$D$230*(((Inputs!$G$5:$G$230="moeda")+(Inputs!$G$5:$G$230="acoes"))*Inputs!$B$1+((Inputs!$G$5:$G$230&lt;&gt;"moeda")*(Inputs!$G$5:$G$230&lt;&gt;"acoes")))*INDEX(Inputs!$K$5:$AJ$230,0,MATCH(I$2,Inputs!$K$4:$AJ$4,0)))+SUMPRODUCT((Inputs!$E$5:$E$230=$B103)*Inputs!$F$5:$F$230*(((Inputs!$G$5:$G$230="moeda")+(Inputs!$G$5:$G$230="acoes"))*Inputs!$B$1+((Inputs!$G$5:$G$230&lt;&gt;"moeda")*(Inputs!$G$5:$G$230&lt;&gt;"acoes")))*INDEX(Inputs!$K$5:$AJ$230,0,MATCH(I$2,Inputs!$K$4:$AJ$4,0)))))</f>
        <v>4.988</v>
      </c>
      <c r="J103" s="6">
        <f>IF(ISNA(MATCH(J$2,Inputs!$K$4:$AJ$4,0)),NA(),IF(SUMPRODUCT((Inputs!$A$5:$A$230=$B103)*ISNUMBER(INDEX(Inputs!$K$5:$AJ$230,0,MATCH(J$2,Inputs!$K$4:$AJ$4,0))))+SUMPRODUCT((Inputs!$C$5:$C$230=$B103)*ISNUMBER(INDEX(Inputs!$K$5:$AJ$230,0,MATCH(J$2,Inputs!$K$4:$AJ$4,0))))+SUMPRODUCT((Inputs!$E$5:$E$230=$B103)*ISNUMBER(INDEX(Inputs!$K$5:$AJ$230,0,MATCH(J$2,Inputs!$K$4:$AJ$4,0))))=0,NA(),SUMPRODUCT((Inputs!$A$5:$A$230=$B103)*Inputs!$B$5:$B$230*(((Inputs!$G$5:$G$230="moeda")+(Inputs!$G$5:$G$230="acoes"))*Inputs!$B$1+((Inputs!$G$5:$G$230&lt;&gt;"moeda")*(Inputs!$G$5:$G$230&lt;&gt;"acoes")))*INDEX(Inputs!$K$5:$AJ$230,0,MATCH(J$2,Inputs!$K$4:$AJ$4,0)))+SUMPRODUCT((Inputs!$C$5:$C$230=$B103)*Inputs!$D$5:$D$230*(((Inputs!$G$5:$G$230="moeda")+(Inputs!$G$5:$G$230="acoes"))*Inputs!$B$1+((Inputs!$G$5:$G$230&lt;&gt;"moeda")*(Inputs!$G$5:$G$230&lt;&gt;"acoes")))*INDEX(Inputs!$K$5:$AJ$230,0,MATCH(J$2,Inputs!$K$4:$AJ$4,0)))+SUMPRODUCT((Inputs!$E$5:$E$230=$B103)*Inputs!$F$5:$F$230*(((Inputs!$G$5:$G$230="moeda")+(Inputs!$G$5:$G$230="acoes"))*Inputs!$B$1+((Inputs!$G$5:$G$230&lt;&gt;"moeda")*(Inputs!$G$5:$G$230&lt;&gt;"acoes")))*INDEX(Inputs!$K$5:$AJ$230,0,MATCH(J$2,Inputs!$K$4:$AJ$4,0)))))</f>
        <v>5.05</v>
      </c>
      <c r="K103" s="6">
        <f>IF(ISNA(MATCH(K$2,Inputs!$K$4:$AJ$4,0)),NA(),IF(SUMPRODUCT((Inputs!$A$5:$A$230=$B103)*ISNUMBER(INDEX(Inputs!$K$5:$AJ$230,0,MATCH(K$2,Inputs!$K$4:$AJ$4,0))))+SUMPRODUCT((Inputs!$C$5:$C$230=$B103)*ISNUMBER(INDEX(Inputs!$K$5:$AJ$230,0,MATCH(K$2,Inputs!$K$4:$AJ$4,0))))+SUMPRODUCT((Inputs!$E$5:$E$230=$B103)*ISNUMBER(INDEX(Inputs!$K$5:$AJ$230,0,MATCH(K$2,Inputs!$K$4:$AJ$4,0))))=0,NA(),SUMPRODUCT((Inputs!$A$5:$A$230=$B103)*Inputs!$B$5:$B$230*(((Inputs!$G$5:$G$230="moeda")+(Inputs!$G$5:$G$230="acoes"))*Inputs!$B$1+((Inputs!$G$5:$G$230&lt;&gt;"moeda")*(Inputs!$G$5:$G$230&lt;&gt;"acoes")))*INDEX(Inputs!$K$5:$AJ$230,0,MATCH(K$2,Inputs!$K$4:$AJ$4,0)))+SUMPRODUCT((Inputs!$C$5:$C$230=$B103)*Inputs!$D$5:$D$230*(((Inputs!$G$5:$G$230="moeda")+(Inputs!$G$5:$G$230="acoes"))*Inputs!$B$1+((Inputs!$G$5:$G$230&lt;&gt;"moeda")*(Inputs!$G$5:$G$230&lt;&gt;"acoes")))*INDEX(Inputs!$K$5:$AJ$230,0,MATCH(K$2,Inputs!$K$4:$AJ$4,0)))+SUMPRODUCT((Inputs!$E$5:$E$230=$B103)*Inputs!$F$5:$F$230*(((Inputs!$G$5:$G$230="moeda")+(Inputs!$G$5:$G$230="acoes"))*Inputs!$B$1+((Inputs!$G$5:$G$230&lt;&gt;"moeda")*(Inputs!$G$5:$G$230&lt;&gt;"acoes")))*INDEX(Inputs!$K$5:$AJ$230,0,MATCH(K$2,Inputs!$K$4:$AJ$4,0)))))</f>
        <v>5.131</v>
      </c>
      <c r="L103" s="6">
        <f>IF(ISNA(MATCH(L$2,Inputs!$K$4:$AJ$4,0)),NA(),IF(SUMPRODUCT((Inputs!$A$5:$A$230=$B103)*ISNUMBER(INDEX(Inputs!$K$5:$AJ$230,0,MATCH(L$2,Inputs!$K$4:$AJ$4,0))))+SUMPRODUCT((Inputs!$C$5:$C$230=$B103)*ISNUMBER(INDEX(Inputs!$K$5:$AJ$230,0,MATCH(L$2,Inputs!$K$4:$AJ$4,0))))+SUMPRODUCT((Inputs!$E$5:$E$230=$B103)*ISNUMBER(INDEX(Inputs!$K$5:$AJ$230,0,MATCH(L$2,Inputs!$K$4:$AJ$4,0))))=0,NA(),SUMPRODUCT((Inputs!$A$5:$A$230=$B103)*Inputs!$B$5:$B$230*(((Inputs!$G$5:$G$230="moeda")+(Inputs!$G$5:$G$230="acoes"))*Inputs!$B$1+((Inputs!$G$5:$G$230&lt;&gt;"moeda")*(Inputs!$G$5:$G$230&lt;&gt;"acoes")))*INDEX(Inputs!$K$5:$AJ$230,0,MATCH(L$2,Inputs!$K$4:$AJ$4,0)))+SUMPRODUCT((Inputs!$C$5:$C$230=$B103)*Inputs!$D$5:$D$230*(((Inputs!$G$5:$G$230="moeda")+(Inputs!$G$5:$G$230="acoes"))*Inputs!$B$1+((Inputs!$G$5:$G$230&lt;&gt;"moeda")*(Inputs!$G$5:$G$230&lt;&gt;"acoes")))*INDEX(Inputs!$K$5:$AJ$230,0,MATCH(L$2,Inputs!$K$4:$AJ$4,0)))+SUMPRODUCT((Inputs!$E$5:$E$230=$B103)*Inputs!$F$5:$F$230*(((Inputs!$G$5:$G$230="moeda")+(Inputs!$G$5:$G$230="acoes"))*Inputs!$B$1+((Inputs!$G$5:$G$230&lt;&gt;"moeda")*(Inputs!$G$5:$G$230&lt;&gt;"acoes")))*INDEX(Inputs!$K$5:$AJ$230,0,MATCH(L$2,Inputs!$K$4:$AJ$4,0)))))</f>
        <v>5.148</v>
      </c>
      <c r="M103" s="3">
        <f>SUM(I103:L103)</f>
        <v>20.317</v>
      </c>
      <c r="N103" s="6">
        <f>IF(ISNA(MATCH(N$2,Inputs!$K$4:$AJ$4,0)),NA(),IF(SUMPRODUCT((Inputs!$A$5:$A$230=$B103)*ISNUMBER(INDEX(Inputs!$K$5:$AJ$230,0,MATCH(N$2,Inputs!$K$4:$AJ$4,0))))+SUMPRODUCT((Inputs!$C$5:$C$230=$B103)*ISNUMBER(INDEX(Inputs!$K$5:$AJ$230,0,MATCH(N$2,Inputs!$K$4:$AJ$4,0))))+SUMPRODUCT((Inputs!$E$5:$E$230=$B103)*ISNUMBER(INDEX(Inputs!$K$5:$AJ$230,0,MATCH(N$2,Inputs!$K$4:$AJ$4,0))))=0,NA(),SUMPRODUCT((Inputs!$A$5:$A$230=$B103)*Inputs!$B$5:$B$230*(((Inputs!$G$5:$G$230="moeda")+(Inputs!$G$5:$G$230="acoes"))*Inputs!$B$1+((Inputs!$G$5:$G$230&lt;&gt;"moeda")*(Inputs!$G$5:$G$230&lt;&gt;"acoes")))*INDEX(Inputs!$K$5:$AJ$230,0,MATCH(N$2,Inputs!$K$4:$AJ$4,0)))+SUMPRODUCT((Inputs!$C$5:$C$230=$B103)*Inputs!$D$5:$D$230*(((Inputs!$G$5:$G$230="moeda")+(Inputs!$G$5:$G$230="acoes"))*Inputs!$B$1+((Inputs!$G$5:$G$230&lt;&gt;"moeda")*(Inputs!$G$5:$G$230&lt;&gt;"acoes")))*INDEX(Inputs!$K$5:$AJ$230,0,MATCH(N$2,Inputs!$K$4:$AJ$4,0)))+SUMPRODUCT((Inputs!$E$5:$E$230=$B103)*Inputs!$F$5:$F$230*(((Inputs!$G$5:$G$230="moeda")+(Inputs!$G$5:$G$230="acoes"))*Inputs!$B$1+((Inputs!$G$5:$G$230&lt;&gt;"moeda")*(Inputs!$G$5:$G$230&lt;&gt;"acoes")))*INDEX(Inputs!$K$5:$AJ$230,0,MATCH(N$2,Inputs!$K$4:$AJ$4,0)))))</f>
        <v>4.821</v>
      </c>
      <c r="O103" s="6">
        <f>IF(ISNA(MATCH(O$2,Inputs!$K$4:$AJ$4,0)),NA(),IF(SUMPRODUCT((Inputs!$A$5:$A$230=$B103)*ISNUMBER(INDEX(Inputs!$K$5:$AJ$230,0,MATCH(O$2,Inputs!$K$4:$AJ$4,0))))+SUMPRODUCT((Inputs!$C$5:$C$230=$B103)*ISNUMBER(INDEX(Inputs!$K$5:$AJ$230,0,MATCH(O$2,Inputs!$K$4:$AJ$4,0))))+SUMPRODUCT((Inputs!$E$5:$E$230=$B103)*ISNUMBER(INDEX(Inputs!$K$5:$AJ$230,0,MATCH(O$2,Inputs!$K$4:$AJ$4,0))))=0,NA(),SUMPRODUCT((Inputs!$A$5:$A$230=$B103)*Inputs!$B$5:$B$230*(((Inputs!$G$5:$G$230="moeda")+(Inputs!$G$5:$G$230="acoes"))*Inputs!$B$1+((Inputs!$G$5:$G$230&lt;&gt;"moeda")*(Inputs!$G$5:$G$230&lt;&gt;"acoes")))*INDEX(Inputs!$K$5:$AJ$230,0,MATCH(O$2,Inputs!$K$4:$AJ$4,0)))+SUMPRODUCT((Inputs!$C$5:$C$230=$B103)*Inputs!$D$5:$D$230*(((Inputs!$G$5:$G$230="moeda")+(Inputs!$G$5:$G$230="acoes"))*Inputs!$B$1+((Inputs!$G$5:$G$230&lt;&gt;"moeda")*(Inputs!$G$5:$G$230&lt;&gt;"acoes")))*INDEX(Inputs!$K$5:$AJ$230,0,MATCH(O$2,Inputs!$K$4:$AJ$4,0)))+SUMPRODUCT((Inputs!$E$5:$E$230=$B103)*Inputs!$F$5:$F$230*(((Inputs!$G$5:$G$230="moeda")+(Inputs!$G$5:$G$230="acoes"))*Inputs!$B$1+((Inputs!$G$5:$G$230&lt;&gt;"moeda")*(Inputs!$G$5:$G$230&lt;&gt;"acoes")))*INDEX(Inputs!$K$5:$AJ$230,0,MATCH(O$2,Inputs!$K$4:$AJ$4,0)))))</f>
        <v>4.312</v>
      </c>
      <c r="P103" s="6">
        <f>IF(ISNA(MATCH(P$2,Inputs!$K$4:$AJ$4,0)),NA(),IF(SUMPRODUCT((Inputs!$A$5:$A$230=$B103)*ISNUMBER(INDEX(Inputs!$K$5:$AJ$230,0,MATCH(P$2,Inputs!$K$4:$AJ$4,0))))+SUMPRODUCT((Inputs!$C$5:$C$230=$B103)*ISNUMBER(INDEX(Inputs!$K$5:$AJ$230,0,MATCH(P$2,Inputs!$K$4:$AJ$4,0))))+SUMPRODUCT((Inputs!$E$5:$E$230=$B103)*ISNUMBER(INDEX(Inputs!$K$5:$AJ$230,0,MATCH(P$2,Inputs!$K$4:$AJ$4,0))))=0,NA(),SUMPRODUCT((Inputs!$A$5:$A$230=$B103)*Inputs!$B$5:$B$230*(((Inputs!$G$5:$G$230="moeda")+(Inputs!$G$5:$G$230="acoes"))*Inputs!$B$1+((Inputs!$G$5:$G$230&lt;&gt;"moeda")*(Inputs!$G$5:$G$230&lt;&gt;"acoes")))*INDEX(Inputs!$K$5:$AJ$230,0,MATCH(P$2,Inputs!$K$4:$AJ$4,0)))+SUMPRODUCT((Inputs!$C$5:$C$230=$B103)*Inputs!$D$5:$D$230*(((Inputs!$G$5:$G$230="moeda")+(Inputs!$G$5:$G$230="acoes"))*Inputs!$B$1+((Inputs!$G$5:$G$230&lt;&gt;"moeda")*(Inputs!$G$5:$G$230&lt;&gt;"acoes")))*INDEX(Inputs!$K$5:$AJ$230,0,MATCH(P$2,Inputs!$K$4:$AJ$4,0)))+SUMPRODUCT((Inputs!$E$5:$E$230=$B103)*Inputs!$F$5:$F$230*(((Inputs!$G$5:$G$230="moeda")+(Inputs!$G$5:$G$230="acoes"))*Inputs!$B$1+((Inputs!$G$5:$G$230&lt;&gt;"moeda")*(Inputs!$G$5:$G$230&lt;&gt;"acoes")))*INDEX(Inputs!$K$5:$AJ$230,0,MATCH(P$2,Inputs!$K$4:$AJ$4,0)))))</f>
        <v>5.66</v>
      </c>
      <c r="Q103" s="6">
        <f>IF(ISNA(MATCH(Q$2,Inputs!$K$4:$AJ$4,0)),NA(),IF(SUMPRODUCT((Inputs!$A$5:$A$230=$B103)*ISNUMBER(INDEX(Inputs!$K$5:$AJ$230,0,MATCH(Q$2,Inputs!$K$4:$AJ$4,0))))+SUMPRODUCT((Inputs!$C$5:$C$230=$B103)*ISNUMBER(INDEX(Inputs!$K$5:$AJ$230,0,MATCH(Q$2,Inputs!$K$4:$AJ$4,0))))+SUMPRODUCT((Inputs!$E$5:$E$230=$B103)*ISNUMBER(INDEX(Inputs!$K$5:$AJ$230,0,MATCH(Q$2,Inputs!$K$4:$AJ$4,0))))=0,NA(),SUMPRODUCT((Inputs!$A$5:$A$230=$B103)*Inputs!$B$5:$B$230*(((Inputs!$G$5:$G$230="moeda")+(Inputs!$G$5:$G$230="acoes"))*Inputs!$B$1+((Inputs!$G$5:$G$230&lt;&gt;"moeda")*(Inputs!$G$5:$G$230&lt;&gt;"acoes")))*INDEX(Inputs!$K$5:$AJ$230,0,MATCH(Q$2,Inputs!$K$4:$AJ$4,0)))+SUMPRODUCT((Inputs!$C$5:$C$230=$B103)*Inputs!$D$5:$D$230*(((Inputs!$G$5:$G$230="moeda")+(Inputs!$G$5:$G$230="acoes"))*Inputs!$B$1+((Inputs!$G$5:$G$230&lt;&gt;"moeda")*(Inputs!$G$5:$G$230&lt;&gt;"acoes")))*INDEX(Inputs!$K$5:$AJ$230,0,MATCH(Q$2,Inputs!$K$4:$AJ$4,0)))+SUMPRODUCT((Inputs!$E$5:$E$230=$B103)*Inputs!$F$5:$F$230*(((Inputs!$G$5:$G$230="moeda")+(Inputs!$G$5:$G$230="acoes"))*Inputs!$B$1+((Inputs!$G$5:$G$230&lt;&gt;"moeda")*(Inputs!$G$5:$G$230&lt;&gt;"acoes")))*INDEX(Inputs!$K$5:$AJ$230,0,MATCH(Q$2,Inputs!$K$4:$AJ$4,0)))))</f>
        <v>4.395</v>
      </c>
      <c r="R103" s="3">
        <f>SUM(N103:Q103)</f>
        <v>19.188</v>
      </c>
      <c r="S103" s="6">
        <f>IF(ISNA(MATCH(S$2,Inputs!$K$4:$AJ$4,0)),NA(),IF(SUMPRODUCT((Inputs!$A$5:$A$230=$B103)*ISNUMBER(INDEX(Inputs!$K$5:$AJ$230,0,MATCH(S$2,Inputs!$K$4:$AJ$4,0))))+SUMPRODUCT((Inputs!$C$5:$C$230=$B103)*ISNUMBER(INDEX(Inputs!$K$5:$AJ$230,0,MATCH(S$2,Inputs!$K$4:$AJ$4,0))))+SUMPRODUCT((Inputs!$E$5:$E$230=$B103)*ISNUMBER(INDEX(Inputs!$K$5:$AJ$230,0,MATCH(S$2,Inputs!$K$4:$AJ$4,0))))=0,NA(),SUMPRODUCT((Inputs!$A$5:$A$230=$B103)*Inputs!$B$5:$B$230*(((Inputs!$G$5:$G$230="moeda")+(Inputs!$G$5:$G$230="acoes"))*Inputs!$B$1+((Inputs!$G$5:$G$230&lt;&gt;"moeda")*(Inputs!$G$5:$G$230&lt;&gt;"acoes")))*INDEX(Inputs!$K$5:$AJ$230,0,MATCH(S$2,Inputs!$K$4:$AJ$4,0)))+SUMPRODUCT((Inputs!$C$5:$C$230=$B103)*Inputs!$D$5:$D$230*(((Inputs!$G$5:$G$230="moeda")+(Inputs!$G$5:$G$230="acoes"))*Inputs!$B$1+((Inputs!$G$5:$G$230&lt;&gt;"moeda")*(Inputs!$G$5:$G$230&lt;&gt;"acoes")))*INDEX(Inputs!$K$5:$AJ$230,0,MATCH(S$2,Inputs!$K$4:$AJ$4,0)))+SUMPRODUCT((Inputs!$E$5:$E$230=$B103)*Inputs!$F$5:$F$230*(((Inputs!$G$5:$G$230="moeda")+(Inputs!$G$5:$G$230="acoes"))*Inputs!$B$1+((Inputs!$G$5:$G$230&lt;&gt;"moeda")*(Inputs!$G$5:$G$230&lt;&gt;"acoes")))*INDEX(Inputs!$K$5:$AJ$230,0,MATCH(S$2,Inputs!$K$4:$AJ$4,0)))))</f>
        <v>4.192</v>
      </c>
      <c r="T103" s="6">
        <f>IF(ISNA(MATCH(T$2,Inputs!$K$4:$AJ$4,0)),NA(),IF(SUMPRODUCT((Inputs!$A$5:$A$230=$B103)*ISNUMBER(INDEX(Inputs!$K$5:$AJ$230,0,MATCH(T$2,Inputs!$K$4:$AJ$4,0))))+SUMPRODUCT((Inputs!$C$5:$C$230=$B103)*ISNUMBER(INDEX(Inputs!$K$5:$AJ$230,0,MATCH(T$2,Inputs!$K$4:$AJ$4,0))))+SUMPRODUCT((Inputs!$E$5:$E$230=$B103)*ISNUMBER(INDEX(Inputs!$K$5:$AJ$230,0,MATCH(T$2,Inputs!$K$4:$AJ$4,0))))=0,NA(),SUMPRODUCT((Inputs!$A$5:$A$230=$B103)*Inputs!$B$5:$B$230*(((Inputs!$G$5:$G$230="moeda")+(Inputs!$G$5:$G$230="acoes"))*Inputs!$B$1+((Inputs!$G$5:$G$230&lt;&gt;"moeda")*(Inputs!$G$5:$G$230&lt;&gt;"acoes")))*INDEX(Inputs!$K$5:$AJ$230,0,MATCH(T$2,Inputs!$K$4:$AJ$4,0)))+SUMPRODUCT((Inputs!$C$5:$C$230=$B103)*Inputs!$D$5:$D$230*(((Inputs!$G$5:$G$230="moeda")+(Inputs!$G$5:$G$230="acoes"))*Inputs!$B$1+((Inputs!$G$5:$G$230&lt;&gt;"moeda")*(Inputs!$G$5:$G$230&lt;&gt;"acoes")))*INDEX(Inputs!$K$5:$AJ$230,0,MATCH(T$2,Inputs!$K$4:$AJ$4,0)))+SUMPRODUCT((Inputs!$E$5:$E$230=$B103)*Inputs!$F$5:$F$230*(((Inputs!$G$5:$G$230="moeda")+(Inputs!$G$5:$G$230="acoes"))*Inputs!$B$1+((Inputs!$G$5:$G$230&lt;&gt;"moeda")*(Inputs!$G$5:$G$230&lt;&gt;"acoes")))*INDEX(Inputs!$K$5:$AJ$230,0,MATCH(T$2,Inputs!$K$4:$AJ$4,0)))))</f>
        <v>2.88</v>
      </c>
      <c r="U103" s="6">
        <f>IF(ISNA(MATCH(U$2,Inputs!$K$4:$AJ$4,0)),NA(),IF(SUMPRODUCT((Inputs!$A$5:$A$230=$B103)*ISNUMBER(INDEX(Inputs!$K$5:$AJ$230,0,MATCH(U$2,Inputs!$K$4:$AJ$4,0))))+SUMPRODUCT((Inputs!$C$5:$C$230=$B103)*ISNUMBER(INDEX(Inputs!$K$5:$AJ$230,0,MATCH(U$2,Inputs!$K$4:$AJ$4,0))))+SUMPRODUCT((Inputs!$E$5:$E$230=$B103)*ISNUMBER(INDEX(Inputs!$K$5:$AJ$230,0,MATCH(U$2,Inputs!$K$4:$AJ$4,0))))=0,NA(),SUMPRODUCT((Inputs!$A$5:$A$230=$B103)*Inputs!$B$5:$B$230*(((Inputs!$G$5:$G$230="moeda")+(Inputs!$G$5:$G$230="acoes"))*Inputs!$B$1+((Inputs!$G$5:$G$230&lt;&gt;"moeda")*(Inputs!$G$5:$G$230&lt;&gt;"acoes")))*INDEX(Inputs!$K$5:$AJ$230,0,MATCH(U$2,Inputs!$K$4:$AJ$4,0)))+SUMPRODUCT((Inputs!$C$5:$C$230=$B103)*Inputs!$D$5:$D$230*(((Inputs!$G$5:$G$230="moeda")+(Inputs!$G$5:$G$230="acoes"))*Inputs!$B$1+((Inputs!$G$5:$G$230&lt;&gt;"moeda")*(Inputs!$G$5:$G$230&lt;&gt;"acoes")))*INDEX(Inputs!$K$5:$AJ$230,0,MATCH(U$2,Inputs!$K$4:$AJ$4,0)))+SUMPRODUCT((Inputs!$E$5:$E$230=$B103)*Inputs!$F$5:$F$230*(((Inputs!$G$5:$G$230="moeda")+(Inputs!$G$5:$G$230="acoes"))*Inputs!$B$1+((Inputs!$G$5:$G$230&lt;&gt;"moeda")*(Inputs!$G$5:$G$230&lt;&gt;"acoes")))*INDEX(Inputs!$K$5:$AJ$230,0,MATCH(U$2,Inputs!$K$4:$AJ$4,0)))))</f>
        <v>3.121</v>
      </c>
      <c r="V103" s="6">
        <f>IF(ISNA(MATCH(V$2,Inputs!$K$4:$AJ$4,0)),NA(),IF(SUMPRODUCT((Inputs!$A$5:$A$230=$B103)*ISNUMBER(INDEX(Inputs!$K$5:$AJ$230,0,MATCH(V$2,Inputs!$K$4:$AJ$4,0))))+SUMPRODUCT((Inputs!$C$5:$C$230=$B103)*ISNUMBER(INDEX(Inputs!$K$5:$AJ$230,0,MATCH(V$2,Inputs!$K$4:$AJ$4,0))))+SUMPRODUCT((Inputs!$E$5:$E$230=$B103)*ISNUMBER(INDEX(Inputs!$K$5:$AJ$230,0,MATCH(V$2,Inputs!$K$4:$AJ$4,0))))=0,NA(),SUMPRODUCT((Inputs!$A$5:$A$230=$B103)*Inputs!$B$5:$B$230*(((Inputs!$G$5:$G$230="moeda")+(Inputs!$G$5:$G$230="acoes"))*Inputs!$B$1+((Inputs!$G$5:$G$230&lt;&gt;"moeda")*(Inputs!$G$5:$G$230&lt;&gt;"acoes")))*INDEX(Inputs!$K$5:$AJ$230,0,MATCH(V$2,Inputs!$K$4:$AJ$4,0)))+SUMPRODUCT((Inputs!$C$5:$C$230=$B103)*Inputs!$D$5:$D$230*(((Inputs!$G$5:$G$230="moeda")+(Inputs!$G$5:$G$230="acoes"))*Inputs!$B$1+((Inputs!$G$5:$G$230&lt;&gt;"moeda")*(Inputs!$G$5:$G$230&lt;&gt;"acoes")))*INDEX(Inputs!$K$5:$AJ$230,0,MATCH(V$2,Inputs!$K$4:$AJ$4,0)))+SUMPRODUCT((Inputs!$E$5:$E$230=$B103)*Inputs!$F$5:$F$230*(((Inputs!$G$5:$G$230="moeda")+(Inputs!$G$5:$G$230="acoes"))*Inputs!$B$1+((Inputs!$G$5:$G$230&lt;&gt;"moeda")*(Inputs!$G$5:$G$230&lt;&gt;"acoes")))*INDEX(Inputs!$K$5:$AJ$230,0,MATCH(V$2,Inputs!$K$4:$AJ$4,0)))))</f>
        <v>7.305</v>
      </c>
      <c r="W103" s="3">
        <f>SUM(S103:V103)</f>
        <v>17.498</v>
      </c>
      <c r="X103" s="6">
        <f>IF(ISNA(MATCH(X$2,Inputs!$K$4:$AJ$4,0)),NA(),IF(SUMPRODUCT((Inputs!$A$5:$A$230=$B103)*ISNUMBER(INDEX(Inputs!$K$5:$AJ$230,0,MATCH(X$2,Inputs!$K$4:$AJ$4,0))))+SUMPRODUCT((Inputs!$C$5:$C$230=$B103)*ISNUMBER(INDEX(Inputs!$K$5:$AJ$230,0,MATCH(X$2,Inputs!$K$4:$AJ$4,0))))+SUMPRODUCT((Inputs!$E$5:$E$230=$B103)*ISNUMBER(INDEX(Inputs!$K$5:$AJ$230,0,MATCH(X$2,Inputs!$K$4:$AJ$4,0))))=0,NA(),SUMPRODUCT((Inputs!$A$5:$A$230=$B103)*Inputs!$B$5:$B$230*(((Inputs!$G$5:$G$230="moeda")+(Inputs!$G$5:$G$230="acoes"))*Inputs!$B$1+((Inputs!$G$5:$G$230&lt;&gt;"moeda")*(Inputs!$G$5:$G$230&lt;&gt;"acoes")))*INDEX(Inputs!$K$5:$AJ$230,0,MATCH(X$2,Inputs!$K$4:$AJ$4,0)))+SUMPRODUCT((Inputs!$C$5:$C$230=$B103)*Inputs!$D$5:$D$230*(((Inputs!$G$5:$G$230="moeda")+(Inputs!$G$5:$G$230="acoes"))*Inputs!$B$1+((Inputs!$G$5:$G$230&lt;&gt;"moeda")*(Inputs!$G$5:$G$230&lt;&gt;"acoes")))*INDEX(Inputs!$K$5:$AJ$230,0,MATCH(X$2,Inputs!$K$4:$AJ$4,0)))+SUMPRODUCT((Inputs!$E$5:$E$230=$B103)*Inputs!$F$5:$F$230*(((Inputs!$G$5:$G$230="moeda")+(Inputs!$G$5:$G$230="acoes"))*Inputs!$B$1+((Inputs!$G$5:$G$230&lt;&gt;"moeda")*(Inputs!$G$5:$G$230&lt;&gt;"acoes")))*INDEX(Inputs!$K$5:$AJ$230,0,MATCH(X$2,Inputs!$K$4:$AJ$4,0)))))</f>
        <v>3.696</v>
      </c>
      <c r="Y103" s="6">
        <f>IF(ISNA(MATCH(Y$2,Inputs!$K$4:$AJ$4,0)),NA(),IF(SUMPRODUCT((Inputs!$A$5:$A$230=$B103)*ISNUMBER(INDEX(Inputs!$K$5:$AJ$230,0,MATCH(Y$2,Inputs!$K$4:$AJ$4,0))))+SUMPRODUCT((Inputs!$C$5:$C$230=$B103)*ISNUMBER(INDEX(Inputs!$K$5:$AJ$230,0,MATCH(Y$2,Inputs!$K$4:$AJ$4,0))))+SUMPRODUCT((Inputs!$E$5:$E$230=$B103)*ISNUMBER(INDEX(Inputs!$K$5:$AJ$230,0,MATCH(Y$2,Inputs!$K$4:$AJ$4,0))))=0,NA(),SUMPRODUCT((Inputs!$A$5:$A$230=$B103)*Inputs!$B$5:$B$230*(((Inputs!$G$5:$G$230="moeda")+(Inputs!$G$5:$G$230="acoes"))*Inputs!$B$1+((Inputs!$G$5:$G$230&lt;&gt;"moeda")*(Inputs!$G$5:$G$230&lt;&gt;"acoes")))*INDEX(Inputs!$K$5:$AJ$230,0,MATCH(Y$2,Inputs!$K$4:$AJ$4,0)))+SUMPRODUCT((Inputs!$C$5:$C$230=$B103)*Inputs!$D$5:$D$230*(((Inputs!$G$5:$G$230="moeda")+(Inputs!$G$5:$G$230="acoes"))*Inputs!$B$1+((Inputs!$G$5:$G$230&lt;&gt;"moeda")*(Inputs!$G$5:$G$230&lt;&gt;"acoes")))*INDEX(Inputs!$K$5:$AJ$230,0,MATCH(Y$2,Inputs!$K$4:$AJ$4,0)))+SUMPRODUCT((Inputs!$E$5:$E$230=$B103)*Inputs!$F$5:$F$230*(((Inputs!$G$5:$G$230="moeda")+(Inputs!$G$5:$G$230="acoes"))*Inputs!$B$1+((Inputs!$G$5:$G$230&lt;&gt;"moeda")*(Inputs!$G$5:$G$230&lt;&gt;"acoes")))*INDEX(Inputs!$K$5:$AJ$230,0,MATCH(Y$2,Inputs!$K$4:$AJ$4,0)))))</f>
        <v>4.92</v>
      </c>
      <c r="Z103" s="6">
        <f>IF(ISNA(MATCH(Z$2,Inputs!$K$4:$AJ$4,0)),NA(),IF(SUMPRODUCT((Inputs!$A$5:$A$230=$B103)*ISNUMBER(INDEX(Inputs!$K$5:$AJ$230,0,MATCH(Z$2,Inputs!$K$4:$AJ$4,0))))+SUMPRODUCT((Inputs!$C$5:$C$230=$B103)*ISNUMBER(INDEX(Inputs!$K$5:$AJ$230,0,MATCH(Z$2,Inputs!$K$4:$AJ$4,0))))+SUMPRODUCT((Inputs!$E$5:$E$230=$B103)*ISNUMBER(INDEX(Inputs!$K$5:$AJ$230,0,MATCH(Z$2,Inputs!$K$4:$AJ$4,0))))=0,NA(),SUMPRODUCT((Inputs!$A$5:$A$230=$B103)*Inputs!$B$5:$B$230*(((Inputs!$G$5:$G$230="moeda")+(Inputs!$G$5:$G$230="acoes"))*Inputs!$B$1+((Inputs!$G$5:$G$230&lt;&gt;"moeda")*(Inputs!$G$5:$G$230&lt;&gt;"acoes")))*INDEX(Inputs!$K$5:$AJ$230,0,MATCH(Z$2,Inputs!$K$4:$AJ$4,0)))+SUMPRODUCT((Inputs!$C$5:$C$230=$B103)*Inputs!$D$5:$D$230*(((Inputs!$G$5:$G$230="moeda")+(Inputs!$G$5:$G$230="acoes"))*Inputs!$B$1+((Inputs!$G$5:$G$230&lt;&gt;"moeda")*(Inputs!$G$5:$G$230&lt;&gt;"acoes")))*INDEX(Inputs!$K$5:$AJ$230,0,MATCH(Z$2,Inputs!$K$4:$AJ$4,0)))+SUMPRODUCT((Inputs!$E$5:$E$230=$B103)*Inputs!$F$5:$F$230*(((Inputs!$G$5:$G$230="moeda")+(Inputs!$G$5:$G$230="acoes"))*Inputs!$B$1+((Inputs!$G$5:$G$230&lt;&gt;"moeda")*(Inputs!$G$5:$G$230&lt;&gt;"acoes")))*INDEX(Inputs!$K$5:$AJ$230,0,MATCH(Z$2,Inputs!$K$4:$AJ$4,0)))))</f>
        <v>5.502</v>
      </c>
      <c r="AA103" s="6">
        <f>IF(ISNA(MATCH(AA$2,Inputs!$K$4:$AJ$4,0)),NA(),IF(SUMPRODUCT((Inputs!$A$5:$A$230=$B103)*ISNUMBER(INDEX(Inputs!$K$5:$AJ$230,0,MATCH(AA$2,Inputs!$K$4:$AJ$4,0))))+SUMPRODUCT((Inputs!$C$5:$C$230=$B103)*ISNUMBER(INDEX(Inputs!$K$5:$AJ$230,0,MATCH(AA$2,Inputs!$K$4:$AJ$4,0))))+SUMPRODUCT((Inputs!$E$5:$E$230=$B103)*ISNUMBER(INDEX(Inputs!$K$5:$AJ$230,0,MATCH(AA$2,Inputs!$K$4:$AJ$4,0))))=0,NA(),SUMPRODUCT((Inputs!$A$5:$A$230=$B103)*Inputs!$B$5:$B$230*(((Inputs!$G$5:$G$230="moeda")+(Inputs!$G$5:$G$230="acoes"))*Inputs!$B$1+((Inputs!$G$5:$G$230&lt;&gt;"moeda")*(Inputs!$G$5:$G$230&lt;&gt;"acoes")))*INDEX(Inputs!$K$5:$AJ$230,0,MATCH(AA$2,Inputs!$K$4:$AJ$4,0)))+SUMPRODUCT((Inputs!$C$5:$C$230=$B103)*Inputs!$D$5:$D$230*(((Inputs!$G$5:$G$230="moeda")+(Inputs!$G$5:$G$230="acoes"))*Inputs!$B$1+((Inputs!$G$5:$G$230&lt;&gt;"moeda")*(Inputs!$G$5:$G$230&lt;&gt;"acoes")))*INDEX(Inputs!$K$5:$AJ$230,0,MATCH(AA$2,Inputs!$K$4:$AJ$4,0)))+SUMPRODUCT((Inputs!$E$5:$E$230=$B103)*Inputs!$F$5:$F$230*(((Inputs!$G$5:$G$230="moeda")+(Inputs!$G$5:$G$230="acoes"))*Inputs!$B$1+((Inputs!$G$5:$G$230&lt;&gt;"moeda")*(Inputs!$G$5:$G$230&lt;&gt;"acoes")))*INDEX(Inputs!$K$5:$AJ$230,0,MATCH(AA$2,Inputs!$K$4:$AJ$4,0)))))</f>
        <v>5.818</v>
      </c>
      <c r="AB103" s="3">
        <f>SUM(X103:AA103)</f>
        <v>19.936</v>
      </c>
      <c r="AC103" s="6">
        <f>IF(ISNA(MATCH(AC$2,Inputs!$K$4:$AJ$4,0)),NA(),IF(SUMPRODUCT((Inputs!$A$5:$A$230=$B103)*ISNUMBER(INDEX(Inputs!$K$5:$AJ$230,0,MATCH(AC$2,Inputs!$K$4:$AJ$4,0))))+SUMPRODUCT((Inputs!$C$5:$C$230=$B103)*ISNUMBER(INDEX(Inputs!$K$5:$AJ$230,0,MATCH(AC$2,Inputs!$K$4:$AJ$4,0))))+SUMPRODUCT((Inputs!$E$5:$E$230=$B103)*ISNUMBER(INDEX(Inputs!$K$5:$AJ$230,0,MATCH(AC$2,Inputs!$K$4:$AJ$4,0))))=0,NA(),SUMPRODUCT((Inputs!$A$5:$A$230=$B103)*Inputs!$B$5:$B$230*(((Inputs!$G$5:$G$230="moeda")+(Inputs!$G$5:$G$230="acoes"))*Inputs!$B$1+((Inputs!$G$5:$G$230&lt;&gt;"moeda")*(Inputs!$G$5:$G$230&lt;&gt;"acoes")))*INDEX(Inputs!$K$5:$AJ$230,0,MATCH(AC$2,Inputs!$K$4:$AJ$4,0)))+SUMPRODUCT((Inputs!$C$5:$C$230=$B103)*Inputs!$D$5:$D$230*(((Inputs!$G$5:$G$230="moeda")+(Inputs!$G$5:$G$230="acoes"))*Inputs!$B$1+((Inputs!$G$5:$G$230&lt;&gt;"moeda")*(Inputs!$G$5:$G$230&lt;&gt;"acoes")))*INDEX(Inputs!$K$5:$AJ$230,0,MATCH(AC$2,Inputs!$K$4:$AJ$4,0)))+SUMPRODUCT((Inputs!$E$5:$E$230=$B103)*Inputs!$F$5:$F$230*(((Inputs!$G$5:$G$230="moeda")+(Inputs!$G$5:$G$230="acoes"))*Inputs!$B$1+((Inputs!$G$5:$G$230&lt;&gt;"moeda")*(Inputs!$G$5:$G$230&lt;&gt;"acoes")))*INDEX(Inputs!$K$5:$AJ$230,0,MATCH(AC$2,Inputs!$K$4:$AJ$4,0)))))</f>
        <v>6.551</v>
      </c>
      <c r="AD103" s="6">
        <f>IF(ISNA(MATCH(AD$2,Inputs!$K$4:$AJ$4,0)),NA(),IF(SUMPRODUCT((Inputs!$A$5:$A$230=$B103)*ISNUMBER(INDEX(Inputs!$K$5:$AJ$230,0,MATCH(AD$2,Inputs!$K$4:$AJ$4,0))))+SUMPRODUCT((Inputs!$C$5:$C$230=$B103)*ISNUMBER(INDEX(Inputs!$K$5:$AJ$230,0,MATCH(AD$2,Inputs!$K$4:$AJ$4,0))))+SUMPRODUCT((Inputs!$E$5:$E$230=$B103)*ISNUMBER(INDEX(Inputs!$K$5:$AJ$230,0,MATCH(AD$2,Inputs!$K$4:$AJ$4,0))))=0,NA(),SUMPRODUCT((Inputs!$A$5:$A$230=$B103)*Inputs!$B$5:$B$230*(((Inputs!$G$5:$G$230="moeda")+(Inputs!$G$5:$G$230="acoes"))*Inputs!$B$1+((Inputs!$G$5:$G$230&lt;&gt;"moeda")*(Inputs!$G$5:$G$230&lt;&gt;"acoes")))*INDEX(Inputs!$K$5:$AJ$230,0,MATCH(AD$2,Inputs!$K$4:$AJ$4,0)))+SUMPRODUCT((Inputs!$C$5:$C$230=$B103)*Inputs!$D$5:$D$230*(((Inputs!$G$5:$G$230="moeda")+(Inputs!$G$5:$G$230="acoes"))*Inputs!$B$1+((Inputs!$G$5:$G$230&lt;&gt;"moeda")*(Inputs!$G$5:$G$230&lt;&gt;"acoes")))*INDEX(Inputs!$K$5:$AJ$230,0,MATCH(AD$2,Inputs!$K$4:$AJ$4,0)))+SUMPRODUCT((Inputs!$E$5:$E$230=$B103)*Inputs!$F$5:$F$230*(((Inputs!$G$5:$G$230="moeda")+(Inputs!$G$5:$G$230="acoes"))*Inputs!$B$1+((Inputs!$G$5:$G$230&lt;&gt;"moeda")*(Inputs!$G$5:$G$230&lt;&gt;"acoes")))*INDEX(Inputs!$K$5:$AJ$230,0,MATCH(AD$2,Inputs!$K$4:$AJ$4,0)))))</f>
        <v>2.577</v>
      </c>
      <c r="AE103" s="6" t="e">
        <f>IF(ISNA(MATCH(AE$2,Inputs!$K$4:$AJ$4,0)),NA(),IF(SUMPRODUCT((Inputs!$A$5:$A$230=$B103)*ISNUMBER(INDEX(Inputs!$K$5:$AJ$230,0,MATCH(AE$2,Inputs!$K$4:$AJ$4,0))))+SUMPRODUCT((Inputs!$C$5:$C$230=$B103)*ISNUMBER(INDEX(Inputs!$K$5:$AJ$230,0,MATCH(AE$2,Inputs!$K$4:$AJ$4,0))))+SUMPRODUCT((Inputs!$E$5:$E$230=$B103)*ISNUMBER(INDEX(Inputs!$K$5:$AJ$230,0,MATCH(AE$2,Inputs!$K$4:$AJ$4,0))))=0,NA(),SUMPRODUCT((Inputs!$A$5:$A$230=$B103)*Inputs!$B$5:$B$230*(((Inputs!$G$5:$G$230="moeda")+(Inputs!$G$5:$G$230="acoes"))*Inputs!$B$1+((Inputs!$G$5:$G$230&lt;&gt;"moeda")*(Inputs!$G$5:$G$230&lt;&gt;"acoes")))*INDEX(Inputs!$K$5:$AJ$230,0,MATCH(AE$2,Inputs!$K$4:$AJ$4,0)))+SUMPRODUCT((Inputs!$C$5:$C$230=$B103)*Inputs!$D$5:$D$230*(((Inputs!$G$5:$G$230="moeda")+(Inputs!$G$5:$G$230="acoes"))*Inputs!$B$1+((Inputs!$G$5:$G$230&lt;&gt;"moeda")*(Inputs!$G$5:$G$230&lt;&gt;"acoes")))*INDEX(Inputs!$K$5:$AJ$230,0,MATCH(AE$2,Inputs!$K$4:$AJ$4,0)))+SUMPRODUCT((Inputs!$E$5:$E$230=$B103)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03" s="6" t="e">
        <f>IF(ISNA(MATCH(AF$2,Inputs!$K$4:$AJ$4,0)),NA(),IF(SUMPRODUCT((Inputs!$A$5:$A$230=$B103)*ISNUMBER(INDEX(Inputs!$K$5:$AJ$230,0,MATCH(AF$2,Inputs!$K$4:$AJ$4,0))))+SUMPRODUCT((Inputs!$C$5:$C$230=$B103)*ISNUMBER(INDEX(Inputs!$K$5:$AJ$230,0,MATCH(AF$2,Inputs!$K$4:$AJ$4,0))))+SUMPRODUCT((Inputs!$E$5:$E$230=$B103)*ISNUMBER(INDEX(Inputs!$K$5:$AJ$230,0,MATCH(AF$2,Inputs!$K$4:$AJ$4,0))))=0,NA(),SUMPRODUCT((Inputs!$A$5:$A$230=$B103)*Inputs!$B$5:$B$230*(((Inputs!$G$5:$G$230="moeda")+(Inputs!$G$5:$G$230="acoes"))*Inputs!$B$1+((Inputs!$G$5:$G$230&lt;&gt;"moeda")*(Inputs!$G$5:$G$230&lt;&gt;"acoes")))*INDEX(Inputs!$K$5:$AJ$230,0,MATCH(AF$2,Inputs!$K$4:$AJ$4,0)))+SUMPRODUCT((Inputs!$C$5:$C$230=$B103)*Inputs!$D$5:$D$230*(((Inputs!$G$5:$G$230="moeda")+(Inputs!$G$5:$G$230="acoes"))*Inputs!$B$1+((Inputs!$G$5:$G$230&lt;&gt;"moeda")*(Inputs!$G$5:$G$230&lt;&gt;"acoes")))*INDEX(Inputs!$K$5:$AJ$230,0,MATCH(AF$2,Inputs!$K$4:$AJ$4,0)))+SUMPRODUCT((Inputs!$E$5:$E$230=$B103)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03" s="3" t="e">
        <f>SUM(AC103:AF103)</f>
        <v>#N/A</v>
      </c>
      <c r="AH103" s="6">
        <f>IF(ISNA(MATCH(AH$2,Inputs!$K$4:$AJ$4,0)),NA(),IF(SUMPRODUCT((Inputs!$A$5:$A$230=$B103)*ISNUMBER(INDEX(Inputs!$K$5:$AJ$230,0,MATCH(AH$2,Inputs!$K$4:$AJ$4,0))))+SUMPRODUCT((Inputs!$C$5:$C$230=$B103)*ISNUMBER(INDEX(Inputs!$K$5:$AJ$230,0,MATCH(AH$2,Inputs!$K$4:$AJ$4,0))))+SUMPRODUCT((Inputs!$E$5:$E$230=$B103)*ISNUMBER(INDEX(Inputs!$K$5:$AJ$230,0,MATCH(AH$2,Inputs!$K$4:$AJ$4,0))))=0,NA(),SUMPRODUCT((Inputs!$A$5:$A$230=$B103)*Inputs!$B$5:$B$230*(((Inputs!$G$5:$G$230="moeda")+(Inputs!$G$5:$G$230="acoes"))*Inputs!$B$1+((Inputs!$G$5:$G$230&lt;&gt;"moeda")*(Inputs!$G$5:$G$230&lt;&gt;"acoes")))*INDEX(Inputs!$K$5:$AJ$230,0,MATCH(AH$2,Inputs!$K$4:$AJ$4,0)))+SUMPRODUCT((Inputs!$C$5:$C$230=$B103)*Inputs!$D$5:$D$230*(((Inputs!$G$5:$G$230="moeda")+(Inputs!$G$5:$G$230="acoes"))*Inputs!$B$1+((Inputs!$G$5:$G$230&lt;&gt;"moeda")*(Inputs!$G$5:$G$230&lt;&gt;"acoes")))*INDEX(Inputs!$K$5:$AJ$230,0,MATCH(AH$2,Inputs!$K$4:$AJ$4,0)))+SUMPRODUCT((Inputs!$E$5:$E$230=$B103)*Inputs!$F$5:$F$230*(((Inputs!$G$5:$G$230="moeda")+(Inputs!$G$5:$G$230="acoes"))*Inputs!$B$1+((Inputs!$G$5:$G$230&lt;&gt;"moeda")*(Inputs!$G$5:$G$230&lt;&gt;"acoes")))*INDEX(Inputs!$K$5:$AJ$230,0,MATCH(AH$2,Inputs!$K$4:$AJ$4,0)))))</f>
        <v>4.378</v>
      </c>
      <c r="AI103" s="6">
        <f>IF(ISNA(MATCH(AI$2,Inputs!$K$4:$AJ$4,0)),NA(),IF(SUMPRODUCT((Inputs!$A$5:$A$230=$B103)*ISNUMBER(INDEX(Inputs!$K$5:$AJ$230,0,MATCH(AI$2,Inputs!$K$4:$AJ$4,0))))+SUMPRODUCT((Inputs!$C$5:$C$230=$B103)*ISNUMBER(INDEX(Inputs!$K$5:$AJ$230,0,MATCH(AI$2,Inputs!$K$4:$AJ$4,0))))+SUMPRODUCT((Inputs!$E$5:$E$230=$B103)*ISNUMBER(INDEX(Inputs!$K$5:$AJ$230,0,MATCH(AI$2,Inputs!$K$4:$AJ$4,0))))=0,NA(),SUMPRODUCT((Inputs!$A$5:$A$230=$B103)*Inputs!$B$5:$B$230*(((Inputs!$G$5:$G$230="moeda")+(Inputs!$G$5:$G$230="acoes"))*Inputs!$B$1+((Inputs!$G$5:$G$230&lt;&gt;"moeda")*(Inputs!$G$5:$G$230&lt;&gt;"acoes")))*INDEX(Inputs!$K$5:$AJ$230,0,MATCH(AI$2,Inputs!$K$4:$AJ$4,0)))+SUMPRODUCT((Inputs!$C$5:$C$230=$B103)*Inputs!$D$5:$D$230*(((Inputs!$G$5:$G$230="moeda")+(Inputs!$G$5:$G$230="acoes"))*Inputs!$B$1+((Inputs!$G$5:$G$230&lt;&gt;"moeda")*(Inputs!$G$5:$G$230&lt;&gt;"acoes")))*INDEX(Inputs!$K$5:$AJ$230,0,MATCH(AI$2,Inputs!$K$4:$AJ$4,0)))+SUMPRODUCT((Inputs!$E$5:$E$230=$B103)*Inputs!$F$5:$F$230*(((Inputs!$G$5:$G$230="moeda")+(Inputs!$G$5:$G$230="acoes"))*Inputs!$B$1+((Inputs!$G$5:$G$230&lt;&gt;"moeda")*(Inputs!$G$5:$G$230&lt;&gt;"acoes")))*INDEX(Inputs!$K$5:$AJ$230,0,MATCH(AI$2,Inputs!$K$4:$AJ$4,0)))))</f>
        <v>4.379</v>
      </c>
      <c r="AJ103" s="6">
        <f>IF(ISNA(MATCH(AJ$2,Inputs!$K$4:$AJ$4,0)),NA(),IF(SUMPRODUCT((Inputs!$A$5:$A$230=$B103)*ISNUMBER(INDEX(Inputs!$K$5:$AJ$230,0,MATCH(AJ$2,Inputs!$K$4:$AJ$4,0))))+SUMPRODUCT((Inputs!$C$5:$C$230=$B103)*ISNUMBER(INDEX(Inputs!$K$5:$AJ$230,0,MATCH(AJ$2,Inputs!$K$4:$AJ$4,0))))+SUMPRODUCT((Inputs!$E$5:$E$230=$B103)*ISNUMBER(INDEX(Inputs!$K$5:$AJ$230,0,MATCH(AJ$2,Inputs!$K$4:$AJ$4,0))))=0,NA(),SUMPRODUCT((Inputs!$A$5:$A$230=$B103)*Inputs!$B$5:$B$230*(((Inputs!$G$5:$G$230="moeda")+(Inputs!$G$5:$G$230="acoes"))*Inputs!$B$1+((Inputs!$G$5:$G$230&lt;&gt;"moeda")*(Inputs!$G$5:$G$230&lt;&gt;"acoes")))*INDEX(Inputs!$K$5:$AJ$230,0,MATCH(AJ$2,Inputs!$K$4:$AJ$4,0)))+SUMPRODUCT((Inputs!$C$5:$C$230=$B103)*Inputs!$D$5:$D$230*(((Inputs!$G$5:$G$230="moeda")+(Inputs!$G$5:$G$230="acoes"))*Inputs!$B$1+((Inputs!$G$5:$G$230&lt;&gt;"moeda")*(Inputs!$G$5:$G$230&lt;&gt;"acoes")))*INDEX(Inputs!$K$5:$AJ$230,0,MATCH(AJ$2,Inputs!$K$4:$AJ$4,0)))+SUMPRODUCT((Inputs!$E$5:$E$230=$B103)*Inputs!$F$5:$F$230*(((Inputs!$G$5:$G$230="moeda")+(Inputs!$G$5:$G$230="acoes"))*Inputs!$B$1+((Inputs!$G$5:$G$230&lt;&gt;"moeda")*(Inputs!$G$5:$G$230&lt;&gt;"acoes")))*INDEX(Inputs!$K$5:$AJ$230,0,MATCH(AJ$2,Inputs!$K$4:$AJ$4,0)))))</f>
        <v>4.426</v>
      </c>
      <c r="AK103" s="6">
        <f>IF(ISNA(MATCH(AK$2,Inputs!$K$4:$AJ$4,0)),NA(),IF(SUMPRODUCT((Inputs!$A$5:$A$230=$B103)*ISNUMBER(INDEX(Inputs!$K$5:$AJ$230,0,MATCH(AK$2,Inputs!$K$4:$AJ$4,0))))+SUMPRODUCT((Inputs!$C$5:$C$230=$B103)*ISNUMBER(INDEX(Inputs!$K$5:$AJ$230,0,MATCH(AK$2,Inputs!$K$4:$AJ$4,0))))+SUMPRODUCT((Inputs!$E$5:$E$230=$B103)*ISNUMBER(INDEX(Inputs!$K$5:$AJ$230,0,MATCH(AK$2,Inputs!$K$4:$AJ$4,0))))=0,NA(),SUMPRODUCT((Inputs!$A$5:$A$230=$B103)*Inputs!$B$5:$B$230*(((Inputs!$G$5:$G$230="moeda")+(Inputs!$G$5:$G$230="acoes"))*Inputs!$B$1+((Inputs!$G$5:$G$230&lt;&gt;"moeda")*(Inputs!$G$5:$G$230&lt;&gt;"acoes")))*INDEX(Inputs!$K$5:$AJ$230,0,MATCH(AK$2,Inputs!$K$4:$AJ$4,0)))+SUMPRODUCT((Inputs!$C$5:$C$230=$B103)*Inputs!$D$5:$D$230*(((Inputs!$G$5:$G$230="moeda")+(Inputs!$G$5:$G$230="acoes"))*Inputs!$B$1+((Inputs!$G$5:$G$230&lt;&gt;"moeda")*(Inputs!$G$5:$G$230&lt;&gt;"acoes")))*INDEX(Inputs!$K$5:$AJ$230,0,MATCH(AK$2,Inputs!$K$4:$AJ$4,0)))+SUMPRODUCT((Inputs!$E$5:$E$230=$B103)*Inputs!$F$5:$F$230*(((Inputs!$G$5:$G$230="moeda")+(Inputs!$G$5:$G$230="acoes"))*Inputs!$B$1+((Inputs!$G$5:$G$230&lt;&gt;"moeda")*(Inputs!$G$5:$G$230&lt;&gt;"acoes")))*INDEX(Inputs!$K$5:$AJ$230,0,MATCH(AK$2,Inputs!$K$4:$AJ$4,0)))))</f>
        <v>4.428</v>
      </c>
      <c r="AL103" s="3">
        <f>SUM(AH103:AK103)</f>
        <v>17.611</v>
      </c>
    </row>
    <row r="104">
      <c r="B104" s="46" t="n">
        <v>96</v>
      </c>
      <c r="C104" s="29" t="inlineStr">
        <is>
          <t>Geracao | EDV X</t>
        </is>
      </c>
      <c r="D104" s="6">
        <f>IF(ISNA(MATCH(D$2,Inputs!$K$4:$AJ$4,0)),NA(),IF(SUMPRODUCT((Inputs!$A$5:$A$230=$B104)*ISNUMBER(INDEX(Inputs!$K$5:$AJ$230,0,MATCH(D$2,Inputs!$K$4:$AJ$4,0))))+SUMPRODUCT((Inputs!$C$5:$C$230=$B104)*ISNUMBER(INDEX(Inputs!$K$5:$AJ$230,0,MATCH(D$2,Inputs!$K$4:$AJ$4,0))))+SUMPRODUCT((Inputs!$E$5:$E$230=$B104)*ISNUMBER(INDEX(Inputs!$K$5:$AJ$230,0,MATCH(D$2,Inputs!$K$4:$AJ$4,0))))=0,NA(),SUMPRODUCT((Inputs!$A$5:$A$230=$B104)*Inputs!$B$5:$B$230*(((Inputs!$G$5:$G$230="moeda")+(Inputs!$G$5:$G$230="acoes"))*Inputs!$B$1+((Inputs!$G$5:$G$230&lt;&gt;"moeda")*(Inputs!$G$5:$G$230&lt;&gt;"acoes")))*INDEX(Inputs!$K$5:$AJ$230,0,MATCH(D$2,Inputs!$K$4:$AJ$4,0)))+SUMPRODUCT((Inputs!$C$5:$C$230=$B104)*Inputs!$D$5:$D$230*(((Inputs!$G$5:$G$230="moeda")+(Inputs!$G$5:$G$230="acoes"))*Inputs!$B$1+((Inputs!$G$5:$G$230&lt;&gt;"moeda")*(Inputs!$G$5:$G$230&lt;&gt;"acoes")))*INDEX(Inputs!$K$5:$AJ$230,0,MATCH(D$2,Inputs!$K$4:$AJ$4,0)))+SUMPRODUCT((Inputs!$E$5:$E$230=$B104)*Inputs!$F$5:$F$230*(((Inputs!$G$5:$G$230="moeda")+(Inputs!$G$5:$G$230="acoes"))*Inputs!$B$1+((Inputs!$G$5:$G$230&lt;&gt;"moeda")*(Inputs!$G$5:$G$230&lt;&gt;"acoes")))*INDEX(Inputs!$K$5:$AJ$230,0,MATCH(D$2,Inputs!$K$4:$AJ$4,0)))))</f>
        <v>2.421</v>
      </c>
      <c r="E104" s="6">
        <f>IF(ISNA(MATCH(E$2,Inputs!$K$4:$AJ$4,0)),NA(),IF(SUMPRODUCT((Inputs!$A$5:$A$230=$B104)*ISNUMBER(INDEX(Inputs!$K$5:$AJ$230,0,MATCH(E$2,Inputs!$K$4:$AJ$4,0))))+SUMPRODUCT((Inputs!$C$5:$C$230=$B104)*ISNUMBER(INDEX(Inputs!$K$5:$AJ$230,0,MATCH(E$2,Inputs!$K$4:$AJ$4,0))))+SUMPRODUCT((Inputs!$E$5:$E$230=$B104)*ISNUMBER(INDEX(Inputs!$K$5:$AJ$230,0,MATCH(E$2,Inputs!$K$4:$AJ$4,0))))=0,NA(),SUMPRODUCT((Inputs!$A$5:$A$230=$B104)*Inputs!$B$5:$B$230*(((Inputs!$G$5:$G$230="moeda")+(Inputs!$G$5:$G$230="acoes"))*Inputs!$B$1+((Inputs!$G$5:$G$230&lt;&gt;"moeda")*(Inputs!$G$5:$G$230&lt;&gt;"acoes")))*INDEX(Inputs!$K$5:$AJ$230,0,MATCH(E$2,Inputs!$K$4:$AJ$4,0)))+SUMPRODUCT((Inputs!$C$5:$C$230=$B104)*Inputs!$D$5:$D$230*(((Inputs!$G$5:$G$230="moeda")+(Inputs!$G$5:$G$230="acoes"))*Inputs!$B$1+((Inputs!$G$5:$G$230&lt;&gt;"moeda")*(Inputs!$G$5:$G$230&lt;&gt;"acoes")))*INDEX(Inputs!$K$5:$AJ$230,0,MATCH(E$2,Inputs!$K$4:$AJ$4,0)))+SUMPRODUCT((Inputs!$E$5:$E$230=$B104)*Inputs!$F$5:$F$230*(((Inputs!$G$5:$G$230="moeda")+(Inputs!$G$5:$G$230="acoes"))*Inputs!$B$1+((Inputs!$G$5:$G$230&lt;&gt;"moeda")*(Inputs!$G$5:$G$230&lt;&gt;"acoes")))*INDEX(Inputs!$K$5:$AJ$230,0,MATCH(E$2,Inputs!$K$4:$AJ$4,0)))))</f>
        <v>2.423</v>
      </c>
      <c r="F104" s="6">
        <f>IF(ISNA(MATCH(F$2,Inputs!$K$4:$AJ$4,0)),NA(),IF(SUMPRODUCT((Inputs!$A$5:$A$230=$B104)*ISNUMBER(INDEX(Inputs!$K$5:$AJ$230,0,MATCH(F$2,Inputs!$K$4:$AJ$4,0))))+SUMPRODUCT((Inputs!$C$5:$C$230=$B104)*ISNUMBER(INDEX(Inputs!$K$5:$AJ$230,0,MATCH(F$2,Inputs!$K$4:$AJ$4,0))))+SUMPRODUCT((Inputs!$E$5:$E$230=$B104)*ISNUMBER(INDEX(Inputs!$K$5:$AJ$230,0,MATCH(F$2,Inputs!$K$4:$AJ$4,0))))=0,NA(),SUMPRODUCT((Inputs!$A$5:$A$230=$B104)*Inputs!$B$5:$B$230*(((Inputs!$G$5:$G$230="moeda")+(Inputs!$G$5:$G$230="acoes"))*Inputs!$B$1+((Inputs!$G$5:$G$230&lt;&gt;"moeda")*(Inputs!$G$5:$G$230&lt;&gt;"acoes")))*INDEX(Inputs!$K$5:$AJ$230,0,MATCH(F$2,Inputs!$K$4:$AJ$4,0)))+SUMPRODUCT((Inputs!$C$5:$C$230=$B104)*Inputs!$D$5:$D$230*(((Inputs!$G$5:$G$230="moeda")+(Inputs!$G$5:$G$230="acoes"))*Inputs!$B$1+((Inputs!$G$5:$G$230&lt;&gt;"moeda")*(Inputs!$G$5:$G$230&lt;&gt;"acoes")))*INDEX(Inputs!$K$5:$AJ$230,0,MATCH(F$2,Inputs!$K$4:$AJ$4,0)))+SUMPRODUCT((Inputs!$E$5:$E$230=$B104)*Inputs!$F$5:$F$230*(((Inputs!$G$5:$G$230="moeda")+(Inputs!$G$5:$G$230="acoes"))*Inputs!$B$1+((Inputs!$G$5:$G$230&lt;&gt;"moeda")*(Inputs!$G$5:$G$230&lt;&gt;"acoes")))*INDEX(Inputs!$K$5:$AJ$230,0,MATCH(F$2,Inputs!$K$4:$AJ$4,0)))))</f>
        <v>5.215</v>
      </c>
      <c r="G104" s="6">
        <f>IF(ISNA(MATCH(G$2,Inputs!$K$4:$AJ$4,0)),NA(),IF(SUMPRODUCT((Inputs!$A$5:$A$230=$B104)*ISNUMBER(INDEX(Inputs!$K$5:$AJ$230,0,MATCH(G$2,Inputs!$K$4:$AJ$4,0))))+SUMPRODUCT((Inputs!$C$5:$C$230=$B104)*ISNUMBER(INDEX(Inputs!$K$5:$AJ$230,0,MATCH(G$2,Inputs!$K$4:$AJ$4,0))))+SUMPRODUCT((Inputs!$E$5:$E$230=$B104)*ISNUMBER(INDEX(Inputs!$K$5:$AJ$230,0,MATCH(G$2,Inputs!$K$4:$AJ$4,0))))=0,NA(),SUMPRODUCT((Inputs!$A$5:$A$230=$B104)*Inputs!$B$5:$B$230*(((Inputs!$G$5:$G$230="moeda")+(Inputs!$G$5:$G$230="acoes"))*Inputs!$B$1+((Inputs!$G$5:$G$230&lt;&gt;"moeda")*(Inputs!$G$5:$G$230&lt;&gt;"acoes")))*INDEX(Inputs!$K$5:$AJ$230,0,MATCH(G$2,Inputs!$K$4:$AJ$4,0)))+SUMPRODUCT((Inputs!$C$5:$C$230=$B104)*Inputs!$D$5:$D$230*(((Inputs!$G$5:$G$230="moeda")+(Inputs!$G$5:$G$230="acoes"))*Inputs!$B$1+((Inputs!$G$5:$G$230&lt;&gt;"moeda")*(Inputs!$G$5:$G$230&lt;&gt;"acoes")))*INDEX(Inputs!$K$5:$AJ$230,0,MATCH(G$2,Inputs!$K$4:$AJ$4,0)))+SUMPRODUCT((Inputs!$E$5:$E$230=$B104)*Inputs!$F$5:$F$230*(((Inputs!$G$5:$G$230="moeda")+(Inputs!$G$5:$G$230="acoes"))*Inputs!$B$1+((Inputs!$G$5:$G$230&lt;&gt;"moeda")*(Inputs!$G$5:$G$230&lt;&gt;"acoes")))*INDEX(Inputs!$K$5:$AJ$230,0,MATCH(G$2,Inputs!$K$4:$AJ$4,0)))))</f>
        <v>2.799</v>
      </c>
      <c r="H104" s="3">
        <f>SUM(D104:G104)</f>
        <v>12.858</v>
      </c>
      <c r="I104" s="6">
        <f>IF(ISNA(MATCH(I$2,Inputs!$K$4:$AJ$4,0)),NA(),IF(SUMPRODUCT((Inputs!$A$5:$A$230=$B104)*ISNUMBER(INDEX(Inputs!$K$5:$AJ$230,0,MATCH(I$2,Inputs!$K$4:$AJ$4,0))))+SUMPRODUCT((Inputs!$C$5:$C$230=$B104)*ISNUMBER(INDEX(Inputs!$K$5:$AJ$230,0,MATCH(I$2,Inputs!$K$4:$AJ$4,0))))+SUMPRODUCT((Inputs!$E$5:$E$230=$B104)*ISNUMBER(INDEX(Inputs!$K$5:$AJ$230,0,MATCH(I$2,Inputs!$K$4:$AJ$4,0))))=0,NA(),SUMPRODUCT((Inputs!$A$5:$A$230=$B104)*Inputs!$B$5:$B$230*(((Inputs!$G$5:$G$230="moeda")+(Inputs!$G$5:$G$230="acoes"))*Inputs!$B$1+((Inputs!$G$5:$G$230&lt;&gt;"moeda")*(Inputs!$G$5:$G$230&lt;&gt;"acoes")))*INDEX(Inputs!$K$5:$AJ$230,0,MATCH(I$2,Inputs!$K$4:$AJ$4,0)))+SUMPRODUCT((Inputs!$C$5:$C$230=$B104)*Inputs!$D$5:$D$230*(((Inputs!$G$5:$G$230="moeda")+(Inputs!$G$5:$G$230="acoes"))*Inputs!$B$1+((Inputs!$G$5:$G$230&lt;&gt;"moeda")*(Inputs!$G$5:$G$230&lt;&gt;"acoes")))*INDEX(Inputs!$K$5:$AJ$230,0,MATCH(I$2,Inputs!$K$4:$AJ$4,0)))+SUMPRODUCT((Inputs!$E$5:$E$230=$B104)*Inputs!$F$5:$F$230*(((Inputs!$G$5:$G$230="moeda")+(Inputs!$G$5:$G$230="acoes"))*Inputs!$B$1+((Inputs!$G$5:$G$230&lt;&gt;"moeda")*(Inputs!$G$5:$G$230&lt;&gt;"acoes")))*INDEX(Inputs!$K$5:$AJ$230,0,MATCH(I$2,Inputs!$K$4:$AJ$4,0)))))</f>
        <v>2.618</v>
      </c>
      <c r="J104" s="6">
        <f>IF(ISNA(MATCH(J$2,Inputs!$K$4:$AJ$4,0)),NA(),IF(SUMPRODUCT((Inputs!$A$5:$A$230=$B104)*ISNUMBER(INDEX(Inputs!$K$5:$AJ$230,0,MATCH(J$2,Inputs!$K$4:$AJ$4,0))))+SUMPRODUCT((Inputs!$C$5:$C$230=$B104)*ISNUMBER(INDEX(Inputs!$K$5:$AJ$230,0,MATCH(J$2,Inputs!$K$4:$AJ$4,0))))+SUMPRODUCT((Inputs!$E$5:$E$230=$B104)*ISNUMBER(INDEX(Inputs!$K$5:$AJ$230,0,MATCH(J$2,Inputs!$K$4:$AJ$4,0))))=0,NA(),SUMPRODUCT((Inputs!$A$5:$A$230=$B104)*Inputs!$B$5:$B$230*(((Inputs!$G$5:$G$230="moeda")+(Inputs!$G$5:$G$230="acoes"))*Inputs!$B$1+((Inputs!$G$5:$G$230&lt;&gt;"moeda")*(Inputs!$G$5:$G$230&lt;&gt;"acoes")))*INDEX(Inputs!$K$5:$AJ$230,0,MATCH(J$2,Inputs!$K$4:$AJ$4,0)))+SUMPRODUCT((Inputs!$C$5:$C$230=$B104)*Inputs!$D$5:$D$230*(((Inputs!$G$5:$G$230="moeda")+(Inputs!$G$5:$G$230="acoes"))*Inputs!$B$1+((Inputs!$G$5:$G$230&lt;&gt;"moeda")*(Inputs!$G$5:$G$230&lt;&gt;"acoes")))*INDEX(Inputs!$K$5:$AJ$230,0,MATCH(J$2,Inputs!$K$4:$AJ$4,0)))+SUMPRODUCT((Inputs!$E$5:$E$230=$B104)*Inputs!$F$5:$F$230*(((Inputs!$G$5:$G$230="moeda")+(Inputs!$G$5:$G$230="acoes"))*Inputs!$B$1+((Inputs!$G$5:$G$230&lt;&gt;"moeda")*(Inputs!$G$5:$G$230&lt;&gt;"acoes")))*INDEX(Inputs!$K$5:$AJ$230,0,MATCH(J$2,Inputs!$K$4:$AJ$4,0)))))</f>
        <v>2.636</v>
      </c>
      <c r="K104" s="6">
        <f>IF(ISNA(MATCH(K$2,Inputs!$K$4:$AJ$4,0)),NA(),IF(SUMPRODUCT((Inputs!$A$5:$A$230=$B104)*ISNUMBER(INDEX(Inputs!$K$5:$AJ$230,0,MATCH(K$2,Inputs!$K$4:$AJ$4,0))))+SUMPRODUCT((Inputs!$C$5:$C$230=$B104)*ISNUMBER(INDEX(Inputs!$K$5:$AJ$230,0,MATCH(K$2,Inputs!$K$4:$AJ$4,0))))+SUMPRODUCT((Inputs!$E$5:$E$230=$B104)*ISNUMBER(INDEX(Inputs!$K$5:$AJ$230,0,MATCH(K$2,Inputs!$K$4:$AJ$4,0))))=0,NA(),SUMPRODUCT((Inputs!$A$5:$A$230=$B104)*Inputs!$B$5:$B$230*(((Inputs!$G$5:$G$230="moeda")+(Inputs!$G$5:$G$230="acoes"))*Inputs!$B$1+((Inputs!$G$5:$G$230&lt;&gt;"moeda")*(Inputs!$G$5:$G$230&lt;&gt;"acoes")))*INDEX(Inputs!$K$5:$AJ$230,0,MATCH(K$2,Inputs!$K$4:$AJ$4,0)))+SUMPRODUCT((Inputs!$C$5:$C$230=$B104)*Inputs!$D$5:$D$230*(((Inputs!$G$5:$G$230="moeda")+(Inputs!$G$5:$G$230="acoes"))*Inputs!$B$1+((Inputs!$G$5:$G$230&lt;&gt;"moeda")*(Inputs!$G$5:$G$230&lt;&gt;"acoes")))*INDEX(Inputs!$K$5:$AJ$230,0,MATCH(K$2,Inputs!$K$4:$AJ$4,0)))+SUMPRODUCT((Inputs!$E$5:$E$230=$B104)*Inputs!$F$5:$F$230*(((Inputs!$G$5:$G$230="moeda")+(Inputs!$G$5:$G$230="acoes"))*Inputs!$B$1+((Inputs!$G$5:$G$230&lt;&gt;"moeda")*(Inputs!$G$5:$G$230&lt;&gt;"acoes")))*INDEX(Inputs!$K$5:$AJ$230,0,MATCH(K$2,Inputs!$K$4:$AJ$4,0)))))</f>
        <v>2.686</v>
      </c>
      <c r="L104" s="6">
        <f>IF(ISNA(MATCH(L$2,Inputs!$K$4:$AJ$4,0)),NA(),IF(SUMPRODUCT((Inputs!$A$5:$A$230=$B104)*ISNUMBER(INDEX(Inputs!$K$5:$AJ$230,0,MATCH(L$2,Inputs!$K$4:$AJ$4,0))))+SUMPRODUCT((Inputs!$C$5:$C$230=$B104)*ISNUMBER(INDEX(Inputs!$K$5:$AJ$230,0,MATCH(L$2,Inputs!$K$4:$AJ$4,0))))+SUMPRODUCT((Inputs!$E$5:$E$230=$B104)*ISNUMBER(INDEX(Inputs!$K$5:$AJ$230,0,MATCH(L$2,Inputs!$K$4:$AJ$4,0))))=0,NA(),SUMPRODUCT((Inputs!$A$5:$A$230=$B104)*Inputs!$B$5:$B$230*(((Inputs!$G$5:$G$230="moeda")+(Inputs!$G$5:$G$230="acoes"))*Inputs!$B$1+((Inputs!$G$5:$G$230&lt;&gt;"moeda")*(Inputs!$G$5:$G$230&lt;&gt;"acoes")))*INDEX(Inputs!$K$5:$AJ$230,0,MATCH(L$2,Inputs!$K$4:$AJ$4,0)))+SUMPRODUCT((Inputs!$C$5:$C$230=$B104)*Inputs!$D$5:$D$230*(((Inputs!$G$5:$G$230="moeda")+(Inputs!$G$5:$G$230="acoes"))*Inputs!$B$1+((Inputs!$G$5:$G$230&lt;&gt;"moeda")*(Inputs!$G$5:$G$230&lt;&gt;"acoes")))*INDEX(Inputs!$K$5:$AJ$230,0,MATCH(L$2,Inputs!$K$4:$AJ$4,0)))+SUMPRODUCT((Inputs!$E$5:$E$230=$B104)*Inputs!$F$5:$F$230*(((Inputs!$G$5:$G$230="moeda")+(Inputs!$G$5:$G$230="acoes"))*Inputs!$B$1+((Inputs!$G$5:$G$230&lt;&gt;"moeda")*(Inputs!$G$5:$G$230&lt;&gt;"acoes")))*INDEX(Inputs!$K$5:$AJ$230,0,MATCH(L$2,Inputs!$K$4:$AJ$4,0)))))</f>
        <v>2.684</v>
      </c>
      <c r="M104" s="3">
        <f>SUM(I104:L104)</f>
        <v>10.624</v>
      </c>
      <c r="N104" s="6">
        <f>IF(ISNA(MATCH(N$2,Inputs!$K$4:$AJ$4,0)),NA(),IF(SUMPRODUCT((Inputs!$A$5:$A$230=$B104)*ISNUMBER(INDEX(Inputs!$K$5:$AJ$230,0,MATCH(N$2,Inputs!$K$4:$AJ$4,0))))+SUMPRODUCT((Inputs!$C$5:$C$230=$B104)*ISNUMBER(INDEX(Inputs!$K$5:$AJ$230,0,MATCH(N$2,Inputs!$K$4:$AJ$4,0))))+SUMPRODUCT((Inputs!$E$5:$E$230=$B104)*ISNUMBER(INDEX(Inputs!$K$5:$AJ$230,0,MATCH(N$2,Inputs!$K$4:$AJ$4,0))))=0,NA(),SUMPRODUCT((Inputs!$A$5:$A$230=$B104)*Inputs!$B$5:$B$230*(((Inputs!$G$5:$G$230="moeda")+(Inputs!$G$5:$G$230="acoes"))*Inputs!$B$1+((Inputs!$G$5:$G$230&lt;&gt;"moeda")*(Inputs!$G$5:$G$230&lt;&gt;"acoes")))*INDEX(Inputs!$K$5:$AJ$230,0,MATCH(N$2,Inputs!$K$4:$AJ$4,0)))+SUMPRODUCT((Inputs!$C$5:$C$230=$B104)*Inputs!$D$5:$D$230*(((Inputs!$G$5:$G$230="moeda")+(Inputs!$G$5:$G$230="acoes"))*Inputs!$B$1+((Inputs!$G$5:$G$230&lt;&gt;"moeda")*(Inputs!$G$5:$G$230&lt;&gt;"acoes")))*INDEX(Inputs!$K$5:$AJ$230,0,MATCH(N$2,Inputs!$K$4:$AJ$4,0)))+SUMPRODUCT((Inputs!$E$5:$E$230=$B104)*Inputs!$F$5:$F$230*(((Inputs!$G$5:$G$230="moeda")+(Inputs!$G$5:$G$230="acoes"))*Inputs!$B$1+((Inputs!$G$5:$G$230&lt;&gt;"moeda")*(Inputs!$G$5:$G$230&lt;&gt;"acoes")))*INDEX(Inputs!$K$5:$AJ$230,0,MATCH(N$2,Inputs!$K$4:$AJ$4,0)))))</f>
        <v>2.563</v>
      </c>
      <c r="O104" s="6">
        <f>IF(ISNA(MATCH(O$2,Inputs!$K$4:$AJ$4,0)),NA(),IF(SUMPRODUCT((Inputs!$A$5:$A$230=$B104)*ISNUMBER(INDEX(Inputs!$K$5:$AJ$230,0,MATCH(O$2,Inputs!$K$4:$AJ$4,0))))+SUMPRODUCT((Inputs!$C$5:$C$230=$B104)*ISNUMBER(INDEX(Inputs!$K$5:$AJ$230,0,MATCH(O$2,Inputs!$K$4:$AJ$4,0))))+SUMPRODUCT((Inputs!$E$5:$E$230=$B104)*ISNUMBER(INDEX(Inputs!$K$5:$AJ$230,0,MATCH(O$2,Inputs!$K$4:$AJ$4,0))))=0,NA(),SUMPRODUCT((Inputs!$A$5:$A$230=$B104)*Inputs!$B$5:$B$230*(((Inputs!$G$5:$G$230="moeda")+(Inputs!$G$5:$G$230="acoes"))*Inputs!$B$1+((Inputs!$G$5:$G$230&lt;&gt;"moeda")*(Inputs!$G$5:$G$230&lt;&gt;"acoes")))*INDEX(Inputs!$K$5:$AJ$230,0,MATCH(O$2,Inputs!$K$4:$AJ$4,0)))+SUMPRODUCT((Inputs!$C$5:$C$230=$B104)*Inputs!$D$5:$D$230*(((Inputs!$G$5:$G$230="moeda")+(Inputs!$G$5:$G$230="acoes"))*Inputs!$B$1+((Inputs!$G$5:$G$230&lt;&gt;"moeda")*(Inputs!$G$5:$G$230&lt;&gt;"acoes")))*INDEX(Inputs!$K$5:$AJ$230,0,MATCH(O$2,Inputs!$K$4:$AJ$4,0)))+SUMPRODUCT((Inputs!$E$5:$E$230=$B104)*Inputs!$F$5:$F$230*(((Inputs!$G$5:$G$230="moeda")+(Inputs!$G$5:$G$230="acoes"))*Inputs!$B$1+((Inputs!$G$5:$G$230&lt;&gt;"moeda")*(Inputs!$G$5:$G$230&lt;&gt;"acoes")))*INDEX(Inputs!$K$5:$AJ$230,0,MATCH(O$2,Inputs!$K$4:$AJ$4,0)))))</f>
        <v>3.274</v>
      </c>
      <c r="P104" s="6">
        <f>IF(ISNA(MATCH(P$2,Inputs!$K$4:$AJ$4,0)),NA(),IF(SUMPRODUCT((Inputs!$A$5:$A$230=$B104)*ISNUMBER(INDEX(Inputs!$K$5:$AJ$230,0,MATCH(P$2,Inputs!$K$4:$AJ$4,0))))+SUMPRODUCT((Inputs!$C$5:$C$230=$B104)*ISNUMBER(INDEX(Inputs!$K$5:$AJ$230,0,MATCH(P$2,Inputs!$K$4:$AJ$4,0))))+SUMPRODUCT((Inputs!$E$5:$E$230=$B104)*ISNUMBER(INDEX(Inputs!$K$5:$AJ$230,0,MATCH(P$2,Inputs!$K$4:$AJ$4,0))))=0,NA(),SUMPRODUCT((Inputs!$A$5:$A$230=$B104)*Inputs!$B$5:$B$230*(((Inputs!$G$5:$G$230="moeda")+(Inputs!$G$5:$G$230="acoes"))*Inputs!$B$1+((Inputs!$G$5:$G$230&lt;&gt;"moeda")*(Inputs!$G$5:$G$230&lt;&gt;"acoes")))*INDEX(Inputs!$K$5:$AJ$230,0,MATCH(P$2,Inputs!$K$4:$AJ$4,0)))+SUMPRODUCT((Inputs!$C$5:$C$230=$B104)*Inputs!$D$5:$D$230*(((Inputs!$G$5:$G$230="moeda")+(Inputs!$G$5:$G$230="acoes"))*Inputs!$B$1+((Inputs!$G$5:$G$230&lt;&gt;"moeda")*(Inputs!$G$5:$G$230&lt;&gt;"acoes")))*INDEX(Inputs!$K$5:$AJ$230,0,MATCH(P$2,Inputs!$K$4:$AJ$4,0)))+SUMPRODUCT((Inputs!$E$5:$E$230=$B104)*Inputs!$F$5:$F$230*(((Inputs!$G$5:$G$230="moeda")+(Inputs!$G$5:$G$230="acoes"))*Inputs!$B$1+((Inputs!$G$5:$G$230&lt;&gt;"moeda")*(Inputs!$G$5:$G$230&lt;&gt;"acoes")))*INDEX(Inputs!$K$5:$AJ$230,0,MATCH(P$2,Inputs!$K$4:$AJ$4,0)))))</f>
        <v>3.07</v>
      </c>
      <c r="Q104" s="6">
        <f>IF(ISNA(MATCH(Q$2,Inputs!$K$4:$AJ$4,0)),NA(),IF(SUMPRODUCT((Inputs!$A$5:$A$230=$B104)*ISNUMBER(INDEX(Inputs!$K$5:$AJ$230,0,MATCH(Q$2,Inputs!$K$4:$AJ$4,0))))+SUMPRODUCT((Inputs!$C$5:$C$230=$B104)*ISNUMBER(INDEX(Inputs!$K$5:$AJ$230,0,MATCH(Q$2,Inputs!$K$4:$AJ$4,0))))+SUMPRODUCT((Inputs!$E$5:$E$230=$B104)*ISNUMBER(INDEX(Inputs!$K$5:$AJ$230,0,MATCH(Q$2,Inputs!$K$4:$AJ$4,0))))=0,NA(),SUMPRODUCT((Inputs!$A$5:$A$230=$B104)*Inputs!$B$5:$B$230*(((Inputs!$G$5:$G$230="moeda")+(Inputs!$G$5:$G$230="acoes"))*Inputs!$B$1+((Inputs!$G$5:$G$230&lt;&gt;"moeda")*(Inputs!$G$5:$G$230&lt;&gt;"acoes")))*INDEX(Inputs!$K$5:$AJ$230,0,MATCH(Q$2,Inputs!$K$4:$AJ$4,0)))+SUMPRODUCT((Inputs!$C$5:$C$230=$B104)*Inputs!$D$5:$D$230*(((Inputs!$G$5:$G$230="moeda")+(Inputs!$G$5:$G$230="acoes"))*Inputs!$B$1+((Inputs!$G$5:$G$230&lt;&gt;"moeda")*(Inputs!$G$5:$G$230&lt;&gt;"acoes")))*INDEX(Inputs!$K$5:$AJ$230,0,MATCH(Q$2,Inputs!$K$4:$AJ$4,0)))+SUMPRODUCT((Inputs!$E$5:$E$230=$B104)*Inputs!$F$5:$F$230*(((Inputs!$G$5:$G$230="moeda")+(Inputs!$G$5:$G$230="acoes"))*Inputs!$B$1+((Inputs!$G$5:$G$230&lt;&gt;"moeda")*(Inputs!$G$5:$G$230&lt;&gt;"acoes")))*INDEX(Inputs!$K$5:$AJ$230,0,MATCH(Q$2,Inputs!$K$4:$AJ$4,0)))))</f>
        <v>2.094</v>
      </c>
      <c r="R104" s="3">
        <f>SUM(N104:Q104)</f>
        <v>11.001</v>
      </c>
      <c r="S104" s="6">
        <f>IF(ISNA(MATCH(S$2,Inputs!$K$4:$AJ$4,0)),NA(),IF(SUMPRODUCT((Inputs!$A$5:$A$230=$B104)*ISNUMBER(INDEX(Inputs!$K$5:$AJ$230,0,MATCH(S$2,Inputs!$K$4:$AJ$4,0))))+SUMPRODUCT((Inputs!$C$5:$C$230=$B104)*ISNUMBER(INDEX(Inputs!$K$5:$AJ$230,0,MATCH(S$2,Inputs!$K$4:$AJ$4,0))))+SUMPRODUCT((Inputs!$E$5:$E$230=$B104)*ISNUMBER(INDEX(Inputs!$K$5:$AJ$230,0,MATCH(S$2,Inputs!$K$4:$AJ$4,0))))=0,NA(),SUMPRODUCT((Inputs!$A$5:$A$230=$B104)*Inputs!$B$5:$B$230*(((Inputs!$G$5:$G$230="moeda")+(Inputs!$G$5:$G$230="acoes"))*Inputs!$B$1+((Inputs!$G$5:$G$230&lt;&gt;"moeda")*(Inputs!$G$5:$G$230&lt;&gt;"acoes")))*INDEX(Inputs!$K$5:$AJ$230,0,MATCH(S$2,Inputs!$K$4:$AJ$4,0)))+SUMPRODUCT((Inputs!$C$5:$C$230=$B104)*Inputs!$D$5:$D$230*(((Inputs!$G$5:$G$230="moeda")+(Inputs!$G$5:$G$230="acoes"))*Inputs!$B$1+((Inputs!$G$5:$G$230&lt;&gt;"moeda")*(Inputs!$G$5:$G$230&lt;&gt;"acoes")))*INDEX(Inputs!$K$5:$AJ$230,0,MATCH(S$2,Inputs!$K$4:$AJ$4,0)))+SUMPRODUCT((Inputs!$E$5:$E$230=$B104)*Inputs!$F$5:$F$230*(((Inputs!$G$5:$G$230="moeda")+(Inputs!$G$5:$G$230="acoes"))*Inputs!$B$1+((Inputs!$G$5:$G$230&lt;&gt;"moeda")*(Inputs!$G$5:$G$230&lt;&gt;"acoes")))*INDEX(Inputs!$K$5:$AJ$230,0,MATCH(S$2,Inputs!$K$4:$AJ$4,0)))))</f>
        <v>2.378</v>
      </c>
      <c r="T104" s="6">
        <f>IF(ISNA(MATCH(T$2,Inputs!$K$4:$AJ$4,0)),NA(),IF(SUMPRODUCT((Inputs!$A$5:$A$230=$B104)*ISNUMBER(INDEX(Inputs!$K$5:$AJ$230,0,MATCH(T$2,Inputs!$K$4:$AJ$4,0))))+SUMPRODUCT((Inputs!$C$5:$C$230=$B104)*ISNUMBER(INDEX(Inputs!$K$5:$AJ$230,0,MATCH(T$2,Inputs!$K$4:$AJ$4,0))))+SUMPRODUCT((Inputs!$E$5:$E$230=$B104)*ISNUMBER(INDEX(Inputs!$K$5:$AJ$230,0,MATCH(T$2,Inputs!$K$4:$AJ$4,0))))=0,NA(),SUMPRODUCT((Inputs!$A$5:$A$230=$B104)*Inputs!$B$5:$B$230*(((Inputs!$G$5:$G$230="moeda")+(Inputs!$G$5:$G$230="acoes"))*Inputs!$B$1+((Inputs!$G$5:$G$230&lt;&gt;"moeda")*(Inputs!$G$5:$G$230&lt;&gt;"acoes")))*INDEX(Inputs!$K$5:$AJ$230,0,MATCH(T$2,Inputs!$K$4:$AJ$4,0)))+SUMPRODUCT((Inputs!$C$5:$C$230=$B104)*Inputs!$D$5:$D$230*(((Inputs!$G$5:$G$230="moeda")+(Inputs!$G$5:$G$230="acoes"))*Inputs!$B$1+((Inputs!$G$5:$G$230&lt;&gt;"moeda")*(Inputs!$G$5:$G$230&lt;&gt;"acoes")))*INDEX(Inputs!$K$5:$AJ$230,0,MATCH(T$2,Inputs!$K$4:$AJ$4,0)))+SUMPRODUCT((Inputs!$E$5:$E$230=$B104)*Inputs!$F$5:$F$230*(((Inputs!$G$5:$G$230="moeda")+(Inputs!$G$5:$G$230="acoes"))*Inputs!$B$1+((Inputs!$G$5:$G$230&lt;&gt;"moeda")*(Inputs!$G$5:$G$230&lt;&gt;"acoes")))*INDEX(Inputs!$K$5:$AJ$230,0,MATCH(T$2,Inputs!$K$4:$AJ$4,0)))))</f>
        <v>1.613</v>
      </c>
      <c r="U104" s="6">
        <f>IF(ISNA(MATCH(U$2,Inputs!$K$4:$AJ$4,0)),NA(),IF(SUMPRODUCT((Inputs!$A$5:$A$230=$B104)*ISNUMBER(INDEX(Inputs!$K$5:$AJ$230,0,MATCH(U$2,Inputs!$K$4:$AJ$4,0))))+SUMPRODUCT((Inputs!$C$5:$C$230=$B104)*ISNUMBER(INDEX(Inputs!$K$5:$AJ$230,0,MATCH(U$2,Inputs!$K$4:$AJ$4,0))))+SUMPRODUCT((Inputs!$E$5:$E$230=$B104)*ISNUMBER(INDEX(Inputs!$K$5:$AJ$230,0,MATCH(U$2,Inputs!$K$4:$AJ$4,0))))=0,NA(),SUMPRODUCT((Inputs!$A$5:$A$230=$B104)*Inputs!$B$5:$B$230*(((Inputs!$G$5:$G$230="moeda")+(Inputs!$G$5:$G$230="acoes"))*Inputs!$B$1+((Inputs!$G$5:$G$230&lt;&gt;"moeda")*(Inputs!$G$5:$G$230&lt;&gt;"acoes")))*INDEX(Inputs!$K$5:$AJ$230,0,MATCH(U$2,Inputs!$K$4:$AJ$4,0)))+SUMPRODUCT((Inputs!$C$5:$C$230=$B104)*Inputs!$D$5:$D$230*(((Inputs!$G$5:$G$230="moeda")+(Inputs!$G$5:$G$230="acoes"))*Inputs!$B$1+((Inputs!$G$5:$G$230&lt;&gt;"moeda")*(Inputs!$G$5:$G$230&lt;&gt;"acoes")))*INDEX(Inputs!$K$5:$AJ$230,0,MATCH(U$2,Inputs!$K$4:$AJ$4,0)))+SUMPRODUCT((Inputs!$E$5:$E$230=$B104)*Inputs!$F$5:$F$230*(((Inputs!$G$5:$G$230="moeda")+(Inputs!$G$5:$G$230="acoes"))*Inputs!$B$1+((Inputs!$G$5:$G$230&lt;&gt;"moeda")*(Inputs!$G$5:$G$230&lt;&gt;"acoes")))*INDEX(Inputs!$K$5:$AJ$230,0,MATCH(U$2,Inputs!$K$4:$AJ$4,0)))))</f>
        <v>1.885</v>
      </c>
      <c r="V104" s="6">
        <f>IF(ISNA(MATCH(V$2,Inputs!$K$4:$AJ$4,0)),NA(),IF(SUMPRODUCT((Inputs!$A$5:$A$230=$B104)*ISNUMBER(INDEX(Inputs!$K$5:$AJ$230,0,MATCH(V$2,Inputs!$K$4:$AJ$4,0))))+SUMPRODUCT((Inputs!$C$5:$C$230=$B104)*ISNUMBER(INDEX(Inputs!$K$5:$AJ$230,0,MATCH(V$2,Inputs!$K$4:$AJ$4,0))))+SUMPRODUCT((Inputs!$E$5:$E$230=$B104)*ISNUMBER(INDEX(Inputs!$K$5:$AJ$230,0,MATCH(V$2,Inputs!$K$4:$AJ$4,0))))=0,NA(),SUMPRODUCT((Inputs!$A$5:$A$230=$B104)*Inputs!$B$5:$B$230*(((Inputs!$G$5:$G$230="moeda")+(Inputs!$G$5:$G$230="acoes"))*Inputs!$B$1+((Inputs!$G$5:$G$230&lt;&gt;"moeda")*(Inputs!$G$5:$G$230&lt;&gt;"acoes")))*INDEX(Inputs!$K$5:$AJ$230,0,MATCH(V$2,Inputs!$K$4:$AJ$4,0)))+SUMPRODUCT((Inputs!$C$5:$C$230=$B104)*Inputs!$D$5:$D$230*(((Inputs!$G$5:$G$230="moeda")+(Inputs!$G$5:$G$230="acoes"))*Inputs!$B$1+((Inputs!$G$5:$G$230&lt;&gt;"moeda")*(Inputs!$G$5:$G$230&lt;&gt;"acoes")))*INDEX(Inputs!$K$5:$AJ$230,0,MATCH(V$2,Inputs!$K$4:$AJ$4,0)))+SUMPRODUCT((Inputs!$E$5:$E$230=$B104)*Inputs!$F$5:$F$230*(((Inputs!$G$5:$G$230="moeda")+(Inputs!$G$5:$G$230="acoes"))*Inputs!$B$1+((Inputs!$G$5:$G$230&lt;&gt;"moeda")*(Inputs!$G$5:$G$230&lt;&gt;"acoes")))*INDEX(Inputs!$K$5:$AJ$230,0,MATCH(V$2,Inputs!$K$4:$AJ$4,0)))))</f>
        <v>4.222</v>
      </c>
      <c r="W104" s="3">
        <f>SUM(S104:V104)</f>
        <v>10.098</v>
      </c>
      <c r="X104" s="6">
        <f>IF(ISNA(MATCH(X$2,Inputs!$K$4:$AJ$4,0)),NA(),IF(SUMPRODUCT((Inputs!$A$5:$A$230=$B104)*ISNUMBER(INDEX(Inputs!$K$5:$AJ$230,0,MATCH(X$2,Inputs!$K$4:$AJ$4,0))))+SUMPRODUCT((Inputs!$C$5:$C$230=$B104)*ISNUMBER(INDEX(Inputs!$K$5:$AJ$230,0,MATCH(X$2,Inputs!$K$4:$AJ$4,0))))+SUMPRODUCT((Inputs!$E$5:$E$230=$B104)*ISNUMBER(INDEX(Inputs!$K$5:$AJ$230,0,MATCH(X$2,Inputs!$K$4:$AJ$4,0))))=0,NA(),SUMPRODUCT((Inputs!$A$5:$A$230=$B104)*Inputs!$B$5:$B$230*(((Inputs!$G$5:$G$230="moeda")+(Inputs!$G$5:$G$230="acoes"))*Inputs!$B$1+((Inputs!$G$5:$G$230&lt;&gt;"moeda")*(Inputs!$G$5:$G$230&lt;&gt;"acoes")))*INDEX(Inputs!$K$5:$AJ$230,0,MATCH(X$2,Inputs!$K$4:$AJ$4,0)))+SUMPRODUCT((Inputs!$C$5:$C$230=$B104)*Inputs!$D$5:$D$230*(((Inputs!$G$5:$G$230="moeda")+(Inputs!$G$5:$G$230="acoes"))*Inputs!$B$1+((Inputs!$G$5:$G$230&lt;&gt;"moeda")*(Inputs!$G$5:$G$230&lt;&gt;"acoes")))*INDEX(Inputs!$K$5:$AJ$230,0,MATCH(X$2,Inputs!$K$4:$AJ$4,0)))+SUMPRODUCT((Inputs!$E$5:$E$230=$B104)*Inputs!$F$5:$F$230*(((Inputs!$G$5:$G$230="moeda")+(Inputs!$G$5:$G$230="acoes"))*Inputs!$B$1+((Inputs!$G$5:$G$230&lt;&gt;"moeda")*(Inputs!$G$5:$G$230&lt;&gt;"acoes")))*INDEX(Inputs!$K$5:$AJ$230,0,MATCH(X$2,Inputs!$K$4:$AJ$4,0)))))</f>
        <v>2.059</v>
      </c>
      <c r="Y104" s="6">
        <f>IF(ISNA(MATCH(Y$2,Inputs!$K$4:$AJ$4,0)),NA(),IF(SUMPRODUCT((Inputs!$A$5:$A$230=$B104)*ISNUMBER(INDEX(Inputs!$K$5:$AJ$230,0,MATCH(Y$2,Inputs!$K$4:$AJ$4,0))))+SUMPRODUCT((Inputs!$C$5:$C$230=$B104)*ISNUMBER(INDEX(Inputs!$K$5:$AJ$230,0,MATCH(Y$2,Inputs!$K$4:$AJ$4,0))))+SUMPRODUCT((Inputs!$E$5:$E$230=$B104)*ISNUMBER(INDEX(Inputs!$K$5:$AJ$230,0,MATCH(Y$2,Inputs!$K$4:$AJ$4,0))))=0,NA(),SUMPRODUCT((Inputs!$A$5:$A$230=$B104)*Inputs!$B$5:$B$230*(((Inputs!$G$5:$G$230="moeda")+(Inputs!$G$5:$G$230="acoes"))*Inputs!$B$1+((Inputs!$G$5:$G$230&lt;&gt;"moeda")*(Inputs!$G$5:$G$230&lt;&gt;"acoes")))*INDEX(Inputs!$K$5:$AJ$230,0,MATCH(Y$2,Inputs!$K$4:$AJ$4,0)))+SUMPRODUCT((Inputs!$C$5:$C$230=$B104)*Inputs!$D$5:$D$230*(((Inputs!$G$5:$G$230="moeda")+(Inputs!$G$5:$G$230="acoes"))*Inputs!$B$1+((Inputs!$G$5:$G$230&lt;&gt;"moeda")*(Inputs!$G$5:$G$230&lt;&gt;"acoes")))*INDEX(Inputs!$K$5:$AJ$230,0,MATCH(Y$2,Inputs!$K$4:$AJ$4,0)))+SUMPRODUCT((Inputs!$E$5:$E$230=$B104)*Inputs!$F$5:$F$230*(((Inputs!$G$5:$G$230="moeda")+(Inputs!$G$5:$G$230="acoes"))*Inputs!$B$1+((Inputs!$G$5:$G$230&lt;&gt;"moeda")*(Inputs!$G$5:$G$230&lt;&gt;"acoes")))*INDEX(Inputs!$K$5:$AJ$230,0,MATCH(Y$2,Inputs!$K$4:$AJ$4,0)))))</f>
        <v>2.792</v>
      </c>
      <c r="Z104" s="6">
        <f>IF(ISNA(MATCH(Z$2,Inputs!$K$4:$AJ$4,0)),NA(),IF(SUMPRODUCT((Inputs!$A$5:$A$230=$B104)*ISNUMBER(INDEX(Inputs!$K$5:$AJ$230,0,MATCH(Z$2,Inputs!$K$4:$AJ$4,0))))+SUMPRODUCT((Inputs!$C$5:$C$230=$B104)*ISNUMBER(INDEX(Inputs!$K$5:$AJ$230,0,MATCH(Z$2,Inputs!$K$4:$AJ$4,0))))+SUMPRODUCT((Inputs!$E$5:$E$230=$B104)*ISNUMBER(INDEX(Inputs!$K$5:$AJ$230,0,MATCH(Z$2,Inputs!$K$4:$AJ$4,0))))=0,NA(),SUMPRODUCT((Inputs!$A$5:$A$230=$B104)*Inputs!$B$5:$B$230*(((Inputs!$G$5:$G$230="moeda")+(Inputs!$G$5:$G$230="acoes"))*Inputs!$B$1+((Inputs!$G$5:$G$230&lt;&gt;"moeda")*(Inputs!$G$5:$G$230&lt;&gt;"acoes")))*INDEX(Inputs!$K$5:$AJ$230,0,MATCH(Z$2,Inputs!$K$4:$AJ$4,0)))+SUMPRODUCT((Inputs!$C$5:$C$230=$B104)*Inputs!$D$5:$D$230*(((Inputs!$G$5:$G$230="moeda")+(Inputs!$G$5:$G$230="acoes"))*Inputs!$B$1+((Inputs!$G$5:$G$230&lt;&gt;"moeda")*(Inputs!$G$5:$G$230&lt;&gt;"acoes")))*INDEX(Inputs!$K$5:$AJ$230,0,MATCH(Z$2,Inputs!$K$4:$AJ$4,0)))+SUMPRODUCT((Inputs!$E$5:$E$230=$B104)*Inputs!$F$5:$F$230*(((Inputs!$G$5:$G$230="moeda")+(Inputs!$G$5:$G$230="acoes"))*Inputs!$B$1+((Inputs!$G$5:$G$230&lt;&gt;"moeda")*(Inputs!$G$5:$G$230&lt;&gt;"acoes")))*INDEX(Inputs!$K$5:$AJ$230,0,MATCH(Z$2,Inputs!$K$4:$AJ$4,0)))))</f>
        <v>3.245</v>
      </c>
      <c r="AA104" s="6">
        <f>IF(ISNA(MATCH(AA$2,Inputs!$K$4:$AJ$4,0)),NA(),IF(SUMPRODUCT((Inputs!$A$5:$A$230=$B104)*ISNUMBER(INDEX(Inputs!$K$5:$AJ$230,0,MATCH(AA$2,Inputs!$K$4:$AJ$4,0))))+SUMPRODUCT((Inputs!$C$5:$C$230=$B104)*ISNUMBER(INDEX(Inputs!$K$5:$AJ$230,0,MATCH(AA$2,Inputs!$K$4:$AJ$4,0))))+SUMPRODUCT((Inputs!$E$5:$E$230=$B104)*ISNUMBER(INDEX(Inputs!$K$5:$AJ$230,0,MATCH(AA$2,Inputs!$K$4:$AJ$4,0))))=0,NA(),SUMPRODUCT((Inputs!$A$5:$A$230=$B104)*Inputs!$B$5:$B$230*(((Inputs!$G$5:$G$230="moeda")+(Inputs!$G$5:$G$230="acoes"))*Inputs!$B$1+((Inputs!$G$5:$G$230&lt;&gt;"moeda")*(Inputs!$G$5:$G$230&lt;&gt;"acoes")))*INDEX(Inputs!$K$5:$AJ$230,0,MATCH(AA$2,Inputs!$K$4:$AJ$4,0)))+SUMPRODUCT((Inputs!$C$5:$C$230=$B104)*Inputs!$D$5:$D$230*(((Inputs!$G$5:$G$230="moeda")+(Inputs!$G$5:$G$230="acoes"))*Inputs!$B$1+((Inputs!$G$5:$G$230&lt;&gt;"moeda")*(Inputs!$G$5:$G$230&lt;&gt;"acoes")))*INDEX(Inputs!$K$5:$AJ$230,0,MATCH(AA$2,Inputs!$K$4:$AJ$4,0)))+SUMPRODUCT((Inputs!$E$5:$E$230=$B104)*Inputs!$F$5:$F$230*(((Inputs!$G$5:$G$230="moeda")+(Inputs!$G$5:$G$230="acoes"))*Inputs!$B$1+((Inputs!$G$5:$G$230&lt;&gt;"moeda")*(Inputs!$G$5:$G$230&lt;&gt;"acoes")))*INDEX(Inputs!$K$5:$AJ$230,0,MATCH(AA$2,Inputs!$K$4:$AJ$4,0)))))</f>
        <v>3.295</v>
      </c>
      <c r="AB104" s="3">
        <f>SUM(X104:AA104)</f>
        <v>11.391</v>
      </c>
      <c r="AC104" s="6">
        <f>IF(ISNA(MATCH(AC$2,Inputs!$K$4:$AJ$4,0)),NA(),IF(SUMPRODUCT((Inputs!$A$5:$A$230=$B104)*ISNUMBER(INDEX(Inputs!$K$5:$AJ$230,0,MATCH(AC$2,Inputs!$K$4:$AJ$4,0))))+SUMPRODUCT((Inputs!$C$5:$C$230=$B104)*ISNUMBER(INDEX(Inputs!$K$5:$AJ$230,0,MATCH(AC$2,Inputs!$K$4:$AJ$4,0))))+SUMPRODUCT((Inputs!$E$5:$E$230=$B104)*ISNUMBER(INDEX(Inputs!$K$5:$AJ$230,0,MATCH(AC$2,Inputs!$K$4:$AJ$4,0))))=0,NA(),SUMPRODUCT((Inputs!$A$5:$A$230=$B104)*Inputs!$B$5:$B$230*(((Inputs!$G$5:$G$230="moeda")+(Inputs!$G$5:$G$230="acoes"))*Inputs!$B$1+((Inputs!$G$5:$G$230&lt;&gt;"moeda")*(Inputs!$G$5:$G$230&lt;&gt;"acoes")))*INDEX(Inputs!$K$5:$AJ$230,0,MATCH(AC$2,Inputs!$K$4:$AJ$4,0)))+SUMPRODUCT((Inputs!$C$5:$C$230=$B104)*Inputs!$D$5:$D$230*(((Inputs!$G$5:$G$230="moeda")+(Inputs!$G$5:$G$230="acoes"))*Inputs!$B$1+((Inputs!$G$5:$G$230&lt;&gt;"moeda")*(Inputs!$G$5:$G$230&lt;&gt;"acoes")))*INDEX(Inputs!$K$5:$AJ$230,0,MATCH(AC$2,Inputs!$K$4:$AJ$4,0)))+SUMPRODUCT((Inputs!$E$5:$E$230=$B104)*Inputs!$F$5:$F$230*(((Inputs!$G$5:$G$230="moeda")+(Inputs!$G$5:$G$230="acoes"))*Inputs!$B$1+((Inputs!$G$5:$G$230&lt;&gt;"moeda")*(Inputs!$G$5:$G$230&lt;&gt;"acoes")))*INDEX(Inputs!$K$5:$AJ$230,0,MATCH(AC$2,Inputs!$K$4:$AJ$4,0)))))</f>
        <v>2.349</v>
      </c>
      <c r="AD104" s="6">
        <f>IF(ISNA(MATCH(AD$2,Inputs!$K$4:$AJ$4,0)),NA(),IF(SUMPRODUCT((Inputs!$A$5:$A$230=$B104)*ISNUMBER(INDEX(Inputs!$K$5:$AJ$230,0,MATCH(AD$2,Inputs!$K$4:$AJ$4,0))))+SUMPRODUCT((Inputs!$C$5:$C$230=$B104)*ISNUMBER(INDEX(Inputs!$K$5:$AJ$230,0,MATCH(AD$2,Inputs!$K$4:$AJ$4,0))))+SUMPRODUCT((Inputs!$E$5:$E$230=$B104)*ISNUMBER(INDEX(Inputs!$K$5:$AJ$230,0,MATCH(AD$2,Inputs!$K$4:$AJ$4,0))))=0,NA(),SUMPRODUCT((Inputs!$A$5:$A$230=$B104)*Inputs!$B$5:$B$230*(((Inputs!$G$5:$G$230="moeda")+(Inputs!$G$5:$G$230="acoes"))*Inputs!$B$1+((Inputs!$G$5:$G$230&lt;&gt;"moeda")*(Inputs!$G$5:$G$230&lt;&gt;"acoes")))*INDEX(Inputs!$K$5:$AJ$230,0,MATCH(AD$2,Inputs!$K$4:$AJ$4,0)))+SUMPRODUCT((Inputs!$C$5:$C$230=$B104)*Inputs!$D$5:$D$230*(((Inputs!$G$5:$G$230="moeda")+(Inputs!$G$5:$G$230="acoes"))*Inputs!$B$1+((Inputs!$G$5:$G$230&lt;&gt;"moeda")*(Inputs!$G$5:$G$230&lt;&gt;"acoes")))*INDEX(Inputs!$K$5:$AJ$230,0,MATCH(AD$2,Inputs!$K$4:$AJ$4,0)))+SUMPRODUCT((Inputs!$E$5:$E$230=$B104)*Inputs!$F$5:$F$230*(((Inputs!$G$5:$G$230="moeda")+(Inputs!$G$5:$G$230="acoes"))*Inputs!$B$1+((Inputs!$G$5:$G$230&lt;&gt;"moeda")*(Inputs!$G$5:$G$230&lt;&gt;"acoes")))*INDEX(Inputs!$K$5:$AJ$230,0,MATCH(AD$2,Inputs!$K$4:$AJ$4,0)))))</f>
        <v>1.51</v>
      </c>
      <c r="AE104" s="6" t="e">
        <f>IF(ISNA(MATCH(AE$2,Inputs!$K$4:$AJ$4,0)),NA(),IF(SUMPRODUCT((Inputs!$A$5:$A$230=$B104)*ISNUMBER(INDEX(Inputs!$K$5:$AJ$230,0,MATCH(AE$2,Inputs!$K$4:$AJ$4,0))))+SUMPRODUCT((Inputs!$C$5:$C$230=$B104)*ISNUMBER(INDEX(Inputs!$K$5:$AJ$230,0,MATCH(AE$2,Inputs!$K$4:$AJ$4,0))))+SUMPRODUCT((Inputs!$E$5:$E$230=$B104)*ISNUMBER(INDEX(Inputs!$K$5:$AJ$230,0,MATCH(AE$2,Inputs!$K$4:$AJ$4,0))))=0,NA(),SUMPRODUCT((Inputs!$A$5:$A$230=$B104)*Inputs!$B$5:$B$230*(((Inputs!$G$5:$G$230="moeda")+(Inputs!$G$5:$G$230="acoes"))*Inputs!$B$1+((Inputs!$G$5:$G$230&lt;&gt;"moeda")*(Inputs!$G$5:$G$230&lt;&gt;"acoes")))*INDEX(Inputs!$K$5:$AJ$230,0,MATCH(AE$2,Inputs!$K$4:$AJ$4,0)))+SUMPRODUCT((Inputs!$C$5:$C$230=$B104)*Inputs!$D$5:$D$230*(((Inputs!$G$5:$G$230="moeda")+(Inputs!$G$5:$G$230="acoes"))*Inputs!$B$1+((Inputs!$G$5:$G$230&lt;&gt;"moeda")*(Inputs!$G$5:$G$230&lt;&gt;"acoes")))*INDEX(Inputs!$K$5:$AJ$230,0,MATCH(AE$2,Inputs!$K$4:$AJ$4,0)))+SUMPRODUCT((Inputs!$E$5:$E$230=$B104)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04" s="6" t="e">
        <f>IF(ISNA(MATCH(AF$2,Inputs!$K$4:$AJ$4,0)),NA(),IF(SUMPRODUCT((Inputs!$A$5:$A$230=$B104)*ISNUMBER(INDEX(Inputs!$K$5:$AJ$230,0,MATCH(AF$2,Inputs!$K$4:$AJ$4,0))))+SUMPRODUCT((Inputs!$C$5:$C$230=$B104)*ISNUMBER(INDEX(Inputs!$K$5:$AJ$230,0,MATCH(AF$2,Inputs!$K$4:$AJ$4,0))))+SUMPRODUCT((Inputs!$E$5:$E$230=$B104)*ISNUMBER(INDEX(Inputs!$K$5:$AJ$230,0,MATCH(AF$2,Inputs!$K$4:$AJ$4,0))))=0,NA(),SUMPRODUCT((Inputs!$A$5:$A$230=$B104)*Inputs!$B$5:$B$230*(((Inputs!$G$5:$G$230="moeda")+(Inputs!$G$5:$G$230="acoes"))*Inputs!$B$1+((Inputs!$G$5:$G$230&lt;&gt;"moeda")*(Inputs!$G$5:$G$230&lt;&gt;"acoes")))*INDEX(Inputs!$K$5:$AJ$230,0,MATCH(AF$2,Inputs!$K$4:$AJ$4,0)))+SUMPRODUCT((Inputs!$C$5:$C$230=$B104)*Inputs!$D$5:$D$230*(((Inputs!$G$5:$G$230="moeda")+(Inputs!$G$5:$G$230="acoes"))*Inputs!$B$1+((Inputs!$G$5:$G$230&lt;&gt;"moeda")*(Inputs!$G$5:$G$230&lt;&gt;"acoes")))*INDEX(Inputs!$K$5:$AJ$230,0,MATCH(AF$2,Inputs!$K$4:$AJ$4,0)))+SUMPRODUCT((Inputs!$E$5:$E$230=$B104)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04" s="3" t="e">
        <f>SUM(AC104:AF104)</f>
        <v>#N/A</v>
      </c>
      <c r="AH104" s="6">
        <f>IF(ISNA(MATCH(AH$2,Inputs!$K$4:$AJ$4,0)),NA(),IF(SUMPRODUCT((Inputs!$A$5:$A$230=$B104)*ISNUMBER(INDEX(Inputs!$K$5:$AJ$230,0,MATCH(AH$2,Inputs!$K$4:$AJ$4,0))))+SUMPRODUCT((Inputs!$C$5:$C$230=$B104)*ISNUMBER(INDEX(Inputs!$K$5:$AJ$230,0,MATCH(AH$2,Inputs!$K$4:$AJ$4,0))))+SUMPRODUCT((Inputs!$E$5:$E$230=$B104)*ISNUMBER(INDEX(Inputs!$K$5:$AJ$230,0,MATCH(AH$2,Inputs!$K$4:$AJ$4,0))))=0,NA(),SUMPRODUCT((Inputs!$A$5:$A$230=$B104)*Inputs!$B$5:$B$230*(((Inputs!$G$5:$G$230="moeda")+(Inputs!$G$5:$G$230="acoes"))*Inputs!$B$1+((Inputs!$G$5:$G$230&lt;&gt;"moeda")*(Inputs!$G$5:$G$230&lt;&gt;"acoes")))*INDEX(Inputs!$K$5:$AJ$230,0,MATCH(AH$2,Inputs!$K$4:$AJ$4,0)))+SUMPRODUCT((Inputs!$C$5:$C$230=$B104)*Inputs!$D$5:$D$230*(((Inputs!$G$5:$G$230="moeda")+(Inputs!$G$5:$G$230="acoes"))*Inputs!$B$1+((Inputs!$G$5:$G$230&lt;&gt;"moeda")*(Inputs!$G$5:$G$230&lt;&gt;"acoes")))*INDEX(Inputs!$K$5:$AJ$230,0,MATCH(AH$2,Inputs!$K$4:$AJ$4,0)))+SUMPRODUCT((Inputs!$E$5:$E$230=$B104)*Inputs!$F$5:$F$230*(((Inputs!$G$5:$G$230="moeda")+(Inputs!$G$5:$G$230="acoes"))*Inputs!$B$1+((Inputs!$G$5:$G$230&lt;&gt;"moeda")*(Inputs!$G$5:$G$230&lt;&gt;"acoes")))*INDEX(Inputs!$K$5:$AJ$230,0,MATCH(AH$2,Inputs!$K$4:$AJ$4,0)))))</f>
        <v>2.291</v>
      </c>
      <c r="AI104" s="6">
        <f>IF(ISNA(MATCH(AI$2,Inputs!$K$4:$AJ$4,0)),NA(),IF(SUMPRODUCT((Inputs!$A$5:$A$230=$B104)*ISNUMBER(INDEX(Inputs!$K$5:$AJ$230,0,MATCH(AI$2,Inputs!$K$4:$AJ$4,0))))+SUMPRODUCT((Inputs!$C$5:$C$230=$B104)*ISNUMBER(INDEX(Inputs!$K$5:$AJ$230,0,MATCH(AI$2,Inputs!$K$4:$AJ$4,0))))+SUMPRODUCT((Inputs!$E$5:$E$230=$B104)*ISNUMBER(INDEX(Inputs!$K$5:$AJ$230,0,MATCH(AI$2,Inputs!$K$4:$AJ$4,0))))=0,NA(),SUMPRODUCT((Inputs!$A$5:$A$230=$B104)*Inputs!$B$5:$B$230*(((Inputs!$G$5:$G$230="moeda")+(Inputs!$G$5:$G$230="acoes"))*Inputs!$B$1+((Inputs!$G$5:$G$230&lt;&gt;"moeda")*(Inputs!$G$5:$G$230&lt;&gt;"acoes")))*INDEX(Inputs!$K$5:$AJ$230,0,MATCH(AI$2,Inputs!$K$4:$AJ$4,0)))+SUMPRODUCT((Inputs!$C$5:$C$230=$B104)*Inputs!$D$5:$D$230*(((Inputs!$G$5:$G$230="moeda")+(Inputs!$G$5:$G$230="acoes"))*Inputs!$B$1+((Inputs!$G$5:$G$230&lt;&gt;"moeda")*(Inputs!$G$5:$G$230&lt;&gt;"acoes")))*INDEX(Inputs!$K$5:$AJ$230,0,MATCH(AI$2,Inputs!$K$4:$AJ$4,0)))+SUMPRODUCT((Inputs!$E$5:$E$230=$B104)*Inputs!$F$5:$F$230*(((Inputs!$G$5:$G$230="moeda")+(Inputs!$G$5:$G$230="acoes"))*Inputs!$B$1+((Inputs!$G$5:$G$230&lt;&gt;"moeda")*(Inputs!$G$5:$G$230&lt;&gt;"acoes")))*INDEX(Inputs!$K$5:$AJ$230,0,MATCH(AI$2,Inputs!$K$4:$AJ$4,0)))))</f>
        <v>2.289</v>
      </c>
      <c r="AJ104" s="6">
        <f>IF(ISNA(MATCH(AJ$2,Inputs!$K$4:$AJ$4,0)),NA(),IF(SUMPRODUCT((Inputs!$A$5:$A$230=$B104)*ISNUMBER(INDEX(Inputs!$K$5:$AJ$230,0,MATCH(AJ$2,Inputs!$K$4:$AJ$4,0))))+SUMPRODUCT((Inputs!$C$5:$C$230=$B104)*ISNUMBER(INDEX(Inputs!$K$5:$AJ$230,0,MATCH(AJ$2,Inputs!$K$4:$AJ$4,0))))+SUMPRODUCT((Inputs!$E$5:$E$230=$B104)*ISNUMBER(INDEX(Inputs!$K$5:$AJ$230,0,MATCH(AJ$2,Inputs!$K$4:$AJ$4,0))))=0,NA(),SUMPRODUCT((Inputs!$A$5:$A$230=$B104)*Inputs!$B$5:$B$230*(((Inputs!$G$5:$G$230="moeda")+(Inputs!$G$5:$G$230="acoes"))*Inputs!$B$1+((Inputs!$G$5:$G$230&lt;&gt;"moeda")*(Inputs!$G$5:$G$230&lt;&gt;"acoes")))*INDEX(Inputs!$K$5:$AJ$230,0,MATCH(AJ$2,Inputs!$K$4:$AJ$4,0)))+SUMPRODUCT((Inputs!$C$5:$C$230=$B104)*Inputs!$D$5:$D$230*(((Inputs!$G$5:$G$230="moeda")+(Inputs!$G$5:$G$230="acoes"))*Inputs!$B$1+((Inputs!$G$5:$G$230&lt;&gt;"moeda")*(Inputs!$G$5:$G$230&lt;&gt;"acoes")))*INDEX(Inputs!$K$5:$AJ$230,0,MATCH(AJ$2,Inputs!$K$4:$AJ$4,0)))+SUMPRODUCT((Inputs!$E$5:$E$230=$B104)*Inputs!$F$5:$F$230*(((Inputs!$G$5:$G$230="moeda")+(Inputs!$G$5:$G$230="acoes"))*Inputs!$B$1+((Inputs!$G$5:$G$230&lt;&gt;"moeda")*(Inputs!$G$5:$G$230&lt;&gt;"acoes")))*INDEX(Inputs!$K$5:$AJ$230,0,MATCH(AJ$2,Inputs!$K$4:$AJ$4,0)))))</f>
        <v>2.318</v>
      </c>
      <c r="AK104" s="6">
        <f>IF(ISNA(MATCH(AK$2,Inputs!$K$4:$AJ$4,0)),NA(),IF(SUMPRODUCT((Inputs!$A$5:$A$230=$B104)*ISNUMBER(INDEX(Inputs!$K$5:$AJ$230,0,MATCH(AK$2,Inputs!$K$4:$AJ$4,0))))+SUMPRODUCT((Inputs!$C$5:$C$230=$B104)*ISNUMBER(INDEX(Inputs!$K$5:$AJ$230,0,MATCH(AK$2,Inputs!$K$4:$AJ$4,0))))+SUMPRODUCT((Inputs!$E$5:$E$230=$B104)*ISNUMBER(INDEX(Inputs!$K$5:$AJ$230,0,MATCH(AK$2,Inputs!$K$4:$AJ$4,0))))=0,NA(),SUMPRODUCT((Inputs!$A$5:$A$230=$B104)*Inputs!$B$5:$B$230*(((Inputs!$G$5:$G$230="moeda")+(Inputs!$G$5:$G$230="acoes"))*Inputs!$B$1+((Inputs!$G$5:$G$230&lt;&gt;"moeda")*(Inputs!$G$5:$G$230&lt;&gt;"acoes")))*INDEX(Inputs!$K$5:$AJ$230,0,MATCH(AK$2,Inputs!$K$4:$AJ$4,0)))+SUMPRODUCT((Inputs!$C$5:$C$230=$B104)*Inputs!$D$5:$D$230*(((Inputs!$G$5:$G$230="moeda")+(Inputs!$G$5:$G$230="acoes"))*Inputs!$B$1+((Inputs!$G$5:$G$230&lt;&gt;"moeda")*(Inputs!$G$5:$G$230&lt;&gt;"acoes")))*INDEX(Inputs!$K$5:$AJ$230,0,MATCH(AK$2,Inputs!$K$4:$AJ$4,0)))+SUMPRODUCT((Inputs!$E$5:$E$230=$B104)*Inputs!$F$5:$F$230*(((Inputs!$G$5:$G$230="moeda")+(Inputs!$G$5:$G$230="acoes"))*Inputs!$B$1+((Inputs!$G$5:$G$230&lt;&gt;"moeda")*(Inputs!$G$5:$G$230&lt;&gt;"acoes")))*INDEX(Inputs!$K$5:$AJ$230,0,MATCH(AK$2,Inputs!$K$4:$AJ$4,0)))))</f>
        <v>2.325</v>
      </c>
      <c r="AL104" s="3">
        <f>SUM(AH104:AK104)</f>
        <v>9.223</v>
      </c>
    </row>
    <row r="105">
      <c r="B105" s="46" t="n">
        <v>97</v>
      </c>
      <c r="C105" s="29" t="inlineStr">
        <is>
          <t>Geracao | EAP I</t>
        </is>
      </c>
      <c r="D105" s="6">
        <f>IF(ISNA(MATCH(D$2,Inputs!$K$4:$AJ$4,0)),NA(),IF(SUMPRODUCT((Inputs!$A$5:$A$230=$B105)*ISNUMBER(INDEX(Inputs!$K$5:$AJ$230,0,MATCH(D$2,Inputs!$K$4:$AJ$4,0))))+SUMPRODUCT((Inputs!$C$5:$C$230=$B105)*ISNUMBER(INDEX(Inputs!$K$5:$AJ$230,0,MATCH(D$2,Inputs!$K$4:$AJ$4,0))))+SUMPRODUCT((Inputs!$E$5:$E$230=$B105)*ISNUMBER(INDEX(Inputs!$K$5:$AJ$230,0,MATCH(D$2,Inputs!$K$4:$AJ$4,0))))=0,NA(),SUMPRODUCT((Inputs!$A$5:$A$230=$B105)*Inputs!$B$5:$B$230*(((Inputs!$G$5:$G$230="moeda")+(Inputs!$G$5:$G$230="acoes"))*Inputs!$B$1+((Inputs!$G$5:$G$230&lt;&gt;"moeda")*(Inputs!$G$5:$G$230&lt;&gt;"acoes")))*INDEX(Inputs!$K$5:$AJ$230,0,MATCH(D$2,Inputs!$K$4:$AJ$4,0)))+SUMPRODUCT((Inputs!$C$5:$C$230=$B105)*Inputs!$D$5:$D$230*(((Inputs!$G$5:$G$230="moeda")+(Inputs!$G$5:$G$230="acoes"))*Inputs!$B$1+((Inputs!$G$5:$G$230&lt;&gt;"moeda")*(Inputs!$G$5:$G$230&lt;&gt;"acoes")))*INDEX(Inputs!$K$5:$AJ$230,0,MATCH(D$2,Inputs!$K$4:$AJ$4,0)))+SUMPRODUCT((Inputs!$E$5:$E$230=$B105)*Inputs!$F$5:$F$230*(((Inputs!$G$5:$G$230="moeda")+(Inputs!$G$5:$G$230="acoes"))*Inputs!$B$1+((Inputs!$G$5:$G$230&lt;&gt;"moeda")*(Inputs!$G$5:$G$230&lt;&gt;"acoes")))*INDEX(Inputs!$K$5:$AJ$230,0,MATCH(D$2,Inputs!$K$4:$AJ$4,0)))))</f>
        <v>0</v>
      </c>
      <c r="E105" s="6">
        <f>IF(ISNA(MATCH(E$2,Inputs!$K$4:$AJ$4,0)),NA(),IF(SUMPRODUCT((Inputs!$A$5:$A$230=$B105)*ISNUMBER(INDEX(Inputs!$K$5:$AJ$230,0,MATCH(E$2,Inputs!$K$4:$AJ$4,0))))+SUMPRODUCT((Inputs!$C$5:$C$230=$B105)*ISNUMBER(INDEX(Inputs!$K$5:$AJ$230,0,MATCH(E$2,Inputs!$K$4:$AJ$4,0))))+SUMPRODUCT((Inputs!$E$5:$E$230=$B105)*ISNUMBER(INDEX(Inputs!$K$5:$AJ$230,0,MATCH(E$2,Inputs!$K$4:$AJ$4,0))))=0,NA(),SUMPRODUCT((Inputs!$A$5:$A$230=$B105)*Inputs!$B$5:$B$230*(((Inputs!$G$5:$G$230="moeda")+(Inputs!$G$5:$G$230="acoes"))*Inputs!$B$1+((Inputs!$G$5:$G$230&lt;&gt;"moeda")*(Inputs!$G$5:$G$230&lt;&gt;"acoes")))*INDEX(Inputs!$K$5:$AJ$230,0,MATCH(E$2,Inputs!$K$4:$AJ$4,0)))+SUMPRODUCT((Inputs!$C$5:$C$230=$B105)*Inputs!$D$5:$D$230*(((Inputs!$G$5:$G$230="moeda")+(Inputs!$G$5:$G$230="acoes"))*Inputs!$B$1+((Inputs!$G$5:$G$230&lt;&gt;"moeda")*(Inputs!$G$5:$G$230&lt;&gt;"acoes")))*INDEX(Inputs!$K$5:$AJ$230,0,MATCH(E$2,Inputs!$K$4:$AJ$4,0)))+SUMPRODUCT((Inputs!$E$5:$E$230=$B105)*Inputs!$F$5:$F$230*(((Inputs!$G$5:$G$230="moeda")+(Inputs!$G$5:$G$230="acoes"))*Inputs!$B$1+((Inputs!$G$5:$G$230&lt;&gt;"moeda")*(Inputs!$G$5:$G$230&lt;&gt;"acoes")))*INDEX(Inputs!$K$5:$AJ$230,0,MATCH(E$2,Inputs!$K$4:$AJ$4,0)))))</f>
        <v>0</v>
      </c>
      <c r="F105" s="6">
        <f>IF(ISNA(MATCH(F$2,Inputs!$K$4:$AJ$4,0)),NA(),IF(SUMPRODUCT((Inputs!$A$5:$A$230=$B105)*ISNUMBER(INDEX(Inputs!$K$5:$AJ$230,0,MATCH(F$2,Inputs!$K$4:$AJ$4,0))))+SUMPRODUCT((Inputs!$C$5:$C$230=$B105)*ISNUMBER(INDEX(Inputs!$K$5:$AJ$230,0,MATCH(F$2,Inputs!$K$4:$AJ$4,0))))+SUMPRODUCT((Inputs!$E$5:$E$230=$B105)*ISNUMBER(INDEX(Inputs!$K$5:$AJ$230,0,MATCH(F$2,Inputs!$K$4:$AJ$4,0))))=0,NA(),SUMPRODUCT((Inputs!$A$5:$A$230=$B105)*Inputs!$B$5:$B$230*(((Inputs!$G$5:$G$230="moeda")+(Inputs!$G$5:$G$230="acoes"))*Inputs!$B$1+((Inputs!$G$5:$G$230&lt;&gt;"moeda")*(Inputs!$G$5:$G$230&lt;&gt;"acoes")))*INDEX(Inputs!$K$5:$AJ$230,0,MATCH(F$2,Inputs!$K$4:$AJ$4,0)))+SUMPRODUCT((Inputs!$C$5:$C$230=$B105)*Inputs!$D$5:$D$230*(((Inputs!$G$5:$G$230="moeda")+(Inputs!$G$5:$G$230="acoes"))*Inputs!$B$1+((Inputs!$G$5:$G$230&lt;&gt;"moeda")*(Inputs!$G$5:$G$230&lt;&gt;"acoes")))*INDEX(Inputs!$K$5:$AJ$230,0,MATCH(F$2,Inputs!$K$4:$AJ$4,0)))+SUMPRODUCT((Inputs!$E$5:$E$230=$B105)*Inputs!$F$5:$F$230*(((Inputs!$G$5:$G$230="moeda")+(Inputs!$G$5:$G$230="acoes"))*Inputs!$B$1+((Inputs!$G$5:$G$230&lt;&gt;"moeda")*(Inputs!$G$5:$G$230&lt;&gt;"acoes")))*INDEX(Inputs!$K$5:$AJ$230,0,MATCH(F$2,Inputs!$K$4:$AJ$4,0)))))</f>
        <v>0</v>
      </c>
      <c r="G105" s="6">
        <f>IF(ISNA(MATCH(G$2,Inputs!$K$4:$AJ$4,0)),NA(),IF(SUMPRODUCT((Inputs!$A$5:$A$230=$B105)*ISNUMBER(INDEX(Inputs!$K$5:$AJ$230,0,MATCH(G$2,Inputs!$K$4:$AJ$4,0))))+SUMPRODUCT((Inputs!$C$5:$C$230=$B105)*ISNUMBER(INDEX(Inputs!$K$5:$AJ$230,0,MATCH(G$2,Inputs!$K$4:$AJ$4,0))))+SUMPRODUCT((Inputs!$E$5:$E$230=$B105)*ISNUMBER(INDEX(Inputs!$K$5:$AJ$230,0,MATCH(G$2,Inputs!$K$4:$AJ$4,0))))=0,NA(),SUMPRODUCT((Inputs!$A$5:$A$230=$B105)*Inputs!$B$5:$B$230*(((Inputs!$G$5:$G$230="moeda")+(Inputs!$G$5:$G$230="acoes"))*Inputs!$B$1+((Inputs!$G$5:$G$230&lt;&gt;"moeda")*(Inputs!$G$5:$G$230&lt;&gt;"acoes")))*INDEX(Inputs!$K$5:$AJ$230,0,MATCH(G$2,Inputs!$K$4:$AJ$4,0)))+SUMPRODUCT((Inputs!$C$5:$C$230=$B105)*Inputs!$D$5:$D$230*(((Inputs!$G$5:$G$230="moeda")+(Inputs!$G$5:$G$230="acoes"))*Inputs!$B$1+((Inputs!$G$5:$G$230&lt;&gt;"moeda")*(Inputs!$G$5:$G$230&lt;&gt;"acoes")))*INDEX(Inputs!$K$5:$AJ$230,0,MATCH(G$2,Inputs!$K$4:$AJ$4,0)))+SUMPRODUCT((Inputs!$E$5:$E$230=$B105)*Inputs!$F$5:$F$230*(((Inputs!$G$5:$G$230="moeda")+(Inputs!$G$5:$G$230="acoes"))*Inputs!$B$1+((Inputs!$G$5:$G$230&lt;&gt;"moeda")*(Inputs!$G$5:$G$230&lt;&gt;"acoes")))*INDEX(Inputs!$K$5:$AJ$230,0,MATCH(G$2,Inputs!$K$4:$AJ$4,0)))))</f>
        <v>0</v>
      </c>
      <c r="H105" s="3">
        <f>SUM(D105:G105)</f>
        <v>0</v>
      </c>
      <c r="I105" s="6">
        <f>IF(ISNA(MATCH(I$2,Inputs!$K$4:$AJ$4,0)),NA(),IF(SUMPRODUCT((Inputs!$A$5:$A$230=$B105)*ISNUMBER(INDEX(Inputs!$K$5:$AJ$230,0,MATCH(I$2,Inputs!$K$4:$AJ$4,0))))+SUMPRODUCT((Inputs!$C$5:$C$230=$B105)*ISNUMBER(INDEX(Inputs!$K$5:$AJ$230,0,MATCH(I$2,Inputs!$K$4:$AJ$4,0))))+SUMPRODUCT((Inputs!$E$5:$E$230=$B105)*ISNUMBER(INDEX(Inputs!$K$5:$AJ$230,0,MATCH(I$2,Inputs!$K$4:$AJ$4,0))))=0,NA(),SUMPRODUCT((Inputs!$A$5:$A$230=$B105)*Inputs!$B$5:$B$230*(((Inputs!$G$5:$G$230="moeda")+(Inputs!$G$5:$G$230="acoes"))*Inputs!$B$1+((Inputs!$G$5:$G$230&lt;&gt;"moeda")*(Inputs!$G$5:$G$230&lt;&gt;"acoes")))*INDEX(Inputs!$K$5:$AJ$230,0,MATCH(I$2,Inputs!$K$4:$AJ$4,0)))+SUMPRODUCT((Inputs!$C$5:$C$230=$B105)*Inputs!$D$5:$D$230*(((Inputs!$G$5:$G$230="moeda")+(Inputs!$G$5:$G$230="acoes"))*Inputs!$B$1+((Inputs!$G$5:$G$230&lt;&gt;"moeda")*(Inputs!$G$5:$G$230&lt;&gt;"acoes")))*INDEX(Inputs!$K$5:$AJ$230,0,MATCH(I$2,Inputs!$K$4:$AJ$4,0)))+SUMPRODUCT((Inputs!$E$5:$E$230=$B105)*Inputs!$F$5:$F$230*(((Inputs!$G$5:$G$230="moeda")+(Inputs!$G$5:$G$230="acoes"))*Inputs!$B$1+((Inputs!$G$5:$G$230&lt;&gt;"moeda")*(Inputs!$G$5:$G$230&lt;&gt;"acoes")))*INDEX(Inputs!$K$5:$AJ$230,0,MATCH(I$2,Inputs!$K$4:$AJ$4,0)))))</f>
        <v>0</v>
      </c>
      <c r="J105" s="6">
        <f>IF(ISNA(MATCH(J$2,Inputs!$K$4:$AJ$4,0)),NA(),IF(SUMPRODUCT((Inputs!$A$5:$A$230=$B105)*ISNUMBER(INDEX(Inputs!$K$5:$AJ$230,0,MATCH(J$2,Inputs!$K$4:$AJ$4,0))))+SUMPRODUCT((Inputs!$C$5:$C$230=$B105)*ISNUMBER(INDEX(Inputs!$K$5:$AJ$230,0,MATCH(J$2,Inputs!$K$4:$AJ$4,0))))+SUMPRODUCT((Inputs!$E$5:$E$230=$B105)*ISNUMBER(INDEX(Inputs!$K$5:$AJ$230,0,MATCH(J$2,Inputs!$K$4:$AJ$4,0))))=0,NA(),SUMPRODUCT((Inputs!$A$5:$A$230=$B105)*Inputs!$B$5:$B$230*(((Inputs!$G$5:$G$230="moeda")+(Inputs!$G$5:$G$230="acoes"))*Inputs!$B$1+((Inputs!$G$5:$G$230&lt;&gt;"moeda")*(Inputs!$G$5:$G$230&lt;&gt;"acoes")))*INDEX(Inputs!$K$5:$AJ$230,0,MATCH(J$2,Inputs!$K$4:$AJ$4,0)))+SUMPRODUCT((Inputs!$C$5:$C$230=$B105)*Inputs!$D$5:$D$230*(((Inputs!$G$5:$G$230="moeda")+(Inputs!$G$5:$G$230="acoes"))*Inputs!$B$1+((Inputs!$G$5:$G$230&lt;&gt;"moeda")*(Inputs!$G$5:$G$230&lt;&gt;"acoes")))*INDEX(Inputs!$K$5:$AJ$230,0,MATCH(J$2,Inputs!$K$4:$AJ$4,0)))+SUMPRODUCT((Inputs!$E$5:$E$230=$B105)*Inputs!$F$5:$F$230*(((Inputs!$G$5:$G$230="moeda")+(Inputs!$G$5:$G$230="acoes"))*Inputs!$B$1+((Inputs!$G$5:$G$230&lt;&gt;"moeda")*(Inputs!$G$5:$G$230&lt;&gt;"acoes")))*INDEX(Inputs!$K$5:$AJ$230,0,MATCH(J$2,Inputs!$K$4:$AJ$4,0)))))</f>
        <v>0</v>
      </c>
      <c r="K105" s="6">
        <f>IF(ISNA(MATCH(K$2,Inputs!$K$4:$AJ$4,0)),NA(),IF(SUMPRODUCT((Inputs!$A$5:$A$230=$B105)*ISNUMBER(INDEX(Inputs!$K$5:$AJ$230,0,MATCH(K$2,Inputs!$K$4:$AJ$4,0))))+SUMPRODUCT((Inputs!$C$5:$C$230=$B105)*ISNUMBER(INDEX(Inputs!$K$5:$AJ$230,0,MATCH(K$2,Inputs!$K$4:$AJ$4,0))))+SUMPRODUCT((Inputs!$E$5:$E$230=$B105)*ISNUMBER(INDEX(Inputs!$K$5:$AJ$230,0,MATCH(K$2,Inputs!$K$4:$AJ$4,0))))=0,NA(),SUMPRODUCT((Inputs!$A$5:$A$230=$B105)*Inputs!$B$5:$B$230*(((Inputs!$G$5:$G$230="moeda")+(Inputs!$G$5:$G$230="acoes"))*Inputs!$B$1+((Inputs!$G$5:$G$230&lt;&gt;"moeda")*(Inputs!$G$5:$G$230&lt;&gt;"acoes")))*INDEX(Inputs!$K$5:$AJ$230,0,MATCH(K$2,Inputs!$K$4:$AJ$4,0)))+SUMPRODUCT((Inputs!$C$5:$C$230=$B105)*Inputs!$D$5:$D$230*(((Inputs!$G$5:$G$230="moeda")+(Inputs!$G$5:$G$230="acoes"))*Inputs!$B$1+((Inputs!$G$5:$G$230&lt;&gt;"moeda")*(Inputs!$G$5:$G$230&lt;&gt;"acoes")))*INDEX(Inputs!$K$5:$AJ$230,0,MATCH(K$2,Inputs!$K$4:$AJ$4,0)))+SUMPRODUCT((Inputs!$E$5:$E$230=$B105)*Inputs!$F$5:$F$230*(((Inputs!$G$5:$G$230="moeda")+(Inputs!$G$5:$G$230="acoes"))*Inputs!$B$1+((Inputs!$G$5:$G$230&lt;&gt;"moeda")*(Inputs!$G$5:$G$230&lt;&gt;"acoes")))*INDEX(Inputs!$K$5:$AJ$230,0,MATCH(K$2,Inputs!$K$4:$AJ$4,0)))))</f>
        <v>0</v>
      </c>
      <c r="L105" s="6">
        <f>IF(ISNA(MATCH(L$2,Inputs!$K$4:$AJ$4,0)),NA(),IF(SUMPRODUCT((Inputs!$A$5:$A$230=$B105)*ISNUMBER(INDEX(Inputs!$K$5:$AJ$230,0,MATCH(L$2,Inputs!$K$4:$AJ$4,0))))+SUMPRODUCT((Inputs!$C$5:$C$230=$B105)*ISNUMBER(INDEX(Inputs!$K$5:$AJ$230,0,MATCH(L$2,Inputs!$K$4:$AJ$4,0))))+SUMPRODUCT((Inputs!$E$5:$E$230=$B105)*ISNUMBER(INDEX(Inputs!$K$5:$AJ$230,0,MATCH(L$2,Inputs!$K$4:$AJ$4,0))))=0,NA(),SUMPRODUCT((Inputs!$A$5:$A$230=$B105)*Inputs!$B$5:$B$230*(((Inputs!$G$5:$G$230="moeda")+(Inputs!$G$5:$G$230="acoes"))*Inputs!$B$1+((Inputs!$G$5:$G$230&lt;&gt;"moeda")*(Inputs!$G$5:$G$230&lt;&gt;"acoes")))*INDEX(Inputs!$K$5:$AJ$230,0,MATCH(L$2,Inputs!$K$4:$AJ$4,0)))+SUMPRODUCT((Inputs!$C$5:$C$230=$B105)*Inputs!$D$5:$D$230*(((Inputs!$G$5:$G$230="moeda")+(Inputs!$G$5:$G$230="acoes"))*Inputs!$B$1+((Inputs!$G$5:$G$230&lt;&gt;"moeda")*(Inputs!$G$5:$G$230&lt;&gt;"acoes")))*INDEX(Inputs!$K$5:$AJ$230,0,MATCH(L$2,Inputs!$K$4:$AJ$4,0)))+SUMPRODUCT((Inputs!$E$5:$E$230=$B105)*Inputs!$F$5:$F$230*(((Inputs!$G$5:$G$230="moeda")+(Inputs!$G$5:$G$230="acoes"))*Inputs!$B$1+((Inputs!$G$5:$G$230&lt;&gt;"moeda")*(Inputs!$G$5:$G$230&lt;&gt;"acoes")))*INDEX(Inputs!$K$5:$AJ$230,0,MATCH(L$2,Inputs!$K$4:$AJ$4,0)))))</f>
        <v>0</v>
      </c>
      <c r="M105" s="3">
        <f>SUM(I105:L105)</f>
        <v>0</v>
      </c>
      <c r="N105" s="6">
        <f>IF(ISNA(MATCH(N$2,Inputs!$K$4:$AJ$4,0)),NA(),IF(SUMPRODUCT((Inputs!$A$5:$A$230=$B105)*ISNUMBER(INDEX(Inputs!$K$5:$AJ$230,0,MATCH(N$2,Inputs!$K$4:$AJ$4,0))))+SUMPRODUCT((Inputs!$C$5:$C$230=$B105)*ISNUMBER(INDEX(Inputs!$K$5:$AJ$230,0,MATCH(N$2,Inputs!$K$4:$AJ$4,0))))+SUMPRODUCT((Inputs!$E$5:$E$230=$B105)*ISNUMBER(INDEX(Inputs!$K$5:$AJ$230,0,MATCH(N$2,Inputs!$K$4:$AJ$4,0))))=0,NA(),SUMPRODUCT((Inputs!$A$5:$A$230=$B105)*Inputs!$B$5:$B$230*(((Inputs!$G$5:$G$230="moeda")+(Inputs!$G$5:$G$230="acoes"))*Inputs!$B$1+((Inputs!$G$5:$G$230&lt;&gt;"moeda")*(Inputs!$G$5:$G$230&lt;&gt;"acoes")))*INDEX(Inputs!$K$5:$AJ$230,0,MATCH(N$2,Inputs!$K$4:$AJ$4,0)))+SUMPRODUCT((Inputs!$C$5:$C$230=$B105)*Inputs!$D$5:$D$230*(((Inputs!$G$5:$G$230="moeda")+(Inputs!$G$5:$G$230="acoes"))*Inputs!$B$1+((Inputs!$G$5:$G$230&lt;&gt;"moeda")*(Inputs!$G$5:$G$230&lt;&gt;"acoes")))*INDEX(Inputs!$K$5:$AJ$230,0,MATCH(N$2,Inputs!$K$4:$AJ$4,0)))+SUMPRODUCT((Inputs!$E$5:$E$230=$B105)*Inputs!$F$5:$F$230*(((Inputs!$G$5:$G$230="moeda")+(Inputs!$G$5:$G$230="acoes"))*Inputs!$B$1+((Inputs!$G$5:$G$230&lt;&gt;"moeda")*(Inputs!$G$5:$G$230&lt;&gt;"acoes")))*INDEX(Inputs!$K$5:$AJ$230,0,MATCH(N$2,Inputs!$K$4:$AJ$4,0)))))</f>
        <v>0</v>
      </c>
      <c r="O105" s="6">
        <f>IF(ISNA(MATCH(O$2,Inputs!$K$4:$AJ$4,0)),NA(),IF(SUMPRODUCT((Inputs!$A$5:$A$230=$B105)*ISNUMBER(INDEX(Inputs!$K$5:$AJ$230,0,MATCH(O$2,Inputs!$K$4:$AJ$4,0))))+SUMPRODUCT((Inputs!$C$5:$C$230=$B105)*ISNUMBER(INDEX(Inputs!$K$5:$AJ$230,0,MATCH(O$2,Inputs!$K$4:$AJ$4,0))))+SUMPRODUCT((Inputs!$E$5:$E$230=$B105)*ISNUMBER(INDEX(Inputs!$K$5:$AJ$230,0,MATCH(O$2,Inputs!$K$4:$AJ$4,0))))=0,NA(),SUMPRODUCT((Inputs!$A$5:$A$230=$B105)*Inputs!$B$5:$B$230*(((Inputs!$G$5:$G$230="moeda")+(Inputs!$G$5:$G$230="acoes"))*Inputs!$B$1+((Inputs!$G$5:$G$230&lt;&gt;"moeda")*(Inputs!$G$5:$G$230&lt;&gt;"acoes")))*INDEX(Inputs!$K$5:$AJ$230,0,MATCH(O$2,Inputs!$K$4:$AJ$4,0)))+SUMPRODUCT((Inputs!$C$5:$C$230=$B105)*Inputs!$D$5:$D$230*(((Inputs!$G$5:$G$230="moeda")+(Inputs!$G$5:$G$230="acoes"))*Inputs!$B$1+((Inputs!$G$5:$G$230&lt;&gt;"moeda")*(Inputs!$G$5:$G$230&lt;&gt;"acoes")))*INDEX(Inputs!$K$5:$AJ$230,0,MATCH(O$2,Inputs!$K$4:$AJ$4,0)))+SUMPRODUCT((Inputs!$E$5:$E$230=$B105)*Inputs!$F$5:$F$230*(((Inputs!$G$5:$G$230="moeda")+(Inputs!$G$5:$G$230="acoes"))*Inputs!$B$1+((Inputs!$G$5:$G$230&lt;&gt;"moeda")*(Inputs!$G$5:$G$230&lt;&gt;"acoes")))*INDEX(Inputs!$K$5:$AJ$230,0,MATCH(O$2,Inputs!$K$4:$AJ$4,0)))))</f>
        <v>0</v>
      </c>
      <c r="P105" s="6">
        <f>IF(ISNA(MATCH(P$2,Inputs!$K$4:$AJ$4,0)),NA(),IF(SUMPRODUCT((Inputs!$A$5:$A$230=$B105)*ISNUMBER(INDEX(Inputs!$K$5:$AJ$230,0,MATCH(P$2,Inputs!$K$4:$AJ$4,0))))+SUMPRODUCT((Inputs!$C$5:$C$230=$B105)*ISNUMBER(INDEX(Inputs!$K$5:$AJ$230,0,MATCH(P$2,Inputs!$K$4:$AJ$4,0))))+SUMPRODUCT((Inputs!$E$5:$E$230=$B105)*ISNUMBER(INDEX(Inputs!$K$5:$AJ$230,0,MATCH(P$2,Inputs!$K$4:$AJ$4,0))))=0,NA(),SUMPRODUCT((Inputs!$A$5:$A$230=$B105)*Inputs!$B$5:$B$230*(((Inputs!$G$5:$G$230="moeda")+(Inputs!$G$5:$G$230="acoes"))*Inputs!$B$1+((Inputs!$G$5:$G$230&lt;&gt;"moeda")*(Inputs!$G$5:$G$230&lt;&gt;"acoes")))*INDEX(Inputs!$K$5:$AJ$230,0,MATCH(P$2,Inputs!$K$4:$AJ$4,0)))+SUMPRODUCT((Inputs!$C$5:$C$230=$B105)*Inputs!$D$5:$D$230*(((Inputs!$G$5:$G$230="moeda")+(Inputs!$G$5:$G$230="acoes"))*Inputs!$B$1+((Inputs!$G$5:$G$230&lt;&gt;"moeda")*(Inputs!$G$5:$G$230&lt;&gt;"acoes")))*INDEX(Inputs!$K$5:$AJ$230,0,MATCH(P$2,Inputs!$K$4:$AJ$4,0)))+SUMPRODUCT((Inputs!$E$5:$E$230=$B105)*Inputs!$F$5:$F$230*(((Inputs!$G$5:$G$230="moeda")+(Inputs!$G$5:$G$230="acoes"))*Inputs!$B$1+((Inputs!$G$5:$G$230&lt;&gt;"moeda")*(Inputs!$G$5:$G$230&lt;&gt;"acoes")))*INDEX(Inputs!$K$5:$AJ$230,0,MATCH(P$2,Inputs!$K$4:$AJ$4,0)))))</f>
        <v>2.631</v>
      </c>
      <c r="Q105" s="6">
        <f>IF(ISNA(MATCH(Q$2,Inputs!$K$4:$AJ$4,0)),NA(),IF(SUMPRODUCT((Inputs!$A$5:$A$230=$B105)*ISNUMBER(INDEX(Inputs!$K$5:$AJ$230,0,MATCH(Q$2,Inputs!$K$4:$AJ$4,0))))+SUMPRODUCT((Inputs!$C$5:$C$230=$B105)*ISNUMBER(INDEX(Inputs!$K$5:$AJ$230,0,MATCH(Q$2,Inputs!$K$4:$AJ$4,0))))+SUMPRODUCT((Inputs!$E$5:$E$230=$B105)*ISNUMBER(INDEX(Inputs!$K$5:$AJ$230,0,MATCH(Q$2,Inputs!$K$4:$AJ$4,0))))=0,NA(),SUMPRODUCT((Inputs!$A$5:$A$230=$B105)*Inputs!$B$5:$B$230*(((Inputs!$G$5:$G$230="moeda")+(Inputs!$G$5:$G$230="acoes"))*Inputs!$B$1+((Inputs!$G$5:$G$230&lt;&gt;"moeda")*(Inputs!$G$5:$G$230&lt;&gt;"acoes")))*INDEX(Inputs!$K$5:$AJ$230,0,MATCH(Q$2,Inputs!$K$4:$AJ$4,0)))+SUMPRODUCT((Inputs!$C$5:$C$230=$B105)*Inputs!$D$5:$D$230*(((Inputs!$G$5:$G$230="moeda")+(Inputs!$G$5:$G$230="acoes"))*Inputs!$B$1+((Inputs!$G$5:$G$230&lt;&gt;"moeda")*(Inputs!$G$5:$G$230&lt;&gt;"acoes")))*INDEX(Inputs!$K$5:$AJ$230,0,MATCH(Q$2,Inputs!$K$4:$AJ$4,0)))+SUMPRODUCT((Inputs!$E$5:$E$230=$B105)*Inputs!$F$5:$F$230*(((Inputs!$G$5:$G$230="moeda")+(Inputs!$G$5:$G$230="acoes"))*Inputs!$B$1+((Inputs!$G$5:$G$230&lt;&gt;"moeda")*(Inputs!$G$5:$G$230&lt;&gt;"acoes")))*INDEX(Inputs!$K$5:$AJ$230,0,MATCH(Q$2,Inputs!$K$4:$AJ$4,0)))))</f>
        <v>2.721</v>
      </c>
      <c r="R105" s="3">
        <f>SUM(N105:Q105)</f>
        <v>5.352</v>
      </c>
      <c r="S105" s="6">
        <f>IF(ISNA(MATCH(S$2,Inputs!$K$4:$AJ$4,0)),NA(),IF(SUMPRODUCT((Inputs!$A$5:$A$230=$B105)*ISNUMBER(INDEX(Inputs!$K$5:$AJ$230,0,MATCH(S$2,Inputs!$K$4:$AJ$4,0))))+SUMPRODUCT((Inputs!$C$5:$C$230=$B105)*ISNUMBER(INDEX(Inputs!$K$5:$AJ$230,0,MATCH(S$2,Inputs!$K$4:$AJ$4,0))))+SUMPRODUCT((Inputs!$E$5:$E$230=$B105)*ISNUMBER(INDEX(Inputs!$K$5:$AJ$230,0,MATCH(S$2,Inputs!$K$4:$AJ$4,0))))=0,NA(),SUMPRODUCT((Inputs!$A$5:$A$230=$B105)*Inputs!$B$5:$B$230*(((Inputs!$G$5:$G$230="moeda")+(Inputs!$G$5:$G$230="acoes"))*Inputs!$B$1+((Inputs!$G$5:$G$230&lt;&gt;"moeda")*(Inputs!$G$5:$G$230&lt;&gt;"acoes")))*INDEX(Inputs!$K$5:$AJ$230,0,MATCH(S$2,Inputs!$K$4:$AJ$4,0)))+SUMPRODUCT((Inputs!$C$5:$C$230=$B105)*Inputs!$D$5:$D$230*(((Inputs!$G$5:$G$230="moeda")+(Inputs!$G$5:$G$230="acoes"))*Inputs!$B$1+((Inputs!$G$5:$G$230&lt;&gt;"moeda")*(Inputs!$G$5:$G$230&lt;&gt;"acoes")))*INDEX(Inputs!$K$5:$AJ$230,0,MATCH(S$2,Inputs!$K$4:$AJ$4,0)))+SUMPRODUCT((Inputs!$E$5:$E$230=$B105)*Inputs!$F$5:$F$230*(((Inputs!$G$5:$G$230="moeda")+(Inputs!$G$5:$G$230="acoes"))*Inputs!$B$1+((Inputs!$G$5:$G$230&lt;&gt;"moeda")*(Inputs!$G$5:$G$230&lt;&gt;"acoes")))*INDEX(Inputs!$K$5:$AJ$230,0,MATCH(S$2,Inputs!$K$4:$AJ$4,0)))))</f>
        <v>4.04</v>
      </c>
      <c r="T105" s="6">
        <f>IF(ISNA(MATCH(T$2,Inputs!$K$4:$AJ$4,0)),NA(),IF(SUMPRODUCT((Inputs!$A$5:$A$230=$B105)*ISNUMBER(INDEX(Inputs!$K$5:$AJ$230,0,MATCH(T$2,Inputs!$K$4:$AJ$4,0))))+SUMPRODUCT((Inputs!$C$5:$C$230=$B105)*ISNUMBER(INDEX(Inputs!$K$5:$AJ$230,0,MATCH(T$2,Inputs!$K$4:$AJ$4,0))))+SUMPRODUCT((Inputs!$E$5:$E$230=$B105)*ISNUMBER(INDEX(Inputs!$K$5:$AJ$230,0,MATCH(T$2,Inputs!$K$4:$AJ$4,0))))=0,NA(),SUMPRODUCT((Inputs!$A$5:$A$230=$B105)*Inputs!$B$5:$B$230*(((Inputs!$G$5:$G$230="moeda")+(Inputs!$G$5:$G$230="acoes"))*Inputs!$B$1+((Inputs!$G$5:$G$230&lt;&gt;"moeda")*(Inputs!$G$5:$G$230&lt;&gt;"acoes")))*INDEX(Inputs!$K$5:$AJ$230,0,MATCH(T$2,Inputs!$K$4:$AJ$4,0)))+SUMPRODUCT((Inputs!$C$5:$C$230=$B105)*Inputs!$D$5:$D$230*(((Inputs!$G$5:$G$230="moeda")+(Inputs!$G$5:$G$230="acoes"))*Inputs!$B$1+((Inputs!$G$5:$G$230&lt;&gt;"moeda")*(Inputs!$G$5:$G$230&lt;&gt;"acoes")))*INDEX(Inputs!$K$5:$AJ$230,0,MATCH(T$2,Inputs!$K$4:$AJ$4,0)))+SUMPRODUCT((Inputs!$E$5:$E$230=$B105)*Inputs!$F$5:$F$230*(((Inputs!$G$5:$G$230="moeda")+(Inputs!$G$5:$G$230="acoes"))*Inputs!$B$1+((Inputs!$G$5:$G$230&lt;&gt;"moeda")*(Inputs!$G$5:$G$230&lt;&gt;"acoes")))*INDEX(Inputs!$K$5:$AJ$230,0,MATCH(T$2,Inputs!$K$4:$AJ$4,0)))))</f>
        <v>4.359</v>
      </c>
      <c r="U105" s="6">
        <f>IF(ISNA(MATCH(U$2,Inputs!$K$4:$AJ$4,0)),NA(),IF(SUMPRODUCT((Inputs!$A$5:$A$230=$B105)*ISNUMBER(INDEX(Inputs!$K$5:$AJ$230,0,MATCH(U$2,Inputs!$K$4:$AJ$4,0))))+SUMPRODUCT((Inputs!$C$5:$C$230=$B105)*ISNUMBER(INDEX(Inputs!$K$5:$AJ$230,0,MATCH(U$2,Inputs!$K$4:$AJ$4,0))))+SUMPRODUCT((Inputs!$E$5:$E$230=$B105)*ISNUMBER(INDEX(Inputs!$K$5:$AJ$230,0,MATCH(U$2,Inputs!$K$4:$AJ$4,0))))=0,NA(),SUMPRODUCT((Inputs!$A$5:$A$230=$B105)*Inputs!$B$5:$B$230*(((Inputs!$G$5:$G$230="moeda")+(Inputs!$G$5:$G$230="acoes"))*Inputs!$B$1+((Inputs!$G$5:$G$230&lt;&gt;"moeda")*(Inputs!$G$5:$G$230&lt;&gt;"acoes")))*INDEX(Inputs!$K$5:$AJ$230,0,MATCH(U$2,Inputs!$K$4:$AJ$4,0)))+SUMPRODUCT((Inputs!$C$5:$C$230=$B105)*Inputs!$D$5:$D$230*(((Inputs!$G$5:$G$230="moeda")+(Inputs!$G$5:$G$230="acoes"))*Inputs!$B$1+((Inputs!$G$5:$G$230&lt;&gt;"moeda")*(Inputs!$G$5:$G$230&lt;&gt;"acoes")))*INDEX(Inputs!$K$5:$AJ$230,0,MATCH(U$2,Inputs!$K$4:$AJ$4,0)))+SUMPRODUCT((Inputs!$E$5:$E$230=$B105)*Inputs!$F$5:$F$230*(((Inputs!$G$5:$G$230="moeda")+(Inputs!$G$5:$G$230="acoes"))*Inputs!$B$1+((Inputs!$G$5:$G$230&lt;&gt;"moeda")*(Inputs!$G$5:$G$230&lt;&gt;"acoes")))*INDEX(Inputs!$K$5:$AJ$230,0,MATCH(U$2,Inputs!$K$4:$AJ$4,0)))))</f>
        <v>6.748</v>
      </c>
      <c r="V105" s="6">
        <f>IF(ISNA(MATCH(V$2,Inputs!$K$4:$AJ$4,0)),NA(),IF(SUMPRODUCT((Inputs!$A$5:$A$230=$B105)*ISNUMBER(INDEX(Inputs!$K$5:$AJ$230,0,MATCH(V$2,Inputs!$K$4:$AJ$4,0))))+SUMPRODUCT((Inputs!$C$5:$C$230=$B105)*ISNUMBER(INDEX(Inputs!$K$5:$AJ$230,0,MATCH(V$2,Inputs!$K$4:$AJ$4,0))))+SUMPRODUCT((Inputs!$E$5:$E$230=$B105)*ISNUMBER(INDEX(Inputs!$K$5:$AJ$230,0,MATCH(V$2,Inputs!$K$4:$AJ$4,0))))=0,NA(),SUMPRODUCT((Inputs!$A$5:$A$230=$B105)*Inputs!$B$5:$B$230*(((Inputs!$G$5:$G$230="moeda")+(Inputs!$G$5:$G$230="acoes"))*Inputs!$B$1+((Inputs!$G$5:$G$230&lt;&gt;"moeda")*(Inputs!$G$5:$G$230&lt;&gt;"acoes")))*INDEX(Inputs!$K$5:$AJ$230,0,MATCH(V$2,Inputs!$K$4:$AJ$4,0)))+SUMPRODUCT((Inputs!$C$5:$C$230=$B105)*Inputs!$D$5:$D$230*(((Inputs!$G$5:$G$230="moeda")+(Inputs!$G$5:$G$230="acoes"))*Inputs!$B$1+((Inputs!$G$5:$G$230&lt;&gt;"moeda")*(Inputs!$G$5:$G$230&lt;&gt;"acoes")))*INDEX(Inputs!$K$5:$AJ$230,0,MATCH(V$2,Inputs!$K$4:$AJ$4,0)))+SUMPRODUCT((Inputs!$E$5:$E$230=$B105)*Inputs!$F$5:$F$230*(((Inputs!$G$5:$G$230="moeda")+(Inputs!$G$5:$G$230="acoes"))*Inputs!$B$1+((Inputs!$G$5:$G$230&lt;&gt;"moeda")*(Inputs!$G$5:$G$230&lt;&gt;"acoes")))*INDEX(Inputs!$K$5:$AJ$230,0,MATCH(V$2,Inputs!$K$4:$AJ$4,0)))))</f>
        <v>5.317</v>
      </c>
      <c r="W105" s="3">
        <f>SUM(S105:V105)</f>
        <v>20.464</v>
      </c>
      <c r="X105" s="6">
        <f>IF(ISNA(MATCH(X$2,Inputs!$K$4:$AJ$4,0)),NA(),IF(SUMPRODUCT((Inputs!$A$5:$A$230=$B105)*ISNUMBER(INDEX(Inputs!$K$5:$AJ$230,0,MATCH(X$2,Inputs!$K$4:$AJ$4,0))))+SUMPRODUCT((Inputs!$C$5:$C$230=$B105)*ISNUMBER(INDEX(Inputs!$K$5:$AJ$230,0,MATCH(X$2,Inputs!$K$4:$AJ$4,0))))+SUMPRODUCT((Inputs!$E$5:$E$230=$B105)*ISNUMBER(INDEX(Inputs!$K$5:$AJ$230,0,MATCH(X$2,Inputs!$K$4:$AJ$4,0))))=0,NA(),SUMPRODUCT((Inputs!$A$5:$A$230=$B105)*Inputs!$B$5:$B$230*(((Inputs!$G$5:$G$230="moeda")+(Inputs!$G$5:$G$230="acoes"))*Inputs!$B$1+((Inputs!$G$5:$G$230&lt;&gt;"moeda")*(Inputs!$G$5:$G$230&lt;&gt;"acoes")))*INDEX(Inputs!$K$5:$AJ$230,0,MATCH(X$2,Inputs!$K$4:$AJ$4,0)))+SUMPRODUCT((Inputs!$C$5:$C$230=$B105)*Inputs!$D$5:$D$230*(((Inputs!$G$5:$G$230="moeda")+(Inputs!$G$5:$G$230="acoes"))*Inputs!$B$1+((Inputs!$G$5:$G$230&lt;&gt;"moeda")*(Inputs!$G$5:$G$230&lt;&gt;"acoes")))*INDEX(Inputs!$K$5:$AJ$230,0,MATCH(X$2,Inputs!$K$4:$AJ$4,0)))+SUMPRODUCT((Inputs!$E$5:$E$230=$B105)*Inputs!$F$5:$F$230*(((Inputs!$G$5:$G$230="moeda")+(Inputs!$G$5:$G$230="acoes"))*Inputs!$B$1+((Inputs!$G$5:$G$230&lt;&gt;"moeda")*(Inputs!$G$5:$G$230&lt;&gt;"acoes")))*INDEX(Inputs!$K$5:$AJ$230,0,MATCH(X$2,Inputs!$K$4:$AJ$4,0)))))</f>
        <v>4.107</v>
      </c>
      <c r="Y105" s="6">
        <f>IF(ISNA(MATCH(Y$2,Inputs!$K$4:$AJ$4,0)),NA(),IF(SUMPRODUCT((Inputs!$A$5:$A$230=$B105)*ISNUMBER(INDEX(Inputs!$K$5:$AJ$230,0,MATCH(Y$2,Inputs!$K$4:$AJ$4,0))))+SUMPRODUCT((Inputs!$C$5:$C$230=$B105)*ISNUMBER(INDEX(Inputs!$K$5:$AJ$230,0,MATCH(Y$2,Inputs!$K$4:$AJ$4,0))))+SUMPRODUCT((Inputs!$E$5:$E$230=$B105)*ISNUMBER(INDEX(Inputs!$K$5:$AJ$230,0,MATCH(Y$2,Inputs!$K$4:$AJ$4,0))))=0,NA(),SUMPRODUCT((Inputs!$A$5:$A$230=$B105)*Inputs!$B$5:$B$230*(((Inputs!$G$5:$G$230="moeda")+(Inputs!$G$5:$G$230="acoes"))*Inputs!$B$1+((Inputs!$G$5:$G$230&lt;&gt;"moeda")*(Inputs!$G$5:$G$230&lt;&gt;"acoes")))*INDEX(Inputs!$K$5:$AJ$230,0,MATCH(Y$2,Inputs!$K$4:$AJ$4,0)))+SUMPRODUCT((Inputs!$C$5:$C$230=$B105)*Inputs!$D$5:$D$230*(((Inputs!$G$5:$G$230="moeda")+(Inputs!$G$5:$G$230="acoes"))*Inputs!$B$1+((Inputs!$G$5:$G$230&lt;&gt;"moeda")*(Inputs!$G$5:$G$230&lt;&gt;"acoes")))*INDEX(Inputs!$K$5:$AJ$230,0,MATCH(Y$2,Inputs!$K$4:$AJ$4,0)))+SUMPRODUCT((Inputs!$E$5:$E$230=$B105)*Inputs!$F$5:$F$230*(((Inputs!$G$5:$G$230="moeda")+(Inputs!$G$5:$G$230="acoes"))*Inputs!$B$1+((Inputs!$G$5:$G$230&lt;&gt;"moeda")*(Inputs!$G$5:$G$230&lt;&gt;"acoes")))*INDEX(Inputs!$K$5:$AJ$230,0,MATCH(Y$2,Inputs!$K$4:$AJ$4,0)))))</f>
        <v>4.524</v>
      </c>
      <c r="Z105" s="6">
        <f>IF(ISNA(MATCH(Z$2,Inputs!$K$4:$AJ$4,0)),NA(),IF(SUMPRODUCT((Inputs!$A$5:$A$230=$B105)*ISNUMBER(INDEX(Inputs!$K$5:$AJ$230,0,MATCH(Z$2,Inputs!$K$4:$AJ$4,0))))+SUMPRODUCT((Inputs!$C$5:$C$230=$B105)*ISNUMBER(INDEX(Inputs!$K$5:$AJ$230,0,MATCH(Z$2,Inputs!$K$4:$AJ$4,0))))+SUMPRODUCT((Inputs!$E$5:$E$230=$B105)*ISNUMBER(INDEX(Inputs!$K$5:$AJ$230,0,MATCH(Z$2,Inputs!$K$4:$AJ$4,0))))=0,NA(),SUMPRODUCT((Inputs!$A$5:$A$230=$B105)*Inputs!$B$5:$B$230*(((Inputs!$G$5:$G$230="moeda")+(Inputs!$G$5:$G$230="acoes"))*Inputs!$B$1+((Inputs!$G$5:$G$230&lt;&gt;"moeda")*(Inputs!$G$5:$G$230&lt;&gt;"acoes")))*INDEX(Inputs!$K$5:$AJ$230,0,MATCH(Z$2,Inputs!$K$4:$AJ$4,0)))+SUMPRODUCT((Inputs!$C$5:$C$230=$B105)*Inputs!$D$5:$D$230*(((Inputs!$G$5:$G$230="moeda")+(Inputs!$G$5:$G$230="acoes"))*Inputs!$B$1+((Inputs!$G$5:$G$230&lt;&gt;"moeda")*(Inputs!$G$5:$G$230&lt;&gt;"acoes")))*INDEX(Inputs!$K$5:$AJ$230,0,MATCH(Z$2,Inputs!$K$4:$AJ$4,0)))+SUMPRODUCT((Inputs!$E$5:$E$230=$B105)*Inputs!$F$5:$F$230*(((Inputs!$G$5:$G$230="moeda")+(Inputs!$G$5:$G$230="acoes"))*Inputs!$B$1+((Inputs!$G$5:$G$230&lt;&gt;"moeda")*(Inputs!$G$5:$G$230&lt;&gt;"acoes")))*INDEX(Inputs!$K$5:$AJ$230,0,MATCH(Z$2,Inputs!$K$4:$AJ$4,0)))))</f>
        <v>7.945</v>
      </c>
      <c r="AA105" s="6">
        <f>IF(ISNA(MATCH(AA$2,Inputs!$K$4:$AJ$4,0)),NA(),IF(SUMPRODUCT((Inputs!$A$5:$A$230=$B105)*ISNUMBER(INDEX(Inputs!$K$5:$AJ$230,0,MATCH(AA$2,Inputs!$K$4:$AJ$4,0))))+SUMPRODUCT((Inputs!$C$5:$C$230=$B105)*ISNUMBER(INDEX(Inputs!$K$5:$AJ$230,0,MATCH(AA$2,Inputs!$K$4:$AJ$4,0))))+SUMPRODUCT((Inputs!$E$5:$E$230=$B105)*ISNUMBER(INDEX(Inputs!$K$5:$AJ$230,0,MATCH(AA$2,Inputs!$K$4:$AJ$4,0))))=0,NA(),SUMPRODUCT((Inputs!$A$5:$A$230=$B105)*Inputs!$B$5:$B$230*(((Inputs!$G$5:$G$230="moeda")+(Inputs!$G$5:$G$230="acoes"))*Inputs!$B$1+((Inputs!$G$5:$G$230&lt;&gt;"moeda")*(Inputs!$G$5:$G$230&lt;&gt;"acoes")))*INDEX(Inputs!$K$5:$AJ$230,0,MATCH(AA$2,Inputs!$K$4:$AJ$4,0)))+SUMPRODUCT((Inputs!$C$5:$C$230=$B105)*Inputs!$D$5:$D$230*(((Inputs!$G$5:$G$230="moeda")+(Inputs!$G$5:$G$230="acoes"))*Inputs!$B$1+((Inputs!$G$5:$G$230&lt;&gt;"moeda")*(Inputs!$G$5:$G$230&lt;&gt;"acoes")))*INDEX(Inputs!$K$5:$AJ$230,0,MATCH(AA$2,Inputs!$K$4:$AJ$4,0)))+SUMPRODUCT((Inputs!$E$5:$E$230=$B105)*Inputs!$F$5:$F$230*(((Inputs!$G$5:$G$230="moeda")+(Inputs!$G$5:$G$230="acoes"))*Inputs!$B$1+((Inputs!$G$5:$G$230&lt;&gt;"moeda")*(Inputs!$G$5:$G$230&lt;&gt;"acoes")))*INDEX(Inputs!$K$5:$AJ$230,0,MATCH(AA$2,Inputs!$K$4:$AJ$4,0)))))</f>
        <v>8.206</v>
      </c>
      <c r="AB105" s="3">
        <f>SUM(X105:AA105)</f>
        <v>24.782</v>
      </c>
      <c r="AC105" s="6">
        <f>IF(ISNA(MATCH(AC$2,Inputs!$K$4:$AJ$4,0)),NA(),IF(SUMPRODUCT((Inputs!$A$5:$A$230=$B105)*ISNUMBER(INDEX(Inputs!$K$5:$AJ$230,0,MATCH(AC$2,Inputs!$K$4:$AJ$4,0))))+SUMPRODUCT((Inputs!$C$5:$C$230=$B105)*ISNUMBER(INDEX(Inputs!$K$5:$AJ$230,0,MATCH(AC$2,Inputs!$K$4:$AJ$4,0))))+SUMPRODUCT((Inputs!$E$5:$E$230=$B105)*ISNUMBER(INDEX(Inputs!$K$5:$AJ$230,0,MATCH(AC$2,Inputs!$K$4:$AJ$4,0))))=0,NA(),SUMPRODUCT((Inputs!$A$5:$A$230=$B105)*Inputs!$B$5:$B$230*(((Inputs!$G$5:$G$230="moeda")+(Inputs!$G$5:$G$230="acoes"))*Inputs!$B$1+((Inputs!$G$5:$G$230&lt;&gt;"moeda")*(Inputs!$G$5:$G$230&lt;&gt;"acoes")))*INDEX(Inputs!$K$5:$AJ$230,0,MATCH(AC$2,Inputs!$K$4:$AJ$4,0)))+SUMPRODUCT((Inputs!$C$5:$C$230=$B105)*Inputs!$D$5:$D$230*(((Inputs!$G$5:$G$230="moeda")+(Inputs!$G$5:$G$230="acoes"))*Inputs!$B$1+((Inputs!$G$5:$G$230&lt;&gt;"moeda")*(Inputs!$G$5:$G$230&lt;&gt;"acoes")))*INDEX(Inputs!$K$5:$AJ$230,0,MATCH(AC$2,Inputs!$K$4:$AJ$4,0)))+SUMPRODUCT((Inputs!$E$5:$E$230=$B105)*Inputs!$F$5:$F$230*(((Inputs!$G$5:$G$230="moeda")+(Inputs!$G$5:$G$230="acoes"))*Inputs!$B$1+((Inputs!$G$5:$G$230&lt;&gt;"moeda")*(Inputs!$G$5:$G$230&lt;&gt;"acoes")))*INDEX(Inputs!$K$5:$AJ$230,0,MATCH(AC$2,Inputs!$K$4:$AJ$4,0)))))</f>
        <v>5.473</v>
      </c>
      <c r="AD105" s="6">
        <f>IF(ISNA(MATCH(AD$2,Inputs!$K$4:$AJ$4,0)),NA(),IF(SUMPRODUCT((Inputs!$A$5:$A$230=$B105)*ISNUMBER(INDEX(Inputs!$K$5:$AJ$230,0,MATCH(AD$2,Inputs!$K$4:$AJ$4,0))))+SUMPRODUCT((Inputs!$C$5:$C$230=$B105)*ISNUMBER(INDEX(Inputs!$K$5:$AJ$230,0,MATCH(AD$2,Inputs!$K$4:$AJ$4,0))))+SUMPRODUCT((Inputs!$E$5:$E$230=$B105)*ISNUMBER(INDEX(Inputs!$K$5:$AJ$230,0,MATCH(AD$2,Inputs!$K$4:$AJ$4,0))))=0,NA(),SUMPRODUCT((Inputs!$A$5:$A$230=$B105)*Inputs!$B$5:$B$230*(((Inputs!$G$5:$G$230="moeda")+(Inputs!$G$5:$G$230="acoes"))*Inputs!$B$1+((Inputs!$G$5:$G$230&lt;&gt;"moeda")*(Inputs!$G$5:$G$230&lt;&gt;"acoes")))*INDEX(Inputs!$K$5:$AJ$230,0,MATCH(AD$2,Inputs!$K$4:$AJ$4,0)))+SUMPRODUCT((Inputs!$C$5:$C$230=$B105)*Inputs!$D$5:$D$230*(((Inputs!$G$5:$G$230="moeda")+(Inputs!$G$5:$G$230="acoes"))*Inputs!$B$1+((Inputs!$G$5:$G$230&lt;&gt;"moeda")*(Inputs!$G$5:$G$230&lt;&gt;"acoes")))*INDEX(Inputs!$K$5:$AJ$230,0,MATCH(AD$2,Inputs!$K$4:$AJ$4,0)))+SUMPRODUCT((Inputs!$E$5:$E$230=$B105)*Inputs!$F$5:$F$230*(((Inputs!$G$5:$G$230="moeda")+(Inputs!$G$5:$G$230="acoes"))*Inputs!$B$1+((Inputs!$G$5:$G$230&lt;&gt;"moeda")*(Inputs!$G$5:$G$230&lt;&gt;"acoes")))*INDEX(Inputs!$K$5:$AJ$230,0,MATCH(AD$2,Inputs!$K$4:$AJ$4,0)))))</f>
        <v>5.461</v>
      </c>
      <c r="AE105" s="6" t="e">
        <f>IF(ISNA(MATCH(AE$2,Inputs!$K$4:$AJ$4,0)),NA(),IF(SUMPRODUCT((Inputs!$A$5:$A$230=$B105)*ISNUMBER(INDEX(Inputs!$K$5:$AJ$230,0,MATCH(AE$2,Inputs!$K$4:$AJ$4,0))))+SUMPRODUCT((Inputs!$C$5:$C$230=$B105)*ISNUMBER(INDEX(Inputs!$K$5:$AJ$230,0,MATCH(AE$2,Inputs!$K$4:$AJ$4,0))))+SUMPRODUCT((Inputs!$E$5:$E$230=$B105)*ISNUMBER(INDEX(Inputs!$K$5:$AJ$230,0,MATCH(AE$2,Inputs!$K$4:$AJ$4,0))))=0,NA(),SUMPRODUCT((Inputs!$A$5:$A$230=$B105)*Inputs!$B$5:$B$230*(((Inputs!$G$5:$G$230="moeda")+(Inputs!$G$5:$G$230="acoes"))*Inputs!$B$1+((Inputs!$G$5:$G$230&lt;&gt;"moeda")*(Inputs!$G$5:$G$230&lt;&gt;"acoes")))*INDEX(Inputs!$K$5:$AJ$230,0,MATCH(AE$2,Inputs!$K$4:$AJ$4,0)))+SUMPRODUCT((Inputs!$C$5:$C$230=$B105)*Inputs!$D$5:$D$230*(((Inputs!$G$5:$G$230="moeda")+(Inputs!$G$5:$G$230="acoes"))*Inputs!$B$1+((Inputs!$G$5:$G$230&lt;&gt;"moeda")*(Inputs!$G$5:$G$230&lt;&gt;"acoes")))*INDEX(Inputs!$K$5:$AJ$230,0,MATCH(AE$2,Inputs!$K$4:$AJ$4,0)))+SUMPRODUCT((Inputs!$E$5:$E$230=$B105)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05" s="6" t="e">
        <f>IF(ISNA(MATCH(AF$2,Inputs!$K$4:$AJ$4,0)),NA(),IF(SUMPRODUCT((Inputs!$A$5:$A$230=$B105)*ISNUMBER(INDEX(Inputs!$K$5:$AJ$230,0,MATCH(AF$2,Inputs!$K$4:$AJ$4,0))))+SUMPRODUCT((Inputs!$C$5:$C$230=$B105)*ISNUMBER(INDEX(Inputs!$K$5:$AJ$230,0,MATCH(AF$2,Inputs!$K$4:$AJ$4,0))))+SUMPRODUCT((Inputs!$E$5:$E$230=$B105)*ISNUMBER(INDEX(Inputs!$K$5:$AJ$230,0,MATCH(AF$2,Inputs!$K$4:$AJ$4,0))))=0,NA(),SUMPRODUCT((Inputs!$A$5:$A$230=$B105)*Inputs!$B$5:$B$230*(((Inputs!$G$5:$G$230="moeda")+(Inputs!$G$5:$G$230="acoes"))*Inputs!$B$1+((Inputs!$G$5:$G$230&lt;&gt;"moeda")*(Inputs!$G$5:$G$230&lt;&gt;"acoes")))*INDEX(Inputs!$K$5:$AJ$230,0,MATCH(AF$2,Inputs!$K$4:$AJ$4,0)))+SUMPRODUCT((Inputs!$C$5:$C$230=$B105)*Inputs!$D$5:$D$230*(((Inputs!$G$5:$G$230="moeda")+(Inputs!$G$5:$G$230="acoes"))*Inputs!$B$1+((Inputs!$G$5:$G$230&lt;&gt;"moeda")*(Inputs!$G$5:$G$230&lt;&gt;"acoes")))*INDEX(Inputs!$K$5:$AJ$230,0,MATCH(AF$2,Inputs!$K$4:$AJ$4,0)))+SUMPRODUCT((Inputs!$E$5:$E$230=$B105)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05" s="3" t="e">
        <f>SUM(AC105:AF105)</f>
        <v>#N/A</v>
      </c>
      <c r="AH105" s="6">
        <f>IF(ISNA(MATCH(AH$2,Inputs!$K$4:$AJ$4,0)),NA(),IF(SUMPRODUCT((Inputs!$A$5:$A$230=$B105)*ISNUMBER(INDEX(Inputs!$K$5:$AJ$230,0,MATCH(AH$2,Inputs!$K$4:$AJ$4,0))))+SUMPRODUCT((Inputs!$C$5:$C$230=$B105)*ISNUMBER(INDEX(Inputs!$K$5:$AJ$230,0,MATCH(AH$2,Inputs!$K$4:$AJ$4,0))))+SUMPRODUCT((Inputs!$E$5:$E$230=$B105)*ISNUMBER(INDEX(Inputs!$K$5:$AJ$230,0,MATCH(AH$2,Inputs!$K$4:$AJ$4,0))))=0,NA(),SUMPRODUCT((Inputs!$A$5:$A$230=$B105)*Inputs!$B$5:$B$230*(((Inputs!$G$5:$G$230="moeda")+(Inputs!$G$5:$G$230="acoes"))*Inputs!$B$1+((Inputs!$G$5:$G$230&lt;&gt;"moeda")*(Inputs!$G$5:$G$230&lt;&gt;"acoes")))*INDEX(Inputs!$K$5:$AJ$230,0,MATCH(AH$2,Inputs!$K$4:$AJ$4,0)))+SUMPRODUCT((Inputs!$C$5:$C$230=$B105)*Inputs!$D$5:$D$230*(((Inputs!$G$5:$G$230="moeda")+(Inputs!$G$5:$G$230="acoes"))*Inputs!$B$1+((Inputs!$G$5:$G$230&lt;&gt;"moeda")*(Inputs!$G$5:$G$230&lt;&gt;"acoes")))*INDEX(Inputs!$K$5:$AJ$230,0,MATCH(AH$2,Inputs!$K$4:$AJ$4,0)))+SUMPRODUCT((Inputs!$E$5:$E$230=$B105)*Inputs!$F$5:$F$230*(((Inputs!$G$5:$G$230="moeda")+(Inputs!$G$5:$G$230="acoes"))*Inputs!$B$1+((Inputs!$G$5:$G$230&lt;&gt;"moeda")*(Inputs!$G$5:$G$230&lt;&gt;"acoes")))*INDEX(Inputs!$K$5:$AJ$230,0,MATCH(AH$2,Inputs!$K$4:$AJ$4,0)))))</f>
        <v>0</v>
      </c>
      <c r="AI105" s="6">
        <f>IF(ISNA(MATCH(AI$2,Inputs!$K$4:$AJ$4,0)),NA(),IF(SUMPRODUCT((Inputs!$A$5:$A$230=$B105)*ISNUMBER(INDEX(Inputs!$K$5:$AJ$230,0,MATCH(AI$2,Inputs!$K$4:$AJ$4,0))))+SUMPRODUCT((Inputs!$C$5:$C$230=$B105)*ISNUMBER(INDEX(Inputs!$K$5:$AJ$230,0,MATCH(AI$2,Inputs!$K$4:$AJ$4,0))))+SUMPRODUCT((Inputs!$E$5:$E$230=$B105)*ISNUMBER(INDEX(Inputs!$K$5:$AJ$230,0,MATCH(AI$2,Inputs!$K$4:$AJ$4,0))))=0,NA(),SUMPRODUCT((Inputs!$A$5:$A$230=$B105)*Inputs!$B$5:$B$230*(((Inputs!$G$5:$G$230="moeda")+(Inputs!$G$5:$G$230="acoes"))*Inputs!$B$1+((Inputs!$G$5:$G$230&lt;&gt;"moeda")*(Inputs!$G$5:$G$230&lt;&gt;"acoes")))*INDEX(Inputs!$K$5:$AJ$230,0,MATCH(AI$2,Inputs!$K$4:$AJ$4,0)))+SUMPRODUCT((Inputs!$C$5:$C$230=$B105)*Inputs!$D$5:$D$230*(((Inputs!$G$5:$G$230="moeda")+(Inputs!$G$5:$G$230="acoes"))*Inputs!$B$1+((Inputs!$G$5:$G$230&lt;&gt;"moeda")*(Inputs!$G$5:$G$230&lt;&gt;"acoes")))*INDEX(Inputs!$K$5:$AJ$230,0,MATCH(AI$2,Inputs!$K$4:$AJ$4,0)))+SUMPRODUCT((Inputs!$E$5:$E$230=$B105)*Inputs!$F$5:$F$230*(((Inputs!$G$5:$G$230="moeda")+(Inputs!$G$5:$G$230="acoes"))*Inputs!$B$1+((Inputs!$G$5:$G$230&lt;&gt;"moeda")*(Inputs!$G$5:$G$230&lt;&gt;"acoes")))*INDEX(Inputs!$K$5:$AJ$230,0,MATCH(AI$2,Inputs!$K$4:$AJ$4,0)))))</f>
        <v>0</v>
      </c>
      <c r="AJ105" s="6">
        <f>IF(ISNA(MATCH(AJ$2,Inputs!$K$4:$AJ$4,0)),NA(),IF(SUMPRODUCT((Inputs!$A$5:$A$230=$B105)*ISNUMBER(INDEX(Inputs!$K$5:$AJ$230,0,MATCH(AJ$2,Inputs!$K$4:$AJ$4,0))))+SUMPRODUCT((Inputs!$C$5:$C$230=$B105)*ISNUMBER(INDEX(Inputs!$K$5:$AJ$230,0,MATCH(AJ$2,Inputs!$K$4:$AJ$4,0))))+SUMPRODUCT((Inputs!$E$5:$E$230=$B105)*ISNUMBER(INDEX(Inputs!$K$5:$AJ$230,0,MATCH(AJ$2,Inputs!$K$4:$AJ$4,0))))=0,NA(),SUMPRODUCT((Inputs!$A$5:$A$230=$B105)*Inputs!$B$5:$B$230*(((Inputs!$G$5:$G$230="moeda")+(Inputs!$G$5:$G$230="acoes"))*Inputs!$B$1+((Inputs!$G$5:$G$230&lt;&gt;"moeda")*(Inputs!$G$5:$G$230&lt;&gt;"acoes")))*INDEX(Inputs!$K$5:$AJ$230,0,MATCH(AJ$2,Inputs!$K$4:$AJ$4,0)))+SUMPRODUCT((Inputs!$C$5:$C$230=$B105)*Inputs!$D$5:$D$230*(((Inputs!$G$5:$G$230="moeda")+(Inputs!$G$5:$G$230="acoes"))*Inputs!$B$1+((Inputs!$G$5:$G$230&lt;&gt;"moeda")*(Inputs!$G$5:$G$230&lt;&gt;"acoes")))*INDEX(Inputs!$K$5:$AJ$230,0,MATCH(AJ$2,Inputs!$K$4:$AJ$4,0)))+SUMPRODUCT((Inputs!$E$5:$E$230=$B105)*Inputs!$F$5:$F$230*(((Inputs!$G$5:$G$230="moeda")+(Inputs!$G$5:$G$230="acoes"))*Inputs!$B$1+((Inputs!$G$5:$G$230&lt;&gt;"moeda")*(Inputs!$G$5:$G$230&lt;&gt;"acoes")))*INDEX(Inputs!$K$5:$AJ$230,0,MATCH(AJ$2,Inputs!$K$4:$AJ$4,0)))))</f>
        <v>0</v>
      </c>
      <c r="AK105" s="6">
        <f>IF(ISNA(MATCH(AK$2,Inputs!$K$4:$AJ$4,0)),NA(),IF(SUMPRODUCT((Inputs!$A$5:$A$230=$B105)*ISNUMBER(INDEX(Inputs!$K$5:$AJ$230,0,MATCH(AK$2,Inputs!$K$4:$AJ$4,0))))+SUMPRODUCT((Inputs!$C$5:$C$230=$B105)*ISNUMBER(INDEX(Inputs!$K$5:$AJ$230,0,MATCH(AK$2,Inputs!$K$4:$AJ$4,0))))+SUMPRODUCT((Inputs!$E$5:$E$230=$B105)*ISNUMBER(INDEX(Inputs!$K$5:$AJ$230,0,MATCH(AK$2,Inputs!$K$4:$AJ$4,0))))=0,NA(),SUMPRODUCT((Inputs!$A$5:$A$230=$B105)*Inputs!$B$5:$B$230*(((Inputs!$G$5:$G$230="moeda")+(Inputs!$G$5:$G$230="acoes"))*Inputs!$B$1+((Inputs!$G$5:$G$230&lt;&gt;"moeda")*(Inputs!$G$5:$G$230&lt;&gt;"acoes")))*INDEX(Inputs!$K$5:$AJ$230,0,MATCH(AK$2,Inputs!$K$4:$AJ$4,0)))+SUMPRODUCT((Inputs!$C$5:$C$230=$B105)*Inputs!$D$5:$D$230*(((Inputs!$G$5:$G$230="moeda")+(Inputs!$G$5:$G$230="acoes"))*Inputs!$B$1+((Inputs!$G$5:$G$230&lt;&gt;"moeda")*(Inputs!$G$5:$G$230&lt;&gt;"acoes")))*INDEX(Inputs!$K$5:$AJ$230,0,MATCH(AK$2,Inputs!$K$4:$AJ$4,0)))+SUMPRODUCT((Inputs!$E$5:$E$230=$B105)*Inputs!$F$5:$F$230*(((Inputs!$G$5:$G$230="moeda")+(Inputs!$G$5:$G$230="acoes"))*Inputs!$B$1+((Inputs!$G$5:$G$230&lt;&gt;"moeda")*(Inputs!$G$5:$G$230&lt;&gt;"acoes")))*INDEX(Inputs!$K$5:$AJ$230,0,MATCH(AK$2,Inputs!$K$4:$AJ$4,0)))))</f>
        <v>0</v>
      </c>
      <c r="AL105" s="3">
        <f>SUM(AH105:AK105)</f>
        <v>0</v>
      </c>
    </row>
    <row r="106">
      <c r="B106" s="46" t="n">
        <v>98</v>
      </c>
      <c r="C106" s="29" t="inlineStr">
        <is>
          <t>Geracao | EAP II</t>
        </is>
      </c>
      <c r="D106" s="6">
        <f>IF(ISNA(MATCH(D$2,Inputs!$K$4:$AJ$4,0)),NA(),IF(SUMPRODUCT((Inputs!$A$5:$A$230=$B106)*ISNUMBER(INDEX(Inputs!$K$5:$AJ$230,0,MATCH(D$2,Inputs!$K$4:$AJ$4,0))))+SUMPRODUCT((Inputs!$C$5:$C$230=$B106)*ISNUMBER(INDEX(Inputs!$K$5:$AJ$230,0,MATCH(D$2,Inputs!$K$4:$AJ$4,0))))+SUMPRODUCT((Inputs!$E$5:$E$230=$B106)*ISNUMBER(INDEX(Inputs!$K$5:$AJ$230,0,MATCH(D$2,Inputs!$K$4:$AJ$4,0))))=0,NA(),SUMPRODUCT((Inputs!$A$5:$A$230=$B106)*Inputs!$B$5:$B$230*(((Inputs!$G$5:$G$230="moeda")+(Inputs!$G$5:$G$230="acoes"))*Inputs!$B$1+((Inputs!$G$5:$G$230&lt;&gt;"moeda")*(Inputs!$G$5:$G$230&lt;&gt;"acoes")))*INDEX(Inputs!$K$5:$AJ$230,0,MATCH(D$2,Inputs!$K$4:$AJ$4,0)))+SUMPRODUCT((Inputs!$C$5:$C$230=$B106)*Inputs!$D$5:$D$230*(((Inputs!$G$5:$G$230="moeda")+(Inputs!$G$5:$G$230="acoes"))*Inputs!$B$1+((Inputs!$G$5:$G$230&lt;&gt;"moeda")*(Inputs!$G$5:$G$230&lt;&gt;"acoes")))*INDEX(Inputs!$K$5:$AJ$230,0,MATCH(D$2,Inputs!$K$4:$AJ$4,0)))+SUMPRODUCT((Inputs!$E$5:$E$230=$B106)*Inputs!$F$5:$F$230*(((Inputs!$G$5:$G$230="moeda")+(Inputs!$G$5:$G$230="acoes"))*Inputs!$B$1+((Inputs!$G$5:$G$230&lt;&gt;"moeda")*(Inputs!$G$5:$G$230&lt;&gt;"acoes")))*INDEX(Inputs!$K$5:$AJ$230,0,MATCH(D$2,Inputs!$K$4:$AJ$4,0)))))</f>
        <v>0</v>
      </c>
      <c r="E106" s="6">
        <f>IF(ISNA(MATCH(E$2,Inputs!$K$4:$AJ$4,0)),NA(),IF(SUMPRODUCT((Inputs!$A$5:$A$230=$B106)*ISNUMBER(INDEX(Inputs!$K$5:$AJ$230,0,MATCH(E$2,Inputs!$K$4:$AJ$4,0))))+SUMPRODUCT((Inputs!$C$5:$C$230=$B106)*ISNUMBER(INDEX(Inputs!$K$5:$AJ$230,0,MATCH(E$2,Inputs!$K$4:$AJ$4,0))))+SUMPRODUCT((Inputs!$E$5:$E$230=$B106)*ISNUMBER(INDEX(Inputs!$K$5:$AJ$230,0,MATCH(E$2,Inputs!$K$4:$AJ$4,0))))=0,NA(),SUMPRODUCT((Inputs!$A$5:$A$230=$B106)*Inputs!$B$5:$B$230*(((Inputs!$G$5:$G$230="moeda")+(Inputs!$G$5:$G$230="acoes"))*Inputs!$B$1+((Inputs!$G$5:$G$230&lt;&gt;"moeda")*(Inputs!$G$5:$G$230&lt;&gt;"acoes")))*INDEX(Inputs!$K$5:$AJ$230,0,MATCH(E$2,Inputs!$K$4:$AJ$4,0)))+SUMPRODUCT((Inputs!$C$5:$C$230=$B106)*Inputs!$D$5:$D$230*(((Inputs!$G$5:$G$230="moeda")+(Inputs!$G$5:$G$230="acoes"))*Inputs!$B$1+((Inputs!$G$5:$G$230&lt;&gt;"moeda")*(Inputs!$G$5:$G$230&lt;&gt;"acoes")))*INDEX(Inputs!$K$5:$AJ$230,0,MATCH(E$2,Inputs!$K$4:$AJ$4,0)))+SUMPRODUCT((Inputs!$E$5:$E$230=$B106)*Inputs!$F$5:$F$230*(((Inputs!$G$5:$G$230="moeda")+(Inputs!$G$5:$G$230="acoes"))*Inputs!$B$1+((Inputs!$G$5:$G$230&lt;&gt;"moeda")*(Inputs!$G$5:$G$230&lt;&gt;"acoes")))*INDEX(Inputs!$K$5:$AJ$230,0,MATCH(E$2,Inputs!$K$4:$AJ$4,0)))))</f>
        <v>0</v>
      </c>
      <c r="F106" s="6">
        <f>IF(ISNA(MATCH(F$2,Inputs!$K$4:$AJ$4,0)),NA(),IF(SUMPRODUCT((Inputs!$A$5:$A$230=$B106)*ISNUMBER(INDEX(Inputs!$K$5:$AJ$230,0,MATCH(F$2,Inputs!$K$4:$AJ$4,0))))+SUMPRODUCT((Inputs!$C$5:$C$230=$B106)*ISNUMBER(INDEX(Inputs!$K$5:$AJ$230,0,MATCH(F$2,Inputs!$K$4:$AJ$4,0))))+SUMPRODUCT((Inputs!$E$5:$E$230=$B106)*ISNUMBER(INDEX(Inputs!$K$5:$AJ$230,0,MATCH(F$2,Inputs!$K$4:$AJ$4,0))))=0,NA(),SUMPRODUCT((Inputs!$A$5:$A$230=$B106)*Inputs!$B$5:$B$230*(((Inputs!$G$5:$G$230="moeda")+(Inputs!$G$5:$G$230="acoes"))*Inputs!$B$1+((Inputs!$G$5:$G$230&lt;&gt;"moeda")*(Inputs!$G$5:$G$230&lt;&gt;"acoes")))*INDEX(Inputs!$K$5:$AJ$230,0,MATCH(F$2,Inputs!$K$4:$AJ$4,0)))+SUMPRODUCT((Inputs!$C$5:$C$230=$B106)*Inputs!$D$5:$D$230*(((Inputs!$G$5:$G$230="moeda")+(Inputs!$G$5:$G$230="acoes"))*Inputs!$B$1+((Inputs!$G$5:$G$230&lt;&gt;"moeda")*(Inputs!$G$5:$G$230&lt;&gt;"acoes")))*INDEX(Inputs!$K$5:$AJ$230,0,MATCH(F$2,Inputs!$K$4:$AJ$4,0)))+SUMPRODUCT((Inputs!$E$5:$E$230=$B106)*Inputs!$F$5:$F$230*(((Inputs!$G$5:$G$230="moeda")+(Inputs!$G$5:$G$230="acoes"))*Inputs!$B$1+((Inputs!$G$5:$G$230&lt;&gt;"moeda")*(Inputs!$G$5:$G$230&lt;&gt;"acoes")))*INDEX(Inputs!$K$5:$AJ$230,0,MATCH(F$2,Inputs!$K$4:$AJ$4,0)))))</f>
        <v>0</v>
      </c>
      <c r="G106" s="6">
        <f>IF(ISNA(MATCH(G$2,Inputs!$K$4:$AJ$4,0)),NA(),IF(SUMPRODUCT((Inputs!$A$5:$A$230=$B106)*ISNUMBER(INDEX(Inputs!$K$5:$AJ$230,0,MATCH(G$2,Inputs!$K$4:$AJ$4,0))))+SUMPRODUCT((Inputs!$C$5:$C$230=$B106)*ISNUMBER(INDEX(Inputs!$K$5:$AJ$230,0,MATCH(G$2,Inputs!$K$4:$AJ$4,0))))+SUMPRODUCT((Inputs!$E$5:$E$230=$B106)*ISNUMBER(INDEX(Inputs!$K$5:$AJ$230,0,MATCH(G$2,Inputs!$K$4:$AJ$4,0))))=0,NA(),SUMPRODUCT((Inputs!$A$5:$A$230=$B106)*Inputs!$B$5:$B$230*(((Inputs!$G$5:$G$230="moeda")+(Inputs!$G$5:$G$230="acoes"))*Inputs!$B$1+((Inputs!$G$5:$G$230&lt;&gt;"moeda")*(Inputs!$G$5:$G$230&lt;&gt;"acoes")))*INDEX(Inputs!$K$5:$AJ$230,0,MATCH(G$2,Inputs!$K$4:$AJ$4,0)))+SUMPRODUCT((Inputs!$C$5:$C$230=$B106)*Inputs!$D$5:$D$230*(((Inputs!$G$5:$G$230="moeda")+(Inputs!$G$5:$G$230="acoes"))*Inputs!$B$1+((Inputs!$G$5:$G$230&lt;&gt;"moeda")*(Inputs!$G$5:$G$230&lt;&gt;"acoes")))*INDEX(Inputs!$K$5:$AJ$230,0,MATCH(G$2,Inputs!$K$4:$AJ$4,0)))+SUMPRODUCT((Inputs!$E$5:$E$230=$B106)*Inputs!$F$5:$F$230*(((Inputs!$G$5:$G$230="moeda")+(Inputs!$G$5:$G$230="acoes"))*Inputs!$B$1+((Inputs!$G$5:$G$230&lt;&gt;"moeda")*(Inputs!$G$5:$G$230&lt;&gt;"acoes")))*INDEX(Inputs!$K$5:$AJ$230,0,MATCH(G$2,Inputs!$K$4:$AJ$4,0)))))</f>
        <v>0</v>
      </c>
      <c r="H106" s="3">
        <f>SUM(D106:G106)</f>
        <v>0</v>
      </c>
      <c r="I106" s="6">
        <f>IF(ISNA(MATCH(I$2,Inputs!$K$4:$AJ$4,0)),NA(),IF(SUMPRODUCT((Inputs!$A$5:$A$230=$B106)*ISNUMBER(INDEX(Inputs!$K$5:$AJ$230,0,MATCH(I$2,Inputs!$K$4:$AJ$4,0))))+SUMPRODUCT((Inputs!$C$5:$C$230=$B106)*ISNUMBER(INDEX(Inputs!$K$5:$AJ$230,0,MATCH(I$2,Inputs!$K$4:$AJ$4,0))))+SUMPRODUCT((Inputs!$E$5:$E$230=$B106)*ISNUMBER(INDEX(Inputs!$K$5:$AJ$230,0,MATCH(I$2,Inputs!$K$4:$AJ$4,0))))=0,NA(),SUMPRODUCT((Inputs!$A$5:$A$230=$B106)*Inputs!$B$5:$B$230*(((Inputs!$G$5:$G$230="moeda")+(Inputs!$G$5:$G$230="acoes"))*Inputs!$B$1+((Inputs!$G$5:$G$230&lt;&gt;"moeda")*(Inputs!$G$5:$G$230&lt;&gt;"acoes")))*INDEX(Inputs!$K$5:$AJ$230,0,MATCH(I$2,Inputs!$K$4:$AJ$4,0)))+SUMPRODUCT((Inputs!$C$5:$C$230=$B106)*Inputs!$D$5:$D$230*(((Inputs!$G$5:$G$230="moeda")+(Inputs!$G$5:$G$230="acoes"))*Inputs!$B$1+((Inputs!$G$5:$G$230&lt;&gt;"moeda")*(Inputs!$G$5:$G$230&lt;&gt;"acoes")))*INDEX(Inputs!$K$5:$AJ$230,0,MATCH(I$2,Inputs!$K$4:$AJ$4,0)))+SUMPRODUCT((Inputs!$E$5:$E$230=$B106)*Inputs!$F$5:$F$230*(((Inputs!$G$5:$G$230="moeda")+(Inputs!$G$5:$G$230="acoes"))*Inputs!$B$1+((Inputs!$G$5:$G$230&lt;&gt;"moeda")*(Inputs!$G$5:$G$230&lt;&gt;"acoes")))*INDEX(Inputs!$K$5:$AJ$230,0,MATCH(I$2,Inputs!$K$4:$AJ$4,0)))))</f>
        <v>0</v>
      </c>
      <c r="J106" s="6">
        <f>IF(ISNA(MATCH(J$2,Inputs!$K$4:$AJ$4,0)),NA(),IF(SUMPRODUCT((Inputs!$A$5:$A$230=$B106)*ISNUMBER(INDEX(Inputs!$K$5:$AJ$230,0,MATCH(J$2,Inputs!$K$4:$AJ$4,0))))+SUMPRODUCT((Inputs!$C$5:$C$230=$B106)*ISNUMBER(INDEX(Inputs!$K$5:$AJ$230,0,MATCH(J$2,Inputs!$K$4:$AJ$4,0))))+SUMPRODUCT((Inputs!$E$5:$E$230=$B106)*ISNUMBER(INDEX(Inputs!$K$5:$AJ$230,0,MATCH(J$2,Inputs!$K$4:$AJ$4,0))))=0,NA(),SUMPRODUCT((Inputs!$A$5:$A$230=$B106)*Inputs!$B$5:$B$230*(((Inputs!$G$5:$G$230="moeda")+(Inputs!$G$5:$G$230="acoes"))*Inputs!$B$1+((Inputs!$G$5:$G$230&lt;&gt;"moeda")*(Inputs!$G$5:$G$230&lt;&gt;"acoes")))*INDEX(Inputs!$K$5:$AJ$230,0,MATCH(J$2,Inputs!$K$4:$AJ$4,0)))+SUMPRODUCT((Inputs!$C$5:$C$230=$B106)*Inputs!$D$5:$D$230*(((Inputs!$G$5:$G$230="moeda")+(Inputs!$G$5:$G$230="acoes"))*Inputs!$B$1+((Inputs!$G$5:$G$230&lt;&gt;"moeda")*(Inputs!$G$5:$G$230&lt;&gt;"acoes")))*INDEX(Inputs!$K$5:$AJ$230,0,MATCH(J$2,Inputs!$K$4:$AJ$4,0)))+SUMPRODUCT((Inputs!$E$5:$E$230=$B106)*Inputs!$F$5:$F$230*(((Inputs!$G$5:$G$230="moeda")+(Inputs!$G$5:$G$230="acoes"))*Inputs!$B$1+((Inputs!$G$5:$G$230&lt;&gt;"moeda")*(Inputs!$G$5:$G$230&lt;&gt;"acoes")))*INDEX(Inputs!$K$5:$AJ$230,0,MATCH(J$2,Inputs!$K$4:$AJ$4,0)))))</f>
        <v>0</v>
      </c>
      <c r="K106" s="6">
        <f>IF(ISNA(MATCH(K$2,Inputs!$K$4:$AJ$4,0)),NA(),IF(SUMPRODUCT((Inputs!$A$5:$A$230=$B106)*ISNUMBER(INDEX(Inputs!$K$5:$AJ$230,0,MATCH(K$2,Inputs!$K$4:$AJ$4,0))))+SUMPRODUCT((Inputs!$C$5:$C$230=$B106)*ISNUMBER(INDEX(Inputs!$K$5:$AJ$230,0,MATCH(K$2,Inputs!$K$4:$AJ$4,0))))+SUMPRODUCT((Inputs!$E$5:$E$230=$B106)*ISNUMBER(INDEX(Inputs!$K$5:$AJ$230,0,MATCH(K$2,Inputs!$K$4:$AJ$4,0))))=0,NA(),SUMPRODUCT((Inputs!$A$5:$A$230=$B106)*Inputs!$B$5:$B$230*(((Inputs!$G$5:$G$230="moeda")+(Inputs!$G$5:$G$230="acoes"))*Inputs!$B$1+((Inputs!$G$5:$G$230&lt;&gt;"moeda")*(Inputs!$G$5:$G$230&lt;&gt;"acoes")))*INDEX(Inputs!$K$5:$AJ$230,0,MATCH(K$2,Inputs!$K$4:$AJ$4,0)))+SUMPRODUCT((Inputs!$C$5:$C$230=$B106)*Inputs!$D$5:$D$230*(((Inputs!$G$5:$G$230="moeda")+(Inputs!$G$5:$G$230="acoes"))*Inputs!$B$1+((Inputs!$G$5:$G$230&lt;&gt;"moeda")*(Inputs!$G$5:$G$230&lt;&gt;"acoes")))*INDEX(Inputs!$K$5:$AJ$230,0,MATCH(K$2,Inputs!$K$4:$AJ$4,0)))+SUMPRODUCT((Inputs!$E$5:$E$230=$B106)*Inputs!$F$5:$F$230*(((Inputs!$G$5:$G$230="moeda")+(Inputs!$G$5:$G$230="acoes"))*Inputs!$B$1+((Inputs!$G$5:$G$230&lt;&gt;"moeda")*(Inputs!$G$5:$G$230&lt;&gt;"acoes")))*INDEX(Inputs!$K$5:$AJ$230,0,MATCH(K$2,Inputs!$K$4:$AJ$4,0)))))</f>
        <v>0</v>
      </c>
      <c r="L106" s="6">
        <f>IF(ISNA(MATCH(L$2,Inputs!$K$4:$AJ$4,0)),NA(),IF(SUMPRODUCT((Inputs!$A$5:$A$230=$B106)*ISNUMBER(INDEX(Inputs!$K$5:$AJ$230,0,MATCH(L$2,Inputs!$K$4:$AJ$4,0))))+SUMPRODUCT((Inputs!$C$5:$C$230=$B106)*ISNUMBER(INDEX(Inputs!$K$5:$AJ$230,0,MATCH(L$2,Inputs!$K$4:$AJ$4,0))))+SUMPRODUCT((Inputs!$E$5:$E$230=$B106)*ISNUMBER(INDEX(Inputs!$K$5:$AJ$230,0,MATCH(L$2,Inputs!$K$4:$AJ$4,0))))=0,NA(),SUMPRODUCT((Inputs!$A$5:$A$230=$B106)*Inputs!$B$5:$B$230*(((Inputs!$G$5:$G$230="moeda")+(Inputs!$G$5:$G$230="acoes"))*Inputs!$B$1+((Inputs!$G$5:$G$230&lt;&gt;"moeda")*(Inputs!$G$5:$G$230&lt;&gt;"acoes")))*INDEX(Inputs!$K$5:$AJ$230,0,MATCH(L$2,Inputs!$K$4:$AJ$4,0)))+SUMPRODUCT((Inputs!$C$5:$C$230=$B106)*Inputs!$D$5:$D$230*(((Inputs!$G$5:$G$230="moeda")+(Inputs!$G$5:$G$230="acoes"))*Inputs!$B$1+((Inputs!$G$5:$G$230&lt;&gt;"moeda")*(Inputs!$G$5:$G$230&lt;&gt;"acoes")))*INDEX(Inputs!$K$5:$AJ$230,0,MATCH(L$2,Inputs!$K$4:$AJ$4,0)))+SUMPRODUCT((Inputs!$E$5:$E$230=$B106)*Inputs!$F$5:$F$230*(((Inputs!$G$5:$G$230="moeda")+(Inputs!$G$5:$G$230="acoes"))*Inputs!$B$1+((Inputs!$G$5:$G$230&lt;&gt;"moeda")*(Inputs!$G$5:$G$230&lt;&gt;"acoes")))*INDEX(Inputs!$K$5:$AJ$230,0,MATCH(L$2,Inputs!$K$4:$AJ$4,0)))))</f>
        <v>0</v>
      </c>
      <c r="M106" s="3">
        <f>SUM(I106:L106)</f>
        <v>0</v>
      </c>
      <c r="N106" s="6">
        <f>IF(ISNA(MATCH(N$2,Inputs!$K$4:$AJ$4,0)),NA(),IF(SUMPRODUCT((Inputs!$A$5:$A$230=$B106)*ISNUMBER(INDEX(Inputs!$K$5:$AJ$230,0,MATCH(N$2,Inputs!$K$4:$AJ$4,0))))+SUMPRODUCT((Inputs!$C$5:$C$230=$B106)*ISNUMBER(INDEX(Inputs!$K$5:$AJ$230,0,MATCH(N$2,Inputs!$K$4:$AJ$4,0))))+SUMPRODUCT((Inputs!$E$5:$E$230=$B106)*ISNUMBER(INDEX(Inputs!$K$5:$AJ$230,0,MATCH(N$2,Inputs!$K$4:$AJ$4,0))))=0,NA(),SUMPRODUCT((Inputs!$A$5:$A$230=$B106)*Inputs!$B$5:$B$230*(((Inputs!$G$5:$G$230="moeda")+(Inputs!$G$5:$G$230="acoes"))*Inputs!$B$1+((Inputs!$G$5:$G$230&lt;&gt;"moeda")*(Inputs!$G$5:$G$230&lt;&gt;"acoes")))*INDEX(Inputs!$K$5:$AJ$230,0,MATCH(N$2,Inputs!$K$4:$AJ$4,0)))+SUMPRODUCT((Inputs!$C$5:$C$230=$B106)*Inputs!$D$5:$D$230*(((Inputs!$G$5:$G$230="moeda")+(Inputs!$G$5:$G$230="acoes"))*Inputs!$B$1+((Inputs!$G$5:$G$230&lt;&gt;"moeda")*(Inputs!$G$5:$G$230&lt;&gt;"acoes")))*INDEX(Inputs!$K$5:$AJ$230,0,MATCH(N$2,Inputs!$K$4:$AJ$4,0)))+SUMPRODUCT((Inputs!$E$5:$E$230=$B106)*Inputs!$F$5:$F$230*(((Inputs!$G$5:$G$230="moeda")+(Inputs!$G$5:$G$230="acoes"))*Inputs!$B$1+((Inputs!$G$5:$G$230&lt;&gt;"moeda")*(Inputs!$G$5:$G$230&lt;&gt;"acoes")))*INDEX(Inputs!$K$5:$AJ$230,0,MATCH(N$2,Inputs!$K$4:$AJ$4,0)))))</f>
        <v>0</v>
      </c>
      <c r="O106" s="6">
        <f>IF(ISNA(MATCH(O$2,Inputs!$K$4:$AJ$4,0)),NA(),IF(SUMPRODUCT((Inputs!$A$5:$A$230=$B106)*ISNUMBER(INDEX(Inputs!$K$5:$AJ$230,0,MATCH(O$2,Inputs!$K$4:$AJ$4,0))))+SUMPRODUCT((Inputs!$C$5:$C$230=$B106)*ISNUMBER(INDEX(Inputs!$K$5:$AJ$230,0,MATCH(O$2,Inputs!$K$4:$AJ$4,0))))+SUMPRODUCT((Inputs!$E$5:$E$230=$B106)*ISNUMBER(INDEX(Inputs!$K$5:$AJ$230,0,MATCH(O$2,Inputs!$K$4:$AJ$4,0))))=0,NA(),SUMPRODUCT((Inputs!$A$5:$A$230=$B106)*Inputs!$B$5:$B$230*(((Inputs!$G$5:$G$230="moeda")+(Inputs!$G$5:$G$230="acoes"))*Inputs!$B$1+((Inputs!$G$5:$G$230&lt;&gt;"moeda")*(Inputs!$G$5:$G$230&lt;&gt;"acoes")))*INDEX(Inputs!$K$5:$AJ$230,0,MATCH(O$2,Inputs!$K$4:$AJ$4,0)))+SUMPRODUCT((Inputs!$C$5:$C$230=$B106)*Inputs!$D$5:$D$230*(((Inputs!$G$5:$G$230="moeda")+(Inputs!$G$5:$G$230="acoes"))*Inputs!$B$1+((Inputs!$G$5:$G$230&lt;&gt;"moeda")*(Inputs!$G$5:$G$230&lt;&gt;"acoes")))*INDEX(Inputs!$K$5:$AJ$230,0,MATCH(O$2,Inputs!$K$4:$AJ$4,0)))+SUMPRODUCT((Inputs!$E$5:$E$230=$B106)*Inputs!$F$5:$F$230*(((Inputs!$G$5:$G$230="moeda")+(Inputs!$G$5:$G$230="acoes"))*Inputs!$B$1+((Inputs!$G$5:$G$230&lt;&gt;"moeda")*(Inputs!$G$5:$G$230&lt;&gt;"acoes")))*INDEX(Inputs!$K$5:$AJ$230,0,MATCH(O$2,Inputs!$K$4:$AJ$4,0)))))</f>
        <v>0</v>
      </c>
      <c r="P106" s="6">
        <f>IF(ISNA(MATCH(P$2,Inputs!$K$4:$AJ$4,0)),NA(),IF(SUMPRODUCT((Inputs!$A$5:$A$230=$B106)*ISNUMBER(INDEX(Inputs!$K$5:$AJ$230,0,MATCH(P$2,Inputs!$K$4:$AJ$4,0))))+SUMPRODUCT((Inputs!$C$5:$C$230=$B106)*ISNUMBER(INDEX(Inputs!$K$5:$AJ$230,0,MATCH(P$2,Inputs!$K$4:$AJ$4,0))))+SUMPRODUCT((Inputs!$E$5:$E$230=$B106)*ISNUMBER(INDEX(Inputs!$K$5:$AJ$230,0,MATCH(P$2,Inputs!$K$4:$AJ$4,0))))=0,NA(),SUMPRODUCT((Inputs!$A$5:$A$230=$B106)*Inputs!$B$5:$B$230*(((Inputs!$G$5:$G$230="moeda")+(Inputs!$G$5:$G$230="acoes"))*Inputs!$B$1+((Inputs!$G$5:$G$230&lt;&gt;"moeda")*(Inputs!$G$5:$G$230&lt;&gt;"acoes")))*INDEX(Inputs!$K$5:$AJ$230,0,MATCH(P$2,Inputs!$K$4:$AJ$4,0)))+SUMPRODUCT((Inputs!$C$5:$C$230=$B106)*Inputs!$D$5:$D$230*(((Inputs!$G$5:$G$230="moeda")+(Inputs!$G$5:$G$230="acoes"))*Inputs!$B$1+((Inputs!$G$5:$G$230&lt;&gt;"moeda")*(Inputs!$G$5:$G$230&lt;&gt;"acoes")))*INDEX(Inputs!$K$5:$AJ$230,0,MATCH(P$2,Inputs!$K$4:$AJ$4,0)))+SUMPRODUCT((Inputs!$E$5:$E$230=$B106)*Inputs!$F$5:$F$230*(((Inputs!$G$5:$G$230="moeda")+(Inputs!$G$5:$G$230="acoes"))*Inputs!$B$1+((Inputs!$G$5:$G$230&lt;&gt;"moeda")*(Inputs!$G$5:$G$230&lt;&gt;"acoes")))*INDEX(Inputs!$K$5:$AJ$230,0,MATCH(P$2,Inputs!$K$4:$AJ$4,0)))))</f>
        <v>1.492</v>
      </c>
      <c r="Q106" s="6">
        <f>IF(ISNA(MATCH(Q$2,Inputs!$K$4:$AJ$4,0)),NA(),IF(SUMPRODUCT((Inputs!$A$5:$A$230=$B106)*ISNUMBER(INDEX(Inputs!$K$5:$AJ$230,0,MATCH(Q$2,Inputs!$K$4:$AJ$4,0))))+SUMPRODUCT((Inputs!$C$5:$C$230=$B106)*ISNUMBER(INDEX(Inputs!$K$5:$AJ$230,0,MATCH(Q$2,Inputs!$K$4:$AJ$4,0))))+SUMPRODUCT((Inputs!$E$5:$E$230=$B106)*ISNUMBER(INDEX(Inputs!$K$5:$AJ$230,0,MATCH(Q$2,Inputs!$K$4:$AJ$4,0))))=0,NA(),SUMPRODUCT((Inputs!$A$5:$A$230=$B106)*Inputs!$B$5:$B$230*(((Inputs!$G$5:$G$230="moeda")+(Inputs!$G$5:$G$230="acoes"))*Inputs!$B$1+((Inputs!$G$5:$G$230&lt;&gt;"moeda")*(Inputs!$G$5:$G$230&lt;&gt;"acoes")))*INDEX(Inputs!$K$5:$AJ$230,0,MATCH(Q$2,Inputs!$K$4:$AJ$4,0)))+SUMPRODUCT((Inputs!$C$5:$C$230=$B106)*Inputs!$D$5:$D$230*(((Inputs!$G$5:$G$230="moeda")+(Inputs!$G$5:$G$230="acoes"))*Inputs!$B$1+((Inputs!$G$5:$G$230&lt;&gt;"moeda")*(Inputs!$G$5:$G$230&lt;&gt;"acoes")))*INDEX(Inputs!$K$5:$AJ$230,0,MATCH(Q$2,Inputs!$K$4:$AJ$4,0)))+SUMPRODUCT((Inputs!$E$5:$E$230=$B106)*Inputs!$F$5:$F$230*(((Inputs!$G$5:$G$230="moeda")+(Inputs!$G$5:$G$230="acoes"))*Inputs!$B$1+((Inputs!$G$5:$G$230&lt;&gt;"moeda")*(Inputs!$G$5:$G$230&lt;&gt;"acoes")))*INDEX(Inputs!$K$5:$AJ$230,0,MATCH(Q$2,Inputs!$K$4:$AJ$4,0)))))</f>
        <v>5.126</v>
      </c>
      <c r="R106" s="3">
        <f>SUM(N106:Q106)</f>
        <v>6.618</v>
      </c>
      <c r="S106" s="6">
        <f>IF(ISNA(MATCH(S$2,Inputs!$K$4:$AJ$4,0)),NA(),IF(SUMPRODUCT((Inputs!$A$5:$A$230=$B106)*ISNUMBER(INDEX(Inputs!$K$5:$AJ$230,0,MATCH(S$2,Inputs!$K$4:$AJ$4,0))))+SUMPRODUCT((Inputs!$C$5:$C$230=$B106)*ISNUMBER(INDEX(Inputs!$K$5:$AJ$230,0,MATCH(S$2,Inputs!$K$4:$AJ$4,0))))+SUMPRODUCT((Inputs!$E$5:$E$230=$B106)*ISNUMBER(INDEX(Inputs!$K$5:$AJ$230,0,MATCH(S$2,Inputs!$K$4:$AJ$4,0))))=0,NA(),SUMPRODUCT((Inputs!$A$5:$A$230=$B106)*Inputs!$B$5:$B$230*(((Inputs!$G$5:$G$230="moeda")+(Inputs!$G$5:$G$230="acoes"))*Inputs!$B$1+((Inputs!$G$5:$G$230&lt;&gt;"moeda")*(Inputs!$G$5:$G$230&lt;&gt;"acoes")))*INDEX(Inputs!$K$5:$AJ$230,0,MATCH(S$2,Inputs!$K$4:$AJ$4,0)))+SUMPRODUCT((Inputs!$C$5:$C$230=$B106)*Inputs!$D$5:$D$230*(((Inputs!$G$5:$G$230="moeda")+(Inputs!$G$5:$G$230="acoes"))*Inputs!$B$1+((Inputs!$G$5:$G$230&lt;&gt;"moeda")*(Inputs!$G$5:$G$230&lt;&gt;"acoes")))*INDEX(Inputs!$K$5:$AJ$230,0,MATCH(S$2,Inputs!$K$4:$AJ$4,0)))+SUMPRODUCT((Inputs!$E$5:$E$230=$B106)*Inputs!$F$5:$F$230*(((Inputs!$G$5:$G$230="moeda")+(Inputs!$G$5:$G$230="acoes"))*Inputs!$B$1+((Inputs!$G$5:$G$230&lt;&gt;"moeda")*(Inputs!$G$5:$G$230&lt;&gt;"acoes")))*INDEX(Inputs!$K$5:$AJ$230,0,MATCH(S$2,Inputs!$K$4:$AJ$4,0)))))</f>
        <v>7.639</v>
      </c>
      <c r="T106" s="6">
        <f>IF(ISNA(MATCH(T$2,Inputs!$K$4:$AJ$4,0)),NA(),IF(SUMPRODUCT((Inputs!$A$5:$A$230=$B106)*ISNUMBER(INDEX(Inputs!$K$5:$AJ$230,0,MATCH(T$2,Inputs!$K$4:$AJ$4,0))))+SUMPRODUCT((Inputs!$C$5:$C$230=$B106)*ISNUMBER(INDEX(Inputs!$K$5:$AJ$230,0,MATCH(T$2,Inputs!$K$4:$AJ$4,0))))+SUMPRODUCT((Inputs!$E$5:$E$230=$B106)*ISNUMBER(INDEX(Inputs!$K$5:$AJ$230,0,MATCH(T$2,Inputs!$K$4:$AJ$4,0))))=0,NA(),SUMPRODUCT((Inputs!$A$5:$A$230=$B106)*Inputs!$B$5:$B$230*(((Inputs!$G$5:$G$230="moeda")+(Inputs!$G$5:$G$230="acoes"))*Inputs!$B$1+((Inputs!$G$5:$G$230&lt;&gt;"moeda")*(Inputs!$G$5:$G$230&lt;&gt;"acoes")))*INDEX(Inputs!$K$5:$AJ$230,0,MATCH(T$2,Inputs!$K$4:$AJ$4,0)))+SUMPRODUCT((Inputs!$C$5:$C$230=$B106)*Inputs!$D$5:$D$230*(((Inputs!$G$5:$G$230="moeda")+(Inputs!$G$5:$G$230="acoes"))*Inputs!$B$1+((Inputs!$G$5:$G$230&lt;&gt;"moeda")*(Inputs!$G$5:$G$230&lt;&gt;"acoes")))*INDEX(Inputs!$K$5:$AJ$230,0,MATCH(T$2,Inputs!$K$4:$AJ$4,0)))+SUMPRODUCT((Inputs!$E$5:$E$230=$B106)*Inputs!$F$5:$F$230*(((Inputs!$G$5:$G$230="moeda")+(Inputs!$G$5:$G$230="acoes"))*Inputs!$B$1+((Inputs!$G$5:$G$230&lt;&gt;"moeda")*(Inputs!$G$5:$G$230&lt;&gt;"acoes")))*INDEX(Inputs!$K$5:$AJ$230,0,MATCH(T$2,Inputs!$K$4:$AJ$4,0)))))</f>
        <v>8.083</v>
      </c>
      <c r="U106" s="6">
        <f>IF(ISNA(MATCH(U$2,Inputs!$K$4:$AJ$4,0)),NA(),IF(SUMPRODUCT((Inputs!$A$5:$A$230=$B106)*ISNUMBER(INDEX(Inputs!$K$5:$AJ$230,0,MATCH(U$2,Inputs!$K$4:$AJ$4,0))))+SUMPRODUCT((Inputs!$C$5:$C$230=$B106)*ISNUMBER(INDEX(Inputs!$K$5:$AJ$230,0,MATCH(U$2,Inputs!$K$4:$AJ$4,0))))+SUMPRODUCT((Inputs!$E$5:$E$230=$B106)*ISNUMBER(INDEX(Inputs!$K$5:$AJ$230,0,MATCH(U$2,Inputs!$K$4:$AJ$4,0))))=0,NA(),SUMPRODUCT((Inputs!$A$5:$A$230=$B106)*Inputs!$B$5:$B$230*(((Inputs!$G$5:$G$230="moeda")+(Inputs!$G$5:$G$230="acoes"))*Inputs!$B$1+((Inputs!$G$5:$G$230&lt;&gt;"moeda")*(Inputs!$G$5:$G$230&lt;&gt;"acoes")))*INDEX(Inputs!$K$5:$AJ$230,0,MATCH(U$2,Inputs!$K$4:$AJ$4,0)))+SUMPRODUCT((Inputs!$C$5:$C$230=$B106)*Inputs!$D$5:$D$230*(((Inputs!$G$5:$G$230="moeda")+(Inputs!$G$5:$G$230="acoes"))*Inputs!$B$1+((Inputs!$G$5:$G$230&lt;&gt;"moeda")*(Inputs!$G$5:$G$230&lt;&gt;"acoes")))*INDEX(Inputs!$K$5:$AJ$230,0,MATCH(U$2,Inputs!$K$4:$AJ$4,0)))+SUMPRODUCT((Inputs!$E$5:$E$230=$B106)*Inputs!$F$5:$F$230*(((Inputs!$G$5:$G$230="moeda")+(Inputs!$G$5:$G$230="acoes"))*Inputs!$B$1+((Inputs!$G$5:$G$230&lt;&gt;"moeda")*(Inputs!$G$5:$G$230&lt;&gt;"acoes")))*INDEX(Inputs!$K$5:$AJ$230,0,MATCH(U$2,Inputs!$K$4:$AJ$4,0)))))</f>
        <v>10.526</v>
      </c>
      <c r="V106" s="6">
        <f>IF(ISNA(MATCH(V$2,Inputs!$K$4:$AJ$4,0)),NA(),IF(SUMPRODUCT((Inputs!$A$5:$A$230=$B106)*ISNUMBER(INDEX(Inputs!$K$5:$AJ$230,0,MATCH(V$2,Inputs!$K$4:$AJ$4,0))))+SUMPRODUCT((Inputs!$C$5:$C$230=$B106)*ISNUMBER(INDEX(Inputs!$K$5:$AJ$230,0,MATCH(V$2,Inputs!$K$4:$AJ$4,0))))+SUMPRODUCT((Inputs!$E$5:$E$230=$B106)*ISNUMBER(INDEX(Inputs!$K$5:$AJ$230,0,MATCH(V$2,Inputs!$K$4:$AJ$4,0))))=0,NA(),SUMPRODUCT((Inputs!$A$5:$A$230=$B106)*Inputs!$B$5:$B$230*(((Inputs!$G$5:$G$230="moeda")+(Inputs!$G$5:$G$230="acoes"))*Inputs!$B$1+((Inputs!$G$5:$G$230&lt;&gt;"moeda")*(Inputs!$G$5:$G$230&lt;&gt;"acoes")))*INDEX(Inputs!$K$5:$AJ$230,0,MATCH(V$2,Inputs!$K$4:$AJ$4,0)))+SUMPRODUCT((Inputs!$C$5:$C$230=$B106)*Inputs!$D$5:$D$230*(((Inputs!$G$5:$G$230="moeda")+(Inputs!$G$5:$G$230="acoes"))*Inputs!$B$1+((Inputs!$G$5:$G$230&lt;&gt;"moeda")*(Inputs!$G$5:$G$230&lt;&gt;"acoes")))*INDEX(Inputs!$K$5:$AJ$230,0,MATCH(V$2,Inputs!$K$4:$AJ$4,0)))+SUMPRODUCT((Inputs!$E$5:$E$230=$B106)*Inputs!$F$5:$F$230*(((Inputs!$G$5:$G$230="moeda")+(Inputs!$G$5:$G$230="acoes"))*Inputs!$B$1+((Inputs!$G$5:$G$230&lt;&gt;"moeda")*(Inputs!$G$5:$G$230&lt;&gt;"acoes")))*INDEX(Inputs!$K$5:$AJ$230,0,MATCH(V$2,Inputs!$K$4:$AJ$4,0)))))</f>
        <v>7.265</v>
      </c>
      <c r="W106" s="3">
        <f>SUM(S106:V106)</f>
        <v>33.513</v>
      </c>
      <c r="X106" s="6">
        <f>IF(ISNA(MATCH(X$2,Inputs!$K$4:$AJ$4,0)),NA(),IF(SUMPRODUCT((Inputs!$A$5:$A$230=$B106)*ISNUMBER(INDEX(Inputs!$K$5:$AJ$230,0,MATCH(X$2,Inputs!$K$4:$AJ$4,0))))+SUMPRODUCT((Inputs!$C$5:$C$230=$B106)*ISNUMBER(INDEX(Inputs!$K$5:$AJ$230,0,MATCH(X$2,Inputs!$K$4:$AJ$4,0))))+SUMPRODUCT((Inputs!$E$5:$E$230=$B106)*ISNUMBER(INDEX(Inputs!$K$5:$AJ$230,0,MATCH(X$2,Inputs!$K$4:$AJ$4,0))))=0,NA(),SUMPRODUCT((Inputs!$A$5:$A$230=$B106)*Inputs!$B$5:$B$230*(((Inputs!$G$5:$G$230="moeda")+(Inputs!$G$5:$G$230="acoes"))*Inputs!$B$1+((Inputs!$G$5:$G$230&lt;&gt;"moeda")*(Inputs!$G$5:$G$230&lt;&gt;"acoes")))*INDEX(Inputs!$K$5:$AJ$230,0,MATCH(X$2,Inputs!$K$4:$AJ$4,0)))+SUMPRODUCT((Inputs!$C$5:$C$230=$B106)*Inputs!$D$5:$D$230*(((Inputs!$G$5:$G$230="moeda")+(Inputs!$G$5:$G$230="acoes"))*Inputs!$B$1+((Inputs!$G$5:$G$230&lt;&gt;"moeda")*(Inputs!$G$5:$G$230&lt;&gt;"acoes")))*INDEX(Inputs!$K$5:$AJ$230,0,MATCH(X$2,Inputs!$K$4:$AJ$4,0)))+SUMPRODUCT((Inputs!$E$5:$E$230=$B106)*Inputs!$F$5:$F$230*(((Inputs!$G$5:$G$230="moeda")+(Inputs!$G$5:$G$230="acoes"))*Inputs!$B$1+((Inputs!$G$5:$G$230&lt;&gt;"moeda")*(Inputs!$G$5:$G$230&lt;&gt;"acoes")))*INDEX(Inputs!$K$5:$AJ$230,0,MATCH(X$2,Inputs!$K$4:$AJ$4,0)))))</f>
        <v>8.644</v>
      </c>
      <c r="Y106" s="6">
        <f>IF(ISNA(MATCH(Y$2,Inputs!$K$4:$AJ$4,0)),NA(),IF(SUMPRODUCT((Inputs!$A$5:$A$230=$B106)*ISNUMBER(INDEX(Inputs!$K$5:$AJ$230,0,MATCH(Y$2,Inputs!$K$4:$AJ$4,0))))+SUMPRODUCT((Inputs!$C$5:$C$230=$B106)*ISNUMBER(INDEX(Inputs!$K$5:$AJ$230,0,MATCH(Y$2,Inputs!$K$4:$AJ$4,0))))+SUMPRODUCT((Inputs!$E$5:$E$230=$B106)*ISNUMBER(INDEX(Inputs!$K$5:$AJ$230,0,MATCH(Y$2,Inputs!$K$4:$AJ$4,0))))=0,NA(),SUMPRODUCT((Inputs!$A$5:$A$230=$B106)*Inputs!$B$5:$B$230*(((Inputs!$G$5:$G$230="moeda")+(Inputs!$G$5:$G$230="acoes"))*Inputs!$B$1+((Inputs!$G$5:$G$230&lt;&gt;"moeda")*(Inputs!$G$5:$G$230&lt;&gt;"acoes")))*INDEX(Inputs!$K$5:$AJ$230,0,MATCH(Y$2,Inputs!$K$4:$AJ$4,0)))+SUMPRODUCT((Inputs!$C$5:$C$230=$B106)*Inputs!$D$5:$D$230*(((Inputs!$G$5:$G$230="moeda")+(Inputs!$G$5:$G$230="acoes"))*Inputs!$B$1+((Inputs!$G$5:$G$230&lt;&gt;"moeda")*(Inputs!$G$5:$G$230&lt;&gt;"acoes")))*INDEX(Inputs!$K$5:$AJ$230,0,MATCH(Y$2,Inputs!$K$4:$AJ$4,0)))+SUMPRODUCT((Inputs!$E$5:$E$230=$B106)*Inputs!$F$5:$F$230*(((Inputs!$G$5:$G$230="moeda")+(Inputs!$G$5:$G$230="acoes"))*Inputs!$B$1+((Inputs!$G$5:$G$230&lt;&gt;"moeda")*(Inputs!$G$5:$G$230&lt;&gt;"acoes")))*INDEX(Inputs!$K$5:$AJ$230,0,MATCH(Y$2,Inputs!$K$4:$AJ$4,0)))))</f>
        <v>8.718</v>
      </c>
      <c r="Z106" s="6">
        <f>IF(ISNA(MATCH(Z$2,Inputs!$K$4:$AJ$4,0)),NA(),IF(SUMPRODUCT((Inputs!$A$5:$A$230=$B106)*ISNUMBER(INDEX(Inputs!$K$5:$AJ$230,0,MATCH(Z$2,Inputs!$K$4:$AJ$4,0))))+SUMPRODUCT((Inputs!$C$5:$C$230=$B106)*ISNUMBER(INDEX(Inputs!$K$5:$AJ$230,0,MATCH(Z$2,Inputs!$K$4:$AJ$4,0))))+SUMPRODUCT((Inputs!$E$5:$E$230=$B106)*ISNUMBER(INDEX(Inputs!$K$5:$AJ$230,0,MATCH(Z$2,Inputs!$K$4:$AJ$4,0))))=0,NA(),SUMPRODUCT((Inputs!$A$5:$A$230=$B106)*Inputs!$B$5:$B$230*(((Inputs!$G$5:$G$230="moeda")+(Inputs!$G$5:$G$230="acoes"))*Inputs!$B$1+((Inputs!$G$5:$G$230&lt;&gt;"moeda")*(Inputs!$G$5:$G$230&lt;&gt;"acoes")))*INDEX(Inputs!$K$5:$AJ$230,0,MATCH(Z$2,Inputs!$K$4:$AJ$4,0)))+SUMPRODUCT((Inputs!$C$5:$C$230=$B106)*Inputs!$D$5:$D$230*(((Inputs!$G$5:$G$230="moeda")+(Inputs!$G$5:$G$230="acoes"))*Inputs!$B$1+((Inputs!$G$5:$G$230&lt;&gt;"moeda")*(Inputs!$G$5:$G$230&lt;&gt;"acoes")))*INDEX(Inputs!$K$5:$AJ$230,0,MATCH(Z$2,Inputs!$K$4:$AJ$4,0)))+SUMPRODUCT((Inputs!$E$5:$E$230=$B106)*Inputs!$F$5:$F$230*(((Inputs!$G$5:$G$230="moeda")+(Inputs!$G$5:$G$230="acoes"))*Inputs!$B$1+((Inputs!$G$5:$G$230&lt;&gt;"moeda")*(Inputs!$G$5:$G$230&lt;&gt;"acoes")))*INDEX(Inputs!$K$5:$AJ$230,0,MATCH(Z$2,Inputs!$K$4:$AJ$4,0)))))</f>
        <v>9.766</v>
      </c>
      <c r="AA106" s="6">
        <f>IF(ISNA(MATCH(AA$2,Inputs!$K$4:$AJ$4,0)),NA(),IF(SUMPRODUCT((Inputs!$A$5:$A$230=$B106)*ISNUMBER(INDEX(Inputs!$K$5:$AJ$230,0,MATCH(AA$2,Inputs!$K$4:$AJ$4,0))))+SUMPRODUCT((Inputs!$C$5:$C$230=$B106)*ISNUMBER(INDEX(Inputs!$K$5:$AJ$230,0,MATCH(AA$2,Inputs!$K$4:$AJ$4,0))))+SUMPRODUCT((Inputs!$E$5:$E$230=$B106)*ISNUMBER(INDEX(Inputs!$K$5:$AJ$230,0,MATCH(AA$2,Inputs!$K$4:$AJ$4,0))))=0,NA(),SUMPRODUCT((Inputs!$A$5:$A$230=$B106)*Inputs!$B$5:$B$230*(((Inputs!$G$5:$G$230="moeda")+(Inputs!$G$5:$G$230="acoes"))*Inputs!$B$1+((Inputs!$G$5:$G$230&lt;&gt;"moeda")*(Inputs!$G$5:$G$230&lt;&gt;"acoes")))*INDEX(Inputs!$K$5:$AJ$230,0,MATCH(AA$2,Inputs!$K$4:$AJ$4,0)))+SUMPRODUCT((Inputs!$C$5:$C$230=$B106)*Inputs!$D$5:$D$230*(((Inputs!$G$5:$G$230="moeda")+(Inputs!$G$5:$G$230="acoes"))*Inputs!$B$1+((Inputs!$G$5:$G$230&lt;&gt;"moeda")*(Inputs!$G$5:$G$230&lt;&gt;"acoes")))*INDEX(Inputs!$K$5:$AJ$230,0,MATCH(AA$2,Inputs!$K$4:$AJ$4,0)))+SUMPRODUCT((Inputs!$E$5:$E$230=$B106)*Inputs!$F$5:$F$230*(((Inputs!$G$5:$G$230="moeda")+(Inputs!$G$5:$G$230="acoes"))*Inputs!$B$1+((Inputs!$G$5:$G$230&lt;&gt;"moeda")*(Inputs!$G$5:$G$230&lt;&gt;"acoes")))*INDEX(Inputs!$K$5:$AJ$230,0,MATCH(AA$2,Inputs!$K$4:$AJ$4,0)))))</f>
        <v>9.349</v>
      </c>
      <c r="AB106" s="3">
        <f>SUM(X106:AA106)</f>
        <v>36.477</v>
      </c>
      <c r="AC106" s="6">
        <f>IF(ISNA(MATCH(AC$2,Inputs!$K$4:$AJ$4,0)),NA(),IF(SUMPRODUCT((Inputs!$A$5:$A$230=$B106)*ISNUMBER(INDEX(Inputs!$K$5:$AJ$230,0,MATCH(AC$2,Inputs!$K$4:$AJ$4,0))))+SUMPRODUCT((Inputs!$C$5:$C$230=$B106)*ISNUMBER(INDEX(Inputs!$K$5:$AJ$230,0,MATCH(AC$2,Inputs!$K$4:$AJ$4,0))))+SUMPRODUCT((Inputs!$E$5:$E$230=$B106)*ISNUMBER(INDEX(Inputs!$K$5:$AJ$230,0,MATCH(AC$2,Inputs!$K$4:$AJ$4,0))))=0,NA(),SUMPRODUCT((Inputs!$A$5:$A$230=$B106)*Inputs!$B$5:$B$230*(((Inputs!$G$5:$G$230="moeda")+(Inputs!$G$5:$G$230="acoes"))*Inputs!$B$1+((Inputs!$G$5:$G$230&lt;&gt;"moeda")*(Inputs!$G$5:$G$230&lt;&gt;"acoes")))*INDEX(Inputs!$K$5:$AJ$230,0,MATCH(AC$2,Inputs!$K$4:$AJ$4,0)))+SUMPRODUCT((Inputs!$C$5:$C$230=$B106)*Inputs!$D$5:$D$230*(((Inputs!$G$5:$G$230="moeda")+(Inputs!$G$5:$G$230="acoes"))*Inputs!$B$1+((Inputs!$G$5:$G$230&lt;&gt;"moeda")*(Inputs!$G$5:$G$230&lt;&gt;"acoes")))*INDEX(Inputs!$K$5:$AJ$230,0,MATCH(AC$2,Inputs!$K$4:$AJ$4,0)))+SUMPRODUCT((Inputs!$E$5:$E$230=$B106)*Inputs!$F$5:$F$230*(((Inputs!$G$5:$G$230="moeda")+(Inputs!$G$5:$G$230="acoes"))*Inputs!$B$1+((Inputs!$G$5:$G$230&lt;&gt;"moeda")*(Inputs!$G$5:$G$230&lt;&gt;"acoes")))*INDEX(Inputs!$K$5:$AJ$230,0,MATCH(AC$2,Inputs!$K$4:$AJ$4,0)))))</f>
        <v>15.151</v>
      </c>
      <c r="AD106" s="6">
        <f>IF(ISNA(MATCH(AD$2,Inputs!$K$4:$AJ$4,0)),NA(),IF(SUMPRODUCT((Inputs!$A$5:$A$230=$B106)*ISNUMBER(INDEX(Inputs!$K$5:$AJ$230,0,MATCH(AD$2,Inputs!$K$4:$AJ$4,0))))+SUMPRODUCT((Inputs!$C$5:$C$230=$B106)*ISNUMBER(INDEX(Inputs!$K$5:$AJ$230,0,MATCH(AD$2,Inputs!$K$4:$AJ$4,0))))+SUMPRODUCT((Inputs!$E$5:$E$230=$B106)*ISNUMBER(INDEX(Inputs!$K$5:$AJ$230,0,MATCH(AD$2,Inputs!$K$4:$AJ$4,0))))=0,NA(),SUMPRODUCT((Inputs!$A$5:$A$230=$B106)*Inputs!$B$5:$B$230*(((Inputs!$G$5:$G$230="moeda")+(Inputs!$G$5:$G$230="acoes"))*Inputs!$B$1+((Inputs!$G$5:$G$230&lt;&gt;"moeda")*(Inputs!$G$5:$G$230&lt;&gt;"acoes")))*INDEX(Inputs!$K$5:$AJ$230,0,MATCH(AD$2,Inputs!$K$4:$AJ$4,0)))+SUMPRODUCT((Inputs!$C$5:$C$230=$B106)*Inputs!$D$5:$D$230*(((Inputs!$G$5:$G$230="moeda")+(Inputs!$G$5:$G$230="acoes"))*Inputs!$B$1+((Inputs!$G$5:$G$230&lt;&gt;"moeda")*(Inputs!$G$5:$G$230&lt;&gt;"acoes")))*INDEX(Inputs!$K$5:$AJ$230,0,MATCH(AD$2,Inputs!$K$4:$AJ$4,0)))+SUMPRODUCT((Inputs!$E$5:$E$230=$B106)*Inputs!$F$5:$F$230*(((Inputs!$G$5:$G$230="moeda")+(Inputs!$G$5:$G$230="acoes"))*Inputs!$B$1+((Inputs!$G$5:$G$230&lt;&gt;"moeda")*(Inputs!$G$5:$G$230&lt;&gt;"acoes")))*INDEX(Inputs!$K$5:$AJ$230,0,MATCH(AD$2,Inputs!$K$4:$AJ$4,0)))))</f>
        <v>15.028</v>
      </c>
      <c r="AE106" s="6" t="e">
        <f>IF(ISNA(MATCH(AE$2,Inputs!$K$4:$AJ$4,0)),NA(),IF(SUMPRODUCT((Inputs!$A$5:$A$230=$B106)*ISNUMBER(INDEX(Inputs!$K$5:$AJ$230,0,MATCH(AE$2,Inputs!$K$4:$AJ$4,0))))+SUMPRODUCT((Inputs!$C$5:$C$230=$B106)*ISNUMBER(INDEX(Inputs!$K$5:$AJ$230,0,MATCH(AE$2,Inputs!$K$4:$AJ$4,0))))+SUMPRODUCT((Inputs!$E$5:$E$230=$B106)*ISNUMBER(INDEX(Inputs!$K$5:$AJ$230,0,MATCH(AE$2,Inputs!$K$4:$AJ$4,0))))=0,NA(),SUMPRODUCT((Inputs!$A$5:$A$230=$B106)*Inputs!$B$5:$B$230*(((Inputs!$G$5:$G$230="moeda")+(Inputs!$G$5:$G$230="acoes"))*Inputs!$B$1+((Inputs!$G$5:$G$230&lt;&gt;"moeda")*(Inputs!$G$5:$G$230&lt;&gt;"acoes")))*INDEX(Inputs!$K$5:$AJ$230,0,MATCH(AE$2,Inputs!$K$4:$AJ$4,0)))+SUMPRODUCT((Inputs!$C$5:$C$230=$B106)*Inputs!$D$5:$D$230*(((Inputs!$G$5:$G$230="moeda")+(Inputs!$G$5:$G$230="acoes"))*Inputs!$B$1+((Inputs!$G$5:$G$230&lt;&gt;"moeda")*(Inputs!$G$5:$G$230&lt;&gt;"acoes")))*INDEX(Inputs!$K$5:$AJ$230,0,MATCH(AE$2,Inputs!$K$4:$AJ$4,0)))+SUMPRODUCT((Inputs!$E$5:$E$230=$B106)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06" s="6" t="e">
        <f>IF(ISNA(MATCH(AF$2,Inputs!$K$4:$AJ$4,0)),NA(),IF(SUMPRODUCT((Inputs!$A$5:$A$230=$B106)*ISNUMBER(INDEX(Inputs!$K$5:$AJ$230,0,MATCH(AF$2,Inputs!$K$4:$AJ$4,0))))+SUMPRODUCT((Inputs!$C$5:$C$230=$B106)*ISNUMBER(INDEX(Inputs!$K$5:$AJ$230,0,MATCH(AF$2,Inputs!$K$4:$AJ$4,0))))+SUMPRODUCT((Inputs!$E$5:$E$230=$B106)*ISNUMBER(INDEX(Inputs!$K$5:$AJ$230,0,MATCH(AF$2,Inputs!$K$4:$AJ$4,0))))=0,NA(),SUMPRODUCT((Inputs!$A$5:$A$230=$B106)*Inputs!$B$5:$B$230*(((Inputs!$G$5:$G$230="moeda")+(Inputs!$G$5:$G$230="acoes"))*Inputs!$B$1+((Inputs!$G$5:$G$230&lt;&gt;"moeda")*(Inputs!$G$5:$G$230&lt;&gt;"acoes")))*INDEX(Inputs!$K$5:$AJ$230,0,MATCH(AF$2,Inputs!$K$4:$AJ$4,0)))+SUMPRODUCT((Inputs!$C$5:$C$230=$B106)*Inputs!$D$5:$D$230*(((Inputs!$G$5:$G$230="moeda")+(Inputs!$G$5:$G$230="acoes"))*Inputs!$B$1+((Inputs!$G$5:$G$230&lt;&gt;"moeda")*(Inputs!$G$5:$G$230&lt;&gt;"acoes")))*INDEX(Inputs!$K$5:$AJ$230,0,MATCH(AF$2,Inputs!$K$4:$AJ$4,0)))+SUMPRODUCT((Inputs!$E$5:$E$230=$B106)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06" s="3" t="e">
        <f>SUM(AC106:AF106)</f>
        <v>#N/A</v>
      </c>
      <c r="AH106" s="6">
        <f>IF(ISNA(MATCH(AH$2,Inputs!$K$4:$AJ$4,0)),NA(),IF(SUMPRODUCT((Inputs!$A$5:$A$230=$B106)*ISNUMBER(INDEX(Inputs!$K$5:$AJ$230,0,MATCH(AH$2,Inputs!$K$4:$AJ$4,0))))+SUMPRODUCT((Inputs!$C$5:$C$230=$B106)*ISNUMBER(INDEX(Inputs!$K$5:$AJ$230,0,MATCH(AH$2,Inputs!$K$4:$AJ$4,0))))+SUMPRODUCT((Inputs!$E$5:$E$230=$B106)*ISNUMBER(INDEX(Inputs!$K$5:$AJ$230,0,MATCH(AH$2,Inputs!$K$4:$AJ$4,0))))=0,NA(),SUMPRODUCT((Inputs!$A$5:$A$230=$B106)*Inputs!$B$5:$B$230*(((Inputs!$G$5:$G$230="moeda")+(Inputs!$G$5:$G$230="acoes"))*Inputs!$B$1+((Inputs!$G$5:$G$230&lt;&gt;"moeda")*(Inputs!$G$5:$G$230&lt;&gt;"acoes")))*INDEX(Inputs!$K$5:$AJ$230,0,MATCH(AH$2,Inputs!$K$4:$AJ$4,0)))+SUMPRODUCT((Inputs!$C$5:$C$230=$B106)*Inputs!$D$5:$D$230*(((Inputs!$G$5:$G$230="moeda")+(Inputs!$G$5:$G$230="acoes"))*Inputs!$B$1+((Inputs!$G$5:$G$230&lt;&gt;"moeda")*(Inputs!$G$5:$G$230&lt;&gt;"acoes")))*INDEX(Inputs!$K$5:$AJ$230,0,MATCH(AH$2,Inputs!$K$4:$AJ$4,0)))+SUMPRODUCT((Inputs!$E$5:$E$230=$B106)*Inputs!$F$5:$F$230*(((Inputs!$G$5:$G$230="moeda")+(Inputs!$G$5:$G$230="acoes"))*Inputs!$B$1+((Inputs!$G$5:$G$230&lt;&gt;"moeda")*(Inputs!$G$5:$G$230&lt;&gt;"acoes")))*INDEX(Inputs!$K$5:$AJ$230,0,MATCH(AH$2,Inputs!$K$4:$AJ$4,0)))))</f>
        <v>0</v>
      </c>
      <c r="AI106" s="6">
        <f>IF(ISNA(MATCH(AI$2,Inputs!$K$4:$AJ$4,0)),NA(),IF(SUMPRODUCT((Inputs!$A$5:$A$230=$B106)*ISNUMBER(INDEX(Inputs!$K$5:$AJ$230,0,MATCH(AI$2,Inputs!$K$4:$AJ$4,0))))+SUMPRODUCT((Inputs!$C$5:$C$230=$B106)*ISNUMBER(INDEX(Inputs!$K$5:$AJ$230,0,MATCH(AI$2,Inputs!$K$4:$AJ$4,0))))+SUMPRODUCT((Inputs!$E$5:$E$230=$B106)*ISNUMBER(INDEX(Inputs!$K$5:$AJ$230,0,MATCH(AI$2,Inputs!$K$4:$AJ$4,0))))=0,NA(),SUMPRODUCT((Inputs!$A$5:$A$230=$B106)*Inputs!$B$5:$B$230*(((Inputs!$G$5:$G$230="moeda")+(Inputs!$G$5:$G$230="acoes"))*Inputs!$B$1+((Inputs!$G$5:$G$230&lt;&gt;"moeda")*(Inputs!$G$5:$G$230&lt;&gt;"acoes")))*INDEX(Inputs!$K$5:$AJ$230,0,MATCH(AI$2,Inputs!$K$4:$AJ$4,0)))+SUMPRODUCT((Inputs!$C$5:$C$230=$B106)*Inputs!$D$5:$D$230*(((Inputs!$G$5:$G$230="moeda")+(Inputs!$G$5:$G$230="acoes"))*Inputs!$B$1+((Inputs!$G$5:$G$230&lt;&gt;"moeda")*(Inputs!$G$5:$G$230&lt;&gt;"acoes")))*INDEX(Inputs!$K$5:$AJ$230,0,MATCH(AI$2,Inputs!$K$4:$AJ$4,0)))+SUMPRODUCT((Inputs!$E$5:$E$230=$B106)*Inputs!$F$5:$F$230*(((Inputs!$G$5:$G$230="moeda")+(Inputs!$G$5:$G$230="acoes"))*Inputs!$B$1+((Inputs!$G$5:$G$230&lt;&gt;"moeda")*(Inputs!$G$5:$G$230&lt;&gt;"acoes")))*INDEX(Inputs!$K$5:$AJ$230,0,MATCH(AI$2,Inputs!$K$4:$AJ$4,0)))))</f>
        <v>0</v>
      </c>
      <c r="AJ106" s="6">
        <f>IF(ISNA(MATCH(AJ$2,Inputs!$K$4:$AJ$4,0)),NA(),IF(SUMPRODUCT((Inputs!$A$5:$A$230=$B106)*ISNUMBER(INDEX(Inputs!$K$5:$AJ$230,0,MATCH(AJ$2,Inputs!$K$4:$AJ$4,0))))+SUMPRODUCT((Inputs!$C$5:$C$230=$B106)*ISNUMBER(INDEX(Inputs!$K$5:$AJ$230,0,MATCH(AJ$2,Inputs!$K$4:$AJ$4,0))))+SUMPRODUCT((Inputs!$E$5:$E$230=$B106)*ISNUMBER(INDEX(Inputs!$K$5:$AJ$230,0,MATCH(AJ$2,Inputs!$K$4:$AJ$4,0))))=0,NA(),SUMPRODUCT((Inputs!$A$5:$A$230=$B106)*Inputs!$B$5:$B$230*(((Inputs!$G$5:$G$230="moeda")+(Inputs!$G$5:$G$230="acoes"))*Inputs!$B$1+((Inputs!$G$5:$G$230&lt;&gt;"moeda")*(Inputs!$G$5:$G$230&lt;&gt;"acoes")))*INDEX(Inputs!$K$5:$AJ$230,0,MATCH(AJ$2,Inputs!$K$4:$AJ$4,0)))+SUMPRODUCT((Inputs!$C$5:$C$230=$B106)*Inputs!$D$5:$D$230*(((Inputs!$G$5:$G$230="moeda")+(Inputs!$G$5:$G$230="acoes"))*Inputs!$B$1+((Inputs!$G$5:$G$230&lt;&gt;"moeda")*(Inputs!$G$5:$G$230&lt;&gt;"acoes")))*INDEX(Inputs!$K$5:$AJ$230,0,MATCH(AJ$2,Inputs!$K$4:$AJ$4,0)))+SUMPRODUCT((Inputs!$E$5:$E$230=$B106)*Inputs!$F$5:$F$230*(((Inputs!$G$5:$G$230="moeda")+(Inputs!$G$5:$G$230="acoes"))*Inputs!$B$1+((Inputs!$G$5:$G$230&lt;&gt;"moeda")*(Inputs!$G$5:$G$230&lt;&gt;"acoes")))*INDEX(Inputs!$K$5:$AJ$230,0,MATCH(AJ$2,Inputs!$K$4:$AJ$4,0)))))</f>
        <v>0</v>
      </c>
      <c r="AK106" s="6">
        <f>IF(ISNA(MATCH(AK$2,Inputs!$K$4:$AJ$4,0)),NA(),IF(SUMPRODUCT((Inputs!$A$5:$A$230=$B106)*ISNUMBER(INDEX(Inputs!$K$5:$AJ$230,0,MATCH(AK$2,Inputs!$K$4:$AJ$4,0))))+SUMPRODUCT((Inputs!$C$5:$C$230=$B106)*ISNUMBER(INDEX(Inputs!$K$5:$AJ$230,0,MATCH(AK$2,Inputs!$K$4:$AJ$4,0))))+SUMPRODUCT((Inputs!$E$5:$E$230=$B106)*ISNUMBER(INDEX(Inputs!$K$5:$AJ$230,0,MATCH(AK$2,Inputs!$K$4:$AJ$4,0))))=0,NA(),SUMPRODUCT((Inputs!$A$5:$A$230=$B106)*Inputs!$B$5:$B$230*(((Inputs!$G$5:$G$230="moeda")+(Inputs!$G$5:$G$230="acoes"))*Inputs!$B$1+((Inputs!$G$5:$G$230&lt;&gt;"moeda")*(Inputs!$G$5:$G$230&lt;&gt;"acoes")))*INDEX(Inputs!$K$5:$AJ$230,0,MATCH(AK$2,Inputs!$K$4:$AJ$4,0)))+SUMPRODUCT((Inputs!$C$5:$C$230=$B106)*Inputs!$D$5:$D$230*(((Inputs!$G$5:$G$230="moeda")+(Inputs!$G$5:$G$230="acoes"))*Inputs!$B$1+((Inputs!$G$5:$G$230&lt;&gt;"moeda")*(Inputs!$G$5:$G$230&lt;&gt;"acoes")))*INDEX(Inputs!$K$5:$AJ$230,0,MATCH(AK$2,Inputs!$K$4:$AJ$4,0)))+SUMPRODUCT((Inputs!$E$5:$E$230=$B106)*Inputs!$F$5:$F$230*(((Inputs!$G$5:$G$230="moeda")+(Inputs!$G$5:$G$230="acoes"))*Inputs!$B$1+((Inputs!$G$5:$G$230&lt;&gt;"moeda")*(Inputs!$G$5:$G$230&lt;&gt;"acoes")))*INDEX(Inputs!$K$5:$AJ$230,0,MATCH(AK$2,Inputs!$K$4:$AJ$4,0)))))</f>
        <v>0</v>
      </c>
      <c r="AL106" s="3">
        <f>SUM(AH106:AK106)</f>
        <v>0</v>
      </c>
    </row>
    <row r="107">
      <c r="B107" s="46" t="n">
        <v>99</v>
      </c>
      <c r="C107" s="29" t="inlineStr">
        <is>
          <t>Geracao | EAP IV</t>
        </is>
      </c>
      <c r="D107" s="6">
        <f>IF(ISNA(MATCH(D$2,Inputs!$K$4:$AJ$4,0)),NA(),IF(SUMPRODUCT((Inputs!$A$5:$A$230=$B107)*ISNUMBER(INDEX(Inputs!$K$5:$AJ$230,0,MATCH(D$2,Inputs!$K$4:$AJ$4,0))))+SUMPRODUCT((Inputs!$C$5:$C$230=$B107)*ISNUMBER(INDEX(Inputs!$K$5:$AJ$230,0,MATCH(D$2,Inputs!$K$4:$AJ$4,0))))+SUMPRODUCT((Inputs!$E$5:$E$230=$B107)*ISNUMBER(INDEX(Inputs!$K$5:$AJ$230,0,MATCH(D$2,Inputs!$K$4:$AJ$4,0))))=0,NA(),SUMPRODUCT((Inputs!$A$5:$A$230=$B107)*Inputs!$B$5:$B$230*(((Inputs!$G$5:$G$230="moeda")+(Inputs!$G$5:$G$230="acoes"))*Inputs!$B$1+((Inputs!$G$5:$G$230&lt;&gt;"moeda")*(Inputs!$G$5:$G$230&lt;&gt;"acoes")))*INDEX(Inputs!$K$5:$AJ$230,0,MATCH(D$2,Inputs!$K$4:$AJ$4,0)))+SUMPRODUCT((Inputs!$C$5:$C$230=$B107)*Inputs!$D$5:$D$230*(((Inputs!$G$5:$G$230="moeda")+(Inputs!$G$5:$G$230="acoes"))*Inputs!$B$1+((Inputs!$G$5:$G$230&lt;&gt;"moeda")*(Inputs!$G$5:$G$230&lt;&gt;"acoes")))*INDEX(Inputs!$K$5:$AJ$230,0,MATCH(D$2,Inputs!$K$4:$AJ$4,0)))+SUMPRODUCT((Inputs!$E$5:$E$230=$B107)*Inputs!$F$5:$F$230*(((Inputs!$G$5:$G$230="moeda")+(Inputs!$G$5:$G$230="acoes"))*Inputs!$B$1+((Inputs!$G$5:$G$230&lt;&gt;"moeda")*(Inputs!$G$5:$G$230&lt;&gt;"acoes")))*INDEX(Inputs!$K$5:$AJ$230,0,MATCH(D$2,Inputs!$K$4:$AJ$4,0)))))</f>
        <v>0</v>
      </c>
      <c r="E107" s="6">
        <f>IF(ISNA(MATCH(E$2,Inputs!$K$4:$AJ$4,0)),NA(),IF(SUMPRODUCT((Inputs!$A$5:$A$230=$B107)*ISNUMBER(INDEX(Inputs!$K$5:$AJ$230,0,MATCH(E$2,Inputs!$K$4:$AJ$4,0))))+SUMPRODUCT((Inputs!$C$5:$C$230=$B107)*ISNUMBER(INDEX(Inputs!$K$5:$AJ$230,0,MATCH(E$2,Inputs!$K$4:$AJ$4,0))))+SUMPRODUCT((Inputs!$E$5:$E$230=$B107)*ISNUMBER(INDEX(Inputs!$K$5:$AJ$230,0,MATCH(E$2,Inputs!$K$4:$AJ$4,0))))=0,NA(),SUMPRODUCT((Inputs!$A$5:$A$230=$B107)*Inputs!$B$5:$B$230*(((Inputs!$G$5:$G$230="moeda")+(Inputs!$G$5:$G$230="acoes"))*Inputs!$B$1+((Inputs!$G$5:$G$230&lt;&gt;"moeda")*(Inputs!$G$5:$G$230&lt;&gt;"acoes")))*INDEX(Inputs!$K$5:$AJ$230,0,MATCH(E$2,Inputs!$K$4:$AJ$4,0)))+SUMPRODUCT((Inputs!$C$5:$C$230=$B107)*Inputs!$D$5:$D$230*(((Inputs!$G$5:$G$230="moeda")+(Inputs!$G$5:$G$230="acoes"))*Inputs!$B$1+((Inputs!$G$5:$G$230&lt;&gt;"moeda")*(Inputs!$G$5:$G$230&lt;&gt;"acoes")))*INDEX(Inputs!$K$5:$AJ$230,0,MATCH(E$2,Inputs!$K$4:$AJ$4,0)))+SUMPRODUCT((Inputs!$E$5:$E$230=$B107)*Inputs!$F$5:$F$230*(((Inputs!$G$5:$G$230="moeda")+(Inputs!$G$5:$G$230="acoes"))*Inputs!$B$1+((Inputs!$G$5:$G$230&lt;&gt;"moeda")*(Inputs!$G$5:$G$230&lt;&gt;"acoes")))*INDEX(Inputs!$K$5:$AJ$230,0,MATCH(E$2,Inputs!$K$4:$AJ$4,0)))))</f>
        <v>0</v>
      </c>
      <c r="F107" s="6">
        <f>IF(ISNA(MATCH(F$2,Inputs!$K$4:$AJ$4,0)),NA(),IF(SUMPRODUCT((Inputs!$A$5:$A$230=$B107)*ISNUMBER(INDEX(Inputs!$K$5:$AJ$230,0,MATCH(F$2,Inputs!$K$4:$AJ$4,0))))+SUMPRODUCT((Inputs!$C$5:$C$230=$B107)*ISNUMBER(INDEX(Inputs!$K$5:$AJ$230,0,MATCH(F$2,Inputs!$K$4:$AJ$4,0))))+SUMPRODUCT((Inputs!$E$5:$E$230=$B107)*ISNUMBER(INDEX(Inputs!$K$5:$AJ$230,0,MATCH(F$2,Inputs!$K$4:$AJ$4,0))))=0,NA(),SUMPRODUCT((Inputs!$A$5:$A$230=$B107)*Inputs!$B$5:$B$230*(((Inputs!$G$5:$G$230="moeda")+(Inputs!$G$5:$G$230="acoes"))*Inputs!$B$1+((Inputs!$G$5:$G$230&lt;&gt;"moeda")*(Inputs!$G$5:$G$230&lt;&gt;"acoes")))*INDEX(Inputs!$K$5:$AJ$230,0,MATCH(F$2,Inputs!$K$4:$AJ$4,0)))+SUMPRODUCT((Inputs!$C$5:$C$230=$B107)*Inputs!$D$5:$D$230*(((Inputs!$G$5:$G$230="moeda")+(Inputs!$G$5:$G$230="acoes"))*Inputs!$B$1+((Inputs!$G$5:$G$230&lt;&gt;"moeda")*(Inputs!$G$5:$G$230&lt;&gt;"acoes")))*INDEX(Inputs!$K$5:$AJ$230,0,MATCH(F$2,Inputs!$K$4:$AJ$4,0)))+SUMPRODUCT((Inputs!$E$5:$E$230=$B107)*Inputs!$F$5:$F$230*(((Inputs!$G$5:$G$230="moeda")+(Inputs!$G$5:$G$230="acoes"))*Inputs!$B$1+((Inputs!$G$5:$G$230&lt;&gt;"moeda")*(Inputs!$G$5:$G$230&lt;&gt;"acoes")))*INDEX(Inputs!$K$5:$AJ$230,0,MATCH(F$2,Inputs!$K$4:$AJ$4,0)))))</f>
        <v>0</v>
      </c>
      <c r="G107" s="6">
        <f>IF(ISNA(MATCH(G$2,Inputs!$K$4:$AJ$4,0)),NA(),IF(SUMPRODUCT((Inputs!$A$5:$A$230=$B107)*ISNUMBER(INDEX(Inputs!$K$5:$AJ$230,0,MATCH(G$2,Inputs!$K$4:$AJ$4,0))))+SUMPRODUCT((Inputs!$C$5:$C$230=$B107)*ISNUMBER(INDEX(Inputs!$K$5:$AJ$230,0,MATCH(G$2,Inputs!$K$4:$AJ$4,0))))+SUMPRODUCT((Inputs!$E$5:$E$230=$B107)*ISNUMBER(INDEX(Inputs!$K$5:$AJ$230,0,MATCH(G$2,Inputs!$K$4:$AJ$4,0))))=0,NA(),SUMPRODUCT((Inputs!$A$5:$A$230=$B107)*Inputs!$B$5:$B$230*(((Inputs!$G$5:$G$230="moeda")+(Inputs!$G$5:$G$230="acoes"))*Inputs!$B$1+((Inputs!$G$5:$G$230&lt;&gt;"moeda")*(Inputs!$G$5:$G$230&lt;&gt;"acoes")))*INDEX(Inputs!$K$5:$AJ$230,0,MATCH(G$2,Inputs!$K$4:$AJ$4,0)))+SUMPRODUCT((Inputs!$C$5:$C$230=$B107)*Inputs!$D$5:$D$230*(((Inputs!$G$5:$G$230="moeda")+(Inputs!$G$5:$G$230="acoes"))*Inputs!$B$1+((Inputs!$G$5:$G$230&lt;&gt;"moeda")*(Inputs!$G$5:$G$230&lt;&gt;"acoes")))*INDEX(Inputs!$K$5:$AJ$230,0,MATCH(G$2,Inputs!$K$4:$AJ$4,0)))+SUMPRODUCT((Inputs!$E$5:$E$230=$B107)*Inputs!$F$5:$F$230*(((Inputs!$G$5:$G$230="moeda")+(Inputs!$G$5:$G$230="acoes"))*Inputs!$B$1+((Inputs!$G$5:$G$230&lt;&gt;"moeda")*(Inputs!$G$5:$G$230&lt;&gt;"acoes")))*INDEX(Inputs!$K$5:$AJ$230,0,MATCH(G$2,Inputs!$K$4:$AJ$4,0)))))</f>
        <v>0</v>
      </c>
      <c r="H107" s="3">
        <f>SUM(D107:G107)</f>
        <v>0</v>
      </c>
      <c r="I107" s="6">
        <f>IF(ISNA(MATCH(I$2,Inputs!$K$4:$AJ$4,0)),NA(),IF(SUMPRODUCT((Inputs!$A$5:$A$230=$B107)*ISNUMBER(INDEX(Inputs!$K$5:$AJ$230,0,MATCH(I$2,Inputs!$K$4:$AJ$4,0))))+SUMPRODUCT((Inputs!$C$5:$C$230=$B107)*ISNUMBER(INDEX(Inputs!$K$5:$AJ$230,0,MATCH(I$2,Inputs!$K$4:$AJ$4,0))))+SUMPRODUCT((Inputs!$E$5:$E$230=$B107)*ISNUMBER(INDEX(Inputs!$K$5:$AJ$230,0,MATCH(I$2,Inputs!$K$4:$AJ$4,0))))=0,NA(),SUMPRODUCT((Inputs!$A$5:$A$230=$B107)*Inputs!$B$5:$B$230*(((Inputs!$G$5:$G$230="moeda")+(Inputs!$G$5:$G$230="acoes"))*Inputs!$B$1+((Inputs!$G$5:$G$230&lt;&gt;"moeda")*(Inputs!$G$5:$G$230&lt;&gt;"acoes")))*INDEX(Inputs!$K$5:$AJ$230,0,MATCH(I$2,Inputs!$K$4:$AJ$4,0)))+SUMPRODUCT((Inputs!$C$5:$C$230=$B107)*Inputs!$D$5:$D$230*(((Inputs!$G$5:$G$230="moeda")+(Inputs!$G$5:$G$230="acoes"))*Inputs!$B$1+((Inputs!$G$5:$G$230&lt;&gt;"moeda")*(Inputs!$G$5:$G$230&lt;&gt;"acoes")))*INDEX(Inputs!$K$5:$AJ$230,0,MATCH(I$2,Inputs!$K$4:$AJ$4,0)))+SUMPRODUCT((Inputs!$E$5:$E$230=$B107)*Inputs!$F$5:$F$230*(((Inputs!$G$5:$G$230="moeda")+(Inputs!$G$5:$G$230="acoes"))*Inputs!$B$1+((Inputs!$G$5:$G$230&lt;&gt;"moeda")*(Inputs!$G$5:$G$230&lt;&gt;"acoes")))*INDEX(Inputs!$K$5:$AJ$230,0,MATCH(I$2,Inputs!$K$4:$AJ$4,0)))))</f>
        <v>0</v>
      </c>
      <c r="J107" s="6">
        <f>IF(ISNA(MATCH(J$2,Inputs!$K$4:$AJ$4,0)),NA(),IF(SUMPRODUCT((Inputs!$A$5:$A$230=$B107)*ISNUMBER(INDEX(Inputs!$K$5:$AJ$230,0,MATCH(J$2,Inputs!$K$4:$AJ$4,0))))+SUMPRODUCT((Inputs!$C$5:$C$230=$B107)*ISNUMBER(INDEX(Inputs!$K$5:$AJ$230,0,MATCH(J$2,Inputs!$K$4:$AJ$4,0))))+SUMPRODUCT((Inputs!$E$5:$E$230=$B107)*ISNUMBER(INDEX(Inputs!$K$5:$AJ$230,0,MATCH(J$2,Inputs!$K$4:$AJ$4,0))))=0,NA(),SUMPRODUCT((Inputs!$A$5:$A$230=$B107)*Inputs!$B$5:$B$230*(((Inputs!$G$5:$G$230="moeda")+(Inputs!$G$5:$G$230="acoes"))*Inputs!$B$1+((Inputs!$G$5:$G$230&lt;&gt;"moeda")*(Inputs!$G$5:$G$230&lt;&gt;"acoes")))*INDEX(Inputs!$K$5:$AJ$230,0,MATCH(J$2,Inputs!$K$4:$AJ$4,0)))+SUMPRODUCT((Inputs!$C$5:$C$230=$B107)*Inputs!$D$5:$D$230*(((Inputs!$G$5:$G$230="moeda")+(Inputs!$G$5:$G$230="acoes"))*Inputs!$B$1+((Inputs!$G$5:$G$230&lt;&gt;"moeda")*(Inputs!$G$5:$G$230&lt;&gt;"acoes")))*INDEX(Inputs!$K$5:$AJ$230,0,MATCH(J$2,Inputs!$K$4:$AJ$4,0)))+SUMPRODUCT((Inputs!$E$5:$E$230=$B107)*Inputs!$F$5:$F$230*(((Inputs!$G$5:$G$230="moeda")+(Inputs!$G$5:$G$230="acoes"))*Inputs!$B$1+((Inputs!$G$5:$G$230&lt;&gt;"moeda")*(Inputs!$G$5:$G$230&lt;&gt;"acoes")))*INDEX(Inputs!$K$5:$AJ$230,0,MATCH(J$2,Inputs!$K$4:$AJ$4,0)))))</f>
        <v>0</v>
      </c>
      <c r="K107" s="6">
        <f>IF(ISNA(MATCH(K$2,Inputs!$K$4:$AJ$4,0)),NA(),IF(SUMPRODUCT((Inputs!$A$5:$A$230=$B107)*ISNUMBER(INDEX(Inputs!$K$5:$AJ$230,0,MATCH(K$2,Inputs!$K$4:$AJ$4,0))))+SUMPRODUCT((Inputs!$C$5:$C$230=$B107)*ISNUMBER(INDEX(Inputs!$K$5:$AJ$230,0,MATCH(K$2,Inputs!$K$4:$AJ$4,0))))+SUMPRODUCT((Inputs!$E$5:$E$230=$B107)*ISNUMBER(INDEX(Inputs!$K$5:$AJ$230,0,MATCH(K$2,Inputs!$K$4:$AJ$4,0))))=0,NA(),SUMPRODUCT((Inputs!$A$5:$A$230=$B107)*Inputs!$B$5:$B$230*(((Inputs!$G$5:$G$230="moeda")+(Inputs!$G$5:$G$230="acoes"))*Inputs!$B$1+((Inputs!$G$5:$G$230&lt;&gt;"moeda")*(Inputs!$G$5:$G$230&lt;&gt;"acoes")))*INDEX(Inputs!$K$5:$AJ$230,0,MATCH(K$2,Inputs!$K$4:$AJ$4,0)))+SUMPRODUCT((Inputs!$C$5:$C$230=$B107)*Inputs!$D$5:$D$230*(((Inputs!$G$5:$G$230="moeda")+(Inputs!$G$5:$G$230="acoes"))*Inputs!$B$1+((Inputs!$G$5:$G$230&lt;&gt;"moeda")*(Inputs!$G$5:$G$230&lt;&gt;"acoes")))*INDEX(Inputs!$K$5:$AJ$230,0,MATCH(K$2,Inputs!$K$4:$AJ$4,0)))+SUMPRODUCT((Inputs!$E$5:$E$230=$B107)*Inputs!$F$5:$F$230*(((Inputs!$G$5:$G$230="moeda")+(Inputs!$G$5:$G$230="acoes"))*Inputs!$B$1+((Inputs!$G$5:$G$230&lt;&gt;"moeda")*(Inputs!$G$5:$G$230&lt;&gt;"acoes")))*INDEX(Inputs!$K$5:$AJ$230,0,MATCH(K$2,Inputs!$K$4:$AJ$4,0)))))</f>
        <v>0</v>
      </c>
      <c r="L107" s="6">
        <f>IF(ISNA(MATCH(L$2,Inputs!$K$4:$AJ$4,0)),NA(),IF(SUMPRODUCT((Inputs!$A$5:$A$230=$B107)*ISNUMBER(INDEX(Inputs!$K$5:$AJ$230,0,MATCH(L$2,Inputs!$K$4:$AJ$4,0))))+SUMPRODUCT((Inputs!$C$5:$C$230=$B107)*ISNUMBER(INDEX(Inputs!$K$5:$AJ$230,0,MATCH(L$2,Inputs!$K$4:$AJ$4,0))))+SUMPRODUCT((Inputs!$E$5:$E$230=$B107)*ISNUMBER(INDEX(Inputs!$K$5:$AJ$230,0,MATCH(L$2,Inputs!$K$4:$AJ$4,0))))=0,NA(),SUMPRODUCT((Inputs!$A$5:$A$230=$B107)*Inputs!$B$5:$B$230*(((Inputs!$G$5:$G$230="moeda")+(Inputs!$G$5:$G$230="acoes"))*Inputs!$B$1+((Inputs!$G$5:$G$230&lt;&gt;"moeda")*(Inputs!$G$5:$G$230&lt;&gt;"acoes")))*INDEX(Inputs!$K$5:$AJ$230,0,MATCH(L$2,Inputs!$K$4:$AJ$4,0)))+SUMPRODUCT((Inputs!$C$5:$C$230=$B107)*Inputs!$D$5:$D$230*(((Inputs!$G$5:$G$230="moeda")+(Inputs!$G$5:$G$230="acoes"))*Inputs!$B$1+((Inputs!$G$5:$G$230&lt;&gt;"moeda")*(Inputs!$G$5:$G$230&lt;&gt;"acoes")))*INDEX(Inputs!$K$5:$AJ$230,0,MATCH(L$2,Inputs!$K$4:$AJ$4,0)))+SUMPRODUCT((Inputs!$E$5:$E$230=$B107)*Inputs!$F$5:$F$230*(((Inputs!$G$5:$G$230="moeda")+(Inputs!$G$5:$G$230="acoes"))*Inputs!$B$1+((Inputs!$G$5:$G$230&lt;&gt;"moeda")*(Inputs!$G$5:$G$230&lt;&gt;"acoes")))*INDEX(Inputs!$K$5:$AJ$230,0,MATCH(L$2,Inputs!$K$4:$AJ$4,0)))))</f>
        <v>0</v>
      </c>
      <c r="M107" s="3">
        <f>SUM(I107:L107)</f>
        <v>0</v>
      </c>
      <c r="N107" s="6">
        <f>IF(ISNA(MATCH(N$2,Inputs!$K$4:$AJ$4,0)),NA(),IF(SUMPRODUCT((Inputs!$A$5:$A$230=$B107)*ISNUMBER(INDEX(Inputs!$K$5:$AJ$230,0,MATCH(N$2,Inputs!$K$4:$AJ$4,0))))+SUMPRODUCT((Inputs!$C$5:$C$230=$B107)*ISNUMBER(INDEX(Inputs!$K$5:$AJ$230,0,MATCH(N$2,Inputs!$K$4:$AJ$4,0))))+SUMPRODUCT((Inputs!$E$5:$E$230=$B107)*ISNUMBER(INDEX(Inputs!$K$5:$AJ$230,0,MATCH(N$2,Inputs!$K$4:$AJ$4,0))))=0,NA(),SUMPRODUCT((Inputs!$A$5:$A$230=$B107)*Inputs!$B$5:$B$230*(((Inputs!$G$5:$G$230="moeda")+(Inputs!$G$5:$G$230="acoes"))*Inputs!$B$1+((Inputs!$G$5:$G$230&lt;&gt;"moeda")*(Inputs!$G$5:$G$230&lt;&gt;"acoes")))*INDEX(Inputs!$K$5:$AJ$230,0,MATCH(N$2,Inputs!$K$4:$AJ$4,0)))+SUMPRODUCT((Inputs!$C$5:$C$230=$B107)*Inputs!$D$5:$D$230*(((Inputs!$G$5:$G$230="moeda")+(Inputs!$G$5:$G$230="acoes"))*Inputs!$B$1+((Inputs!$G$5:$G$230&lt;&gt;"moeda")*(Inputs!$G$5:$G$230&lt;&gt;"acoes")))*INDEX(Inputs!$K$5:$AJ$230,0,MATCH(N$2,Inputs!$K$4:$AJ$4,0)))+SUMPRODUCT((Inputs!$E$5:$E$230=$B107)*Inputs!$F$5:$F$230*(((Inputs!$G$5:$G$230="moeda")+(Inputs!$G$5:$G$230="acoes"))*Inputs!$B$1+((Inputs!$G$5:$G$230&lt;&gt;"moeda")*(Inputs!$G$5:$G$230&lt;&gt;"acoes")))*INDEX(Inputs!$K$5:$AJ$230,0,MATCH(N$2,Inputs!$K$4:$AJ$4,0)))))</f>
        <v>0</v>
      </c>
      <c r="O107" s="6">
        <f>IF(ISNA(MATCH(O$2,Inputs!$K$4:$AJ$4,0)),NA(),IF(SUMPRODUCT((Inputs!$A$5:$A$230=$B107)*ISNUMBER(INDEX(Inputs!$K$5:$AJ$230,0,MATCH(O$2,Inputs!$K$4:$AJ$4,0))))+SUMPRODUCT((Inputs!$C$5:$C$230=$B107)*ISNUMBER(INDEX(Inputs!$K$5:$AJ$230,0,MATCH(O$2,Inputs!$K$4:$AJ$4,0))))+SUMPRODUCT((Inputs!$E$5:$E$230=$B107)*ISNUMBER(INDEX(Inputs!$K$5:$AJ$230,0,MATCH(O$2,Inputs!$K$4:$AJ$4,0))))=0,NA(),SUMPRODUCT((Inputs!$A$5:$A$230=$B107)*Inputs!$B$5:$B$230*(((Inputs!$G$5:$G$230="moeda")+(Inputs!$G$5:$G$230="acoes"))*Inputs!$B$1+((Inputs!$G$5:$G$230&lt;&gt;"moeda")*(Inputs!$G$5:$G$230&lt;&gt;"acoes")))*INDEX(Inputs!$K$5:$AJ$230,0,MATCH(O$2,Inputs!$K$4:$AJ$4,0)))+SUMPRODUCT((Inputs!$C$5:$C$230=$B107)*Inputs!$D$5:$D$230*(((Inputs!$G$5:$G$230="moeda")+(Inputs!$G$5:$G$230="acoes"))*Inputs!$B$1+((Inputs!$G$5:$G$230&lt;&gt;"moeda")*(Inputs!$G$5:$G$230&lt;&gt;"acoes")))*INDEX(Inputs!$K$5:$AJ$230,0,MATCH(O$2,Inputs!$K$4:$AJ$4,0)))+SUMPRODUCT((Inputs!$E$5:$E$230=$B107)*Inputs!$F$5:$F$230*(((Inputs!$G$5:$G$230="moeda")+(Inputs!$G$5:$G$230="acoes"))*Inputs!$B$1+((Inputs!$G$5:$G$230&lt;&gt;"moeda")*(Inputs!$G$5:$G$230&lt;&gt;"acoes")))*INDEX(Inputs!$K$5:$AJ$230,0,MATCH(O$2,Inputs!$K$4:$AJ$4,0)))))</f>
        <v>0</v>
      </c>
      <c r="P107" s="6">
        <f>IF(ISNA(MATCH(P$2,Inputs!$K$4:$AJ$4,0)),NA(),IF(SUMPRODUCT((Inputs!$A$5:$A$230=$B107)*ISNUMBER(INDEX(Inputs!$K$5:$AJ$230,0,MATCH(P$2,Inputs!$K$4:$AJ$4,0))))+SUMPRODUCT((Inputs!$C$5:$C$230=$B107)*ISNUMBER(INDEX(Inputs!$K$5:$AJ$230,0,MATCH(P$2,Inputs!$K$4:$AJ$4,0))))+SUMPRODUCT((Inputs!$E$5:$E$230=$B107)*ISNUMBER(INDEX(Inputs!$K$5:$AJ$230,0,MATCH(P$2,Inputs!$K$4:$AJ$4,0))))=0,NA(),SUMPRODUCT((Inputs!$A$5:$A$230=$B107)*Inputs!$B$5:$B$230*(((Inputs!$G$5:$G$230="moeda")+(Inputs!$G$5:$G$230="acoes"))*Inputs!$B$1+((Inputs!$G$5:$G$230&lt;&gt;"moeda")*(Inputs!$G$5:$G$230&lt;&gt;"acoes")))*INDEX(Inputs!$K$5:$AJ$230,0,MATCH(P$2,Inputs!$K$4:$AJ$4,0)))+SUMPRODUCT((Inputs!$C$5:$C$230=$B107)*Inputs!$D$5:$D$230*(((Inputs!$G$5:$G$230="moeda")+(Inputs!$G$5:$G$230="acoes"))*Inputs!$B$1+((Inputs!$G$5:$G$230&lt;&gt;"moeda")*(Inputs!$G$5:$G$230&lt;&gt;"acoes")))*INDEX(Inputs!$K$5:$AJ$230,0,MATCH(P$2,Inputs!$K$4:$AJ$4,0)))+SUMPRODUCT((Inputs!$E$5:$E$230=$B107)*Inputs!$F$5:$F$230*(((Inputs!$G$5:$G$230="moeda")+(Inputs!$G$5:$G$230="acoes"))*Inputs!$B$1+((Inputs!$G$5:$G$230&lt;&gt;"moeda")*(Inputs!$G$5:$G$230&lt;&gt;"acoes")))*INDEX(Inputs!$K$5:$AJ$230,0,MATCH(P$2,Inputs!$K$4:$AJ$4,0)))))</f>
        <v>0</v>
      </c>
      <c r="Q107" s="6">
        <f>IF(ISNA(MATCH(Q$2,Inputs!$K$4:$AJ$4,0)),NA(),IF(SUMPRODUCT((Inputs!$A$5:$A$230=$B107)*ISNUMBER(INDEX(Inputs!$K$5:$AJ$230,0,MATCH(Q$2,Inputs!$K$4:$AJ$4,0))))+SUMPRODUCT((Inputs!$C$5:$C$230=$B107)*ISNUMBER(INDEX(Inputs!$K$5:$AJ$230,0,MATCH(Q$2,Inputs!$K$4:$AJ$4,0))))+SUMPRODUCT((Inputs!$E$5:$E$230=$B107)*ISNUMBER(INDEX(Inputs!$K$5:$AJ$230,0,MATCH(Q$2,Inputs!$K$4:$AJ$4,0))))=0,NA(),SUMPRODUCT((Inputs!$A$5:$A$230=$B107)*Inputs!$B$5:$B$230*(((Inputs!$G$5:$G$230="moeda")+(Inputs!$G$5:$G$230="acoes"))*Inputs!$B$1+((Inputs!$G$5:$G$230&lt;&gt;"moeda")*(Inputs!$G$5:$G$230&lt;&gt;"acoes")))*INDEX(Inputs!$K$5:$AJ$230,0,MATCH(Q$2,Inputs!$K$4:$AJ$4,0)))+SUMPRODUCT((Inputs!$C$5:$C$230=$B107)*Inputs!$D$5:$D$230*(((Inputs!$G$5:$G$230="moeda")+(Inputs!$G$5:$G$230="acoes"))*Inputs!$B$1+((Inputs!$G$5:$G$230&lt;&gt;"moeda")*(Inputs!$G$5:$G$230&lt;&gt;"acoes")))*INDEX(Inputs!$K$5:$AJ$230,0,MATCH(Q$2,Inputs!$K$4:$AJ$4,0)))+SUMPRODUCT((Inputs!$E$5:$E$230=$B107)*Inputs!$F$5:$F$230*(((Inputs!$G$5:$G$230="moeda")+(Inputs!$G$5:$G$230="acoes"))*Inputs!$B$1+((Inputs!$G$5:$G$230&lt;&gt;"moeda")*(Inputs!$G$5:$G$230&lt;&gt;"acoes")))*INDEX(Inputs!$K$5:$AJ$230,0,MATCH(Q$2,Inputs!$K$4:$AJ$4,0)))))</f>
        <v>0</v>
      </c>
      <c r="R107" s="3">
        <f>SUM(N107:Q107)</f>
        <v>0</v>
      </c>
      <c r="S107" s="6">
        <f>IF(ISNA(MATCH(S$2,Inputs!$K$4:$AJ$4,0)),NA(),IF(SUMPRODUCT((Inputs!$A$5:$A$230=$B107)*ISNUMBER(INDEX(Inputs!$K$5:$AJ$230,0,MATCH(S$2,Inputs!$K$4:$AJ$4,0))))+SUMPRODUCT((Inputs!$C$5:$C$230=$B107)*ISNUMBER(INDEX(Inputs!$K$5:$AJ$230,0,MATCH(S$2,Inputs!$K$4:$AJ$4,0))))+SUMPRODUCT((Inputs!$E$5:$E$230=$B107)*ISNUMBER(INDEX(Inputs!$K$5:$AJ$230,0,MATCH(S$2,Inputs!$K$4:$AJ$4,0))))=0,NA(),SUMPRODUCT((Inputs!$A$5:$A$230=$B107)*Inputs!$B$5:$B$230*(((Inputs!$G$5:$G$230="moeda")+(Inputs!$G$5:$G$230="acoes"))*Inputs!$B$1+((Inputs!$G$5:$G$230&lt;&gt;"moeda")*(Inputs!$G$5:$G$230&lt;&gt;"acoes")))*INDEX(Inputs!$K$5:$AJ$230,0,MATCH(S$2,Inputs!$K$4:$AJ$4,0)))+SUMPRODUCT((Inputs!$C$5:$C$230=$B107)*Inputs!$D$5:$D$230*(((Inputs!$G$5:$G$230="moeda")+(Inputs!$G$5:$G$230="acoes"))*Inputs!$B$1+((Inputs!$G$5:$G$230&lt;&gt;"moeda")*(Inputs!$G$5:$G$230&lt;&gt;"acoes")))*INDEX(Inputs!$K$5:$AJ$230,0,MATCH(S$2,Inputs!$K$4:$AJ$4,0)))+SUMPRODUCT((Inputs!$E$5:$E$230=$B107)*Inputs!$F$5:$F$230*(((Inputs!$G$5:$G$230="moeda")+(Inputs!$G$5:$G$230="acoes"))*Inputs!$B$1+((Inputs!$G$5:$G$230&lt;&gt;"moeda")*(Inputs!$G$5:$G$230&lt;&gt;"acoes")))*INDEX(Inputs!$K$5:$AJ$230,0,MATCH(S$2,Inputs!$K$4:$AJ$4,0)))))</f>
        <v>0</v>
      </c>
      <c r="T107" s="6">
        <f>IF(ISNA(MATCH(T$2,Inputs!$K$4:$AJ$4,0)),NA(),IF(SUMPRODUCT((Inputs!$A$5:$A$230=$B107)*ISNUMBER(INDEX(Inputs!$K$5:$AJ$230,0,MATCH(T$2,Inputs!$K$4:$AJ$4,0))))+SUMPRODUCT((Inputs!$C$5:$C$230=$B107)*ISNUMBER(INDEX(Inputs!$K$5:$AJ$230,0,MATCH(T$2,Inputs!$K$4:$AJ$4,0))))+SUMPRODUCT((Inputs!$E$5:$E$230=$B107)*ISNUMBER(INDEX(Inputs!$K$5:$AJ$230,0,MATCH(T$2,Inputs!$K$4:$AJ$4,0))))=0,NA(),SUMPRODUCT((Inputs!$A$5:$A$230=$B107)*Inputs!$B$5:$B$230*(((Inputs!$G$5:$G$230="moeda")+(Inputs!$G$5:$G$230="acoes"))*Inputs!$B$1+((Inputs!$G$5:$G$230&lt;&gt;"moeda")*(Inputs!$G$5:$G$230&lt;&gt;"acoes")))*INDEX(Inputs!$K$5:$AJ$230,0,MATCH(T$2,Inputs!$K$4:$AJ$4,0)))+SUMPRODUCT((Inputs!$C$5:$C$230=$B107)*Inputs!$D$5:$D$230*(((Inputs!$G$5:$G$230="moeda")+(Inputs!$G$5:$G$230="acoes"))*Inputs!$B$1+((Inputs!$G$5:$G$230&lt;&gt;"moeda")*(Inputs!$G$5:$G$230&lt;&gt;"acoes")))*INDEX(Inputs!$K$5:$AJ$230,0,MATCH(T$2,Inputs!$K$4:$AJ$4,0)))+SUMPRODUCT((Inputs!$E$5:$E$230=$B107)*Inputs!$F$5:$F$230*(((Inputs!$G$5:$G$230="moeda")+(Inputs!$G$5:$G$230="acoes"))*Inputs!$B$1+((Inputs!$G$5:$G$230&lt;&gt;"moeda")*(Inputs!$G$5:$G$230&lt;&gt;"acoes")))*INDEX(Inputs!$K$5:$AJ$230,0,MATCH(T$2,Inputs!$K$4:$AJ$4,0)))))</f>
        <v>0</v>
      </c>
      <c r="U107" s="6">
        <f>IF(ISNA(MATCH(U$2,Inputs!$K$4:$AJ$4,0)),NA(),IF(SUMPRODUCT((Inputs!$A$5:$A$230=$B107)*ISNUMBER(INDEX(Inputs!$K$5:$AJ$230,0,MATCH(U$2,Inputs!$K$4:$AJ$4,0))))+SUMPRODUCT((Inputs!$C$5:$C$230=$B107)*ISNUMBER(INDEX(Inputs!$K$5:$AJ$230,0,MATCH(U$2,Inputs!$K$4:$AJ$4,0))))+SUMPRODUCT((Inputs!$E$5:$E$230=$B107)*ISNUMBER(INDEX(Inputs!$K$5:$AJ$230,0,MATCH(U$2,Inputs!$K$4:$AJ$4,0))))=0,NA(),SUMPRODUCT((Inputs!$A$5:$A$230=$B107)*Inputs!$B$5:$B$230*(((Inputs!$G$5:$G$230="moeda")+(Inputs!$G$5:$G$230="acoes"))*Inputs!$B$1+((Inputs!$G$5:$G$230&lt;&gt;"moeda")*(Inputs!$G$5:$G$230&lt;&gt;"acoes")))*INDEX(Inputs!$K$5:$AJ$230,0,MATCH(U$2,Inputs!$K$4:$AJ$4,0)))+SUMPRODUCT((Inputs!$C$5:$C$230=$B107)*Inputs!$D$5:$D$230*(((Inputs!$G$5:$G$230="moeda")+(Inputs!$G$5:$G$230="acoes"))*Inputs!$B$1+((Inputs!$G$5:$G$230&lt;&gt;"moeda")*(Inputs!$G$5:$G$230&lt;&gt;"acoes")))*INDEX(Inputs!$K$5:$AJ$230,0,MATCH(U$2,Inputs!$K$4:$AJ$4,0)))+SUMPRODUCT((Inputs!$E$5:$E$230=$B107)*Inputs!$F$5:$F$230*(((Inputs!$G$5:$G$230="moeda")+(Inputs!$G$5:$G$230="acoes"))*Inputs!$B$1+((Inputs!$G$5:$G$230&lt;&gt;"moeda")*(Inputs!$G$5:$G$230&lt;&gt;"acoes")))*INDEX(Inputs!$K$5:$AJ$230,0,MATCH(U$2,Inputs!$K$4:$AJ$4,0)))))</f>
        <v>0</v>
      </c>
      <c r="V107" s="6">
        <f>IF(ISNA(MATCH(V$2,Inputs!$K$4:$AJ$4,0)),NA(),IF(SUMPRODUCT((Inputs!$A$5:$A$230=$B107)*ISNUMBER(INDEX(Inputs!$K$5:$AJ$230,0,MATCH(V$2,Inputs!$K$4:$AJ$4,0))))+SUMPRODUCT((Inputs!$C$5:$C$230=$B107)*ISNUMBER(INDEX(Inputs!$K$5:$AJ$230,0,MATCH(V$2,Inputs!$K$4:$AJ$4,0))))+SUMPRODUCT((Inputs!$E$5:$E$230=$B107)*ISNUMBER(INDEX(Inputs!$K$5:$AJ$230,0,MATCH(V$2,Inputs!$K$4:$AJ$4,0))))=0,NA(),SUMPRODUCT((Inputs!$A$5:$A$230=$B107)*Inputs!$B$5:$B$230*(((Inputs!$G$5:$G$230="moeda")+(Inputs!$G$5:$G$230="acoes"))*Inputs!$B$1+((Inputs!$G$5:$G$230&lt;&gt;"moeda")*(Inputs!$G$5:$G$230&lt;&gt;"acoes")))*INDEX(Inputs!$K$5:$AJ$230,0,MATCH(V$2,Inputs!$K$4:$AJ$4,0)))+SUMPRODUCT((Inputs!$C$5:$C$230=$B107)*Inputs!$D$5:$D$230*(((Inputs!$G$5:$G$230="moeda")+(Inputs!$G$5:$G$230="acoes"))*Inputs!$B$1+((Inputs!$G$5:$G$230&lt;&gt;"moeda")*(Inputs!$G$5:$G$230&lt;&gt;"acoes")))*INDEX(Inputs!$K$5:$AJ$230,0,MATCH(V$2,Inputs!$K$4:$AJ$4,0)))+SUMPRODUCT((Inputs!$E$5:$E$230=$B107)*Inputs!$F$5:$F$230*(((Inputs!$G$5:$G$230="moeda")+(Inputs!$G$5:$G$230="acoes"))*Inputs!$B$1+((Inputs!$G$5:$G$230&lt;&gt;"moeda")*(Inputs!$G$5:$G$230&lt;&gt;"acoes")))*INDEX(Inputs!$K$5:$AJ$230,0,MATCH(V$2,Inputs!$K$4:$AJ$4,0)))))</f>
        <v>0</v>
      </c>
      <c r="W107" s="3">
        <f>SUM(S107:V107)</f>
        <v>0</v>
      </c>
      <c r="X107" s="6">
        <f>IF(ISNA(MATCH(X$2,Inputs!$K$4:$AJ$4,0)),NA(),IF(SUMPRODUCT((Inputs!$A$5:$A$230=$B107)*ISNUMBER(INDEX(Inputs!$K$5:$AJ$230,0,MATCH(X$2,Inputs!$K$4:$AJ$4,0))))+SUMPRODUCT((Inputs!$C$5:$C$230=$B107)*ISNUMBER(INDEX(Inputs!$K$5:$AJ$230,0,MATCH(X$2,Inputs!$K$4:$AJ$4,0))))+SUMPRODUCT((Inputs!$E$5:$E$230=$B107)*ISNUMBER(INDEX(Inputs!$K$5:$AJ$230,0,MATCH(X$2,Inputs!$K$4:$AJ$4,0))))=0,NA(),SUMPRODUCT((Inputs!$A$5:$A$230=$B107)*Inputs!$B$5:$B$230*(((Inputs!$G$5:$G$230="moeda")+(Inputs!$G$5:$G$230="acoes"))*Inputs!$B$1+((Inputs!$G$5:$G$230&lt;&gt;"moeda")*(Inputs!$G$5:$G$230&lt;&gt;"acoes")))*INDEX(Inputs!$K$5:$AJ$230,0,MATCH(X$2,Inputs!$K$4:$AJ$4,0)))+SUMPRODUCT((Inputs!$C$5:$C$230=$B107)*Inputs!$D$5:$D$230*(((Inputs!$G$5:$G$230="moeda")+(Inputs!$G$5:$G$230="acoes"))*Inputs!$B$1+((Inputs!$G$5:$G$230&lt;&gt;"moeda")*(Inputs!$G$5:$G$230&lt;&gt;"acoes")))*INDEX(Inputs!$K$5:$AJ$230,0,MATCH(X$2,Inputs!$K$4:$AJ$4,0)))+SUMPRODUCT((Inputs!$E$5:$E$230=$B107)*Inputs!$F$5:$F$230*(((Inputs!$G$5:$G$230="moeda")+(Inputs!$G$5:$G$230="acoes"))*Inputs!$B$1+((Inputs!$G$5:$G$230&lt;&gt;"moeda")*(Inputs!$G$5:$G$230&lt;&gt;"acoes")))*INDEX(Inputs!$K$5:$AJ$230,0,MATCH(X$2,Inputs!$K$4:$AJ$4,0)))))</f>
        <v>0</v>
      </c>
      <c r="Y107" s="6">
        <f>IF(ISNA(MATCH(Y$2,Inputs!$K$4:$AJ$4,0)),NA(),IF(SUMPRODUCT((Inputs!$A$5:$A$230=$B107)*ISNUMBER(INDEX(Inputs!$K$5:$AJ$230,0,MATCH(Y$2,Inputs!$K$4:$AJ$4,0))))+SUMPRODUCT((Inputs!$C$5:$C$230=$B107)*ISNUMBER(INDEX(Inputs!$K$5:$AJ$230,0,MATCH(Y$2,Inputs!$K$4:$AJ$4,0))))+SUMPRODUCT((Inputs!$E$5:$E$230=$B107)*ISNUMBER(INDEX(Inputs!$K$5:$AJ$230,0,MATCH(Y$2,Inputs!$K$4:$AJ$4,0))))=0,NA(),SUMPRODUCT((Inputs!$A$5:$A$230=$B107)*Inputs!$B$5:$B$230*(((Inputs!$G$5:$G$230="moeda")+(Inputs!$G$5:$G$230="acoes"))*Inputs!$B$1+((Inputs!$G$5:$G$230&lt;&gt;"moeda")*(Inputs!$G$5:$G$230&lt;&gt;"acoes")))*INDEX(Inputs!$K$5:$AJ$230,0,MATCH(Y$2,Inputs!$K$4:$AJ$4,0)))+SUMPRODUCT((Inputs!$C$5:$C$230=$B107)*Inputs!$D$5:$D$230*(((Inputs!$G$5:$G$230="moeda")+(Inputs!$G$5:$G$230="acoes"))*Inputs!$B$1+((Inputs!$G$5:$G$230&lt;&gt;"moeda")*(Inputs!$G$5:$G$230&lt;&gt;"acoes")))*INDEX(Inputs!$K$5:$AJ$230,0,MATCH(Y$2,Inputs!$K$4:$AJ$4,0)))+SUMPRODUCT((Inputs!$E$5:$E$230=$B107)*Inputs!$F$5:$F$230*(((Inputs!$G$5:$G$230="moeda")+(Inputs!$G$5:$G$230="acoes"))*Inputs!$B$1+((Inputs!$G$5:$G$230&lt;&gt;"moeda")*(Inputs!$G$5:$G$230&lt;&gt;"acoes")))*INDEX(Inputs!$K$5:$AJ$230,0,MATCH(Y$2,Inputs!$K$4:$AJ$4,0)))))</f>
        <v>0</v>
      </c>
      <c r="Z107" s="6">
        <f>IF(ISNA(MATCH(Z$2,Inputs!$K$4:$AJ$4,0)),NA(),IF(SUMPRODUCT((Inputs!$A$5:$A$230=$B107)*ISNUMBER(INDEX(Inputs!$K$5:$AJ$230,0,MATCH(Z$2,Inputs!$K$4:$AJ$4,0))))+SUMPRODUCT((Inputs!$C$5:$C$230=$B107)*ISNUMBER(INDEX(Inputs!$K$5:$AJ$230,0,MATCH(Z$2,Inputs!$K$4:$AJ$4,0))))+SUMPRODUCT((Inputs!$E$5:$E$230=$B107)*ISNUMBER(INDEX(Inputs!$K$5:$AJ$230,0,MATCH(Z$2,Inputs!$K$4:$AJ$4,0))))=0,NA(),SUMPRODUCT((Inputs!$A$5:$A$230=$B107)*Inputs!$B$5:$B$230*(((Inputs!$G$5:$G$230="moeda")+(Inputs!$G$5:$G$230="acoes"))*Inputs!$B$1+((Inputs!$G$5:$G$230&lt;&gt;"moeda")*(Inputs!$G$5:$G$230&lt;&gt;"acoes")))*INDEX(Inputs!$K$5:$AJ$230,0,MATCH(Z$2,Inputs!$K$4:$AJ$4,0)))+SUMPRODUCT((Inputs!$C$5:$C$230=$B107)*Inputs!$D$5:$D$230*(((Inputs!$G$5:$G$230="moeda")+(Inputs!$G$5:$G$230="acoes"))*Inputs!$B$1+((Inputs!$G$5:$G$230&lt;&gt;"moeda")*(Inputs!$G$5:$G$230&lt;&gt;"acoes")))*INDEX(Inputs!$K$5:$AJ$230,0,MATCH(Z$2,Inputs!$K$4:$AJ$4,0)))+SUMPRODUCT((Inputs!$E$5:$E$230=$B107)*Inputs!$F$5:$F$230*(((Inputs!$G$5:$G$230="moeda")+(Inputs!$G$5:$G$230="acoes"))*Inputs!$B$1+((Inputs!$G$5:$G$230&lt;&gt;"moeda")*(Inputs!$G$5:$G$230&lt;&gt;"acoes")))*INDEX(Inputs!$K$5:$AJ$230,0,MATCH(Z$2,Inputs!$K$4:$AJ$4,0)))))</f>
        <v>0</v>
      </c>
      <c r="AA107" s="6">
        <f>IF(ISNA(MATCH(AA$2,Inputs!$K$4:$AJ$4,0)),NA(),IF(SUMPRODUCT((Inputs!$A$5:$A$230=$B107)*ISNUMBER(INDEX(Inputs!$K$5:$AJ$230,0,MATCH(AA$2,Inputs!$K$4:$AJ$4,0))))+SUMPRODUCT((Inputs!$C$5:$C$230=$B107)*ISNUMBER(INDEX(Inputs!$K$5:$AJ$230,0,MATCH(AA$2,Inputs!$K$4:$AJ$4,0))))+SUMPRODUCT((Inputs!$E$5:$E$230=$B107)*ISNUMBER(INDEX(Inputs!$K$5:$AJ$230,0,MATCH(AA$2,Inputs!$K$4:$AJ$4,0))))=0,NA(),SUMPRODUCT((Inputs!$A$5:$A$230=$B107)*Inputs!$B$5:$B$230*(((Inputs!$G$5:$G$230="moeda")+(Inputs!$G$5:$G$230="acoes"))*Inputs!$B$1+((Inputs!$G$5:$G$230&lt;&gt;"moeda")*(Inputs!$G$5:$G$230&lt;&gt;"acoes")))*INDEX(Inputs!$K$5:$AJ$230,0,MATCH(AA$2,Inputs!$K$4:$AJ$4,0)))+SUMPRODUCT((Inputs!$C$5:$C$230=$B107)*Inputs!$D$5:$D$230*(((Inputs!$G$5:$G$230="moeda")+(Inputs!$G$5:$G$230="acoes"))*Inputs!$B$1+((Inputs!$G$5:$G$230&lt;&gt;"moeda")*(Inputs!$G$5:$G$230&lt;&gt;"acoes")))*INDEX(Inputs!$K$5:$AJ$230,0,MATCH(AA$2,Inputs!$K$4:$AJ$4,0)))+SUMPRODUCT((Inputs!$E$5:$E$230=$B107)*Inputs!$F$5:$F$230*(((Inputs!$G$5:$G$230="moeda")+(Inputs!$G$5:$G$230="acoes"))*Inputs!$B$1+((Inputs!$G$5:$G$230&lt;&gt;"moeda")*(Inputs!$G$5:$G$230&lt;&gt;"acoes")))*INDEX(Inputs!$K$5:$AJ$230,0,MATCH(AA$2,Inputs!$K$4:$AJ$4,0)))))</f>
        <v>13.379</v>
      </c>
      <c r="AB107" s="3">
        <f>SUM(X107:AA107)</f>
        <v>13.379</v>
      </c>
      <c r="AC107" s="6">
        <f>IF(ISNA(MATCH(AC$2,Inputs!$K$4:$AJ$4,0)),NA(),IF(SUMPRODUCT((Inputs!$A$5:$A$230=$B107)*ISNUMBER(INDEX(Inputs!$K$5:$AJ$230,0,MATCH(AC$2,Inputs!$K$4:$AJ$4,0))))+SUMPRODUCT((Inputs!$C$5:$C$230=$B107)*ISNUMBER(INDEX(Inputs!$K$5:$AJ$230,0,MATCH(AC$2,Inputs!$K$4:$AJ$4,0))))+SUMPRODUCT((Inputs!$E$5:$E$230=$B107)*ISNUMBER(INDEX(Inputs!$K$5:$AJ$230,0,MATCH(AC$2,Inputs!$K$4:$AJ$4,0))))=0,NA(),SUMPRODUCT((Inputs!$A$5:$A$230=$B107)*Inputs!$B$5:$B$230*(((Inputs!$G$5:$G$230="moeda")+(Inputs!$G$5:$G$230="acoes"))*Inputs!$B$1+((Inputs!$G$5:$G$230&lt;&gt;"moeda")*(Inputs!$G$5:$G$230&lt;&gt;"acoes")))*INDEX(Inputs!$K$5:$AJ$230,0,MATCH(AC$2,Inputs!$K$4:$AJ$4,0)))+SUMPRODUCT((Inputs!$C$5:$C$230=$B107)*Inputs!$D$5:$D$230*(((Inputs!$G$5:$G$230="moeda")+(Inputs!$G$5:$G$230="acoes"))*Inputs!$B$1+((Inputs!$G$5:$G$230&lt;&gt;"moeda")*(Inputs!$G$5:$G$230&lt;&gt;"acoes")))*INDEX(Inputs!$K$5:$AJ$230,0,MATCH(AC$2,Inputs!$K$4:$AJ$4,0)))+SUMPRODUCT((Inputs!$E$5:$E$230=$B107)*Inputs!$F$5:$F$230*(((Inputs!$G$5:$G$230="moeda")+(Inputs!$G$5:$G$230="acoes"))*Inputs!$B$1+((Inputs!$G$5:$G$230&lt;&gt;"moeda")*(Inputs!$G$5:$G$230&lt;&gt;"acoes")))*INDEX(Inputs!$K$5:$AJ$230,0,MATCH(AC$2,Inputs!$K$4:$AJ$4,0)))))</f>
        <v>0</v>
      </c>
      <c r="AD107" s="6">
        <f>IF(ISNA(MATCH(AD$2,Inputs!$K$4:$AJ$4,0)),NA(),IF(SUMPRODUCT((Inputs!$A$5:$A$230=$B107)*ISNUMBER(INDEX(Inputs!$K$5:$AJ$230,0,MATCH(AD$2,Inputs!$K$4:$AJ$4,0))))+SUMPRODUCT((Inputs!$C$5:$C$230=$B107)*ISNUMBER(INDEX(Inputs!$K$5:$AJ$230,0,MATCH(AD$2,Inputs!$K$4:$AJ$4,0))))+SUMPRODUCT((Inputs!$E$5:$E$230=$B107)*ISNUMBER(INDEX(Inputs!$K$5:$AJ$230,0,MATCH(AD$2,Inputs!$K$4:$AJ$4,0))))=0,NA(),SUMPRODUCT((Inputs!$A$5:$A$230=$B107)*Inputs!$B$5:$B$230*(((Inputs!$G$5:$G$230="moeda")+(Inputs!$G$5:$G$230="acoes"))*Inputs!$B$1+((Inputs!$G$5:$G$230&lt;&gt;"moeda")*(Inputs!$G$5:$G$230&lt;&gt;"acoes")))*INDEX(Inputs!$K$5:$AJ$230,0,MATCH(AD$2,Inputs!$K$4:$AJ$4,0)))+SUMPRODUCT((Inputs!$C$5:$C$230=$B107)*Inputs!$D$5:$D$230*(((Inputs!$G$5:$G$230="moeda")+(Inputs!$G$5:$G$230="acoes"))*Inputs!$B$1+((Inputs!$G$5:$G$230&lt;&gt;"moeda")*(Inputs!$G$5:$G$230&lt;&gt;"acoes")))*INDEX(Inputs!$K$5:$AJ$230,0,MATCH(AD$2,Inputs!$K$4:$AJ$4,0)))+SUMPRODUCT((Inputs!$E$5:$E$230=$B107)*Inputs!$F$5:$F$230*(((Inputs!$G$5:$G$230="moeda")+(Inputs!$G$5:$G$230="acoes"))*Inputs!$B$1+((Inputs!$G$5:$G$230&lt;&gt;"moeda")*(Inputs!$G$5:$G$230&lt;&gt;"acoes")))*INDEX(Inputs!$K$5:$AJ$230,0,MATCH(AD$2,Inputs!$K$4:$AJ$4,0)))))</f>
        <v>0</v>
      </c>
      <c r="AE107" s="6" t="e">
        <f>IF(ISNA(MATCH(AE$2,Inputs!$K$4:$AJ$4,0)),NA(),IF(SUMPRODUCT((Inputs!$A$5:$A$230=$B107)*ISNUMBER(INDEX(Inputs!$K$5:$AJ$230,0,MATCH(AE$2,Inputs!$K$4:$AJ$4,0))))+SUMPRODUCT((Inputs!$C$5:$C$230=$B107)*ISNUMBER(INDEX(Inputs!$K$5:$AJ$230,0,MATCH(AE$2,Inputs!$K$4:$AJ$4,0))))+SUMPRODUCT((Inputs!$E$5:$E$230=$B107)*ISNUMBER(INDEX(Inputs!$K$5:$AJ$230,0,MATCH(AE$2,Inputs!$K$4:$AJ$4,0))))=0,NA(),SUMPRODUCT((Inputs!$A$5:$A$230=$B107)*Inputs!$B$5:$B$230*(((Inputs!$G$5:$G$230="moeda")+(Inputs!$G$5:$G$230="acoes"))*Inputs!$B$1+((Inputs!$G$5:$G$230&lt;&gt;"moeda")*(Inputs!$G$5:$G$230&lt;&gt;"acoes")))*INDEX(Inputs!$K$5:$AJ$230,0,MATCH(AE$2,Inputs!$K$4:$AJ$4,0)))+SUMPRODUCT((Inputs!$C$5:$C$230=$B107)*Inputs!$D$5:$D$230*(((Inputs!$G$5:$G$230="moeda")+(Inputs!$G$5:$G$230="acoes"))*Inputs!$B$1+((Inputs!$G$5:$G$230&lt;&gt;"moeda")*(Inputs!$G$5:$G$230&lt;&gt;"acoes")))*INDEX(Inputs!$K$5:$AJ$230,0,MATCH(AE$2,Inputs!$K$4:$AJ$4,0)))+SUMPRODUCT((Inputs!$E$5:$E$230=$B107)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07" s="6" t="e">
        <f>IF(ISNA(MATCH(AF$2,Inputs!$K$4:$AJ$4,0)),NA(),IF(SUMPRODUCT((Inputs!$A$5:$A$230=$B107)*ISNUMBER(INDEX(Inputs!$K$5:$AJ$230,0,MATCH(AF$2,Inputs!$K$4:$AJ$4,0))))+SUMPRODUCT((Inputs!$C$5:$C$230=$B107)*ISNUMBER(INDEX(Inputs!$K$5:$AJ$230,0,MATCH(AF$2,Inputs!$K$4:$AJ$4,0))))+SUMPRODUCT((Inputs!$E$5:$E$230=$B107)*ISNUMBER(INDEX(Inputs!$K$5:$AJ$230,0,MATCH(AF$2,Inputs!$K$4:$AJ$4,0))))=0,NA(),SUMPRODUCT((Inputs!$A$5:$A$230=$B107)*Inputs!$B$5:$B$230*(((Inputs!$G$5:$G$230="moeda")+(Inputs!$G$5:$G$230="acoes"))*Inputs!$B$1+((Inputs!$G$5:$G$230&lt;&gt;"moeda")*(Inputs!$G$5:$G$230&lt;&gt;"acoes")))*INDEX(Inputs!$K$5:$AJ$230,0,MATCH(AF$2,Inputs!$K$4:$AJ$4,0)))+SUMPRODUCT((Inputs!$C$5:$C$230=$B107)*Inputs!$D$5:$D$230*(((Inputs!$G$5:$G$230="moeda")+(Inputs!$G$5:$G$230="acoes"))*Inputs!$B$1+((Inputs!$G$5:$G$230&lt;&gt;"moeda")*(Inputs!$G$5:$G$230&lt;&gt;"acoes")))*INDEX(Inputs!$K$5:$AJ$230,0,MATCH(AF$2,Inputs!$K$4:$AJ$4,0)))+SUMPRODUCT((Inputs!$E$5:$E$230=$B107)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07" s="3" t="e">
        <f>SUM(AC107:AF107)</f>
        <v>#N/A</v>
      </c>
      <c r="AH107" s="6">
        <f>IF(ISNA(MATCH(AH$2,Inputs!$K$4:$AJ$4,0)),NA(),IF(SUMPRODUCT((Inputs!$A$5:$A$230=$B107)*ISNUMBER(INDEX(Inputs!$K$5:$AJ$230,0,MATCH(AH$2,Inputs!$K$4:$AJ$4,0))))+SUMPRODUCT((Inputs!$C$5:$C$230=$B107)*ISNUMBER(INDEX(Inputs!$K$5:$AJ$230,0,MATCH(AH$2,Inputs!$K$4:$AJ$4,0))))+SUMPRODUCT((Inputs!$E$5:$E$230=$B107)*ISNUMBER(INDEX(Inputs!$K$5:$AJ$230,0,MATCH(AH$2,Inputs!$K$4:$AJ$4,0))))=0,NA(),SUMPRODUCT((Inputs!$A$5:$A$230=$B107)*Inputs!$B$5:$B$230*(((Inputs!$G$5:$G$230="moeda")+(Inputs!$G$5:$G$230="acoes"))*Inputs!$B$1+((Inputs!$G$5:$G$230&lt;&gt;"moeda")*(Inputs!$G$5:$G$230&lt;&gt;"acoes")))*INDEX(Inputs!$K$5:$AJ$230,0,MATCH(AH$2,Inputs!$K$4:$AJ$4,0)))+SUMPRODUCT((Inputs!$C$5:$C$230=$B107)*Inputs!$D$5:$D$230*(((Inputs!$G$5:$G$230="moeda")+(Inputs!$G$5:$G$230="acoes"))*Inputs!$B$1+((Inputs!$G$5:$G$230&lt;&gt;"moeda")*(Inputs!$G$5:$G$230&lt;&gt;"acoes")))*INDEX(Inputs!$K$5:$AJ$230,0,MATCH(AH$2,Inputs!$K$4:$AJ$4,0)))+SUMPRODUCT((Inputs!$E$5:$E$230=$B107)*Inputs!$F$5:$F$230*(((Inputs!$G$5:$G$230="moeda")+(Inputs!$G$5:$G$230="acoes"))*Inputs!$B$1+((Inputs!$G$5:$G$230&lt;&gt;"moeda")*(Inputs!$G$5:$G$230&lt;&gt;"acoes")))*INDEX(Inputs!$K$5:$AJ$230,0,MATCH(AH$2,Inputs!$K$4:$AJ$4,0)))))</f>
        <v>0</v>
      </c>
      <c r="AI107" s="6">
        <f>IF(ISNA(MATCH(AI$2,Inputs!$K$4:$AJ$4,0)),NA(),IF(SUMPRODUCT((Inputs!$A$5:$A$230=$B107)*ISNUMBER(INDEX(Inputs!$K$5:$AJ$230,0,MATCH(AI$2,Inputs!$K$4:$AJ$4,0))))+SUMPRODUCT((Inputs!$C$5:$C$230=$B107)*ISNUMBER(INDEX(Inputs!$K$5:$AJ$230,0,MATCH(AI$2,Inputs!$K$4:$AJ$4,0))))+SUMPRODUCT((Inputs!$E$5:$E$230=$B107)*ISNUMBER(INDEX(Inputs!$K$5:$AJ$230,0,MATCH(AI$2,Inputs!$K$4:$AJ$4,0))))=0,NA(),SUMPRODUCT((Inputs!$A$5:$A$230=$B107)*Inputs!$B$5:$B$230*(((Inputs!$G$5:$G$230="moeda")+(Inputs!$G$5:$G$230="acoes"))*Inputs!$B$1+((Inputs!$G$5:$G$230&lt;&gt;"moeda")*(Inputs!$G$5:$G$230&lt;&gt;"acoes")))*INDEX(Inputs!$K$5:$AJ$230,0,MATCH(AI$2,Inputs!$K$4:$AJ$4,0)))+SUMPRODUCT((Inputs!$C$5:$C$230=$B107)*Inputs!$D$5:$D$230*(((Inputs!$G$5:$G$230="moeda")+(Inputs!$G$5:$G$230="acoes"))*Inputs!$B$1+((Inputs!$G$5:$G$230&lt;&gt;"moeda")*(Inputs!$G$5:$G$230&lt;&gt;"acoes")))*INDEX(Inputs!$K$5:$AJ$230,0,MATCH(AI$2,Inputs!$K$4:$AJ$4,0)))+SUMPRODUCT((Inputs!$E$5:$E$230=$B107)*Inputs!$F$5:$F$230*(((Inputs!$G$5:$G$230="moeda")+(Inputs!$G$5:$G$230="acoes"))*Inputs!$B$1+((Inputs!$G$5:$G$230&lt;&gt;"moeda")*(Inputs!$G$5:$G$230&lt;&gt;"acoes")))*INDEX(Inputs!$K$5:$AJ$230,0,MATCH(AI$2,Inputs!$K$4:$AJ$4,0)))))</f>
        <v>0</v>
      </c>
      <c r="AJ107" s="6">
        <f>IF(ISNA(MATCH(AJ$2,Inputs!$K$4:$AJ$4,0)),NA(),IF(SUMPRODUCT((Inputs!$A$5:$A$230=$B107)*ISNUMBER(INDEX(Inputs!$K$5:$AJ$230,0,MATCH(AJ$2,Inputs!$K$4:$AJ$4,0))))+SUMPRODUCT((Inputs!$C$5:$C$230=$B107)*ISNUMBER(INDEX(Inputs!$K$5:$AJ$230,0,MATCH(AJ$2,Inputs!$K$4:$AJ$4,0))))+SUMPRODUCT((Inputs!$E$5:$E$230=$B107)*ISNUMBER(INDEX(Inputs!$K$5:$AJ$230,0,MATCH(AJ$2,Inputs!$K$4:$AJ$4,0))))=0,NA(),SUMPRODUCT((Inputs!$A$5:$A$230=$B107)*Inputs!$B$5:$B$230*(((Inputs!$G$5:$G$230="moeda")+(Inputs!$G$5:$G$230="acoes"))*Inputs!$B$1+((Inputs!$G$5:$G$230&lt;&gt;"moeda")*(Inputs!$G$5:$G$230&lt;&gt;"acoes")))*INDEX(Inputs!$K$5:$AJ$230,0,MATCH(AJ$2,Inputs!$K$4:$AJ$4,0)))+SUMPRODUCT((Inputs!$C$5:$C$230=$B107)*Inputs!$D$5:$D$230*(((Inputs!$G$5:$G$230="moeda")+(Inputs!$G$5:$G$230="acoes"))*Inputs!$B$1+((Inputs!$G$5:$G$230&lt;&gt;"moeda")*(Inputs!$G$5:$G$230&lt;&gt;"acoes")))*INDEX(Inputs!$K$5:$AJ$230,0,MATCH(AJ$2,Inputs!$K$4:$AJ$4,0)))+SUMPRODUCT((Inputs!$E$5:$E$230=$B107)*Inputs!$F$5:$F$230*(((Inputs!$G$5:$G$230="moeda")+(Inputs!$G$5:$G$230="acoes"))*Inputs!$B$1+((Inputs!$G$5:$G$230&lt;&gt;"moeda")*(Inputs!$G$5:$G$230&lt;&gt;"acoes")))*INDEX(Inputs!$K$5:$AJ$230,0,MATCH(AJ$2,Inputs!$K$4:$AJ$4,0)))))</f>
        <v>0</v>
      </c>
      <c r="AK107" s="6">
        <f>IF(ISNA(MATCH(AK$2,Inputs!$K$4:$AJ$4,0)),NA(),IF(SUMPRODUCT((Inputs!$A$5:$A$230=$B107)*ISNUMBER(INDEX(Inputs!$K$5:$AJ$230,0,MATCH(AK$2,Inputs!$K$4:$AJ$4,0))))+SUMPRODUCT((Inputs!$C$5:$C$230=$B107)*ISNUMBER(INDEX(Inputs!$K$5:$AJ$230,0,MATCH(AK$2,Inputs!$K$4:$AJ$4,0))))+SUMPRODUCT((Inputs!$E$5:$E$230=$B107)*ISNUMBER(INDEX(Inputs!$K$5:$AJ$230,0,MATCH(AK$2,Inputs!$K$4:$AJ$4,0))))=0,NA(),SUMPRODUCT((Inputs!$A$5:$A$230=$B107)*Inputs!$B$5:$B$230*(((Inputs!$G$5:$G$230="moeda")+(Inputs!$G$5:$G$230="acoes"))*Inputs!$B$1+((Inputs!$G$5:$G$230&lt;&gt;"moeda")*(Inputs!$G$5:$G$230&lt;&gt;"acoes")))*INDEX(Inputs!$K$5:$AJ$230,0,MATCH(AK$2,Inputs!$K$4:$AJ$4,0)))+SUMPRODUCT((Inputs!$C$5:$C$230=$B107)*Inputs!$D$5:$D$230*(((Inputs!$G$5:$G$230="moeda")+(Inputs!$G$5:$G$230="acoes"))*Inputs!$B$1+((Inputs!$G$5:$G$230&lt;&gt;"moeda")*(Inputs!$G$5:$G$230&lt;&gt;"acoes")))*INDEX(Inputs!$K$5:$AJ$230,0,MATCH(AK$2,Inputs!$K$4:$AJ$4,0)))+SUMPRODUCT((Inputs!$E$5:$E$230=$B107)*Inputs!$F$5:$F$230*(((Inputs!$G$5:$G$230="moeda")+(Inputs!$G$5:$G$230="acoes"))*Inputs!$B$1+((Inputs!$G$5:$G$230&lt;&gt;"moeda")*(Inputs!$G$5:$G$230&lt;&gt;"acoes")))*INDEX(Inputs!$K$5:$AJ$230,0,MATCH(AK$2,Inputs!$K$4:$AJ$4,0)))))</f>
        <v>0</v>
      </c>
      <c r="AL107" s="3">
        <f>SUM(AH107:AK107)</f>
        <v>0</v>
      </c>
    </row>
    <row r="108">
      <c r="B108" s="46" t="n">
        <v>100</v>
      </c>
      <c r="C108" s="29" t="inlineStr">
        <is>
          <t>Geracao | UFV Pitombeira</t>
        </is>
      </c>
      <c r="D108" s="6" t="e">
        <f>IF(ISNA(MATCH(D$2,Inputs!$K$4:$AJ$4,0)),NA(),IF(SUMPRODUCT((Inputs!$A$5:$A$230=$B108)*ISNUMBER(INDEX(Inputs!$K$5:$AJ$230,0,MATCH(D$2,Inputs!$K$4:$AJ$4,0))))+SUMPRODUCT((Inputs!$C$5:$C$230=$B108)*ISNUMBER(INDEX(Inputs!$K$5:$AJ$230,0,MATCH(D$2,Inputs!$K$4:$AJ$4,0))))+SUMPRODUCT((Inputs!$E$5:$E$230=$B108)*ISNUMBER(INDEX(Inputs!$K$5:$AJ$230,0,MATCH(D$2,Inputs!$K$4:$AJ$4,0))))=0,NA(),SUMPRODUCT((Inputs!$A$5:$A$230=$B108)*Inputs!$B$5:$B$230*(((Inputs!$G$5:$G$230="moeda")+(Inputs!$G$5:$G$230="acoes"))*Inputs!$B$1+((Inputs!$G$5:$G$230&lt;&gt;"moeda")*(Inputs!$G$5:$G$230&lt;&gt;"acoes")))*INDEX(Inputs!$K$5:$AJ$230,0,MATCH(D$2,Inputs!$K$4:$AJ$4,0)))+SUMPRODUCT((Inputs!$C$5:$C$230=$B108)*Inputs!$D$5:$D$230*(((Inputs!$G$5:$G$230="moeda")+(Inputs!$G$5:$G$230="acoes"))*Inputs!$B$1+((Inputs!$G$5:$G$230&lt;&gt;"moeda")*(Inputs!$G$5:$G$230&lt;&gt;"acoes")))*INDEX(Inputs!$K$5:$AJ$230,0,MATCH(D$2,Inputs!$K$4:$AJ$4,0)))+SUMPRODUCT((Inputs!$E$5:$E$230=$B108)*Inputs!$F$5:$F$230*(((Inputs!$G$5:$G$230="moeda")+(Inputs!$G$5:$G$230="acoes"))*Inputs!$B$1+((Inputs!$G$5:$G$230&lt;&gt;"moeda")*(Inputs!$G$5:$G$230&lt;&gt;"acoes")))*INDEX(Inputs!$K$5:$AJ$230,0,MATCH(D$2,Inputs!$K$4:$AJ$4,0)))))</f>
        <v>#N/A</v>
      </c>
      <c r="E108" s="6" t="e">
        <f>IF(ISNA(MATCH(E$2,Inputs!$K$4:$AJ$4,0)),NA(),IF(SUMPRODUCT((Inputs!$A$5:$A$230=$B108)*ISNUMBER(INDEX(Inputs!$K$5:$AJ$230,0,MATCH(E$2,Inputs!$K$4:$AJ$4,0))))+SUMPRODUCT((Inputs!$C$5:$C$230=$B108)*ISNUMBER(INDEX(Inputs!$K$5:$AJ$230,0,MATCH(E$2,Inputs!$K$4:$AJ$4,0))))+SUMPRODUCT((Inputs!$E$5:$E$230=$B108)*ISNUMBER(INDEX(Inputs!$K$5:$AJ$230,0,MATCH(E$2,Inputs!$K$4:$AJ$4,0))))=0,NA(),SUMPRODUCT((Inputs!$A$5:$A$230=$B108)*Inputs!$B$5:$B$230*(((Inputs!$G$5:$G$230="moeda")+(Inputs!$G$5:$G$230="acoes"))*Inputs!$B$1+((Inputs!$G$5:$G$230&lt;&gt;"moeda")*(Inputs!$G$5:$G$230&lt;&gt;"acoes")))*INDEX(Inputs!$K$5:$AJ$230,0,MATCH(E$2,Inputs!$K$4:$AJ$4,0)))+SUMPRODUCT((Inputs!$C$5:$C$230=$B108)*Inputs!$D$5:$D$230*(((Inputs!$G$5:$G$230="moeda")+(Inputs!$G$5:$G$230="acoes"))*Inputs!$B$1+((Inputs!$G$5:$G$230&lt;&gt;"moeda")*(Inputs!$G$5:$G$230&lt;&gt;"acoes")))*INDEX(Inputs!$K$5:$AJ$230,0,MATCH(E$2,Inputs!$K$4:$AJ$4,0)))+SUMPRODUCT((Inputs!$E$5:$E$230=$B108)*Inputs!$F$5:$F$230*(((Inputs!$G$5:$G$230="moeda")+(Inputs!$G$5:$G$230="acoes"))*Inputs!$B$1+((Inputs!$G$5:$G$230&lt;&gt;"moeda")*(Inputs!$G$5:$G$230&lt;&gt;"acoes")))*INDEX(Inputs!$K$5:$AJ$230,0,MATCH(E$2,Inputs!$K$4:$AJ$4,0)))))</f>
        <v>#N/A</v>
      </c>
      <c r="F108" s="6" t="e">
        <f>IF(ISNA(MATCH(F$2,Inputs!$K$4:$AJ$4,0)),NA(),IF(SUMPRODUCT((Inputs!$A$5:$A$230=$B108)*ISNUMBER(INDEX(Inputs!$K$5:$AJ$230,0,MATCH(F$2,Inputs!$K$4:$AJ$4,0))))+SUMPRODUCT((Inputs!$C$5:$C$230=$B108)*ISNUMBER(INDEX(Inputs!$K$5:$AJ$230,0,MATCH(F$2,Inputs!$K$4:$AJ$4,0))))+SUMPRODUCT((Inputs!$E$5:$E$230=$B108)*ISNUMBER(INDEX(Inputs!$K$5:$AJ$230,0,MATCH(F$2,Inputs!$K$4:$AJ$4,0))))=0,NA(),SUMPRODUCT((Inputs!$A$5:$A$230=$B108)*Inputs!$B$5:$B$230*(((Inputs!$G$5:$G$230="moeda")+(Inputs!$G$5:$G$230="acoes"))*Inputs!$B$1+((Inputs!$G$5:$G$230&lt;&gt;"moeda")*(Inputs!$G$5:$G$230&lt;&gt;"acoes")))*INDEX(Inputs!$K$5:$AJ$230,0,MATCH(F$2,Inputs!$K$4:$AJ$4,0)))+SUMPRODUCT((Inputs!$C$5:$C$230=$B108)*Inputs!$D$5:$D$230*(((Inputs!$G$5:$G$230="moeda")+(Inputs!$G$5:$G$230="acoes"))*Inputs!$B$1+((Inputs!$G$5:$G$230&lt;&gt;"moeda")*(Inputs!$G$5:$G$230&lt;&gt;"acoes")))*INDEX(Inputs!$K$5:$AJ$230,0,MATCH(F$2,Inputs!$K$4:$AJ$4,0)))+SUMPRODUCT((Inputs!$E$5:$E$230=$B108)*Inputs!$F$5:$F$230*(((Inputs!$G$5:$G$230="moeda")+(Inputs!$G$5:$G$230="acoes"))*Inputs!$B$1+((Inputs!$G$5:$G$230&lt;&gt;"moeda")*(Inputs!$G$5:$G$230&lt;&gt;"acoes")))*INDEX(Inputs!$K$5:$AJ$230,0,MATCH(F$2,Inputs!$K$4:$AJ$4,0)))))</f>
        <v>#N/A</v>
      </c>
      <c r="G108" s="6">
        <f>IF(ISNA(MATCH(G$2,Inputs!$K$4:$AJ$4,0)),NA(),IF(SUMPRODUCT((Inputs!$A$5:$A$230=$B108)*ISNUMBER(INDEX(Inputs!$K$5:$AJ$230,0,MATCH(G$2,Inputs!$K$4:$AJ$4,0))))+SUMPRODUCT((Inputs!$C$5:$C$230=$B108)*ISNUMBER(INDEX(Inputs!$K$5:$AJ$230,0,MATCH(G$2,Inputs!$K$4:$AJ$4,0))))+SUMPRODUCT((Inputs!$E$5:$E$230=$B108)*ISNUMBER(INDEX(Inputs!$K$5:$AJ$230,0,MATCH(G$2,Inputs!$K$4:$AJ$4,0))))=0,NA(),SUMPRODUCT((Inputs!$A$5:$A$230=$B108)*Inputs!$B$5:$B$230*(((Inputs!$G$5:$G$230="moeda")+(Inputs!$G$5:$G$230="acoes"))*Inputs!$B$1+((Inputs!$G$5:$G$230&lt;&gt;"moeda")*(Inputs!$G$5:$G$230&lt;&gt;"acoes")))*INDEX(Inputs!$K$5:$AJ$230,0,MATCH(G$2,Inputs!$K$4:$AJ$4,0)))+SUMPRODUCT((Inputs!$C$5:$C$230=$B108)*Inputs!$D$5:$D$230*(((Inputs!$G$5:$G$230="moeda")+(Inputs!$G$5:$G$230="acoes"))*Inputs!$B$1+((Inputs!$G$5:$G$230&lt;&gt;"moeda")*(Inputs!$G$5:$G$230&lt;&gt;"acoes")))*INDEX(Inputs!$K$5:$AJ$230,0,MATCH(G$2,Inputs!$K$4:$AJ$4,0)))+SUMPRODUCT((Inputs!$E$5:$E$230=$B108)*Inputs!$F$5:$F$230*(((Inputs!$G$5:$G$230="moeda")+(Inputs!$G$5:$G$230="acoes"))*Inputs!$B$1+((Inputs!$G$5:$G$230&lt;&gt;"moeda")*(Inputs!$G$5:$G$230&lt;&gt;"acoes")))*INDEX(Inputs!$K$5:$AJ$230,0,MATCH(G$2,Inputs!$K$4:$AJ$4,0)))))</f>
        <v>0</v>
      </c>
      <c r="H108" s="3" t="e">
        <f>SUM(D108:G108)</f>
        <v>#N/A</v>
      </c>
      <c r="I108" s="6">
        <f>IF(ISNA(MATCH(I$2,Inputs!$K$4:$AJ$4,0)),NA(),IF(SUMPRODUCT((Inputs!$A$5:$A$230=$B108)*ISNUMBER(INDEX(Inputs!$K$5:$AJ$230,0,MATCH(I$2,Inputs!$K$4:$AJ$4,0))))+SUMPRODUCT((Inputs!$C$5:$C$230=$B108)*ISNUMBER(INDEX(Inputs!$K$5:$AJ$230,0,MATCH(I$2,Inputs!$K$4:$AJ$4,0))))+SUMPRODUCT((Inputs!$E$5:$E$230=$B108)*ISNUMBER(INDEX(Inputs!$K$5:$AJ$230,0,MATCH(I$2,Inputs!$K$4:$AJ$4,0))))=0,NA(),SUMPRODUCT((Inputs!$A$5:$A$230=$B108)*Inputs!$B$5:$B$230*(((Inputs!$G$5:$G$230="moeda")+(Inputs!$G$5:$G$230="acoes"))*Inputs!$B$1+((Inputs!$G$5:$G$230&lt;&gt;"moeda")*(Inputs!$G$5:$G$230&lt;&gt;"acoes")))*INDEX(Inputs!$K$5:$AJ$230,0,MATCH(I$2,Inputs!$K$4:$AJ$4,0)))+SUMPRODUCT((Inputs!$C$5:$C$230=$B108)*Inputs!$D$5:$D$230*(((Inputs!$G$5:$G$230="moeda")+(Inputs!$G$5:$G$230="acoes"))*Inputs!$B$1+((Inputs!$G$5:$G$230&lt;&gt;"moeda")*(Inputs!$G$5:$G$230&lt;&gt;"acoes")))*INDEX(Inputs!$K$5:$AJ$230,0,MATCH(I$2,Inputs!$K$4:$AJ$4,0)))+SUMPRODUCT((Inputs!$E$5:$E$230=$B108)*Inputs!$F$5:$F$230*(((Inputs!$G$5:$G$230="moeda")+(Inputs!$G$5:$G$230="acoes"))*Inputs!$B$1+((Inputs!$G$5:$G$230&lt;&gt;"moeda")*(Inputs!$G$5:$G$230&lt;&gt;"acoes")))*INDEX(Inputs!$K$5:$AJ$230,0,MATCH(I$2,Inputs!$K$4:$AJ$4,0)))))</f>
        <v>0</v>
      </c>
      <c r="J108" s="6">
        <f>IF(ISNA(MATCH(J$2,Inputs!$K$4:$AJ$4,0)),NA(),IF(SUMPRODUCT((Inputs!$A$5:$A$230=$B108)*ISNUMBER(INDEX(Inputs!$K$5:$AJ$230,0,MATCH(J$2,Inputs!$K$4:$AJ$4,0))))+SUMPRODUCT((Inputs!$C$5:$C$230=$B108)*ISNUMBER(INDEX(Inputs!$K$5:$AJ$230,0,MATCH(J$2,Inputs!$K$4:$AJ$4,0))))+SUMPRODUCT((Inputs!$E$5:$E$230=$B108)*ISNUMBER(INDEX(Inputs!$K$5:$AJ$230,0,MATCH(J$2,Inputs!$K$4:$AJ$4,0))))=0,NA(),SUMPRODUCT((Inputs!$A$5:$A$230=$B108)*Inputs!$B$5:$B$230*(((Inputs!$G$5:$G$230="moeda")+(Inputs!$G$5:$G$230="acoes"))*Inputs!$B$1+((Inputs!$G$5:$G$230&lt;&gt;"moeda")*(Inputs!$G$5:$G$230&lt;&gt;"acoes")))*INDEX(Inputs!$K$5:$AJ$230,0,MATCH(J$2,Inputs!$K$4:$AJ$4,0)))+SUMPRODUCT((Inputs!$C$5:$C$230=$B108)*Inputs!$D$5:$D$230*(((Inputs!$G$5:$G$230="moeda")+(Inputs!$G$5:$G$230="acoes"))*Inputs!$B$1+((Inputs!$G$5:$G$230&lt;&gt;"moeda")*(Inputs!$G$5:$G$230&lt;&gt;"acoes")))*INDEX(Inputs!$K$5:$AJ$230,0,MATCH(J$2,Inputs!$K$4:$AJ$4,0)))+SUMPRODUCT((Inputs!$E$5:$E$230=$B108)*Inputs!$F$5:$F$230*(((Inputs!$G$5:$G$230="moeda")+(Inputs!$G$5:$G$230="acoes"))*Inputs!$B$1+((Inputs!$G$5:$G$230&lt;&gt;"moeda")*(Inputs!$G$5:$G$230&lt;&gt;"acoes")))*INDEX(Inputs!$K$5:$AJ$230,0,MATCH(J$2,Inputs!$K$4:$AJ$4,0)))))</f>
        <v>0</v>
      </c>
      <c r="K108" s="6">
        <f>IF(ISNA(MATCH(K$2,Inputs!$K$4:$AJ$4,0)),NA(),IF(SUMPRODUCT((Inputs!$A$5:$A$230=$B108)*ISNUMBER(INDEX(Inputs!$K$5:$AJ$230,0,MATCH(K$2,Inputs!$K$4:$AJ$4,0))))+SUMPRODUCT((Inputs!$C$5:$C$230=$B108)*ISNUMBER(INDEX(Inputs!$K$5:$AJ$230,0,MATCH(K$2,Inputs!$K$4:$AJ$4,0))))+SUMPRODUCT((Inputs!$E$5:$E$230=$B108)*ISNUMBER(INDEX(Inputs!$K$5:$AJ$230,0,MATCH(K$2,Inputs!$K$4:$AJ$4,0))))=0,NA(),SUMPRODUCT((Inputs!$A$5:$A$230=$B108)*Inputs!$B$5:$B$230*(((Inputs!$G$5:$G$230="moeda")+(Inputs!$G$5:$G$230="acoes"))*Inputs!$B$1+((Inputs!$G$5:$G$230&lt;&gt;"moeda")*(Inputs!$G$5:$G$230&lt;&gt;"acoes")))*INDEX(Inputs!$K$5:$AJ$230,0,MATCH(K$2,Inputs!$K$4:$AJ$4,0)))+SUMPRODUCT((Inputs!$C$5:$C$230=$B108)*Inputs!$D$5:$D$230*(((Inputs!$G$5:$G$230="moeda")+(Inputs!$G$5:$G$230="acoes"))*Inputs!$B$1+((Inputs!$G$5:$G$230&lt;&gt;"moeda")*(Inputs!$G$5:$G$230&lt;&gt;"acoes")))*INDEX(Inputs!$K$5:$AJ$230,0,MATCH(K$2,Inputs!$K$4:$AJ$4,0)))+SUMPRODUCT((Inputs!$E$5:$E$230=$B108)*Inputs!$F$5:$F$230*(((Inputs!$G$5:$G$230="moeda")+(Inputs!$G$5:$G$230="acoes"))*Inputs!$B$1+((Inputs!$G$5:$G$230&lt;&gt;"moeda")*(Inputs!$G$5:$G$230&lt;&gt;"acoes")))*INDEX(Inputs!$K$5:$AJ$230,0,MATCH(K$2,Inputs!$K$4:$AJ$4,0)))))</f>
        <v>0</v>
      </c>
      <c r="L108" s="6">
        <f>IF(ISNA(MATCH(L$2,Inputs!$K$4:$AJ$4,0)),NA(),IF(SUMPRODUCT((Inputs!$A$5:$A$230=$B108)*ISNUMBER(INDEX(Inputs!$K$5:$AJ$230,0,MATCH(L$2,Inputs!$K$4:$AJ$4,0))))+SUMPRODUCT((Inputs!$C$5:$C$230=$B108)*ISNUMBER(INDEX(Inputs!$K$5:$AJ$230,0,MATCH(L$2,Inputs!$K$4:$AJ$4,0))))+SUMPRODUCT((Inputs!$E$5:$E$230=$B108)*ISNUMBER(INDEX(Inputs!$K$5:$AJ$230,0,MATCH(L$2,Inputs!$K$4:$AJ$4,0))))=0,NA(),SUMPRODUCT((Inputs!$A$5:$A$230=$B108)*Inputs!$B$5:$B$230*(((Inputs!$G$5:$G$230="moeda")+(Inputs!$G$5:$G$230="acoes"))*Inputs!$B$1+((Inputs!$G$5:$G$230&lt;&gt;"moeda")*(Inputs!$G$5:$G$230&lt;&gt;"acoes")))*INDEX(Inputs!$K$5:$AJ$230,0,MATCH(L$2,Inputs!$K$4:$AJ$4,0)))+SUMPRODUCT((Inputs!$C$5:$C$230=$B108)*Inputs!$D$5:$D$230*(((Inputs!$G$5:$G$230="moeda")+(Inputs!$G$5:$G$230="acoes"))*Inputs!$B$1+((Inputs!$G$5:$G$230&lt;&gt;"moeda")*(Inputs!$G$5:$G$230&lt;&gt;"acoes")))*INDEX(Inputs!$K$5:$AJ$230,0,MATCH(L$2,Inputs!$K$4:$AJ$4,0)))+SUMPRODUCT((Inputs!$E$5:$E$230=$B108)*Inputs!$F$5:$F$230*(((Inputs!$G$5:$G$230="moeda")+(Inputs!$G$5:$G$230="acoes"))*Inputs!$B$1+((Inputs!$G$5:$G$230&lt;&gt;"moeda")*(Inputs!$G$5:$G$230&lt;&gt;"acoes")))*INDEX(Inputs!$K$5:$AJ$230,0,MATCH(L$2,Inputs!$K$4:$AJ$4,0)))))</f>
        <v>0</v>
      </c>
      <c r="M108" s="3">
        <f>SUM(I108:L108)</f>
        <v>0</v>
      </c>
      <c r="N108" s="6">
        <f>IF(ISNA(MATCH(N$2,Inputs!$K$4:$AJ$4,0)),NA(),IF(SUMPRODUCT((Inputs!$A$5:$A$230=$B108)*ISNUMBER(INDEX(Inputs!$K$5:$AJ$230,0,MATCH(N$2,Inputs!$K$4:$AJ$4,0))))+SUMPRODUCT((Inputs!$C$5:$C$230=$B108)*ISNUMBER(INDEX(Inputs!$K$5:$AJ$230,0,MATCH(N$2,Inputs!$K$4:$AJ$4,0))))+SUMPRODUCT((Inputs!$E$5:$E$230=$B108)*ISNUMBER(INDEX(Inputs!$K$5:$AJ$230,0,MATCH(N$2,Inputs!$K$4:$AJ$4,0))))=0,NA(),SUMPRODUCT((Inputs!$A$5:$A$230=$B108)*Inputs!$B$5:$B$230*(((Inputs!$G$5:$G$230="moeda")+(Inputs!$G$5:$G$230="acoes"))*Inputs!$B$1+((Inputs!$G$5:$G$230&lt;&gt;"moeda")*(Inputs!$G$5:$G$230&lt;&gt;"acoes")))*INDEX(Inputs!$K$5:$AJ$230,0,MATCH(N$2,Inputs!$K$4:$AJ$4,0)))+SUMPRODUCT((Inputs!$C$5:$C$230=$B108)*Inputs!$D$5:$D$230*(((Inputs!$G$5:$G$230="moeda")+(Inputs!$G$5:$G$230="acoes"))*Inputs!$B$1+((Inputs!$G$5:$G$230&lt;&gt;"moeda")*(Inputs!$G$5:$G$230&lt;&gt;"acoes")))*INDEX(Inputs!$K$5:$AJ$230,0,MATCH(N$2,Inputs!$K$4:$AJ$4,0)))+SUMPRODUCT((Inputs!$E$5:$E$230=$B108)*Inputs!$F$5:$F$230*(((Inputs!$G$5:$G$230="moeda")+(Inputs!$G$5:$G$230="acoes"))*Inputs!$B$1+((Inputs!$G$5:$G$230&lt;&gt;"moeda")*(Inputs!$G$5:$G$230&lt;&gt;"acoes")))*INDEX(Inputs!$K$5:$AJ$230,0,MATCH(N$2,Inputs!$K$4:$AJ$4,0)))))</f>
        <v>0</v>
      </c>
      <c r="O108" s="6">
        <f>IF(ISNA(MATCH(O$2,Inputs!$K$4:$AJ$4,0)),NA(),IF(SUMPRODUCT((Inputs!$A$5:$A$230=$B108)*ISNUMBER(INDEX(Inputs!$K$5:$AJ$230,0,MATCH(O$2,Inputs!$K$4:$AJ$4,0))))+SUMPRODUCT((Inputs!$C$5:$C$230=$B108)*ISNUMBER(INDEX(Inputs!$K$5:$AJ$230,0,MATCH(O$2,Inputs!$K$4:$AJ$4,0))))+SUMPRODUCT((Inputs!$E$5:$E$230=$B108)*ISNUMBER(INDEX(Inputs!$K$5:$AJ$230,0,MATCH(O$2,Inputs!$K$4:$AJ$4,0))))=0,NA(),SUMPRODUCT((Inputs!$A$5:$A$230=$B108)*Inputs!$B$5:$B$230*(((Inputs!$G$5:$G$230="moeda")+(Inputs!$G$5:$G$230="acoes"))*Inputs!$B$1+((Inputs!$G$5:$G$230&lt;&gt;"moeda")*(Inputs!$G$5:$G$230&lt;&gt;"acoes")))*INDEX(Inputs!$K$5:$AJ$230,0,MATCH(O$2,Inputs!$K$4:$AJ$4,0)))+SUMPRODUCT((Inputs!$C$5:$C$230=$B108)*Inputs!$D$5:$D$230*(((Inputs!$G$5:$G$230="moeda")+(Inputs!$G$5:$G$230="acoes"))*Inputs!$B$1+((Inputs!$G$5:$G$230&lt;&gt;"moeda")*(Inputs!$G$5:$G$230&lt;&gt;"acoes")))*INDEX(Inputs!$K$5:$AJ$230,0,MATCH(O$2,Inputs!$K$4:$AJ$4,0)))+SUMPRODUCT((Inputs!$E$5:$E$230=$B108)*Inputs!$F$5:$F$230*(((Inputs!$G$5:$G$230="moeda")+(Inputs!$G$5:$G$230="acoes"))*Inputs!$B$1+((Inputs!$G$5:$G$230&lt;&gt;"moeda")*(Inputs!$G$5:$G$230&lt;&gt;"acoes")))*INDEX(Inputs!$K$5:$AJ$230,0,MATCH(O$2,Inputs!$K$4:$AJ$4,0)))))</f>
        <v>0</v>
      </c>
      <c r="P108" s="6">
        <f>IF(ISNA(MATCH(P$2,Inputs!$K$4:$AJ$4,0)),NA(),IF(SUMPRODUCT((Inputs!$A$5:$A$230=$B108)*ISNUMBER(INDEX(Inputs!$K$5:$AJ$230,0,MATCH(P$2,Inputs!$K$4:$AJ$4,0))))+SUMPRODUCT((Inputs!$C$5:$C$230=$B108)*ISNUMBER(INDEX(Inputs!$K$5:$AJ$230,0,MATCH(P$2,Inputs!$K$4:$AJ$4,0))))+SUMPRODUCT((Inputs!$E$5:$E$230=$B108)*ISNUMBER(INDEX(Inputs!$K$5:$AJ$230,0,MATCH(P$2,Inputs!$K$4:$AJ$4,0))))=0,NA(),SUMPRODUCT((Inputs!$A$5:$A$230=$B108)*Inputs!$B$5:$B$230*(((Inputs!$G$5:$G$230="moeda")+(Inputs!$G$5:$G$230="acoes"))*Inputs!$B$1+((Inputs!$G$5:$G$230&lt;&gt;"moeda")*(Inputs!$G$5:$G$230&lt;&gt;"acoes")))*INDEX(Inputs!$K$5:$AJ$230,0,MATCH(P$2,Inputs!$K$4:$AJ$4,0)))+SUMPRODUCT((Inputs!$C$5:$C$230=$B108)*Inputs!$D$5:$D$230*(((Inputs!$G$5:$G$230="moeda")+(Inputs!$G$5:$G$230="acoes"))*Inputs!$B$1+((Inputs!$G$5:$G$230&lt;&gt;"moeda")*(Inputs!$G$5:$G$230&lt;&gt;"acoes")))*INDEX(Inputs!$K$5:$AJ$230,0,MATCH(P$2,Inputs!$K$4:$AJ$4,0)))+SUMPRODUCT((Inputs!$E$5:$E$230=$B108)*Inputs!$F$5:$F$230*(((Inputs!$G$5:$G$230="moeda")+(Inputs!$G$5:$G$230="acoes"))*Inputs!$B$1+((Inputs!$G$5:$G$230&lt;&gt;"moeda")*(Inputs!$G$5:$G$230&lt;&gt;"acoes")))*INDEX(Inputs!$K$5:$AJ$230,0,MATCH(P$2,Inputs!$K$4:$AJ$4,0)))))</f>
        <v>0</v>
      </c>
      <c r="Q108" s="6">
        <f>IF(ISNA(MATCH(Q$2,Inputs!$K$4:$AJ$4,0)),NA(),IF(SUMPRODUCT((Inputs!$A$5:$A$230=$B108)*ISNUMBER(INDEX(Inputs!$K$5:$AJ$230,0,MATCH(Q$2,Inputs!$K$4:$AJ$4,0))))+SUMPRODUCT((Inputs!$C$5:$C$230=$B108)*ISNUMBER(INDEX(Inputs!$K$5:$AJ$230,0,MATCH(Q$2,Inputs!$K$4:$AJ$4,0))))+SUMPRODUCT((Inputs!$E$5:$E$230=$B108)*ISNUMBER(INDEX(Inputs!$K$5:$AJ$230,0,MATCH(Q$2,Inputs!$K$4:$AJ$4,0))))=0,NA(),SUMPRODUCT((Inputs!$A$5:$A$230=$B108)*Inputs!$B$5:$B$230*(((Inputs!$G$5:$G$230="moeda")+(Inputs!$G$5:$G$230="acoes"))*Inputs!$B$1+((Inputs!$G$5:$G$230&lt;&gt;"moeda")*(Inputs!$G$5:$G$230&lt;&gt;"acoes")))*INDEX(Inputs!$K$5:$AJ$230,0,MATCH(Q$2,Inputs!$K$4:$AJ$4,0)))+SUMPRODUCT((Inputs!$C$5:$C$230=$B108)*Inputs!$D$5:$D$230*(((Inputs!$G$5:$G$230="moeda")+(Inputs!$G$5:$G$230="acoes"))*Inputs!$B$1+((Inputs!$G$5:$G$230&lt;&gt;"moeda")*(Inputs!$G$5:$G$230&lt;&gt;"acoes")))*INDEX(Inputs!$K$5:$AJ$230,0,MATCH(Q$2,Inputs!$K$4:$AJ$4,0)))+SUMPRODUCT((Inputs!$E$5:$E$230=$B108)*Inputs!$F$5:$F$230*(((Inputs!$G$5:$G$230="moeda")+(Inputs!$G$5:$G$230="acoes"))*Inputs!$B$1+((Inputs!$G$5:$G$230&lt;&gt;"moeda")*(Inputs!$G$5:$G$230&lt;&gt;"acoes")))*INDEX(Inputs!$K$5:$AJ$230,0,MATCH(Q$2,Inputs!$K$4:$AJ$4,0)))))</f>
        <v>0.046</v>
      </c>
      <c r="R108" s="3">
        <f>SUM(N108:Q108)</f>
        <v>0.046</v>
      </c>
      <c r="S108" s="6">
        <f>IF(ISNA(MATCH(S$2,Inputs!$K$4:$AJ$4,0)),NA(),IF(SUMPRODUCT((Inputs!$A$5:$A$230=$B108)*ISNUMBER(INDEX(Inputs!$K$5:$AJ$230,0,MATCH(S$2,Inputs!$K$4:$AJ$4,0))))+SUMPRODUCT((Inputs!$C$5:$C$230=$B108)*ISNUMBER(INDEX(Inputs!$K$5:$AJ$230,0,MATCH(S$2,Inputs!$K$4:$AJ$4,0))))+SUMPRODUCT((Inputs!$E$5:$E$230=$B108)*ISNUMBER(INDEX(Inputs!$K$5:$AJ$230,0,MATCH(S$2,Inputs!$K$4:$AJ$4,0))))=0,NA(),SUMPRODUCT((Inputs!$A$5:$A$230=$B108)*Inputs!$B$5:$B$230*(((Inputs!$G$5:$G$230="moeda")+(Inputs!$G$5:$G$230="acoes"))*Inputs!$B$1+((Inputs!$G$5:$G$230&lt;&gt;"moeda")*(Inputs!$G$5:$G$230&lt;&gt;"acoes")))*INDEX(Inputs!$K$5:$AJ$230,0,MATCH(S$2,Inputs!$K$4:$AJ$4,0)))+SUMPRODUCT((Inputs!$C$5:$C$230=$B108)*Inputs!$D$5:$D$230*(((Inputs!$G$5:$G$230="moeda")+(Inputs!$G$5:$G$230="acoes"))*Inputs!$B$1+((Inputs!$G$5:$G$230&lt;&gt;"moeda")*(Inputs!$G$5:$G$230&lt;&gt;"acoes")))*INDEX(Inputs!$K$5:$AJ$230,0,MATCH(S$2,Inputs!$K$4:$AJ$4,0)))+SUMPRODUCT((Inputs!$E$5:$E$230=$B108)*Inputs!$F$5:$F$230*(((Inputs!$G$5:$G$230="moeda")+(Inputs!$G$5:$G$230="acoes"))*Inputs!$B$1+((Inputs!$G$5:$G$230&lt;&gt;"moeda")*(Inputs!$G$5:$G$230&lt;&gt;"acoes")))*INDEX(Inputs!$K$5:$AJ$230,0,MATCH(S$2,Inputs!$K$4:$AJ$4,0)))))</f>
        <v>1.68</v>
      </c>
      <c r="T108" s="6">
        <f>IF(ISNA(MATCH(T$2,Inputs!$K$4:$AJ$4,0)),NA(),IF(SUMPRODUCT((Inputs!$A$5:$A$230=$B108)*ISNUMBER(INDEX(Inputs!$K$5:$AJ$230,0,MATCH(T$2,Inputs!$K$4:$AJ$4,0))))+SUMPRODUCT((Inputs!$C$5:$C$230=$B108)*ISNUMBER(INDEX(Inputs!$K$5:$AJ$230,0,MATCH(T$2,Inputs!$K$4:$AJ$4,0))))+SUMPRODUCT((Inputs!$E$5:$E$230=$B108)*ISNUMBER(INDEX(Inputs!$K$5:$AJ$230,0,MATCH(T$2,Inputs!$K$4:$AJ$4,0))))=0,NA(),SUMPRODUCT((Inputs!$A$5:$A$230=$B108)*Inputs!$B$5:$B$230*(((Inputs!$G$5:$G$230="moeda")+(Inputs!$G$5:$G$230="acoes"))*Inputs!$B$1+((Inputs!$G$5:$G$230&lt;&gt;"moeda")*(Inputs!$G$5:$G$230&lt;&gt;"acoes")))*INDEX(Inputs!$K$5:$AJ$230,0,MATCH(T$2,Inputs!$K$4:$AJ$4,0)))+SUMPRODUCT((Inputs!$C$5:$C$230=$B108)*Inputs!$D$5:$D$230*(((Inputs!$G$5:$G$230="moeda")+(Inputs!$G$5:$G$230="acoes"))*Inputs!$B$1+((Inputs!$G$5:$G$230&lt;&gt;"moeda")*(Inputs!$G$5:$G$230&lt;&gt;"acoes")))*INDEX(Inputs!$K$5:$AJ$230,0,MATCH(T$2,Inputs!$K$4:$AJ$4,0)))+SUMPRODUCT((Inputs!$E$5:$E$230=$B108)*Inputs!$F$5:$F$230*(((Inputs!$G$5:$G$230="moeda")+(Inputs!$G$5:$G$230="acoes"))*Inputs!$B$1+((Inputs!$G$5:$G$230&lt;&gt;"moeda")*(Inputs!$G$5:$G$230&lt;&gt;"acoes")))*INDEX(Inputs!$K$5:$AJ$230,0,MATCH(T$2,Inputs!$K$4:$AJ$4,0)))))</f>
        <v>1.922</v>
      </c>
      <c r="U108" s="6">
        <f>IF(ISNA(MATCH(U$2,Inputs!$K$4:$AJ$4,0)),NA(),IF(SUMPRODUCT((Inputs!$A$5:$A$230=$B108)*ISNUMBER(INDEX(Inputs!$K$5:$AJ$230,0,MATCH(U$2,Inputs!$K$4:$AJ$4,0))))+SUMPRODUCT((Inputs!$C$5:$C$230=$B108)*ISNUMBER(INDEX(Inputs!$K$5:$AJ$230,0,MATCH(U$2,Inputs!$K$4:$AJ$4,0))))+SUMPRODUCT((Inputs!$E$5:$E$230=$B108)*ISNUMBER(INDEX(Inputs!$K$5:$AJ$230,0,MATCH(U$2,Inputs!$K$4:$AJ$4,0))))=0,NA(),SUMPRODUCT((Inputs!$A$5:$A$230=$B108)*Inputs!$B$5:$B$230*(((Inputs!$G$5:$G$230="moeda")+(Inputs!$G$5:$G$230="acoes"))*Inputs!$B$1+((Inputs!$G$5:$G$230&lt;&gt;"moeda")*(Inputs!$G$5:$G$230&lt;&gt;"acoes")))*INDEX(Inputs!$K$5:$AJ$230,0,MATCH(U$2,Inputs!$K$4:$AJ$4,0)))+SUMPRODUCT((Inputs!$C$5:$C$230=$B108)*Inputs!$D$5:$D$230*(((Inputs!$G$5:$G$230="moeda")+(Inputs!$G$5:$G$230="acoes"))*Inputs!$B$1+((Inputs!$G$5:$G$230&lt;&gt;"moeda")*(Inputs!$G$5:$G$230&lt;&gt;"acoes")))*INDEX(Inputs!$K$5:$AJ$230,0,MATCH(U$2,Inputs!$K$4:$AJ$4,0)))+SUMPRODUCT((Inputs!$E$5:$E$230=$B108)*Inputs!$F$5:$F$230*(((Inputs!$G$5:$G$230="moeda")+(Inputs!$G$5:$G$230="acoes"))*Inputs!$B$1+((Inputs!$G$5:$G$230&lt;&gt;"moeda")*(Inputs!$G$5:$G$230&lt;&gt;"acoes")))*INDEX(Inputs!$K$5:$AJ$230,0,MATCH(U$2,Inputs!$K$4:$AJ$4,0)))))</f>
        <v>5.14</v>
      </c>
      <c r="V108" s="6">
        <f>IF(ISNA(MATCH(V$2,Inputs!$K$4:$AJ$4,0)),NA(),IF(SUMPRODUCT((Inputs!$A$5:$A$230=$B108)*ISNUMBER(INDEX(Inputs!$K$5:$AJ$230,0,MATCH(V$2,Inputs!$K$4:$AJ$4,0))))+SUMPRODUCT((Inputs!$C$5:$C$230=$B108)*ISNUMBER(INDEX(Inputs!$K$5:$AJ$230,0,MATCH(V$2,Inputs!$K$4:$AJ$4,0))))+SUMPRODUCT((Inputs!$E$5:$E$230=$B108)*ISNUMBER(INDEX(Inputs!$K$5:$AJ$230,0,MATCH(V$2,Inputs!$K$4:$AJ$4,0))))=0,NA(),SUMPRODUCT((Inputs!$A$5:$A$230=$B108)*Inputs!$B$5:$B$230*(((Inputs!$G$5:$G$230="moeda")+(Inputs!$G$5:$G$230="acoes"))*Inputs!$B$1+((Inputs!$G$5:$G$230&lt;&gt;"moeda")*(Inputs!$G$5:$G$230&lt;&gt;"acoes")))*INDEX(Inputs!$K$5:$AJ$230,0,MATCH(V$2,Inputs!$K$4:$AJ$4,0)))+SUMPRODUCT((Inputs!$C$5:$C$230=$B108)*Inputs!$D$5:$D$230*(((Inputs!$G$5:$G$230="moeda")+(Inputs!$G$5:$G$230="acoes"))*Inputs!$B$1+((Inputs!$G$5:$G$230&lt;&gt;"moeda")*(Inputs!$G$5:$G$230&lt;&gt;"acoes")))*INDEX(Inputs!$K$5:$AJ$230,0,MATCH(V$2,Inputs!$K$4:$AJ$4,0)))+SUMPRODUCT((Inputs!$E$5:$E$230=$B108)*Inputs!$F$5:$F$230*(((Inputs!$G$5:$G$230="moeda")+(Inputs!$G$5:$G$230="acoes"))*Inputs!$B$1+((Inputs!$G$5:$G$230&lt;&gt;"moeda")*(Inputs!$G$5:$G$230&lt;&gt;"acoes")))*INDEX(Inputs!$K$5:$AJ$230,0,MATCH(V$2,Inputs!$K$4:$AJ$4,0)))))</f>
        <v>6.823</v>
      </c>
      <c r="W108" s="3">
        <f>SUM(S108:V108)</f>
        <v>15.565</v>
      </c>
      <c r="X108" s="6">
        <f>IF(ISNA(MATCH(X$2,Inputs!$K$4:$AJ$4,0)),NA(),IF(SUMPRODUCT((Inputs!$A$5:$A$230=$B108)*ISNUMBER(INDEX(Inputs!$K$5:$AJ$230,0,MATCH(X$2,Inputs!$K$4:$AJ$4,0))))+SUMPRODUCT((Inputs!$C$5:$C$230=$B108)*ISNUMBER(INDEX(Inputs!$K$5:$AJ$230,0,MATCH(X$2,Inputs!$K$4:$AJ$4,0))))+SUMPRODUCT((Inputs!$E$5:$E$230=$B108)*ISNUMBER(INDEX(Inputs!$K$5:$AJ$230,0,MATCH(X$2,Inputs!$K$4:$AJ$4,0))))=0,NA(),SUMPRODUCT((Inputs!$A$5:$A$230=$B108)*Inputs!$B$5:$B$230*(((Inputs!$G$5:$G$230="moeda")+(Inputs!$G$5:$G$230="acoes"))*Inputs!$B$1+((Inputs!$G$5:$G$230&lt;&gt;"moeda")*(Inputs!$G$5:$G$230&lt;&gt;"acoes")))*INDEX(Inputs!$K$5:$AJ$230,0,MATCH(X$2,Inputs!$K$4:$AJ$4,0)))+SUMPRODUCT((Inputs!$C$5:$C$230=$B108)*Inputs!$D$5:$D$230*(((Inputs!$G$5:$G$230="moeda")+(Inputs!$G$5:$G$230="acoes"))*Inputs!$B$1+((Inputs!$G$5:$G$230&lt;&gt;"moeda")*(Inputs!$G$5:$G$230&lt;&gt;"acoes")))*INDEX(Inputs!$K$5:$AJ$230,0,MATCH(X$2,Inputs!$K$4:$AJ$4,0)))+SUMPRODUCT((Inputs!$E$5:$E$230=$B108)*Inputs!$F$5:$F$230*(((Inputs!$G$5:$G$230="moeda")+(Inputs!$G$5:$G$230="acoes"))*Inputs!$B$1+((Inputs!$G$5:$G$230&lt;&gt;"moeda")*(Inputs!$G$5:$G$230&lt;&gt;"acoes")))*INDEX(Inputs!$K$5:$AJ$230,0,MATCH(X$2,Inputs!$K$4:$AJ$4,0)))))</f>
        <v>5.728</v>
      </c>
      <c r="Y108" s="6">
        <f>IF(ISNA(MATCH(Y$2,Inputs!$K$4:$AJ$4,0)),NA(),IF(SUMPRODUCT((Inputs!$A$5:$A$230=$B108)*ISNUMBER(INDEX(Inputs!$K$5:$AJ$230,0,MATCH(Y$2,Inputs!$K$4:$AJ$4,0))))+SUMPRODUCT((Inputs!$C$5:$C$230=$B108)*ISNUMBER(INDEX(Inputs!$K$5:$AJ$230,0,MATCH(Y$2,Inputs!$K$4:$AJ$4,0))))+SUMPRODUCT((Inputs!$E$5:$E$230=$B108)*ISNUMBER(INDEX(Inputs!$K$5:$AJ$230,0,MATCH(Y$2,Inputs!$K$4:$AJ$4,0))))=0,NA(),SUMPRODUCT((Inputs!$A$5:$A$230=$B108)*Inputs!$B$5:$B$230*(((Inputs!$G$5:$G$230="moeda")+(Inputs!$G$5:$G$230="acoes"))*Inputs!$B$1+((Inputs!$G$5:$G$230&lt;&gt;"moeda")*(Inputs!$G$5:$G$230&lt;&gt;"acoes")))*INDEX(Inputs!$K$5:$AJ$230,0,MATCH(Y$2,Inputs!$K$4:$AJ$4,0)))+SUMPRODUCT((Inputs!$C$5:$C$230=$B108)*Inputs!$D$5:$D$230*(((Inputs!$G$5:$G$230="moeda")+(Inputs!$G$5:$G$230="acoes"))*Inputs!$B$1+((Inputs!$G$5:$G$230&lt;&gt;"moeda")*(Inputs!$G$5:$G$230&lt;&gt;"acoes")))*INDEX(Inputs!$K$5:$AJ$230,0,MATCH(Y$2,Inputs!$K$4:$AJ$4,0)))+SUMPRODUCT((Inputs!$E$5:$E$230=$B108)*Inputs!$F$5:$F$230*(((Inputs!$G$5:$G$230="moeda")+(Inputs!$G$5:$G$230="acoes"))*Inputs!$B$1+((Inputs!$G$5:$G$230&lt;&gt;"moeda")*(Inputs!$G$5:$G$230&lt;&gt;"acoes")))*INDEX(Inputs!$K$5:$AJ$230,0,MATCH(Y$2,Inputs!$K$4:$AJ$4,0)))))</f>
        <v>6.613</v>
      </c>
      <c r="Z108" s="6">
        <f>IF(ISNA(MATCH(Z$2,Inputs!$K$4:$AJ$4,0)),NA(),IF(SUMPRODUCT((Inputs!$A$5:$A$230=$B108)*ISNUMBER(INDEX(Inputs!$K$5:$AJ$230,0,MATCH(Z$2,Inputs!$K$4:$AJ$4,0))))+SUMPRODUCT((Inputs!$C$5:$C$230=$B108)*ISNUMBER(INDEX(Inputs!$K$5:$AJ$230,0,MATCH(Z$2,Inputs!$K$4:$AJ$4,0))))+SUMPRODUCT((Inputs!$E$5:$E$230=$B108)*ISNUMBER(INDEX(Inputs!$K$5:$AJ$230,0,MATCH(Z$2,Inputs!$K$4:$AJ$4,0))))=0,NA(),SUMPRODUCT((Inputs!$A$5:$A$230=$B108)*Inputs!$B$5:$B$230*(((Inputs!$G$5:$G$230="moeda")+(Inputs!$G$5:$G$230="acoes"))*Inputs!$B$1+((Inputs!$G$5:$G$230&lt;&gt;"moeda")*(Inputs!$G$5:$G$230&lt;&gt;"acoes")))*INDEX(Inputs!$K$5:$AJ$230,0,MATCH(Z$2,Inputs!$K$4:$AJ$4,0)))+SUMPRODUCT((Inputs!$C$5:$C$230=$B108)*Inputs!$D$5:$D$230*(((Inputs!$G$5:$G$230="moeda")+(Inputs!$G$5:$G$230="acoes"))*Inputs!$B$1+((Inputs!$G$5:$G$230&lt;&gt;"moeda")*(Inputs!$G$5:$G$230&lt;&gt;"acoes")))*INDEX(Inputs!$K$5:$AJ$230,0,MATCH(Z$2,Inputs!$K$4:$AJ$4,0)))+SUMPRODUCT((Inputs!$E$5:$E$230=$B108)*Inputs!$F$5:$F$230*(((Inputs!$G$5:$G$230="moeda")+(Inputs!$G$5:$G$230="acoes"))*Inputs!$B$1+((Inputs!$G$5:$G$230&lt;&gt;"moeda")*(Inputs!$G$5:$G$230&lt;&gt;"acoes")))*INDEX(Inputs!$K$5:$AJ$230,0,MATCH(Z$2,Inputs!$K$4:$AJ$4,0)))))</f>
        <v>9.452</v>
      </c>
      <c r="AA108" s="6">
        <f>IF(ISNA(MATCH(AA$2,Inputs!$K$4:$AJ$4,0)),NA(),IF(SUMPRODUCT((Inputs!$A$5:$A$230=$B108)*ISNUMBER(INDEX(Inputs!$K$5:$AJ$230,0,MATCH(AA$2,Inputs!$K$4:$AJ$4,0))))+SUMPRODUCT((Inputs!$C$5:$C$230=$B108)*ISNUMBER(INDEX(Inputs!$K$5:$AJ$230,0,MATCH(AA$2,Inputs!$K$4:$AJ$4,0))))+SUMPRODUCT((Inputs!$E$5:$E$230=$B108)*ISNUMBER(INDEX(Inputs!$K$5:$AJ$230,0,MATCH(AA$2,Inputs!$K$4:$AJ$4,0))))=0,NA(),SUMPRODUCT((Inputs!$A$5:$A$230=$B108)*Inputs!$B$5:$B$230*(((Inputs!$G$5:$G$230="moeda")+(Inputs!$G$5:$G$230="acoes"))*Inputs!$B$1+((Inputs!$G$5:$G$230&lt;&gt;"moeda")*(Inputs!$G$5:$G$230&lt;&gt;"acoes")))*INDEX(Inputs!$K$5:$AJ$230,0,MATCH(AA$2,Inputs!$K$4:$AJ$4,0)))+SUMPRODUCT((Inputs!$C$5:$C$230=$B108)*Inputs!$D$5:$D$230*(((Inputs!$G$5:$G$230="moeda")+(Inputs!$G$5:$G$230="acoes"))*Inputs!$B$1+((Inputs!$G$5:$G$230&lt;&gt;"moeda")*(Inputs!$G$5:$G$230&lt;&gt;"acoes")))*INDEX(Inputs!$K$5:$AJ$230,0,MATCH(AA$2,Inputs!$K$4:$AJ$4,0)))+SUMPRODUCT((Inputs!$E$5:$E$230=$B108)*Inputs!$F$5:$F$230*(((Inputs!$G$5:$G$230="moeda")+(Inputs!$G$5:$G$230="acoes"))*Inputs!$B$1+((Inputs!$G$5:$G$230&lt;&gt;"moeda")*(Inputs!$G$5:$G$230&lt;&gt;"acoes")))*INDEX(Inputs!$K$5:$AJ$230,0,MATCH(AA$2,Inputs!$K$4:$AJ$4,0)))))</f>
        <v>12.013</v>
      </c>
      <c r="AB108" s="3">
        <f>SUM(X108:AA108)</f>
        <v>33.806</v>
      </c>
      <c r="AC108" s="6">
        <f>IF(ISNA(MATCH(AC$2,Inputs!$K$4:$AJ$4,0)),NA(),IF(SUMPRODUCT((Inputs!$A$5:$A$230=$B108)*ISNUMBER(INDEX(Inputs!$K$5:$AJ$230,0,MATCH(AC$2,Inputs!$K$4:$AJ$4,0))))+SUMPRODUCT((Inputs!$C$5:$C$230=$B108)*ISNUMBER(INDEX(Inputs!$K$5:$AJ$230,0,MATCH(AC$2,Inputs!$K$4:$AJ$4,0))))+SUMPRODUCT((Inputs!$E$5:$E$230=$B108)*ISNUMBER(INDEX(Inputs!$K$5:$AJ$230,0,MATCH(AC$2,Inputs!$K$4:$AJ$4,0))))=0,NA(),SUMPRODUCT((Inputs!$A$5:$A$230=$B108)*Inputs!$B$5:$B$230*(((Inputs!$G$5:$G$230="moeda")+(Inputs!$G$5:$G$230="acoes"))*Inputs!$B$1+((Inputs!$G$5:$G$230&lt;&gt;"moeda")*(Inputs!$G$5:$G$230&lt;&gt;"acoes")))*INDEX(Inputs!$K$5:$AJ$230,0,MATCH(AC$2,Inputs!$K$4:$AJ$4,0)))+SUMPRODUCT((Inputs!$C$5:$C$230=$B108)*Inputs!$D$5:$D$230*(((Inputs!$G$5:$G$230="moeda")+(Inputs!$G$5:$G$230="acoes"))*Inputs!$B$1+((Inputs!$G$5:$G$230&lt;&gt;"moeda")*(Inputs!$G$5:$G$230&lt;&gt;"acoes")))*INDEX(Inputs!$K$5:$AJ$230,0,MATCH(AC$2,Inputs!$K$4:$AJ$4,0)))+SUMPRODUCT((Inputs!$E$5:$E$230=$B108)*Inputs!$F$5:$F$230*(((Inputs!$G$5:$G$230="moeda")+(Inputs!$G$5:$G$230="acoes"))*Inputs!$B$1+((Inputs!$G$5:$G$230&lt;&gt;"moeda")*(Inputs!$G$5:$G$230&lt;&gt;"acoes")))*INDEX(Inputs!$K$5:$AJ$230,0,MATCH(AC$2,Inputs!$K$4:$AJ$4,0)))))</f>
        <v>12.872</v>
      </c>
      <c r="AD108" s="6">
        <f>IF(ISNA(MATCH(AD$2,Inputs!$K$4:$AJ$4,0)),NA(),IF(SUMPRODUCT((Inputs!$A$5:$A$230=$B108)*ISNUMBER(INDEX(Inputs!$K$5:$AJ$230,0,MATCH(AD$2,Inputs!$K$4:$AJ$4,0))))+SUMPRODUCT((Inputs!$C$5:$C$230=$B108)*ISNUMBER(INDEX(Inputs!$K$5:$AJ$230,0,MATCH(AD$2,Inputs!$K$4:$AJ$4,0))))+SUMPRODUCT((Inputs!$E$5:$E$230=$B108)*ISNUMBER(INDEX(Inputs!$K$5:$AJ$230,0,MATCH(AD$2,Inputs!$K$4:$AJ$4,0))))=0,NA(),SUMPRODUCT((Inputs!$A$5:$A$230=$B108)*Inputs!$B$5:$B$230*(((Inputs!$G$5:$G$230="moeda")+(Inputs!$G$5:$G$230="acoes"))*Inputs!$B$1+((Inputs!$G$5:$G$230&lt;&gt;"moeda")*(Inputs!$G$5:$G$230&lt;&gt;"acoes")))*INDEX(Inputs!$K$5:$AJ$230,0,MATCH(AD$2,Inputs!$K$4:$AJ$4,0)))+SUMPRODUCT((Inputs!$C$5:$C$230=$B108)*Inputs!$D$5:$D$230*(((Inputs!$G$5:$G$230="moeda")+(Inputs!$G$5:$G$230="acoes"))*Inputs!$B$1+((Inputs!$G$5:$G$230&lt;&gt;"moeda")*(Inputs!$G$5:$G$230&lt;&gt;"acoes")))*INDEX(Inputs!$K$5:$AJ$230,0,MATCH(AD$2,Inputs!$K$4:$AJ$4,0)))+SUMPRODUCT((Inputs!$E$5:$E$230=$B108)*Inputs!$F$5:$F$230*(((Inputs!$G$5:$G$230="moeda")+(Inputs!$G$5:$G$230="acoes"))*Inputs!$B$1+((Inputs!$G$5:$G$230&lt;&gt;"moeda")*(Inputs!$G$5:$G$230&lt;&gt;"acoes")))*INDEX(Inputs!$K$5:$AJ$230,0,MATCH(AD$2,Inputs!$K$4:$AJ$4,0)))))</f>
        <v>9.481</v>
      </c>
      <c r="AE108" s="6" t="e">
        <f>IF(ISNA(MATCH(AE$2,Inputs!$K$4:$AJ$4,0)),NA(),IF(SUMPRODUCT((Inputs!$A$5:$A$230=$B108)*ISNUMBER(INDEX(Inputs!$K$5:$AJ$230,0,MATCH(AE$2,Inputs!$K$4:$AJ$4,0))))+SUMPRODUCT((Inputs!$C$5:$C$230=$B108)*ISNUMBER(INDEX(Inputs!$K$5:$AJ$230,0,MATCH(AE$2,Inputs!$K$4:$AJ$4,0))))+SUMPRODUCT((Inputs!$E$5:$E$230=$B108)*ISNUMBER(INDEX(Inputs!$K$5:$AJ$230,0,MATCH(AE$2,Inputs!$K$4:$AJ$4,0))))=0,NA(),SUMPRODUCT((Inputs!$A$5:$A$230=$B108)*Inputs!$B$5:$B$230*(((Inputs!$G$5:$G$230="moeda")+(Inputs!$G$5:$G$230="acoes"))*Inputs!$B$1+((Inputs!$G$5:$G$230&lt;&gt;"moeda")*(Inputs!$G$5:$G$230&lt;&gt;"acoes")))*INDEX(Inputs!$K$5:$AJ$230,0,MATCH(AE$2,Inputs!$K$4:$AJ$4,0)))+SUMPRODUCT((Inputs!$C$5:$C$230=$B108)*Inputs!$D$5:$D$230*(((Inputs!$G$5:$G$230="moeda")+(Inputs!$G$5:$G$230="acoes"))*Inputs!$B$1+((Inputs!$G$5:$G$230&lt;&gt;"moeda")*(Inputs!$G$5:$G$230&lt;&gt;"acoes")))*INDEX(Inputs!$K$5:$AJ$230,0,MATCH(AE$2,Inputs!$K$4:$AJ$4,0)))+SUMPRODUCT((Inputs!$E$5:$E$230=$B108)*Inputs!$F$5:$F$230*(((Inputs!$G$5:$G$230="moeda")+(Inputs!$G$5:$G$230="acoes"))*Inputs!$B$1+((Inputs!$G$5:$G$230&lt;&gt;"moeda")*(Inputs!$G$5:$G$230&lt;&gt;"acoes")))*INDEX(Inputs!$K$5:$AJ$230,0,MATCH(AE$2,Inputs!$K$4:$AJ$4,0)))))</f>
        <v>#N/A</v>
      </c>
      <c r="AF108" s="6" t="e">
        <f>IF(ISNA(MATCH(AF$2,Inputs!$K$4:$AJ$4,0)),NA(),IF(SUMPRODUCT((Inputs!$A$5:$A$230=$B108)*ISNUMBER(INDEX(Inputs!$K$5:$AJ$230,0,MATCH(AF$2,Inputs!$K$4:$AJ$4,0))))+SUMPRODUCT((Inputs!$C$5:$C$230=$B108)*ISNUMBER(INDEX(Inputs!$K$5:$AJ$230,0,MATCH(AF$2,Inputs!$K$4:$AJ$4,0))))+SUMPRODUCT((Inputs!$E$5:$E$230=$B108)*ISNUMBER(INDEX(Inputs!$K$5:$AJ$230,0,MATCH(AF$2,Inputs!$K$4:$AJ$4,0))))=0,NA(),SUMPRODUCT((Inputs!$A$5:$A$230=$B108)*Inputs!$B$5:$B$230*(((Inputs!$G$5:$G$230="moeda")+(Inputs!$G$5:$G$230="acoes"))*Inputs!$B$1+((Inputs!$G$5:$G$230&lt;&gt;"moeda")*(Inputs!$G$5:$G$230&lt;&gt;"acoes")))*INDEX(Inputs!$K$5:$AJ$230,0,MATCH(AF$2,Inputs!$K$4:$AJ$4,0)))+SUMPRODUCT((Inputs!$C$5:$C$230=$B108)*Inputs!$D$5:$D$230*(((Inputs!$G$5:$G$230="moeda")+(Inputs!$G$5:$G$230="acoes"))*Inputs!$B$1+((Inputs!$G$5:$G$230&lt;&gt;"moeda")*(Inputs!$G$5:$G$230&lt;&gt;"acoes")))*INDEX(Inputs!$K$5:$AJ$230,0,MATCH(AF$2,Inputs!$K$4:$AJ$4,0)))+SUMPRODUCT((Inputs!$E$5:$E$230=$B108)*Inputs!$F$5:$F$230*(((Inputs!$G$5:$G$230="moeda")+(Inputs!$G$5:$G$230="acoes"))*Inputs!$B$1+((Inputs!$G$5:$G$230&lt;&gt;"moeda")*(Inputs!$G$5:$G$230&lt;&gt;"acoes")))*INDEX(Inputs!$K$5:$AJ$230,0,MATCH(AF$2,Inputs!$K$4:$AJ$4,0)))))</f>
        <v>#N/A</v>
      </c>
      <c r="AG108" s="3" t="e">
        <f>SUM(AC108:AF108)</f>
        <v>#N/A</v>
      </c>
      <c r="AH108" s="6" t="e">
        <f>IF(ISNA(MATCH(AH$2,Inputs!$K$4:$AJ$4,0)),NA(),IF(SUMPRODUCT((Inputs!$A$5:$A$230=$B108)*ISNUMBER(INDEX(Inputs!$K$5:$AJ$230,0,MATCH(AH$2,Inputs!$K$4:$AJ$4,0))))+SUMPRODUCT((Inputs!$C$5:$C$230=$B108)*ISNUMBER(INDEX(Inputs!$K$5:$AJ$230,0,MATCH(AH$2,Inputs!$K$4:$AJ$4,0))))+SUMPRODUCT((Inputs!$E$5:$E$230=$B108)*ISNUMBER(INDEX(Inputs!$K$5:$AJ$230,0,MATCH(AH$2,Inputs!$K$4:$AJ$4,0))))=0,NA(),SUMPRODUCT((Inputs!$A$5:$A$230=$B108)*Inputs!$B$5:$B$230*(((Inputs!$G$5:$G$230="moeda")+(Inputs!$G$5:$G$230="acoes"))*Inputs!$B$1+((Inputs!$G$5:$G$230&lt;&gt;"moeda")*(Inputs!$G$5:$G$230&lt;&gt;"acoes")))*INDEX(Inputs!$K$5:$AJ$230,0,MATCH(AH$2,Inputs!$K$4:$AJ$4,0)))+SUMPRODUCT((Inputs!$C$5:$C$230=$B108)*Inputs!$D$5:$D$230*(((Inputs!$G$5:$G$230="moeda")+(Inputs!$G$5:$G$230="acoes"))*Inputs!$B$1+((Inputs!$G$5:$G$230&lt;&gt;"moeda")*(Inputs!$G$5:$G$230&lt;&gt;"acoes")))*INDEX(Inputs!$K$5:$AJ$230,0,MATCH(AH$2,Inputs!$K$4:$AJ$4,0)))+SUMPRODUCT((Inputs!$E$5:$E$230=$B108)*Inputs!$F$5:$F$230*(((Inputs!$G$5:$G$230="moeda")+(Inputs!$G$5:$G$230="acoes"))*Inputs!$B$1+((Inputs!$G$5:$G$230&lt;&gt;"moeda")*(Inputs!$G$5:$G$230&lt;&gt;"acoes")))*INDEX(Inputs!$K$5:$AJ$230,0,MATCH(AH$2,Inputs!$K$4:$AJ$4,0)))))</f>
        <v>#N/A</v>
      </c>
      <c r="AI108" s="6" t="e">
        <f>IF(ISNA(MATCH(AI$2,Inputs!$K$4:$AJ$4,0)),NA(),IF(SUMPRODUCT((Inputs!$A$5:$A$230=$B108)*ISNUMBER(INDEX(Inputs!$K$5:$AJ$230,0,MATCH(AI$2,Inputs!$K$4:$AJ$4,0))))+SUMPRODUCT((Inputs!$C$5:$C$230=$B108)*ISNUMBER(INDEX(Inputs!$K$5:$AJ$230,0,MATCH(AI$2,Inputs!$K$4:$AJ$4,0))))+SUMPRODUCT((Inputs!$E$5:$E$230=$B108)*ISNUMBER(INDEX(Inputs!$K$5:$AJ$230,0,MATCH(AI$2,Inputs!$K$4:$AJ$4,0))))=0,NA(),SUMPRODUCT((Inputs!$A$5:$A$230=$B108)*Inputs!$B$5:$B$230*(((Inputs!$G$5:$G$230="moeda")+(Inputs!$G$5:$G$230="acoes"))*Inputs!$B$1+((Inputs!$G$5:$G$230&lt;&gt;"moeda")*(Inputs!$G$5:$G$230&lt;&gt;"acoes")))*INDEX(Inputs!$K$5:$AJ$230,0,MATCH(AI$2,Inputs!$K$4:$AJ$4,0)))+SUMPRODUCT((Inputs!$C$5:$C$230=$B108)*Inputs!$D$5:$D$230*(((Inputs!$G$5:$G$230="moeda")+(Inputs!$G$5:$G$230="acoes"))*Inputs!$B$1+((Inputs!$G$5:$G$230&lt;&gt;"moeda")*(Inputs!$G$5:$G$230&lt;&gt;"acoes")))*INDEX(Inputs!$K$5:$AJ$230,0,MATCH(AI$2,Inputs!$K$4:$AJ$4,0)))+SUMPRODUCT((Inputs!$E$5:$E$230=$B108)*Inputs!$F$5:$F$230*(((Inputs!$G$5:$G$230="moeda")+(Inputs!$G$5:$G$230="acoes"))*Inputs!$B$1+((Inputs!$G$5:$G$230&lt;&gt;"moeda")*(Inputs!$G$5:$G$230&lt;&gt;"acoes")))*INDEX(Inputs!$K$5:$AJ$230,0,MATCH(AI$2,Inputs!$K$4:$AJ$4,0)))))</f>
        <v>#N/A</v>
      </c>
      <c r="AJ108" s="6" t="e">
        <f>IF(ISNA(MATCH(AJ$2,Inputs!$K$4:$AJ$4,0)),NA(),IF(SUMPRODUCT((Inputs!$A$5:$A$230=$B108)*ISNUMBER(INDEX(Inputs!$K$5:$AJ$230,0,MATCH(AJ$2,Inputs!$K$4:$AJ$4,0))))+SUMPRODUCT((Inputs!$C$5:$C$230=$B108)*ISNUMBER(INDEX(Inputs!$K$5:$AJ$230,0,MATCH(AJ$2,Inputs!$K$4:$AJ$4,0))))+SUMPRODUCT((Inputs!$E$5:$E$230=$B108)*ISNUMBER(INDEX(Inputs!$K$5:$AJ$230,0,MATCH(AJ$2,Inputs!$K$4:$AJ$4,0))))=0,NA(),SUMPRODUCT((Inputs!$A$5:$A$230=$B108)*Inputs!$B$5:$B$230*(((Inputs!$G$5:$G$230="moeda")+(Inputs!$G$5:$G$230="acoes"))*Inputs!$B$1+((Inputs!$G$5:$G$230&lt;&gt;"moeda")*(Inputs!$G$5:$G$230&lt;&gt;"acoes")))*INDEX(Inputs!$K$5:$AJ$230,0,MATCH(AJ$2,Inputs!$K$4:$AJ$4,0)))+SUMPRODUCT((Inputs!$C$5:$C$230=$B108)*Inputs!$D$5:$D$230*(((Inputs!$G$5:$G$230="moeda")+(Inputs!$G$5:$G$230="acoes"))*Inputs!$B$1+((Inputs!$G$5:$G$230&lt;&gt;"moeda")*(Inputs!$G$5:$G$230&lt;&gt;"acoes")))*INDEX(Inputs!$K$5:$AJ$230,0,MATCH(AJ$2,Inputs!$K$4:$AJ$4,0)))+SUMPRODUCT((Inputs!$E$5:$E$230=$B108)*Inputs!$F$5:$F$230*(((Inputs!$G$5:$G$230="moeda")+(Inputs!$G$5:$G$230="acoes"))*Inputs!$B$1+((Inputs!$G$5:$G$230&lt;&gt;"moeda")*(Inputs!$G$5:$G$230&lt;&gt;"acoes")))*INDEX(Inputs!$K$5:$AJ$230,0,MATCH(AJ$2,Inputs!$K$4:$AJ$4,0)))))</f>
        <v>#N/A</v>
      </c>
      <c r="AK108" s="6" t="e">
        <f>IF(ISNA(MATCH(AK$2,Inputs!$K$4:$AJ$4,0)),NA(),IF(SUMPRODUCT((Inputs!$A$5:$A$230=$B108)*ISNUMBER(INDEX(Inputs!$K$5:$AJ$230,0,MATCH(AK$2,Inputs!$K$4:$AJ$4,0))))+SUMPRODUCT((Inputs!$C$5:$C$230=$B108)*ISNUMBER(INDEX(Inputs!$K$5:$AJ$230,0,MATCH(AK$2,Inputs!$K$4:$AJ$4,0))))+SUMPRODUCT((Inputs!$E$5:$E$230=$B108)*ISNUMBER(INDEX(Inputs!$K$5:$AJ$230,0,MATCH(AK$2,Inputs!$K$4:$AJ$4,0))))=0,NA(),SUMPRODUCT((Inputs!$A$5:$A$230=$B108)*Inputs!$B$5:$B$230*(((Inputs!$G$5:$G$230="moeda")+(Inputs!$G$5:$G$230="acoes"))*Inputs!$B$1+((Inputs!$G$5:$G$230&lt;&gt;"moeda")*(Inputs!$G$5:$G$230&lt;&gt;"acoes")))*INDEX(Inputs!$K$5:$AJ$230,0,MATCH(AK$2,Inputs!$K$4:$AJ$4,0)))+SUMPRODUCT((Inputs!$C$5:$C$230=$B108)*Inputs!$D$5:$D$230*(((Inputs!$G$5:$G$230="moeda")+(Inputs!$G$5:$G$230="acoes"))*Inputs!$B$1+((Inputs!$G$5:$G$230&lt;&gt;"moeda")*(Inputs!$G$5:$G$230&lt;&gt;"acoes")))*INDEX(Inputs!$K$5:$AJ$230,0,MATCH(AK$2,Inputs!$K$4:$AJ$4,0)))+SUMPRODUCT((Inputs!$E$5:$E$230=$B108)*Inputs!$F$5:$F$230*(((Inputs!$G$5:$G$230="moeda")+(Inputs!$G$5:$G$230="acoes"))*Inputs!$B$1+((Inputs!$G$5:$G$230&lt;&gt;"moeda")*(Inputs!$G$5:$G$230&lt;&gt;"acoes")))*INDEX(Inputs!$K$5:$AJ$230,0,MATCH(AK$2,Inputs!$K$4:$AJ$4,0)))))</f>
        <v>#N/A</v>
      </c>
      <c r="AL108" s="3" t="e">
        <f>SUM(AH108:AK108)</f>
        <v>#N/A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89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ABS(D294-D370)</f>
        <v>0</v>
      </c>
      <c r="E2" s="3">
        <f>ABS(E294-E370)</f>
        <v>0</v>
      </c>
      <c r="F2" s="3">
        <f>ABS(F294-F370)</f>
        <v>0</v>
      </c>
      <c r="G2" s="3">
        <f>ABS(G294-G370)</f>
        <v>0</v>
      </c>
      <c r="H2" s="3">
        <f>ABS(H294-H370)</f>
        <v>0</v>
      </c>
      <c r="I2" s="3">
        <f>ABS(I294-I370)</f>
        <v>0</v>
      </c>
      <c r="J2" s="3">
        <f>ABS(J294-J370)</f>
        <v>0</v>
      </c>
      <c r="K2" s="3">
        <f>ABS(K294-K370)</f>
        <v>0</v>
      </c>
      <c r="L2" s="3">
        <f>ABS(L294-L370)</f>
        <v>0</v>
      </c>
      <c r="M2" s="3">
        <f>ABS(M294-M370)</f>
        <v>0</v>
      </c>
      <c r="N2" s="3">
        <f>ABS(N294-N370)</f>
        <v>0</v>
      </c>
      <c r="O2" s="3">
        <f>ABS(O294-O370)</f>
        <v>0</v>
      </c>
      <c r="P2" s="3">
        <f>ABS(P294-P370)</f>
        <v>0</v>
      </c>
      <c r="Q2" s="3">
        <f>ABS(Q294-Q370)</f>
        <v>0</v>
      </c>
      <c r="R2" s="3">
        <f>ABS(R294-R370)</f>
        <v>0</v>
      </c>
      <c r="S2" s="3">
        <f>ABS(S294-S370)</f>
        <v>0</v>
      </c>
      <c r="T2" s="3">
        <f>ABS(T294-T370)</f>
        <v>0</v>
      </c>
      <c r="U2" s="3">
        <f>ABS(U294-U370)</f>
        <v>0</v>
      </c>
      <c r="V2" s="3">
        <f>ABS(V294-V370)</f>
        <v>0</v>
      </c>
      <c r="W2" s="3">
        <f>ABS(W294-W370)</f>
        <v>0</v>
      </c>
      <c r="X2" s="3">
        <f>ABS(X294-X370)</f>
        <v>0</v>
      </c>
      <c r="Y2" s="3">
        <f>ABS(Y294-Y370)</f>
        <v>0</v>
      </c>
      <c r="Z2" s="3">
        <f>ABS(Z294-Z370)</f>
        <v>0</v>
      </c>
      <c r="AA2" s="3">
        <f>ABS(AA294-AA370)</f>
        <v>0</v>
      </c>
      <c r="AB2" s="3">
        <f>ABS(AB294-AB370)</f>
        <v>0</v>
      </c>
      <c r="AC2" s="3">
        <f>ABS(AC294-AC370)</f>
        <v>0</v>
      </c>
      <c r="AD2" s="3">
        <f>ABS(AD294-AD370)</f>
        <v>0</v>
      </c>
      <c r="AE2" s="3">
        <f>ABS(AE294-AE370)</f>
        <v>0</v>
      </c>
      <c r="AF2" s="3">
        <f>ABS(AF294-AF370)</f>
        <v>0</v>
      </c>
      <c r="AG2" s="3">
        <f>ABS(AG294-AG370)</f>
        <v>0</v>
      </c>
      <c r="AH2" s="3">
        <f>ABS(AH294-AH370)</f>
        <v>0</v>
      </c>
      <c r="AI2" s="3">
        <f>ABS(AI294-AI370)</f>
        <v>0</v>
      </c>
      <c r="AJ2" s="3">
        <f>ABS(AJ294-AJ370)</f>
        <v>0</v>
      </c>
      <c r="AK2" s="3">
        <f>ABS(AK294-AK370)</f>
        <v>0</v>
      </c>
      <c r="AL2" s="3">
        <f>ABS(AL294-AL370)</f>
        <v>0</v>
      </c>
      <c r="AM2" s="3" t="e">
        <f>ABS(AM294-AM370)</f>
        <v>#DIV/0!</v>
      </c>
      <c r="AN2" s="3" t="e">
        <f>ABS(AN294-AN370)</f>
        <v>#DIV/0!</v>
      </c>
      <c r="AO2" s="3" t="e">
        <f>ABS(AO294-AO370)</f>
        <v>#DIV/0!</v>
      </c>
      <c r="AP2" s="3" t="e">
        <f>ABS(AP294-AP370)</f>
        <v>#DIV/0!</v>
      </c>
      <c r="AQ2" s="3" t="e">
        <f>ABS(AQ294-AQ370)</f>
        <v>#DIV/0!</v>
      </c>
      <c r="AR2" s="3" t="e">
        <f>ABS(AR294-AR370)</f>
        <v>#DIV/0!</v>
      </c>
      <c r="AS2" s="3" t="e">
        <f>ABS(AS294-AS370)</f>
        <v>#DIV/0!</v>
      </c>
      <c r="AT2" s="3" t="e">
        <f>ABS(AT294-AT370)</f>
        <v>#DIV/0!</v>
      </c>
      <c r="AU2" s="3" t="e">
        <f>ABS(AU294-AU370)</f>
        <v>#DIV/0!</v>
      </c>
      <c r="AV2" s="3" t="e">
        <f>ABS(AV294-AV370)</f>
        <v>#DIV/0!</v>
      </c>
      <c r="AW2" s="3" t="e">
        <f>ABS(AW294-AW370)</f>
        <v>#DIV/0!</v>
      </c>
      <c r="AX2" s="3" t="e">
        <f>ABS(AX294-AX370)</f>
        <v>#DIV/0!</v>
      </c>
      <c r="AY2" s="3" t="e">
        <f>ABS(AY294-AY370)</f>
        <v>#DIV/0!</v>
      </c>
      <c r="AZ2" s="3" t="e">
        <f>ABS(AZ294-AZ370)</f>
        <v>#DIV/0!</v>
      </c>
      <c r="BA2" s="3" t="e">
        <f>ABS(BA294-BA370)</f>
        <v>#DIV/0!</v>
      </c>
      <c r="BB2" s="3" t="e">
        <f>ABS(BB294-BB370)</f>
        <v>#DIV/0!</v>
      </c>
      <c r="BC2" s="3" t="e">
        <f>ABS(BC294-BC370)</f>
        <v>#DIV/0!</v>
      </c>
      <c r="BD2" s="3" t="e">
        <f>ABS(BD294-BD370)</f>
        <v>#DIV/0!</v>
      </c>
      <c r="BE2" s="3" t="e">
        <f>ABS(BE294-BE370)</f>
        <v>#DIV/0!</v>
      </c>
      <c r="BF2" s="3" t="e">
        <f>ABS(BF294-BF370)</f>
        <v>#DIV/0!</v>
      </c>
      <c r="BG2" s="3" t="e">
        <f>ABS(BG294-BG370)</f>
        <v>#DIV/0!</v>
      </c>
      <c r="BH2" s="3" t="e">
        <f>ABS(BH294-BH370)</f>
        <v>#DIV/0!</v>
      </c>
      <c r="BI2" s="3" t="e">
        <f>ABS(BI294-BI370)</f>
        <v>#DIV/0!</v>
      </c>
      <c r="BJ2" s="3" t="e">
        <f>ABS(BJ294-BJ370)</f>
        <v>#DIV/0!</v>
      </c>
      <c r="BK2" s="3" t="e">
        <f>ABS(BK294-BK370)</f>
        <v>#DIV/0!</v>
      </c>
      <c r="BL2" s="3" t="e">
        <f>ABS(BL294-BL370)</f>
        <v>#DIV/0!</v>
      </c>
      <c r="BM2" s="3" t="e">
        <f>ABS(BM294-BM370)</f>
        <v>#DIV/0!</v>
      </c>
      <c r="BN2" s="3" t="e">
        <f>ABS(BN294-BN370)</f>
        <v>#DIV/0!</v>
      </c>
      <c r="BO2" s="3" t="e">
        <f>ABS(BO294-BO370)</f>
        <v>#DIV/0!</v>
      </c>
      <c r="BP2" s="3" t="e">
        <f>ABS(BP294-BP370)</f>
        <v>#DIV/0!</v>
      </c>
      <c r="BQ2" s="3" t="e">
        <f>ABS(BQ294-BQ370)</f>
        <v>#DIV/0!</v>
      </c>
      <c r="BR2" s="3" t="e">
        <f>ABS(BR294-BR370)</f>
        <v>#DIV/0!</v>
      </c>
      <c r="BS2" s="3" t="e">
        <f>ABS(BS294-BS370)</f>
        <v>#DIV/0!</v>
      </c>
      <c r="BT2" s="3" t="e">
        <f>ABS(BT294-BT370)</f>
        <v>#DIV/0!</v>
      </c>
      <c r="BU2" s="3" t="e">
        <f>ABS(BU294-BU370)</f>
        <v>#DIV/0!</v>
      </c>
      <c r="BV2" s="3" t="e">
        <f>ABS(BV294-BV370)</f>
        <v>#DIV/0!</v>
      </c>
      <c r="BW2" s="3" t="e">
        <f>ABS(BW294-BW370)</f>
        <v>#DIV/0!</v>
      </c>
      <c r="BX2" s="3" t="e">
        <f>ABS(BX294-BX370)</f>
        <v>#DIV/0!</v>
      </c>
      <c r="BY2" s="3" t="e">
        <f>ABS(BY294-BY370)</f>
        <v>#DIV/0!</v>
      </c>
      <c r="BZ2" s="3" t="e">
        <f>ABS(BZ294-BZ370)</f>
        <v>#DIV/0!</v>
      </c>
      <c r="CA2" s="3" t="e">
        <f>ABS(CA294-CA370)</f>
        <v>#DIV/0!</v>
      </c>
      <c r="CB2" s="3" t="e">
        <f>ABS(CB294-CB370)</f>
        <v>#DIV/0!</v>
      </c>
      <c r="CC2" s="3" t="e">
        <f>ABS(CC294-CC370)</f>
        <v>#DIV/0!</v>
      </c>
      <c r="CD2" s="3" t="e">
        <f>ABS(CD294-CD370)</f>
        <v>#DIV/0!</v>
      </c>
      <c r="CE2" s="3" t="e">
        <f>ABS(CE294-CE370)</f>
        <v>#DIV/0!</v>
      </c>
      <c r="CF2" s="3" t="e">
        <f>ABS(CF294-CF370)</f>
        <v>#DIV/0!</v>
      </c>
      <c r="CG2" s="3" t="e">
        <f>ABS(CG294-CG370)</f>
        <v>#DIV/0!</v>
      </c>
      <c r="CH2" s="3" t="e">
        <f>ABS(CH294-CH370)</f>
        <v>#DIV/0!</v>
      </c>
      <c r="CI2" s="3" t="e">
        <f>ABS(CI294-CI370)</f>
        <v>#DIV/0!</v>
      </c>
      <c r="CJ2" s="3" t="e">
        <f>ABS(CJ294-CJ370)</f>
        <v>#DIV/0!</v>
      </c>
      <c r="CK2" s="3" t="e">
        <f>ABS(CK294-CK370)</f>
        <v>#DIV/0!</v>
      </c>
      <c r="CL2" s="3" t="e">
        <f>ABS(CL294-CL370)</f>
        <v>#DIV/0!</v>
      </c>
      <c r="CM2" s="3" t="e">
        <f>ABS(CM294-CM370)</f>
        <v>#DIV/0!</v>
      </c>
      <c r="CN2" s="3" t="e">
        <f>ABS(CN294-CN370)</f>
        <v>#DIV/0!</v>
      </c>
      <c r="CO2" s="3" t="e">
        <f>ABS(CO294-CO370)</f>
        <v>#DIV/0!</v>
      </c>
      <c r="CP2" s="3" t="e">
        <f>ABS(CP294-CP370)</f>
        <v>#DIV/0!</v>
      </c>
      <c r="CQ2" s="3" t="e">
        <f>ABS(CQ294-CQ370)</f>
        <v>#DIV/0!</v>
      </c>
      <c r="CR2" s="3" t="e">
        <f>ABS(CR294-CR370)</f>
        <v>#DIV/0!</v>
      </c>
      <c r="CS2" s="3" t="e">
        <f>ABS(CS294-CS370)</f>
        <v>#DIV/0!</v>
      </c>
      <c r="CT2" s="3" t="e">
        <f>ABS(CT294-CT370)</f>
        <v>#DIV/0!</v>
      </c>
      <c r="CU2" s="3" t="e">
        <f>ABS(CU294-CU370)</f>
        <v>#DIV/0!</v>
      </c>
      <c r="CV2" s="3" t="e">
        <f>ABS(CV294-CV370)</f>
        <v>#DIV/0!</v>
      </c>
      <c r="CW2" s="3" t="e">
        <f>ABS(CW294-CW370)</f>
        <v>#DIV/0!</v>
      </c>
      <c r="CX2" s="3" t="e">
        <f>ABS(CX294-CX370)</f>
        <v>#DIV/0!</v>
      </c>
      <c r="CY2" s="3" t="e">
        <f>ABS(CY294-CY370)</f>
        <v>#DIV/0!</v>
      </c>
    </row>
    <row r="3" outlineLevel="1">
      <c r="C3" s="5" t="inlineStr">
        <is>
          <t>IS</t>
        </is>
      </c>
      <c r="D3" s="3">
        <f>IF(COUNT(D4)=0,"",ABS(D234-D4))</f>
        <v>0</v>
      </c>
      <c r="E3" s="3">
        <f>IF(COUNT(E4)=0,"",ABS(E234-E4))</f>
        <v>0</v>
      </c>
      <c r="F3" s="3">
        <f>IF(COUNT(F4)=0,"",ABS(F234-F4))</f>
        <v>0</v>
      </c>
      <c r="G3" s="3">
        <f>IF(COUNT(G4)=0,"",ABS(G234-G4))</f>
        <v>0</v>
      </c>
      <c r="H3" s="3">
        <f>IF(COUNT(H4)=0,"",ABS(H234-H4))</f>
        <v>0</v>
      </c>
      <c r="I3" s="3">
        <f>IF(COUNT(I4)=0,"",ABS(I234-I4))</f>
        <v>0</v>
      </c>
      <c r="J3" s="3">
        <f>IF(COUNT(J4)=0,"",ABS(J234-J4))</f>
        <v>0</v>
      </c>
      <c r="K3" s="3">
        <f>IF(COUNT(K4)=0,"",ABS(K234-K4))</f>
        <v>0</v>
      </c>
      <c r="L3" s="3">
        <f>IF(COUNT(L4)=0,"",ABS(L234-L4))</f>
        <v>0</v>
      </c>
      <c r="M3" s="3">
        <f>IF(COUNT(M4)=0,"",ABS(M234-M4))</f>
        <v>0</v>
      </c>
      <c r="N3" s="3">
        <f>IF(COUNT(N4)=0,"",ABS(N234-N4))</f>
        <v>0</v>
      </c>
      <c r="O3" s="3">
        <f>IF(COUNT(O4)=0,"",ABS(O234-O4))</f>
        <v>0</v>
      </c>
      <c r="P3" s="3">
        <f>IF(COUNT(P4)=0,"",ABS(P234-P4))</f>
        <v>0</v>
      </c>
      <c r="Q3" s="3">
        <f>IF(COUNT(Q4)=0,"",ABS(Q234-Q4))</f>
        <v>0</v>
      </c>
      <c r="R3" s="3">
        <f>IF(COUNT(R4)=0,"",ABS(R234-R4))</f>
        <v>0</v>
      </c>
      <c r="S3" s="3">
        <f>IF(COUNT(S4)=0,"",ABS(S234-S4))</f>
        <v>0</v>
      </c>
      <c r="T3" s="3">
        <f>IF(COUNT(T4)=0,"",ABS(T234-T4))</f>
        <v>0</v>
      </c>
      <c r="U3" s="3">
        <f>IF(COUNT(U4)=0,"",ABS(U234-U4))</f>
        <v>0</v>
      </c>
      <c r="V3" s="3">
        <f>IF(COUNT(V4)=0,"",ABS(V234-V4))</f>
        <v>0</v>
      </c>
      <c r="W3" s="3">
        <f>IF(COUNT(W4)=0,"",ABS(W234-W4))</f>
        <v>0</v>
      </c>
      <c r="X3" s="3">
        <f>IF(COUNT(X4)=0,"",ABS(X234-X4))</f>
        <v>0</v>
      </c>
      <c r="Y3" s="3">
        <f>IF(COUNT(Y4)=0,"",ABS(Y234-Y4))</f>
        <v>0</v>
      </c>
      <c r="Z3" s="3">
        <f>IF(COUNT(Z4)=0,"",ABS(Z234-Z4))</f>
        <v>0</v>
      </c>
      <c r="AA3" s="3">
        <f>IF(COUNT(AA4)=0,"",ABS(AA234-AA4))</f>
        <v>0</v>
      </c>
      <c r="AB3" s="3">
        <f>IF(COUNT(AB4)=0,"",ABS(AB234-AB4))</f>
        <v>0</v>
      </c>
      <c r="AC3" s="3">
        <f>IF(COUNT(AC4)=0,"",ABS(AC234-AC4))</f>
        <v>0</v>
      </c>
      <c r="AD3" s="3">
        <f>IF(COUNT(AD4)=0,"",ABS(AD234-AD4))</f>
        <v>0</v>
      </c>
      <c r="AE3" s="3">
        <f>IF(COUNT(AE4)=0,"",ABS(AE234-AE4))</f>
        <v>0</v>
      </c>
      <c r="AF3" s="3">
        <f>IF(COUNT(AF4)=0,"",ABS(AF234-AF4))</f>
        <v>0</v>
      </c>
      <c r="AG3" s="3">
        <f>IF(COUNT(AG4)=0,"",ABS(AG234-AG4))</f>
        <v>0</v>
      </c>
      <c r="AH3" s="3">
        <f>IF(COUNT(AH4)=0,"",ABS(AH234-AH4))</f>
        <v>0</v>
      </c>
      <c r="AI3" s="3">
        <f>IF(COUNT(AI4)=0,"",ABS(AI234-AI4))</f>
        <v>0</v>
      </c>
      <c r="AJ3" s="3" t="str">
        <f>IF(COUNT(AJ4)=0,"",ABS(AJ234-AJ4))</f>
        <v/>
      </c>
      <c r="AK3" s="3" t="str">
        <f>IF(COUNT(AK4)=0,"",ABS(AK234-AK4))</f>
        <v/>
      </c>
      <c r="AL3" s="3" t="str">
        <f>IF(COUNT(AL4)=0,"",ABS(AL234-AL4))</f>
        <v/>
      </c>
      <c r="AM3" s="3" t="str">
        <f>IF(COUNT(AM4)=0,"",ABS(AM234-AM4))</f>
        <v/>
      </c>
      <c r="AN3" s="3" t="str">
        <f>IF(COUNT(AN4)=0,"",ABS(AN234-AN4))</f>
        <v/>
      </c>
      <c r="AO3" s="3" t="str">
        <f>IF(COUNT(AO4)=0,"",ABS(AO234-AO4))</f>
        <v/>
      </c>
      <c r="AP3" s="3" t="str">
        <f>IF(COUNT(AP4)=0,"",ABS(AP234-AP4))</f>
        <v/>
      </c>
      <c r="AQ3" s="3" t="str">
        <f>IF(COUNT(AQ4)=0,"",ABS(AQ234-AQ4))</f>
        <v/>
      </c>
      <c r="AR3" s="3" t="str">
        <f>IF(COUNT(AR4)=0,"",ABS(AR234-AR4))</f>
        <v/>
      </c>
      <c r="AS3" s="3" t="str">
        <f>IF(COUNT(AS4)=0,"",ABS(AS234-AS4))</f>
        <v/>
      </c>
      <c r="AT3" s="3" t="str">
        <f>IF(COUNT(AT4)=0,"",ABS(AT234-AT4))</f>
        <v/>
      </c>
      <c r="AU3" s="3" t="str">
        <f>IF(COUNT(AU4)=0,"",ABS(AU234-AU4))</f>
        <v/>
      </c>
      <c r="AV3" s="3" t="str">
        <f>IF(COUNT(AV4)=0,"",ABS(AV234-AV4))</f>
        <v/>
      </c>
      <c r="AW3" s="3" t="str">
        <f>IF(COUNT(AW4)=0,"",ABS(AW234-AW4))</f>
        <v/>
      </c>
      <c r="AX3" s="3" t="str">
        <f>IF(COUNT(AX4)=0,"",ABS(AX234-AX4))</f>
        <v/>
      </c>
      <c r="AY3" s="3" t="str">
        <f>IF(COUNT(AY4)=0,"",ABS(AY234-AY4))</f>
        <v/>
      </c>
      <c r="AZ3" s="3" t="str">
        <f>IF(COUNT(AZ4)=0,"",ABS(AZ234-AZ4))</f>
        <v/>
      </c>
      <c r="BA3" s="3" t="str">
        <f>IF(COUNT(BA4)=0,"",ABS(BA234-BA4))</f>
        <v/>
      </c>
      <c r="BB3" s="3" t="str">
        <f>IF(COUNT(BB4)=0,"",ABS(BB234-BB4))</f>
        <v/>
      </c>
      <c r="BC3" s="3" t="str">
        <f>IF(COUNT(BC4)=0,"",ABS(BC234-BC4))</f>
        <v/>
      </c>
      <c r="BD3" s="3" t="str">
        <f>IF(COUNT(BD4)=0,"",ABS(BD234-BD4))</f>
        <v/>
      </c>
      <c r="BE3" s="3" t="str">
        <f>IF(COUNT(BE4)=0,"",ABS(BE234-BE4))</f>
        <v/>
      </c>
      <c r="BF3" s="3" t="str">
        <f>IF(COUNT(BF4)=0,"",ABS(BF234-BF4))</f>
        <v/>
      </c>
      <c r="BG3" s="3" t="str">
        <f>IF(COUNT(BG4)=0,"",ABS(BG234-BG4))</f>
        <v/>
      </c>
      <c r="BH3" s="3" t="str">
        <f>IF(COUNT(BH4)=0,"",ABS(BH234-BH4))</f>
        <v/>
      </c>
      <c r="BI3" s="3" t="str">
        <f>IF(COUNT(BI4)=0,"",ABS(BI234-BI4))</f>
        <v/>
      </c>
      <c r="BJ3" s="3" t="str">
        <f>IF(COUNT(BJ4)=0,"",ABS(BJ234-BJ4))</f>
        <v/>
      </c>
      <c r="BK3" s="3" t="str">
        <f>IF(COUNT(BK4)=0,"",ABS(BK234-BK4))</f>
        <v/>
      </c>
      <c r="BL3" s="3" t="str">
        <f>IF(COUNT(BL4)=0,"",ABS(BL234-BL4))</f>
        <v/>
      </c>
      <c r="BM3" s="3" t="str">
        <f>IF(COUNT(BM4)=0,"",ABS(BM234-BM4))</f>
        <v/>
      </c>
      <c r="BN3" s="3" t="str">
        <f>IF(COUNT(BN4)=0,"",ABS(BN234-BN4))</f>
        <v/>
      </c>
      <c r="BO3" s="3" t="str">
        <f>IF(COUNT(BO4)=0,"",ABS(BO234-BO4))</f>
        <v/>
      </c>
      <c r="BP3" s="3" t="str">
        <f>IF(COUNT(BP4)=0,"",ABS(BP234-BP4))</f>
        <v/>
      </c>
      <c r="BQ3" s="3" t="str">
        <f>IF(COUNT(BQ4)=0,"",ABS(BQ234-BQ4))</f>
        <v/>
      </c>
      <c r="BR3" s="3" t="str">
        <f>IF(COUNT(BR4)=0,"",ABS(BR234-BR4))</f>
        <v/>
      </c>
      <c r="BS3" s="3" t="str">
        <f>IF(COUNT(BS4)=0,"",ABS(BS234-BS4))</f>
        <v/>
      </c>
      <c r="BT3" s="3" t="str">
        <f>IF(COUNT(BT4)=0,"",ABS(BT234-BT4))</f>
        <v/>
      </c>
      <c r="BU3" s="3" t="str">
        <f>IF(COUNT(BU4)=0,"",ABS(BU234-BU4))</f>
        <v/>
      </c>
      <c r="BV3" s="3" t="str">
        <f>IF(COUNT(BV4)=0,"",ABS(BV234-BV4))</f>
        <v/>
      </c>
      <c r="BW3" s="3" t="str">
        <f>IF(COUNT(BW4)=0,"",ABS(BW234-BW4))</f>
        <v/>
      </c>
      <c r="BX3" s="3" t="str">
        <f>IF(COUNT(BX4)=0,"",ABS(BX234-BX4))</f>
        <v/>
      </c>
      <c r="BY3" s="3" t="str">
        <f>IF(COUNT(BY4)=0,"",ABS(BY234-BY4))</f>
        <v/>
      </c>
      <c r="BZ3" s="3" t="str">
        <f>IF(COUNT(BZ4)=0,"",ABS(BZ234-BZ4))</f>
        <v/>
      </c>
      <c r="CA3" s="3" t="str">
        <f>IF(COUNT(CA4)=0,"",ABS(CA234-CA4))</f>
        <v/>
      </c>
      <c r="CB3" s="3" t="str">
        <f>IF(COUNT(CB4)=0,"",ABS(CB234-CB4))</f>
        <v/>
      </c>
      <c r="CC3" s="3" t="str">
        <f>IF(COUNT(CC4)=0,"",ABS(CC234-CC4))</f>
        <v/>
      </c>
      <c r="CD3" s="3" t="str">
        <f>IF(COUNT(CD4)=0,"",ABS(CD234-CD4))</f>
        <v/>
      </c>
      <c r="CE3" s="3" t="str">
        <f>IF(COUNT(CE4)=0,"",ABS(CE234-CE4))</f>
        <v/>
      </c>
      <c r="CF3" s="3" t="str">
        <f>IF(COUNT(CF4)=0,"",ABS(CF234-CF4))</f>
        <v/>
      </c>
      <c r="CG3" s="3" t="str">
        <f>IF(COUNT(CG4)=0,"",ABS(CG234-CG4))</f>
        <v/>
      </c>
      <c r="CH3" s="3" t="str">
        <f>IF(COUNT(CH4)=0,"",ABS(CH234-CH4))</f>
        <v/>
      </c>
      <c r="CI3" s="3" t="str">
        <f>IF(COUNT(CI4)=0,"",ABS(CI234-CI4))</f>
        <v/>
      </c>
      <c r="CJ3" s="3" t="str">
        <f>IF(COUNT(CJ4)=0,"",ABS(CJ234-CJ4))</f>
        <v/>
      </c>
      <c r="CK3" s="3" t="str">
        <f>IF(COUNT(CK4)=0,"",ABS(CK234-CK4))</f>
        <v/>
      </c>
      <c r="CL3" s="3" t="str">
        <f>IF(COUNT(CL4)=0,"",ABS(CL234-CL4))</f>
        <v/>
      </c>
      <c r="CM3" s="3" t="str">
        <f>IF(COUNT(CM4)=0,"",ABS(CM234-CM4))</f>
        <v/>
      </c>
      <c r="CN3" s="3" t="str">
        <f>IF(COUNT(CN4)=0,"",ABS(CN234-CN4))</f>
        <v/>
      </c>
      <c r="CO3" s="3" t="str">
        <f>IF(COUNT(CO4)=0,"",ABS(CO234-CO4))</f>
        <v/>
      </c>
      <c r="CP3" s="3" t="str">
        <f>IF(COUNT(CP4)=0,"",ABS(CP234-CP4))</f>
        <v/>
      </c>
      <c r="CQ3" s="3" t="str">
        <f>IF(COUNT(CQ4)=0,"",ABS(CQ234-CQ4))</f>
        <v/>
      </c>
      <c r="CR3" s="3" t="str">
        <f>IF(COUNT(CR4)=0,"",ABS(CR234-CR4))</f>
        <v/>
      </c>
      <c r="CS3" s="3" t="str">
        <f>IF(COUNT(CS4)=0,"",ABS(CS234-CS4))</f>
        <v/>
      </c>
      <c r="CT3" s="3" t="str">
        <f>IF(COUNT(CT4)=0,"",ABS(CT234-CT4))</f>
        <v/>
      </c>
      <c r="CU3" s="3" t="str">
        <f>IF(COUNT(CU4)=0,"",ABS(CU234-CU4))</f>
        <v/>
      </c>
      <c r="CV3" s="3" t="str">
        <f>IF(COUNT(CV4)=0,"",ABS(CV234-CV4))</f>
        <v/>
      </c>
      <c r="CW3" s="3" t="str">
        <f>IF(COUNT(CW4)=0,"",ABS(CW234-CW4))</f>
        <v/>
      </c>
      <c r="CX3" s="3" t="str">
        <f>IF(COUNT(CX4)=0,"",ABS(CX234-CX4))</f>
        <v/>
      </c>
      <c r="CY3" s="3" t="str">
        <f>IF(COUNT(CY4)=0,"",ABS(CY234-CY4))</f>
        <v/>
      </c>
    </row>
    <row r="4" outlineLevel="1">
      <c r="C4" s="14" t="inlineStr">
        <is>
          <t>Net Income reportado (lucro liquido Alupar) - base do check IS</t>
        </is>
      </c>
      <c r="D4" s="16">
        <f>INDEX('Inputs (2)'!$D$50:$AL$50,MATCH(D$7,'Inputs (2)'!$D$2:$AL$2,0))</f>
        <v>179.149</v>
      </c>
      <c r="E4" s="16">
        <f>INDEX('Inputs (2)'!$D$50:$AL$50,MATCH(E$7,'Inputs (2)'!$D$2:$AL$2,0))</f>
        <v>72.109</v>
      </c>
      <c r="F4" s="16">
        <f>INDEX('Inputs (2)'!$D$50:$AL$50,MATCH(F$7,'Inputs (2)'!$D$2:$AL$2,0))</f>
        <v>181.214</v>
      </c>
      <c r="G4" s="16">
        <f>INDEX('Inputs (2)'!$D$50:$AL$50,MATCH(G$7,'Inputs (2)'!$D$2:$AL$2,0))</f>
        <v>509.616</v>
      </c>
      <c r="H4" s="16">
        <f>IF(COUNT(D4:G4)=4,SUM(D4:G4),"")</f>
        <v>942.088</v>
      </c>
      <c r="I4" s="16">
        <f>INDEX('Inputs (2)'!$D$50:$AL$50,MATCH(I$7,'Inputs (2)'!$D$2:$AL$2,0))</f>
        <v>323.416</v>
      </c>
      <c r="J4" s="16">
        <f>INDEX('Inputs (2)'!$D$50:$AL$50,MATCH(J$7,'Inputs (2)'!$D$2:$AL$2,0))</f>
        <v>332.345</v>
      </c>
      <c r="K4" s="16">
        <f>INDEX('Inputs (2)'!$D$50:$AL$50,MATCH(K$7,'Inputs (2)'!$D$2:$AL$2,0))</f>
        <v>240.316</v>
      </c>
      <c r="L4" s="16">
        <f>INDEX('Inputs (2)'!$D$50:$AL$50,MATCH(L$7,'Inputs (2)'!$D$2:$AL$2,0))</f>
        <v>219.324</v>
      </c>
      <c r="M4" s="16">
        <f>IF(COUNT(I4:L4)=4,SUM(I4:L4),"")</f>
        <v>1115.401</v>
      </c>
      <c r="N4" s="16">
        <f>INDEX('Inputs (2)'!$D$50:$AL$50,MATCH(N$7,'Inputs (2)'!$D$2:$AL$2,0))</f>
        <v>430.979</v>
      </c>
      <c r="O4" s="16">
        <f>INDEX('Inputs (2)'!$D$50:$AL$50,MATCH(O$7,'Inputs (2)'!$D$2:$AL$2,0))</f>
        <v>180.008</v>
      </c>
      <c r="P4" s="16">
        <f>INDEX('Inputs (2)'!$D$50:$AL$50,MATCH(P$7,'Inputs (2)'!$D$2:$AL$2,0))</f>
        <v>115.676</v>
      </c>
      <c r="Q4" s="16">
        <f>INDEX('Inputs (2)'!$D$50:$AL$50,MATCH(Q$7,'Inputs (2)'!$D$2:$AL$2,0))</f>
        <v>191.803</v>
      </c>
      <c r="R4" s="16">
        <f>IF(COUNT(N4:Q4)=4,SUM(N4:Q4),"")</f>
        <v>918.466</v>
      </c>
      <c r="S4" s="16">
        <f>INDEX('Inputs (2)'!$D$50:$AL$50,MATCH(S$7,'Inputs (2)'!$D$2:$AL$2,0))</f>
        <v>230.71</v>
      </c>
      <c r="T4" s="16">
        <f>INDEX('Inputs (2)'!$D$50:$AL$50,MATCH(T$7,'Inputs (2)'!$D$2:$AL$2,0))</f>
        <v>222.186</v>
      </c>
      <c r="U4" s="16">
        <f>INDEX('Inputs (2)'!$D$50:$AL$50,MATCH(U$7,'Inputs (2)'!$D$2:$AL$2,0))</f>
        <v>100.005</v>
      </c>
      <c r="V4" s="16">
        <f>INDEX('Inputs (2)'!$D$50:$AL$50,MATCH(V$7,'Inputs (2)'!$D$2:$AL$2,0))</f>
        <v>141.162</v>
      </c>
      <c r="W4" s="16">
        <f>IF(COUNT(S4:V4)=4,SUM(S4:V4),"")</f>
        <v>694.063</v>
      </c>
      <c r="X4" s="16">
        <f>INDEX('Inputs (2)'!$D$50:$AL$50,MATCH(X$7,'Inputs (2)'!$D$2:$AL$2,0))</f>
        <v>254.944</v>
      </c>
      <c r="Y4" s="16">
        <f>INDEX('Inputs (2)'!$D$50:$AL$50,MATCH(Y$7,'Inputs (2)'!$D$2:$AL$2,0))</f>
        <v>237.07</v>
      </c>
      <c r="Z4" s="16">
        <f>INDEX('Inputs (2)'!$D$50:$AL$50,MATCH(Z$7,'Inputs (2)'!$D$2:$AL$2,0))</f>
        <v>363.754</v>
      </c>
      <c r="AA4" s="16">
        <f>INDEX('Inputs (2)'!$D$50:$AL$50,MATCH(AA$7,'Inputs (2)'!$D$2:$AL$2,0))</f>
        <v>230.322</v>
      </c>
      <c r="AB4" s="16">
        <f>IF(COUNT(X4:AA4)=4,SUM(X4:AA4),"")</f>
        <v>1086.09</v>
      </c>
      <c r="AC4" s="16">
        <f>INDEX('Inputs (2)'!$D$50:$AL$50,MATCH(AC$7,'Inputs (2)'!$D$2:$AL$2,0))</f>
        <v>298.777</v>
      </c>
      <c r="AD4" s="16">
        <f>INDEX('Inputs (2)'!$D$50:$AL$50,MATCH(AD$7,'Inputs (2)'!$D$2:$AL$2,0))</f>
        <v>144.867</v>
      </c>
      <c r="AE4" s="16">
        <f>INDEX('Inputs (2)'!$D$50:$AL$50,MATCH(AE$7,'Inputs (2)'!$D$2:$AL$2,0))</f>
        <v>489.39</v>
      </c>
      <c r="AF4" s="16">
        <f>INDEX('Inputs (2)'!$D$50:$AL$50,MATCH(AF$7,'Inputs (2)'!$D$2:$AL$2,0))</f>
        <v>282.525</v>
      </c>
      <c r="AG4" s="16">
        <f>IF(COUNT(AC4:AF4)=4,SUM(AC4:AF4),"")</f>
        <v>1215.559</v>
      </c>
      <c r="AH4" s="6">
        <f>INDEX('Inputs (2)'!$D$50:$AL$50,MATCH(AH$7,'Inputs (2)'!$D$2:$AL$2,0))</f>
        <v>198.067</v>
      </c>
      <c r="AI4" s="6">
        <f>INDEX('Inputs (2)'!$D$50:$AL$50,MATCH(AI$7,'Inputs (2)'!$D$2:$AL$2,0))</f>
        <v>416.626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1216.927</v>
      </c>
      <c r="E15" s="15">
        <f>INDEX('Inputs (2)'!$D$4:$AL$4,MATCH(E$7,'Inputs (2)'!$D$2:$AL$2,0))</f>
        <v>1026.976</v>
      </c>
      <c r="F15" s="15">
        <f>INDEX('Inputs (2)'!$D$4:$AL$4,MATCH(F$7,'Inputs (2)'!$D$2:$AL$2,0))</f>
        <v>1491.323</v>
      </c>
      <c r="G15" s="15">
        <f>INDEX('Inputs (2)'!$D$4:$AL$4,MATCH(G$7,'Inputs (2)'!$D$2:$AL$2,0))</f>
        <v>2405.519</v>
      </c>
      <c r="H15" s="16">
        <f>SUM(D15:G15)</f>
        <v>6140.745</v>
      </c>
      <c r="I15" s="15">
        <f>INDEX('Inputs (2)'!$D$4:$AL$4,MATCH(I$7,'Inputs (2)'!$D$2:$AL$2,0))</f>
        <v>1601.474</v>
      </c>
      <c r="J15" s="15">
        <f>INDEX('Inputs (2)'!$D$4:$AL$4,MATCH(J$7,'Inputs (2)'!$D$2:$AL$2,0))</f>
        <v>1337.141</v>
      </c>
      <c r="K15" s="15">
        <f>INDEX('Inputs (2)'!$D$4:$AL$4,MATCH(K$7,'Inputs (2)'!$D$2:$AL$2,0))</f>
        <v>1167.652</v>
      </c>
      <c r="L15" s="15">
        <f>INDEX('Inputs (2)'!$D$4:$AL$4,MATCH(L$7,'Inputs (2)'!$D$2:$AL$2,0))</f>
        <v>1127.941</v>
      </c>
      <c r="M15" s="16">
        <f>SUM(I15:L15)</f>
        <v>5234.208</v>
      </c>
      <c r="N15" s="15">
        <f>INDEX('Inputs (2)'!$D$4:$AL$4,MATCH(N$7,'Inputs (2)'!$D$2:$AL$2,0))</f>
        <v>1280.52</v>
      </c>
      <c r="O15" s="15">
        <f>INDEX('Inputs (2)'!$D$4:$AL$4,MATCH(O$7,'Inputs (2)'!$D$2:$AL$2,0))</f>
        <v>1168.243</v>
      </c>
      <c r="P15" s="15">
        <f>INDEX('Inputs (2)'!$D$4:$AL$4,MATCH(P$7,'Inputs (2)'!$D$2:$AL$2,0))</f>
        <v>652.659</v>
      </c>
      <c r="Q15" s="15">
        <f>INDEX('Inputs (2)'!$D$4:$AL$4,MATCH(Q$7,'Inputs (2)'!$D$2:$AL$2,0))</f>
        <v>732.286</v>
      </c>
      <c r="R15" s="16">
        <f>SUM(N15:Q15)</f>
        <v>3833.708</v>
      </c>
      <c r="S15" s="15">
        <f>INDEX('Inputs (2)'!$D$4:$AL$4,MATCH(S$7,'Inputs (2)'!$D$2:$AL$2,0))</f>
        <v>1003.997</v>
      </c>
      <c r="T15" s="15">
        <f>INDEX('Inputs (2)'!$D$4:$AL$4,MATCH(T$7,'Inputs (2)'!$D$2:$AL$2,0))</f>
        <v>780.156</v>
      </c>
      <c r="U15" s="15">
        <f>INDEX('Inputs (2)'!$D$4:$AL$4,MATCH(U$7,'Inputs (2)'!$D$2:$AL$2,0))</f>
        <v>648.957</v>
      </c>
      <c r="V15" s="15">
        <f>INDEX('Inputs (2)'!$D$4:$AL$4,MATCH(V$7,'Inputs (2)'!$D$2:$AL$2,0))</f>
        <v>878.271</v>
      </c>
      <c r="W15" s="16">
        <f>SUM(S15:V15)</f>
        <v>3311.381</v>
      </c>
      <c r="X15" s="15">
        <f>INDEX('Inputs (2)'!$D$4:$AL$4,MATCH(X$7,'Inputs (2)'!$D$2:$AL$2,0))</f>
        <v>996.535</v>
      </c>
      <c r="Y15" s="15">
        <f>INDEX('Inputs (2)'!$D$4:$AL$4,MATCH(Y$7,'Inputs (2)'!$D$2:$AL$2,0))</f>
        <v>953.692</v>
      </c>
      <c r="Z15" s="15">
        <f>INDEX('Inputs (2)'!$D$4:$AL$4,MATCH(Z$7,'Inputs (2)'!$D$2:$AL$2,0))</f>
        <v>928.567</v>
      </c>
      <c r="AA15" s="15">
        <f>INDEX('Inputs (2)'!$D$4:$AL$4,MATCH(AA$7,'Inputs (2)'!$D$2:$AL$2,0))</f>
        <v>1123.31</v>
      </c>
      <c r="AB15" s="16">
        <f>SUM(X15:AA15)</f>
        <v>4002.104</v>
      </c>
      <c r="AC15" s="15">
        <f>INDEX('Inputs (2)'!$D$4:$AL$4,MATCH(AC$7,'Inputs (2)'!$D$2:$AL$2,0))</f>
        <v>1223.731</v>
      </c>
      <c r="AD15" s="15">
        <f>INDEX('Inputs (2)'!$D$4:$AL$4,MATCH(AD$7,'Inputs (2)'!$D$2:$AL$2,0))</f>
        <v>1047.14</v>
      </c>
      <c r="AE15" s="15">
        <f>INDEX('Inputs (2)'!$D$4:$AL$4,MATCH(AE$7,'Inputs (2)'!$D$2:$AL$2,0))</f>
        <v>963.353</v>
      </c>
      <c r="AF15" s="15">
        <f>INDEX('Inputs (2)'!$D$4:$AL$4,MATCH(AF$7,'Inputs (2)'!$D$2:$AL$2,0))</f>
        <v>1163.659</v>
      </c>
      <c r="AG15" s="16">
        <f>SUM(AC15:AF15)</f>
        <v>4397.883</v>
      </c>
      <c r="AH15" s="16">
        <f>INDEX('Inputs (2)'!$D$4:$AL$4,MATCH(AH$7,'Inputs (2)'!$D$2:$AL$2,0))</f>
        <v>1255.635</v>
      </c>
      <c r="AI15" s="16">
        <f>INDEX('Inputs (2)'!$D$4:$AL$4,MATCH(AI$7,'Inputs (2)'!$D$2:$AL$2,0))</f>
        <v>1627.285</v>
      </c>
      <c r="AJ15" s="16">
        <f>AE15*(1+AJ16)</f>
        <v>963.353</v>
      </c>
      <c r="AK15" s="16">
        <f>AF15*(1+AK16)</f>
        <v>1163.659</v>
      </c>
      <c r="AL15" s="16">
        <f>SUM(AH15:AK15)</f>
        <v>5009.932</v>
      </c>
      <c r="AM15" s="16">
        <f>AH15*(1+AM16)</f>
        <v>1255.635</v>
      </c>
      <c r="AN15" s="16">
        <f>AI15*(1+AN16)</f>
        <v>1627.285</v>
      </c>
      <c r="AO15" s="16">
        <f>AJ15*(1+AO16)</f>
        <v>963.353</v>
      </c>
      <c r="AP15" s="16">
        <f>AK15*(1+AP16)</f>
        <v>1163.659</v>
      </c>
      <c r="AQ15" s="16">
        <f>SUM(AM15:AP15)</f>
        <v>5009.932</v>
      </c>
      <c r="AR15" s="16">
        <f>AM15*(1+AR16)</f>
        <v>1255.635</v>
      </c>
      <c r="AS15" s="16">
        <f>AN15*(1+AS16)</f>
        <v>1627.285</v>
      </c>
      <c r="AT15" s="16">
        <f>AO15*(1+AT16)</f>
        <v>963.353</v>
      </c>
      <c r="AU15" s="16">
        <f>AP15*(1+AU16)</f>
        <v>1163.659</v>
      </c>
      <c r="AV15" s="16">
        <f>SUM(AR15:AU15)</f>
        <v>5009.932</v>
      </c>
      <c r="AW15" s="16">
        <f>AR15*(1+AW16)</f>
        <v>1255.635</v>
      </c>
      <c r="AX15" s="16">
        <f>AS15*(1+AX16)</f>
        <v>1627.285</v>
      </c>
      <c r="AY15" s="16">
        <f>AT15*(1+AY16)</f>
        <v>963.353</v>
      </c>
      <c r="AZ15" s="16">
        <f>AU15*(1+AZ16)</f>
        <v>1163.659</v>
      </c>
      <c r="BA15" s="16">
        <f>SUM(AW15:AZ15)</f>
        <v>5009.932</v>
      </c>
      <c r="BB15" s="16">
        <f>AW15*(1+BB16)</f>
        <v>1255.635</v>
      </c>
      <c r="BC15" s="16">
        <f>AX15*(1+BC16)</f>
        <v>1627.285</v>
      </c>
      <c r="BD15" s="16">
        <f>AY15*(1+BD16)</f>
        <v>963.353</v>
      </c>
      <c r="BE15" s="16">
        <f>AZ15*(1+BE16)</f>
        <v>1163.659</v>
      </c>
      <c r="BF15" s="16">
        <f>SUM(BB15:BE15)</f>
        <v>5009.932</v>
      </c>
      <c r="BG15" s="16">
        <f>BB15*(1+BG16)</f>
        <v>1255.635</v>
      </c>
      <c r="BH15" s="16">
        <f>BC15*(1+BH16)</f>
        <v>1627.285</v>
      </c>
      <c r="BI15" s="16">
        <f>BD15*(1+BI16)</f>
        <v>963.353</v>
      </c>
      <c r="BJ15" s="16">
        <f>BE15*(1+BJ16)</f>
        <v>1163.659</v>
      </c>
      <c r="BK15" s="16">
        <f>SUM(BG15:BJ15)</f>
        <v>5009.932</v>
      </c>
      <c r="BL15" s="16">
        <f>BG15*(1+BL16)</f>
        <v>1255.635</v>
      </c>
      <c r="BM15" s="16">
        <f>BH15*(1+BM16)</f>
        <v>1627.285</v>
      </c>
      <c r="BN15" s="16">
        <f>BI15*(1+BN16)</f>
        <v>963.353</v>
      </c>
      <c r="BO15" s="16">
        <f>BJ15*(1+BO16)</f>
        <v>1163.659</v>
      </c>
      <c r="BP15" s="16">
        <f>SUM(BL15:BO15)</f>
        <v>5009.932</v>
      </c>
      <c r="BQ15" s="16">
        <f>BL15*(1+BQ16)</f>
        <v>1255.635</v>
      </c>
      <c r="BR15" s="16">
        <f>BM15*(1+BR16)</f>
        <v>1627.285</v>
      </c>
      <c r="BS15" s="16">
        <f>BN15*(1+BS16)</f>
        <v>963.353</v>
      </c>
      <c r="BT15" s="16">
        <f>BO15*(1+BT16)</f>
        <v>1163.659</v>
      </c>
      <c r="BU15" s="16">
        <f>SUM(BQ15:BT15)</f>
        <v>5009.932</v>
      </c>
      <c r="BV15" s="16">
        <f>BQ15*(1+BV16)</f>
        <v>1255.635</v>
      </c>
      <c r="BW15" s="16">
        <f>BR15*(1+BW16)</f>
        <v>1627.285</v>
      </c>
      <c r="BX15" s="16">
        <f>BS15*(1+BX16)</f>
        <v>963.353</v>
      </c>
      <c r="BY15" s="16">
        <f>BT15*(1+BY16)</f>
        <v>1163.659</v>
      </c>
      <c r="BZ15" s="16">
        <f>SUM(BV15:BY15)</f>
        <v>5009.932</v>
      </c>
      <c r="CA15" s="16">
        <f>BV15*(1+CA16)</f>
        <v>1255.635</v>
      </c>
      <c r="CB15" s="16">
        <f>BW15*(1+CB16)</f>
        <v>1627.285</v>
      </c>
      <c r="CC15" s="16">
        <f>BX15*(1+CC16)</f>
        <v>963.353</v>
      </c>
      <c r="CD15" s="16">
        <f>BY15*(1+CD16)</f>
        <v>1163.659</v>
      </c>
      <c r="CE15" s="16">
        <f>SUM(CA15:CD15)</f>
        <v>5009.932</v>
      </c>
      <c r="CF15" s="16">
        <f>CA15*(1+CF16)</f>
        <v>1255.635</v>
      </c>
      <c r="CG15" s="16">
        <f>CB15*(1+CG16)</f>
        <v>1627.285</v>
      </c>
      <c r="CH15" s="16">
        <f>CC15*(1+CH16)</f>
        <v>963.353</v>
      </c>
      <c r="CI15" s="16">
        <f>CD15*(1+CI16)</f>
        <v>1163.659</v>
      </c>
      <c r="CJ15" s="16">
        <f>SUM(CF15:CI15)</f>
        <v>5009.932</v>
      </c>
      <c r="CK15" s="16">
        <f>CF15*(1+CK16)</f>
        <v>1255.635</v>
      </c>
      <c r="CL15" s="16">
        <f>CG15*(1+CL16)</f>
        <v>1627.285</v>
      </c>
      <c r="CM15" s="16">
        <f>CH15*(1+CM16)</f>
        <v>963.353</v>
      </c>
      <c r="CN15" s="16">
        <f>CI15*(1+CN16)</f>
        <v>1163.659</v>
      </c>
      <c r="CO15" s="16">
        <f>SUM(CK15:CN15)</f>
        <v>5009.932</v>
      </c>
      <c r="CP15" s="16">
        <f>CK15*(1+CP16)</f>
        <v>1255.635</v>
      </c>
      <c r="CQ15" s="16">
        <f>CL15*(1+CQ16)</f>
        <v>1627.285</v>
      </c>
      <c r="CR15" s="16">
        <f>CM15*(1+CR16)</f>
        <v>963.353</v>
      </c>
      <c r="CS15" s="16">
        <f>CN15*(1+CS16)</f>
        <v>1163.659</v>
      </c>
      <c r="CT15" s="16">
        <f>SUM(CP15:CS15)</f>
        <v>5009.932</v>
      </c>
      <c r="CU15" s="16">
        <f>CP15*(1+CU16)</f>
        <v>1255.635</v>
      </c>
      <c r="CV15" s="16">
        <f>CQ15*(1+CV16)</f>
        <v>1627.285</v>
      </c>
      <c r="CW15" s="16">
        <f>CR15*(1+CW16)</f>
        <v>963.353</v>
      </c>
      <c r="CX15" s="16">
        <f>CS15*(1+CX16)</f>
        <v>1163.659</v>
      </c>
      <c r="CY15" s="16">
        <f>SUM(CU15:CX15)</f>
        <v>5009.932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-0.200411620794343</v>
      </c>
      <c r="O16" s="47">
        <f>O15/J15-1</f>
        <v>-0.126312782272027</v>
      </c>
      <c r="P16" s="47">
        <f>P15/K15-1</f>
        <v>-0.44105007313823</v>
      </c>
      <c r="Q16" s="47">
        <f>Q15/L15-1</f>
        <v>-0.3507763260667</v>
      </c>
      <c r="R16" s="47">
        <f>R15/M15-1</f>
        <v>-0.267566745532466</v>
      </c>
      <c r="S16" s="47">
        <f>S15/N15-1</f>
        <v>-0.215945865742042</v>
      </c>
      <c r="T16" s="47">
        <f>T15/O15-1</f>
        <v>-0.332197154187956</v>
      </c>
      <c r="U16" s="47">
        <f>U15/P15-1</f>
        <v>-0.0056721810317486</v>
      </c>
      <c r="V16" s="47">
        <f>V15/Q15-1</f>
        <v>0.199355169974573</v>
      </c>
      <c r="W16" s="47">
        <f>W15/R15-1</f>
        <v>-0.136245900835431</v>
      </c>
      <c r="X16" s="47">
        <f>X15/S15-1</f>
        <v>-0.00743229312438187</v>
      </c>
      <c r="Y16" s="47">
        <f>Y15/T15-1</f>
        <v>0.222437563769297</v>
      </c>
      <c r="Z16" s="47">
        <f>Z15/U15-1</f>
        <v>0.430860596310696</v>
      </c>
      <c r="AA16" s="47">
        <f>AA15/V15-1</f>
        <v>0.279001583793613</v>
      </c>
      <c r="AB16" s="47">
        <f>AB15/W15-1</f>
        <v>0.208590615214619</v>
      </c>
      <c r="AC16" s="47">
        <f>AC15/X15-1</f>
        <v>0.227985971390869</v>
      </c>
      <c r="AD16" s="47">
        <f>AD15/Y15-1</f>
        <v>0.097985513142608</v>
      </c>
      <c r="AE16" s="47">
        <f>AE15/Z15-1</f>
        <v>0.0374620248188875</v>
      </c>
      <c r="AF16" s="44">
        <f>AF15/AA15-1</f>
        <v>0.035919737205224</v>
      </c>
      <c r="AG16" s="47">
        <f>AG15/AB15-1</f>
        <v>0.0988927324227455</v>
      </c>
      <c r="AH16" s="44">
        <f>AH15/AC15-1</f>
        <v>0.0260710891527631</v>
      </c>
      <c r="AI16" s="44">
        <f>AI15/AD15-1</f>
        <v>0.554028114674256</v>
      </c>
      <c r="AJ16" s="44" t="n"/>
      <c r="AK16" s="44" t="n"/>
      <c r="AL16" s="22">
        <f>AL15/AG15-1</f>
        <v>0.139169004723409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soma dos segmentos, linha 23)</t>
        </is>
      </c>
      <c r="D17" s="15" t="str">
        <f>IF(COUNT(D23)=0,"",D15-D23)</f>
        <v/>
      </c>
      <c r="E17" s="15" t="str">
        <f>IF(COUNT(E23)=0,"",E15-E23)</f>
        <v/>
      </c>
      <c r="F17" s="15" t="str">
        <f>IF(COUNT(F23)=0,"",F15-F23)</f>
        <v/>
      </c>
      <c r="G17" s="15" t="str">
        <f>IF(COUNT(G23)=0,"",G15-G23)</f>
        <v/>
      </c>
      <c r="H17" s="16" t="str">
        <f>IF(COUNT(H23)=0,"",H15-H23)</f>
        <v/>
      </c>
      <c r="I17" s="15" t="str">
        <f>IF(COUNT(I23)=0,"",I15-I23)</f>
        <v/>
      </c>
      <c r="J17" s="15" t="str">
        <f>IF(COUNT(J23)=0,"",J15-J23)</f>
        <v/>
      </c>
      <c r="K17" s="15" t="str">
        <f>IF(COUNT(K23)=0,"",K15-K23)</f>
        <v/>
      </c>
      <c r="L17" s="15" t="str">
        <f>IF(COUNT(L23)=0,"",L15-L23)</f>
        <v/>
      </c>
      <c r="M17" s="16" t="str">
        <f>IF(COUNT(M23)=0,"",M15-M23)</f>
        <v/>
      </c>
      <c r="N17" s="15" t="str">
        <f>IF(COUNT(N23)=0,"",N15-N23)</f>
        <v/>
      </c>
      <c r="O17" s="15" t="str">
        <f>IF(COUNT(O23)=0,"",O15-O23)</f>
        <v/>
      </c>
      <c r="P17" s="15" t="str">
        <f>IF(COUNT(P23)=0,"",P15-P23)</f>
        <v/>
      </c>
      <c r="Q17" s="15" t="str">
        <f>IF(COUNT(Q23)=0,"",Q15-Q23)</f>
        <v/>
      </c>
      <c r="R17" s="16" t="str">
        <f>IF(COUNT(R23)=0,"",R15-R23)</f>
        <v/>
      </c>
      <c r="S17" s="15">
        <f>IF(COUNT(S23)=0,"",S15-S23)</f>
        <v>0</v>
      </c>
      <c r="T17" s="15">
        <f>IF(COUNT(T23)=0,"",T15-T23)</f>
        <v>0</v>
      </c>
      <c r="U17" s="15">
        <f>IF(COUNT(U23)=0,"",U15-U23)</f>
        <v>0</v>
      </c>
      <c r="V17" s="15">
        <f>IF(COUNT(V23)=0,"",V15-V23)</f>
        <v>0</v>
      </c>
      <c r="W17" s="16">
        <f>IF(COUNT(W23)=0,"",W15-W23)</f>
        <v>0</v>
      </c>
      <c r="X17" s="15">
        <f>IF(COUNT(X23)=0,"",X15-X23)</f>
        <v>0</v>
      </c>
      <c r="Y17" s="15">
        <f>IF(COUNT(Y23)=0,"",Y15-Y23)</f>
        <v>0</v>
      </c>
      <c r="Z17" s="15">
        <f>IF(COUNT(Z23)=0,"",Z15-Z23)</f>
        <v>0</v>
      </c>
      <c r="AA17" s="15">
        <f>IF(COUNT(AA23)=0,"",AA15-AA23)</f>
        <v>0</v>
      </c>
      <c r="AB17" s="16">
        <f>IF(COUNT(AB23)=0,"",AB15-AB23)</f>
        <v>0</v>
      </c>
      <c r="AC17" s="15">
        <f>IF(COUNT(AC23)=0,"",AC15-AC23)</f>
        <v>0</v>
      </c>
      <c r="AD17" s="15">
        <f>IF(COUNT(AD23)=0,"",AD15-AD23)</f>
        <v>0</v>
      </c>
      <c r="AE17" s="15">
        <f>IF(COUNT(AE23)=0,"",AE15-AE23)</f>
        <v>0</v>
      </c>
      <c r="AF17" s="15">
        <f>IF(COUNT(AF23)=0,"",AF15-AF23)</f>
        <v>0</v>
      </c>
      <c r="AG17" s="16">
        <f>IF(COUNT(AG23)=0,"",AG15-AG23)</f>
        <v>0</v>
      </c>
      <c r="AH17" s="16">
        <f>IF(COUNT(AH23)=0,"",AH15-AH23)</f>
        <v>0</v>
      </c>
      <c r="AI17" s="16">
        <f>IF(COUNT(AI23)=0,"",AI15-AI23)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liquida por segmento (R$ milhoes; segmentos so a partir do 1T23)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/>
    <row r="20">
      <c r="C20" s="14" t="inlineStr">
        <is>
          <t>Transmissao</t>
        </is>
      </c>
      <c r="D20" s="15" t="str">
        <f>IFERROR(INDEX('Inputs (2)'!$D$53:$AL$53,MATCH(D$7,'Inputs (2)'!$D$2:$AL$2,0)),"")</f>
        <v/>
      </c>
      <c r="E20" s="15" t="str">
        <f>IFERROR(INDEX('Inputs (2)'!$D$53:$AL$53,MATCH(E$7,'Inputs (2)'!$D$2:$AL$2,0)),"")</f>
        <v/>
      </c>
      <c r="F20" s="15" t="str">
        <f>IFERROR(INDEX('Inputs (2)'!$D$53:$AL$53,MATCH(F$7,'Inputs (2)'!$D$2:$AL$2,0)),"")</f>
        <v/>
      </c>
      <c r="G20" s="15" t="str">
        <f>IFERROR(INDEX('Inputs (2)'!$D$53:$AL$53,MATCH(G$7,'Inputs (2)'!$D$2:$AL$2,0)),"")</f>
        <v/>
      </c>
      <c r="H20" s="16" t="str">
        <f>IF(COUNT(D20:G20)=4,SUM(D20:G20),"")</f>
        <v/>
      </c>
      <c r="I20" s="15" t="str">
        <f>IFERROR(INDEX('Inputs (2)'!$D$53:$AL$53,MATCH(I$7,'Inputs (2)'!$D$2:$AL$2,0)),"")</f>
        <v/>
      </c>
      <c r="J20" s="15" t="str">
        <f>IFERROR(INDEX('Inputs (2)'!$D$53:$AL$53,MATCH(J$7,'Inputs (2)'!$D$2:$AL$2,0)),"")</f>
        <v/>
      </c>
      <c r="K20" s="15" t="str">
        <f>IFERROR(INDEX('Inputs (2)'!$D$53:$AL$53,MATCH(K$7,'Inputs (2)'!$D$2:$AL$2,0)),"")</f>
        <v/>
      </c>
      <c r="L20" s="15" t="str">
        <f>IFERROR(INDEX('Inputs (2)'!$D$53:$AL$53,MATCH(L$7,'Inputs (2)'!$D$2:$AL$2,0)),"")</f>
        <v/>
      </c>
      <c r="M20" s="16" t="str">
        <f>IF(COUNT(I20:L20)=4,SUM(I20:L20),"")</f>
        <v/>
      </c>
      <c r="N20" s="15" t="str">
        <f>IFERROR(INDEX('Inputs (2)'!$D$53:$AL$53,MATCH(N$7,'Inputs (2)'!$D$2:$AL$2,0)),"")</f>
        <v/>
      </c>
      <c r="O20" s="15" t="str">
        <f>IFERROR(INDEX('Inputs (2)'!$D$53:$AL$53,MATCH(O$7,'Inputs (2)'!$D$2:$AL$2,0)),"")</f>
        <v/>
      </c>
      <c r="P20" s="15" t="str">
        <f>IFERROR(INDEX('Inputs (2)'!$D$53:$AL$53,MATCH(P$7,'Inputs (2)'!$D$2:$AL$2,0)),"")</f>
        <v/>
      </c>
      <c r="Q20" s="15" t="str">
        <f>IFERROR(INDEX('Inputs (2)'!$D$53:$AL$53,MATCH(Q$7,'Inputs (2)'!$D$2:$AL$2,0)),"")</f>
        <v/>
      </c>
      <c r="R20" s="16" t="str">
        <f>IF(COUNT(N20:Q20)=4,SUM(N20:Q20),"")</f>
        <v/>
      </c>
      <c r="S20" s="15">
        <f>IFERROR(INDEX('Inputs (2)'!$D$53:$AL$53,MATCH(S$7,'Inputs (2)'!$D$2:$AL$2,0)),"")</f>
        <v>813.298</v>
      </c>
      <c r="T20" s="15">
        <f>IFERROR(INDEX('Inputs (2)'!$D$53:$AL$53,MATCH(T$7,'Inputs (2)'!$D$2:$AL$2,0)),"")</f>
        <v>601.252</v>
      </c>
      <c r="U20" s="15">
        <f>IFERROR(INDEX('Inputs (2)'!$D$53:$AL$53,MATCH(U$7,'Inputs (2)'!$D$2:$AL$2,0)),"")</f>
        <v>454.094</v>
      </c>
      <c r="V20" s="15">
        <f>IFERROR(INDEX('Inputs (2)'!$D$53:$AL$53,MATCH(V$7,'Inputs (2)'!$D$2:$AL$2,0)),"")</f>
        <v>686.745</v>
      </c>
      <c r="W20" s="16">
        <f>IF(COUNT(S20:V20)=4,SUM(S20:V20),"")</f>
        <v>2555.389</v>
      </c>
      <c r="X20" s="15">
        <f>IFERROR(INDEX('Inputs (2)'!$D$53:$AL$53,MATCH(X$7,'Inputs (2)'!$D$2:$AL$2,0)),"")</f>
        <v>811.934</v>
      </c>
      <c r="Y20" s="15">
        <f>IFERROR(INDEX('Inputs (2)'!$D$53:$AL$53,MATCH(Y$7,'Inputs (2)'!$D$2:$AL$2,0)),"")</f>
        <v>774.963</v>
      </c>
      <c r="Z20" s="15">
        <f>IFERROR(INDEX('Inputs (2)'!$D$53:$AL$53,MATCH(Z$7,'Inputs (2)'!$D$2:$AL$2,0)),"")</f>
        <v>743.02</v>
      </c>
      <c r="AA20" s="15">
        <f>IFERROR(INDEX('Inputs (2)'!$D$53:$AL$53,MATCH(AA$7,'Inputs (2)'!$D$2:$AL$2,0)),"")</f>
        <v>890.039</v>
      </c>
      <c r="AB20" s="16">
        <f>IF(COUNT(X20:AA20)=4,SUM(X20:AA20),"")</f>
        <v>3219.956</v>
      </c>
      <c r="AC20" s="15">
        <f>IFERROR(INDEX('Inputs (2)'!$D$53:$AL$53,MATCH(AC$7,'Inputs (2)'!$D$2:$AL$2,0)),"")</f>
        <v>1001.038</v>
      </c>
      <c r="AD20" s="15">
        <f>IFERROR(INDEX('Inputs (2)'!$D$53:$AL$53,MATCH(AD$7,'Inputs (2)'!$D$2:$AL$2,0)),"")</f>
        <v>828.487</v>
      </c>
      <c r="AE20" s="15">
        <f>IFERROR(INDEX('Inputs (2)'!$D$53:$AL$53,MATCH(AE$7,'Inputs (2)'!$D$2:$AL$2,0)),"")</f>
        <v>756.195</v>
      </c>
      <c r="AF20" s="15">
        <f>IFERROR(INDEX('Inputs (2)'!$D$53:$AL$53,MATCH(AF$7,'Inputs (2)'!$D$2:$AL$2,0)),"")</f>
        <v>953.586</v>
      </c>
      <c r="AG20" s="16">
        <f>IF(COUNT(AC20:AF20)=4,SUM(AC20:AF20),"")</f>
        <v>3539.306</v>
      </c>
      <c r="AH20" s="16">
        <f>IFERROR(INDEX('Inputs (2)'!$D$53:$AL$53,MATCH(AH$7,'Inputs (2)'!$D$2:$AL$2,0)),"")</f>
        <v>997.764</v>
      </c>
      <c r="AI20" s="16">
        <f>IFERROR(INDEX('Inputs (2)'!$D$53:$AL$53,MATCH(AI$7,'Inputs (2)'!$D$2:$AL$2,0)),"")</f>
        <v>1414.665</v>
      </c>
    </row>
    <row r="21">
      <c r="C21" s="14" t="inlineStr">
        <is>
          <t>Geracao</t>
        </is>
      </c>
      <c r="D21" s="15" t="str">
        <f>IFERROR(INDEX('Inputs (2)'!$D$54:$AL$54,MATCH(D$7,'Inputs (2)'!$D$2:$AL$2,0)),"")</f>
        <v/>
      </c>
      <c r="E21" s="15" t="str">
        <f>IFERROR(INDEX('Inputs (2)'!$D$54:$AL$54,MATCH(E$7,'Inputs (2)'!$D$2:$AL$2,0)),"")</f>
        <v/>
      </c>
      <c r="F21" s="15" t="str">
        <f>IFERROR(INDEX('Inputs (2)'!$D$54:$AL$54,MATCH(F$7,'Inputs (2)'!$D$2:$AL$2,0)),"")</f>
        <v/>
      </c>
      <c r="G21" s="15" t="str">
        <f>IFERROR(INDEX('Inputs (2)'!$D$54:$AL$54,MATCH(G$7,'Inputs (2)'!$D$2:$AL$2,0)),"")</f>
        <v/>
      </c>
      <c r="H21" s="16" t="str">
        <f>IF(COUNT(D21:G21)=4,SUM(D21:G21),"")</f>
        <v/>
      </c>
      <c r="I21" s="15" t="str">
        <f>IFERROR(INDEX('Inputs (2)'!$D$54:$AL$54,MATCH(I$7,'Inputs (2)'!$D$2:$AL$2,0)),"")</f>
        <v/>
      </c>
      <c r="J21" s="15" t="str">
        <f>IFERROR(INDEX('Inputs (2)'!$D$54:$AL$54,MATCH(J$7,'Inputs (2)'!$D$2:$AL$2,0)),"")</f>
        <v/>
      </c>
      <c r="K21" s="15" t="str">
        <f>IFERROR(INDEX('Inputs (2)'!$D$54:$AL$54,MATCH(K$7,'Inputs (2)'!$D$2:$AL$2,0)),"")</f>
        <v/>
      </c>
      <c r="L21" s="15" t="str">
        <f>IFERROR(INDEX('Inputs (2)'!$D$54:$AL$54,MATCH(L$7,'Inputs (2)'!$D$2:$AL$2,0)),"")</f>
        <v/>
      </c>
      <c r="M21" s="16" t="str">
        <f>IF(COUNT(I21:L21)=4,SUM(I21:L21),"")</f>
        <v/>
      </c>
      <c r="N21" s="15" t="str">
        <f>IFERROR(INDEX('Inputs (2)'!$D$54:$AL$54,MATCH(N$7,'Inputs (2)'!$D$2:$AL$2,0)),"")</f>
        <v/>
      </c>
      <c r="O21" s="15" t="str">
        <f>IFERROR(INDEX('Inputs (2)'!$D$54:$AL$54,MATCH(O$7,'Inputs (2)'!$D$2:$AL$2,0)),"")</f>
        <v/>
      </c>
      <c r="P21" s="15" t="str">
        <f>IFERROR(INDEX('Inputs (2)'!$D$54:$AL$54,MATCH(P$7,'Inputs (2)'!$D$2:$AL$2,0)),"")</f>
        <v/>
      </c>
      <c r="Q21" s="15" t="str">
        <f>IFERROR(INDEX('Inputs (2)'!$D$54:$AL$54,MATCH(Q$7,'Inputs (2)'!$D$2:$AL$2,0)),"")</f>
        <v/>
      </c>
      <c r="R21" s="16" t="str">
        <f>IF(COUNT(N21:Q21)=4,SUM(N21:Q21),"")</f>
        <v/>
      </c>
      <c r="S21" s="15">
        <f>IFERROR(INDEX('Inputs (2)'!$D$54:$AL$54,MATCH(S$7,'Inputs (2)'!$D$2:$AL$2,0)),"")</f>
        <v>191.9</v>
      </c>
      <c r="T21" s="15">
        <f>IFERROR(INDEX('Inputs (2)'!$D$54:$AL$54,MATCH(T$7,'Inputs (2)'!$D$2:$AL$2,0)),"")</f>
        <v>180.105</v>
      </c>
      <c r="U21" s="15">
        <f>IFERROR(INDEX('Inputs (2)'!$D$54:$AL$54,MATCH(U$7,'Inputs (2)'!$D$2:$AL$2,0)),"")</f>
        <v>196.063</v>
      </c>
      <c r="V21" s="15">
        <f>IFERROR(INDEX('Inputs (2)'!$D$54:$AL$54,MATCH(V$7,'Inputs (2)'!$D$2:$AL$2,0)),"")</f>
        <v>192.716</v>
      </c>
      <c r="W21" s="16">
        <f>IF(COUNT(S21:V21)=4,SUM(S21:V21),"")</f>
        <v>760.784</v>
      </c>
      <c r="X21" s="15">
        <f>IFERROR(INDEX('Inputs (2)'!$D$54:$AL$54,MATCH(X$7,'Inputs (2)'!$D$2:$AL$2,0)),"")</f>
        <v>186.343</v>
      </c>
      <c r="Y21" s="15">
        <f>IFERROR(INDEX('Inputs (2)'!$D$54:$AL$54,MATCH(Y$7,'Inputs (2)'!$D$2:$AL$2,0)),"")</f>
        <v>179.835</v>
      </c>
      <c r="Z21" s="15">
        <f>IFERROR(INDEX('Inputs (2)'!$D$54:$AL$54,MATCH(Z$7,'Inputs (2)'!$D$2:$AL$2,0)),"")</f>
        <v>187.835</v>
      </c>
      <c r="AA21" s="15">
        <f>IFERROR(INDEX('Inputs (2)'!$D$54:$AL$54,MATCH(AA$7,'Inputs (2)'!$D$2:$AL$2,0)),"")</f>
        <v>234.921</v>
      </c>
      <c r="AB21" s="16">
        <f>IF(COUNT(X21:AA21)=4,SUM(X21:AA21),"")</f>
        <v>788.934</v>
      </c>
      <c r="AC21" s="15">
        <f>IFERROR(INDEX('Inputs (2)'!$D$54:$AL$54,MATCH(AC$7,'Inputs (2)'!$D$2:$AL$2,0)),"")</f>
        <v>224.332</v>
      </c>
      <c r="AD21" s="15">
        <f>IFERROR(INDEX('Inputs (2)'!$D$54:$AL$54,MATCH(AD$7,'Inputs (2)'!$D$2:$AL$2,0)),"")</f>
        <v>220.415</v>
      </c>
      <c r="AE21" s="15">
        <f>IFERROR(INDEX('Inputs (2)'!$D$54:$AL$54,MATCH(AE$7,'Inputs (2)'!$D$2:$AL$2,0)),"")</f>
        <v>208.737</v>
      </c>
      <c r="AF21" s="15">
        <f>IFERROR(INDEX('Inputs (2)'!$D$54:$AL$54,MATCH(AF$7,'Inputs (2)'!$D$2:$AL$2,0)),"")</f>
        <v>211.6</v>
      </c>
      <c r="AG21" s="16">
        <f>IF(COUNT(AC21:AF21)=4,SUM(AC21:AF21),"")</f>
        <v>865.084</v>
      </c>
      <c r="AH21" s="16">
        <f>IFERROR(INDEX('Inputs (2)'!$D$54:$AL$54,MATCH(AH$7,'Inputs (2)'!$D$2:$AL$2,0)),"")</f>
        <v>258.765</v>
      </c>
      <c r="AI21" s="16">
        <f>IFERROR(INDEX('Inputs (2)'!$D$54:$AL$54,MATCH(AI$7,'Inputs (2)'!$D$2:$AL$2,0)),"")</f>
        <v>212.619</v>
      </c>
    </row>
    <row r="22">
      <c r="C22" s="14" t="inlineStr">
        <is>
          <t>Holding e eliminacoes entre segmentos (diferenca)</t>
        </is>
      </c>
      <c r="D22" s="15" t="str">
        <f>IF(COUNT(D20,D21)&lt;2,"",D15-D20-D21)</f>
        <v/>
      </c>
      <c r="E22" s="15" t="str">
        <f>IF(COUNT(E20,E21)&lt;2,"",E15-E20-E21)</f>
        <v/>
      </c>
      <c r="F22" s="15" t="str">
        <f>IF(COUNT(F20,F21)&lt;2,"",F15-F20-F21)</f>
        <v/>
      </c>
      <c r="G22" s="15" t="str">
        <f>IF(COUNT(G20,G21)&lt;2,"",G15-G20-G21)</f>
        <v/>
      </c>
      <c r="H22" s="16" t="str">
        <f>IF(COUNT(D22:G22)=4,SUM(D22:G22),"")</f>
        <v/>
      </c>
      <c r="I22" s="15" t="str">
        <f>IF(COUNT(I20,I21)&lt;2,"",I15-I20-I21)</f>
        <v/>
      </c>
      <c r="J22" s="15" t="str">
        <f>IF(COUNT(J20,J21)&lt;2,"",J15-J20-J21)</f>
        <v/>
      </c>
      <c r="K22" s="15" t="str">
        <f>IF(COUNT(K20,K21)&lt;2,"",K15-K20-K21)</f>
        <v/>
      </c>
      <c r="L22" s="15" t="str">
        <f>IF(COUNT(L20,L21)&lt;2,"",L15-L20-L21)</f>
        <v/>
      </c>
      <c r="M22" s="16" t="str">
        <f>IF(COUNT(I22:L22)=4,SUM(I22:L22),"")</f>
        <v/>
      </c>
      <c r="N22" s="15" t="str">
        <f>IF(COUNT(N20,N21)&lt;2,"",N15-N20-N21)</f>
        <v/>
      </c>
      <c r="O22" s="15" t="str">
        <f>IF(COUNT(O20,O21)&lt;2,"",O15-O20-O21)</f>
        <v/>
      </c>
      <c r="P22" s="15" t="str">
        <f>IF(COUNT(P20,P21)&lt;2,"",P15-P20-P21)</f>
        <v/>
      </c>
      <c r="Q22" s="15" t="str">
        <f>IF(COUNT(Q20,Q21)&lt;2,"",Q15-Q20-Q21)</f>
        <v/>
      </c>
      <c r="R22" s="16" t="str">
        <f>IF(COUNT(N22:Q22)=4,SUM(N22:Q22),"")</f>
        <v/>
      </c>
      <c r="S22" s="15">
        <f>IF(COUNT(S20,S21)&lt;2,"",S15-S20-S21)</f>
        <v>-1.20099999999994</v>
      </c>
      <c r="T22" s="15">
        <f>IF(COUNT(T20,T21)&lt;2,"",T15-T20-T21)</f>
        <v>-1.20099999999999</v>
      </c>
      <c r="U22" s="15">
        <f>IF(COUNT(U20,U21)&lt;2,"",U15-U20-U21)</f>
        <v>-1.20000000000002</v>
      </c>
      <c r="V22" s="15">
        <f>IF(COUNT(V20,V21)&lt;2,"",V15-V20-V21)</f>
        <v>-1.19000000000005</v>
      </c>
      <c r="W22" s="16">
        <f>IF(COUNT(S22:V22)=4,SUM(S22:V22),"")</f>
        <v>-4.792</v>
      </c>
      <c r="X22" s="15">
        <f>IF(COUNT(X20,X21)&lt;2,"",X15-X20-X21)</f>
        <v>-1.74199999999991</v>
      </c>
      <c r="Y22" s="15">
        <f>IF(COUNT(Y20,Y21)&lt;2,"",Y15-Y20-Y21)</f>
        <v>-1.10599999999997</v>
      </c>
      <c r="Z22" s="15">
        <f>IF(COUNT(Z20,Z21)&lt;2,"",Z15-Z20-Z21)</f>
        <v>-2.28799999999998</v>
      </c>
      <c r="AA22" s="15">
        <f>IF(COUNT(AA20,AA21)&lt;2,"",AA15-AA20-AA21)</f>
        <v>-1.65000000000003</v>
      </c>
      <c r="AB22" s="16">
        <f>IF(COUNT(X22:AA22)=4,SUM(X22:AA22),"")</f>
        <v>-6.78599999999989</v>
      </c>
      <c r="AC22" s="15">
        <f>IF(COUNT(AC20,AC21)&lt;2,"",AC15-AC20-AC21)</f>
        <v>-1.63900000000001</v>
      </c>
      <c r="AD22" s="15">
        <f>IF(COUNT(AD20,AD21)&lt;2,"",AD15-AD20-AD21)</f>
        <v>-1.76199999999986</v>
      </c>
      <c r="AE22" s="15">
        <f>IF(COUNT(AE20,AE21)&lt;2,"",AE15-AE20-AE21)</f>
        <v>-1.57900000000009</v>
      </c>
      <c r="AF22" s="15">
        <f>IF(COUNT(AF20,AF21)&lt;2,"",AF15-AF20-AF21)</f>
        <v>-1.5269999999999</v>
      </c>
      <c r="AG22" s="16">
        <f>IF(COUNT(AC22:AF22)=4,SUM(AC22:AF22),"")</f>
        <v>-6.50699999999986</v>
      </c>
      <c r="AH22" s="16">
        <f>IF(COUNT(AH20,AH21)&lt;2,"",AH15-AH20-AH21)</f>
        <v>-0.894000000000006</v>
      </c>
      <c r="AI22" s="16">
        <f>IF(COUNT(AI20,AI21)&lt;2,"",AI15-AI20-AI21)</f>
        <v>0.00100000000011846</v>
      </c>
    </row>
    <row r="23">
      <c r="C23" s="261" t="inlineStr">
        <is>
          <t>Receita liquida consolidada (soma)</t>
        </is>
      </c>
      <c r="D23" s="15" t="str">
        <f>IF(COUNT(D20,D21)&lt;2,"",SUM(D20,D21,D22))</f>
        <v/>
      </c>
      <c r="E23" s="15" t="str">
        <f>IF(COUNT(E20,E21)&lt;2,"",SUM(E20,E21,E22))</f>
        <v/>
      </c>
      <c r="F23" s="15" t="str">
        <f>IF(COUNT(F20,F21)&lt;2,"",SUM(F20,F21,F22))</f>
        <v/>
      </c>
      <c r="G23" s="15" t="str">
        <f>IF(COUNT(G20,G21)&lt;2,"",SUM(G20,G21,G22))</f>
        <v/>
      </c>
      <c r="H23" s="16" t="str">
        <f>IF(COUNT(D23:G23)=4,SUM(D23:G23),"")</f>
        <v/>
      </c>
      <c r="I23" s="15" t="str">
        <f>IF(COUNT(I20,I21)&lt;2,"",SUM(I20,I21,I22))</f>
        <v/>
      </c>
      <c r="J23" s="15" t="str">
        <f>IF(COUNT(J20,J21)&lt;2,"",SUM(J20,J21,J22))</f>
        <v/>
      </c>
      <c r="K23" s="15" t="str">
        <f>IF(COUNT(K20,K21)&lt;2,"",SUM(K20,K21,K22))</f>
        <v/>
      </c>
      <c r="L23" s="15" t="str">
        <f>IF(COUNT(L20,L21)&lt;2,"",SUM(L20,L21,L22))</f>
        <v/>
      </c>
      <c r="M23" s="16" t="str">
        <f>IF(COUNT(I23:L23)=4,SUM(I23:L23),"")</f>
        <v/>
      </c>
      <c r="N23" s="15" t="str">
        <f>IF(COUNT(N20,N21)&lt;2,"",SUM(N20,N21,N22))</f>
        <v/>
      </c>
      <c r="O23" s="15" t="str">
        <f>IF(COUNT(O20,O21)&lt;2,"",SUM(O20,O21,O22))</f>
        <v/>
      </c>
      <c r="P23" s="15" t="str">
        <f>IF(COUNT(P20,P21)&lt;2,"",SUM(P20,P21,P22))</f>
        <v/>
      </c>
      <c r="Q23" s="15" t="str">
        <f>IF(COUNT(Q20,Q21)&lt;2,"",SUM(Q20,Q21,Q22))</f>
        <v/>
      </c>
      <c r="R23" s="16" t="str">
        <f>IF(COUNT(N23:Q23)=4,SUM(N23:Q23),"")</f>
        <v/>
      </c>
      <c r="S23" s="15">
        <f>IF(COUNT(S20,S21)&lt;2,"",SUM(S20,S21,S22))</f>
        <v>1003.997</v>
      </c>
      <c r="T23" s="15">
        <f>IF(COUNT(T20,T21)&lt;2,"",SUM(T20,T21,T22))</f>
        <v>780.156</v>
      </c>
      <c r="U23" s="15">
        <f>IF(COUNT(U20,U21)&lt;2,"",SUM(U20,U21,U22))</f>
        <v>648.957</v>
      </c>
      <c r="V23" s="15">
        <f>IF(COUNT(V20,V21)&lt;2,"",SUM(V20,V21,V22))</f>
        <v>878.271</v>
      </c>
      <c r="W23" s="16">
        <f>IF(COUNT(S23:V23)=4,SUM(S23:V23),"")</f>
        <v>3311.381</v>
      </c>
      <c r="X23" s="15">
        <f>IF(COUNT(X20,X21)&lt;2,"",SUM(X20,X21,X22))</f>
        <v>996.535</v>
      </c>
      <c r="Y23" s="15">
        <f>IF(COUNT(Y20,Y21)&lt;2,"",SUM(Y20,Y21,Y22))</f>
        <v>953.692</v>
      </c>
      <c r="Z23" s="15">
        <f>IF(COUNT(Z20,Z21)&lt;2,"",SUM(Z20,Z21,Z22))</f>
        <v>928.567</v>
      </c>
      <c r="AA23" s="15">
        <f>IF(COUNT(AA20,AA21)&lt;2,"",SUM(AA20,AA21,AA22))</f>
        <v>1123.31</v>
      </c>
      <c r="AB23" s="16">
        <f>IF(COUNT(X23:AA23)=4,SUM(X23:AA23),"")</f>
        <v>4002.104</v>
      </c>
      <c r="AC23" s="15">
        <f>IF(COUNT(AC20,AC21)&lt;2,"",SUM(AC20,AC21,AC22))</f>
        <v>1223.731</v>
      </c>
      <c r="AD23" s="15">
        <f>IF(COUNT(AD20,AD21)&lt;2,"",SUM(AD20,AD21,AD22))</f>
        <v>1047.14</v>
      </c>
      <c r="AE23" s="15">
        <f>IF(COUNT(AE20,AE21)&lt;2,"",SUM(AE20,AE21,AE22))</f>
        <v>963.353</v>
      </c>
      <c r="AF23" s="15">
        <f>IF(COUNT(AF20,AF21)&lt;2,"",SUM(AF20,AF21,AF22))</f>
        <v>1163.659</v>
      </c>
      <c r="AG23" s="16">
        <f>IF(COUNT(AC23:AF23)=4,SUM(AC23:AF23),"")</f>
        <v>4397.883</v>
      </c>
      <c r="AH23" s="16">
        <f>IF(COUNT(AH20,AH21)&lt;2,"",SUM(AH20,AH21,AH22))</f>
        <v>1255.635</v>
      </c>
      <c r="AI23" s="16">
        <f>IF(COUNT(AI20,AI21)&lt;2,"",SUM(AI20,AI21,AI22))</f>
        <v>1627.285</v>
      </c>
    </row>
    <row r="24">
      <c r="C24" s="14" t="inlineStr">
        <is>
          <t>Transmissao % da receita</t>
        </is>
      </c>
      <c r="D24" s="262" t="str">
        <f>IFERROR(D20/D15,"")</f>
        <v/>
      </c>
      <c r="E24" s="262" t="str">
        <f>IFERROR(E20/E15,"")</f>
        <v/>
      </c>
      <c r="F24" s="262" t="str">
        <f>IFERROR(F20/F15,"")</f>
        <v/>
      </c>
      <c r="G24" s="262" t="str">
        <f>IFERROR(G20/G15,"")</f>
        <v/>
      </c>
      <c r="H24" s="263" t="str">
        <f>IFERROR(H20/H15,"")</f>
        <v/>
      </c>
      <c r="I24" s="262" t="str">
        <f>IFERROR(I20/I15,"")</f>
        <v/>
      </c>
      <c r="J24" s="262" t="str">
        <f>IFERROR(J20/J15,"")</f>
        <v/>
      </c>
      <c r="K24" s="262" t="str">
        <f>IFERROR(K20/K15,"")</f>
        <v/>
      </c>
      <c r="L24" s="262" t="str">
        <f>IFERROR(L20/L15,"")</f>
        <v/>
      </c>
      <c r="M24" s="263" t="str">
        <f>IFERROR(M20/M15,"")</f>
        <v/>
      </c>
      <c r="N24" s="262" t="str">
        <f>IFERROR(N20/N15,"")</f>
        <v/>
      </c>
      <c r="O24" s="262" t="str">
        <f>IFERROR(O20/O15,"")</f>
        <v/>
      </c>
      <c r="P24" s="262" t="str">
        <f>IFERROR(P20/P15,"")</f>
        <v/>
      </c>
      <c r="Q24" s="262" t="str">
        <f>IFERROR(Q20/Q15,"")</f>
        <v/>
      </c>
      <c r="R24" s="263" t="str">
        <f>IFERROR(R20/R15,"")</f>
        <v/>
      </c>
      <c r="S24" s="262">
        <f>IFERROR(S20/S15,"")</f>
        <v>0.810060189422877</v>
      </c>
      <c r="T24" s="262">
        <f>IFERROR(T20/T15,"")</f>
        <v>0.770681761083681</v>
      </c>
      <c r="U24" s="262">
        <f>IFERROR(U20/U15,"")</f>
        <v>0.699728949683877</v>
      </c>
      <c r="V24" s="262">
        <f>IFERROR(V20/V15,"")</f>
        <v>0.781928356964992</v>
      </c>
      <c r="W24" s="263">
        <f>IFERROR(W20/W15,"")</f>
        <v>0.77169887729621</v>
      </c>
      <c r="X24" s="262">
        <f>IFERROR(X20/X15,"")</f>
        <v>0.814757133467465</v>
      </c>
      <c r="Y24" s="262">
        <f>IFERROR(Y20/Y15,"")</f>
        <v>0.812592535116159</v>
      </c>
      <c r="Z24" s="262">
        <f>IFERROR(Z20/Z15,"")</f>
        <v>0.80017920085465</v>
      </c>
      <c r="AA24" s="262">
        <f>IFERROR(AA20/AA15,"")</f>
        <v>0.792336042588422</v>
      </c>
      <c r="AB24" s="263">
        <f>IFERROR(AB20/AB15,"")</f>
        <v>0.804565798390047</v>
      </c>
      <c r="AC24" s="262">
        <f>IFERROR(AC20/AC15,"")</f>
        <v>0.818021280820703</v>
      </c>
      <c r="AD24" s="262">
        <f>IFERROR(AD20/AD15,"")</f>
        <v>0.791190289741582</v>
      </c>
      <c r="AE24" s="262">
        <f>IFERROR(AE20/AE15,"")</f>
        <v>0.784961483485285</v>
      </c>
      <c r="AF24" s="262">
        <f>IFERROR(AF20/AF15,"")</f>
        <v>0.819472027458216</v>
      </c>
      <c r="AG24" s="263">
        <f>IFERROR(AG20/AG15,"")</f>
        <v>0.804774933757901</v>
      </c>
      <c r="AH24" s="263">
        <f>IFERROR(AH20/AH15,"")</f>
        <v>0.794629012412047</v>
      </c>
      <c r="AI24" s="263">
        <f>IFERROR(AI20/AI15,"")</f>
        <v>0.869340650224146</v>
      </c>
    </row>
    <row r="25"/>
    <row r="26">
      <c r="C26" s="12" t="inlineStr">
        <is>
          <t>Transmissao - receita liquida por SPE, a 100% (R$ milhoes)</t>
        </is>
      </c>
      <c r="D26" s="12" t="str">
        <f>D7</f>
        <v>1Q20</v>
      </c>
      <c r="E26" s="12" t="str">
        <f>E7</f>
        <v>2Q20</v>
      </c>
      <c r="F26" s="12" t="str">
        <f>F7</f>
        <v>3Q20</v>
      </c>
      <c r="G26" s="12" t="str">
        <f>G7</f>
        <v>4Q20</v>
      </c>
      <c r="H26" s="12">
        <f>H7</f>
        <v>2020</v>
      </c>
      <c r="I26" s="12" t="str">
        <f>I7</f>
        <v>1Q21</v>
      </c>
      <c r="J26" s="12" t="str">
        <f>J7</f>
        <v>2Q21</v>
      </c>
      <c r="K26" s="12" t="str">
        <f>K7</f>
        <v>3Q21</v>
      </c>
      <c r="L26" s="12" t="str">
        <f>L7</f>
        <v>4Q21</v>
      </c>
      <c r="M26" s="12">
        <f>M7</f>
        <v>2021</v>
      </c>
      <c r="N26" s="12" t="str">
        <f>N7</f>
        <v>1Q22</v>
      </c>
      <c r="O26" s="12" t="str">
        <f>O7</f>
        <v>2Q22</v>
      </c>
      <c r="P26" s="12" t="str">
        <f>P7</f>
        <v>3Q22</v>
      </c>
      <c r="Q26" s="12" t="str">
        <f>Q7</f>
        <v>4Q22</v>
      </c>
      <c r="R26" s="12">
        <f>R7</f>
        <v>2022</v>
      </c>
      <c r="S26" s="12" t="str">
        <f>S7</f>
        <v>1Q23</v>
      </c>
      <c r="T26" s="12" t="str">
        <f>T7</f>
        <v>2Q23</v>
      </c>
      <c r="U26" s="12" t="str">
        <f>U7</f>
        <v>3Q23</v>
      </c>
      <c r="V26" s="12" t="str">
        <f>V7</f>
        <v>4Q23</v>
      </c>
      <c r="W26" s="12">
        <f>W7</f>
        <v>2023</v>
      </c>
      <c r="X26" s="12" t="str">
        <f>X7</f>
        <v>1Q24</v>
      </c>
      <c r="Y26" s="12" t="str">
        <f>Y7</f>
        <v>2Q24</v>
      </c>
      <c r="Z26" s="12" t="str">
        <f>Z7</f>
        <v>3Q24</v>
      </c>
      <c r="AA26" s="12" t="str">
        <f>AA7</f>
        <v>4Q24</v>
      </c>
      <c r="AB26" s="12">
        <f>AB7</f>
        <v>2024</v>
      </c>
      <c r="AC26" s="12" t="str">
        <f>AC7</f>
        <v>1Q25</v>
      </c>
      <c r="AD26" s="12" t="str">
        <f>AD7</f>
        <v>2Q25</v>
      </c>
      <c r="AE26" s="12" t="str">
        <f>AE7</f>
        <v>3Q25</v>
      </c>
      <c r="AF26" s="12" t="str">
        <f>AF7</f>
        <v>4Q25</v>
      </c>
      <c r="AG26" s="12">
        <f>AG7</f>
        <v>2025</v>
      </c>
      <c r="AH26" s="12" t="str">
        <f>AH7</f>
        <v>1Q26</v>
      </c>
      <c r="AI26" s="12" t="str">
        <f>AI7</f>
        <v>2Q26</v>
      </c>
    </row>
    <row r="27">
      <c r="C27" s="14" t="inlineStr">
        <is>
          <t xml:space="preserve">   Transudeste</t>
        </is>
      </c>
      <c r="D27" s="15">
        <f>IFERROR(INDEX('Inputs (2)'!$D$55:$AL$55,MATCH(D$7,'Inputs (2)'!$D$2:$AL$2,0)),"")</f>
        <v>5.414</v>
      </c>
      <c r="E27" s="15">
        <f>IFERROR(INDEX('Inputs (2)'!$D$55:$AL$55,MATCH(E$7,'Inputs (2)'!$D$2:$AL$2,0)),"")</f>
        <v>5.338</v>
      </c>
      <c r="F27" s="15">
        <f>IFERROR(INDEX('Inputs (2)'!$D$55:$AL$55,MATCH(F$7,'Inputs (2)'!$D$2:$AL$2,0)),"")</f>
        <v>7.562</v>
      </c>
      <c r="G27" s="15">
        <f>IFERROR(INDEX('Inputs (2)'!$D$55:$AL$55,MATCH(G$7,'Inputs (2)'!$D$2:$AL$2,0)),"")</f>
        <v>20.455</v>
      </c>
      <c r="H27" s="16">
        <f>IF(COUNT(D27:G27)=4,SUM(D27:G27),"")</f>
        <v>38.769</v>
      </c>
      <c r="I27" s="15">
        <f>IFERROR(INDEX('Inputs (2)'!$D$55:$AL$55,MATCH(I$7,'Inputs (2)'!$D$2:$AL$2,0)),"")</f>
        <v>8.888</v>
      </c>
      <c r="J27" s="15">
        <f>IFERROR(INDEX('Inputs (2)'!$D$55:$AL$55,MATCH(J$7,'Inputs (2)'!$D$2:$AL$2,0)),"")</f>
        <v>11.76</v>
      </c>
      <c r="K27" s="15">
        <f>IFERROR(INDEX('Inputs (2)'!$D$55:$AL$55,MATCH(K$7,'Inputs (2)'!$D$2:$AL$2,0)),"")</f>
        <v>5.991</v>
      </c>
      <c r="L27" s="15">
        <f>IFERROR(INDEX('Inputs (2)'!$D$55:$AL$55,MATCH(L$7,'Inputs (2)'!$D$2:$AL$2,0)),"")</f>
        <v>4.276</v>
      </c>
      <c r="M27" s="16">
        <f>IF(COUNT(I27:L27)=4,SUM(I27:L27),"")</f>
        <v>30.915</v>
      </c>
      <c r="N27" s="15">
        <f>IFERROR(INDEX('Inputs (2)'!$D$55:$AL$55,MATCH(N$7,'Inputs (2)'!$D$2:$AL$2,0)),"")</f>
        <v>8.09</v>
      </c>
      <c r="O27" s="15">
        <f>IFERROR(INDEX('Inputs (2)'!$D$55:$AL$55,MATCH(O$7,'Inputs (2)'!$D$2:$AL$2,0)),"")</f>
        <v>7.591</v>
      </c>
      <c r="P27" s="15">
        <f>IFERROR(INDEX('Inputs (2)'!$D$55:$AL$55,MATCH(P$7,'Inputs (2)'!$D$2:$AL$2,0)),"")</f>
        <v>4.552</v>
      </c>
      <c r="Q27" s="15">
        <f>IFERROR(INDEX('Inputs (2)'!$D$55:$AL$55,MATCH(Q$7,'Inputs (2)'!$D$2:$AL$2,0)),"")</f>
        <v>2.359</v>
      </c>
      <c r="R27" s="16">
        <f>IF(COUNT(N27:Q27)=4,SUM(N27:Q27),"")</f>
        <v>22.592</v>
      </c>
      <c r="S27" s="15">
        <f>IFERROR(INDEX('Inputs (2)'!$D$55:$AL$55,MATCH(S$7,'Inputs (2)'!$D$2:$AL$2,0)),"")</f>
        <v>4.895</v>
      </c>
      <c r="T27" s="15">
        <f>IFERROR(INDEX('Inputs (2)'!$D$55:$AL$55,MATCH(T$7,'Inputs (2)'!$D$2:$AL$2,0)),"")</f>
        <v>2.117</v>
      </c>
      <c r="U27" s="15">
        <f>IFERROR(INDEX('Inputs (2)'!$D$55:$AL$55,MATCH(U$7,'Inputs (2)'!$D$2:$AL$2,0)),"")</f>
        <v>2.107</v>
      </c>
      <c r="V27" s="15">
        <f>IFERROR(INDEX('Inputs (2)'!$D$55:$AL$55,MATCH(V$7,'Inputs (2)'!$D$2:$AL$2,0)),"")</f>
        <v>5.225</v>
      </c>
      <c r="W27" s="16">
        <f>IF(COUNT(S27:V27)=4,SUM(S27:V27),"")</f>
        <v>14.344</v>
      </c>
      <c r="X27" s="15">
        <f>IFERROR(INDEX('Inputs (2)'!$D$55:$AL$55,MATCH(X$7,'Inputs (2)'!$D$2:$AL$2,0)),"")</f>
        <v>4.328</v>
      </c>
      <c r="Y27" s="15">
        <f>IFERROR(INDEX('Inputs (2)'!$D$55:$AL$55,MATCH(Y$7,'Inputs (2)'!$D$2:$AL$2,0)),"")</f>
        <v>4.699</v>
      </c>
      <c r="Z27" s="15">
        <f>IFERROR(INDEX('Inputs (2)'!$D$55:$AL$55,MATCH(Z$7,'Inputs (2)'!$D$2:$AL$2,0)),"")</f>
        <v>5.314</v>
      </c>
      <c r="AA27" s="15">
        <f>IFERROR(INDEX('Inputs (2)'!$D$55:$AL$55,MATCH(AA$7,'Inputs (2)'!$D$2:$AL$2,0)),"")</f>
        <v>6.68</v>
      </c>
      <c r="AB27" s="16">
        <f>IF(COUNT(X27:AA27)=4,SUM(X27:AA27),"")</f>
        <v>21.021</v>
      </c>
      <c r="AC27" s="15">
        <f>IFERROR(INDEX('Inputs (2)'!$D$55:$AL$55,MATCH(AC$7,'Inputs (2)'!$D$2:$AL$2,0)),"")</f>
        <v>5.935</v>
      </c>
      <c r="AD27" s="15">
        <f>IFERROR(INDEX('Inputs (2)'!$D$55:$AL$55,MATCH(AD$7,'Inputs (2)'!$D$2:$AL$2,0)),"")</f>
        <v>3.672</v>
      </c>
      <c r="AE27" s="15">
        <f>IFERROR(INDEX('Inputs (2)'!$D$55:$AL$55,MATCH(AE$7,'Inputs (2)'!$D$2:$AL$2,0)),"")</f>
        <v>2.776</v>
      </c>
      <c r="AF27" s="15">
        <f>IFERROR(INDEX('Inputs (2)'!$D$55:$AL$55,MATCH(AF$7,'Inputs (2)'!$D$2:$AL$2,0)),"")</f>
        <v>4.435</v>
      </c>
      <c r="AG27" s="16">
        <f>IF(COUNT(AC27:AF27)=4,SUM(AC27:AF27),"")</f>
        <v>16.818</v>
      </c>
      <c r="AH27" s="16">
        <f>IFERROR(INDEX('Inputs (2)'!$D$55:$AL$55,MATCH(AH$7,'Inputs (2)'!$D$2:$AL$2,0)),"")</f>
        <v>3.928</v>
      </c>
      <c r="AI27" s="16">
        <f>IFERROR(INDEX('Inputs (2)'!$D$55:$AL$55,MATCH(AI$7,'Inputs (2)'!$D$2:$AL$2,0)),"")</f>
        <v>7.235</v>
      </c>
    </row>
    <row r="28">
      <c r="C28" s="14" t="inlineStr">
        <is>
          <t xml:space="preserve">   Transleste</t>
        </is>
      </c>
      <c r="D28" s="15">
        <f>IFERROR(INDEX('Inputs (2)'!$D$56:$AL$56,MATCH(D$7,'Inputs (2)'!$D$2:$AL$2,0)),"")</f>
        <v>6.395</v>
      </c>
      <c r="E28" s="15">
        <f>IFERROR(INDEX('Inputs (2)'!$D$56:$AL$56,MATCH(E$7,'Inputs (2)'!$D$2:$AL$2,0)),"")</f>
        <v>7.682</v>
      </c>
      <c r="F28" s="15">
        <f>IFERROR(INDEX('Inputs (2)'!$D$56:$AL$56,MATCH(F$7,'Inputs (2)'!$D$2:$AL$2,0)),"")</f>
        <v>11.674</v>
      </c>
      <c r="G28" s="15">
        <f>IFERROR(INDEX('Inputs (2)'!$D$56:$AL$56,MATCH(G$7,'Inputs (2)'!$D$2:$AL$2,0)),"")</f>
        <v>16.433</v>
      </c>
      <c r="H28" s="16">
        <f>IF(COUNT(D28:G28)=4,SUM(D28:G28),"")</f>
        <v>42.184</v>
      </c>
      <c r="I28" s="15">
        <f>IFERROR(INDEX('Inputs (2)'!$D$56:$AL$56,MATCH(I$7,'Inputs (2)'!$D$2:$AL$2,0)),"")</f>
        <v>12.214</v>
      </c>
      <c r="J28" s="15">
        <f>IFERROR(INDEX('Inputs (2)'!$D$56:$AL$56,MATCH(J$7,'Inputs (2)'!$D$2:$AL$2,0)),"")</f>
        <v>16.259</v>
      </c>
      <c r="K28" s="15">
        <f>IFERROR(INDEX('Inputs (2)'!$D$56:$AL$56,MATCH(K$7,'Inputs (2)'!$D$2:$AL$2,0)),"")</f>
        <v>8.977</v>
      </c>
      <c r="L28" s="15">
        <f>IFERROR(INDEX('Inputs (2)'!$D$56:$AL$56,MATCH(L$7,'Inputs (2)'!$D$2:$AL$2,0)),"")</f>
        <v>6.607</v>
      </c>
      <c r="M28" s="16">
        <f>IF(COUNT(I28:L28)=4,SUM(I28:L28),"")</f>
        <v>44.057</v>
      </c>
      <c r="N28" s="15">
        <f>IFERROR(INDEX('Inputs (2)'!$D$56:$AL$56,MATCH(N$7,'Inputs (2)'!$D$2:$AL$2,0)),"")</f>
        <v>12.373</v>
      </c>
      <c r="O28" s="15">
        <f>IFERROR(INDEX('Inputs (2)'!$D$56:$AL$56,MATCH(O$7,'Inputs (2)'!$D$2:$AL$2,0)),"")</f>
        <v>11.72</v>
      </c>
      <c r="P28" s="15">
        <f>IFERROR(INDEX('Inputs (2)'!$D$56:$AL$56,MATCH(P$7,'Inputs (2)'!$D$2:$AL$2,0)),"")</f>
        <v>7.207</v>
      </c>
      <c r="Q28" s="15">
        <f>IFERROR(INDEX('Inputs (2)'!$D$56:$AL$56,MATCH(Q$7,'Inputs (2)'!$D$2:$AL$2,0)),"")</f>
        <v>3.912</v>
      </c>
      <c r="R28" s="16">
        <f>IF(COUNT(N28:Q28)=4,SUM(N28:Q28),"")</f>
        <v>35.212</v>
      </c>
      <c r="S28" s="15">
        <f>IFERROR(INDEX('Inputs (2)'!$D$56:$AL$56,MATCH(S$7,'Inputs (2)'!$D$2:$AL$2,0)),"")</f>
        <v>7.709</v>
      </c>
      <c r="T28" s="15">
        <f>IFERROR(INDEX('Inputs (2)'!$D$56:$AL$56,MATCH(T$7,'Inputs (2)'!$D$2:$AL$2,0)),"")</f>
        <v>3.53</v>
      </c>
      <c r="U28" s="15">
        <f>IFERROR(INDEX('Inputs (2)'!$D$56:$AL$56,MATCH(U$7,'Inputs (2)'!$D$2:$AL$2,0)),"")</f>
        <v>3.519</v>
      </c>
      <c r="V28" s="15">
        <f>IFERROR(INDEX('Inputs (2)'!$D$56:$AL$56,MATCH(V$7,'Inputs (2)'!$D$2:$AL$2,0)),"")</f>
        <v>8.162</v>
      </c>
      <c r="W28" s="16">
        <f>IF(COUNT(S28:V28)=4,SUM(S28:V28),"")</f>
        <v>22.92</v>
      </c>
      <c r="X28" s="15">
        <f>IFERROR(INDEX('Inputs (2)'!$D$56:$AL$56,MATCH(X$7,'Inputs (2)'!$D$2:$AL$2,0)),"")</f>
        <v>6.857</v>
      </c>
      <c r="Y28" s="15">
        <f>IFERROR(INDEX('Inputs (2)'!$D$56:$AL$56,MATCH(Y$7,'Inputs (2)'!$D$2:$AL$2,0)),"")</f>
        <v>7.362</v>
      </c>
      <c r="Z28" s="15">
        <f>IFERROR(INDEX('Inputs (2)'!$D$56:$AL$56,MATCH(Z$7,'Inputs (2)'!$D$2:$AL$2,0)),"")</f>
        <v>8.284</v>
      </c>
      <c r="AA28" s="15">
        <f>IFERROR(INDEX('Inputs (2)'!$D$56:$AL$56,MATCH(AA$7,'Inputs (2)'!$D$2:$AL$2,0)),"")</f>
        <v>10.303</v>
      </c>
      <c r="AB28" s="16">
        <f>IF(COUNT(X28:AA28)=4,SUM(X28:AA28),"")</f>
        <v>32.806</v>
      </c>
      <c r="AC28" s="15">
        <f>IFERROR(INDEX('Inputs (2)'!$D$56:$AL$56,MATCH(AC$7,'Inputs (2)'!$D$2:$AL$2,0)),"")</f>
        <v>9.195</v>
      </c>
      <c r="AD28" s="15">
        <f>IFERROR(INDEX('Inputs (2)'!$D$56:$AL$56,MATCH(AD$7,'Inputs (2)'!$D$2:$AL$2,0)),"")</f>
        <v>5.859</v>
      </c>
      <c r="AE28" s="15">
        <f>IFERROR(INDEX('Inputs (2)'!$D$56:$AL$56,MATCH(AE$7,'Inputs (2)'!$D$2:$AL$2,0)),"")</f>
        <v>4.573</v>
      </c>
      <c r="AF28" s="15">
        <f>IFERROR(INDEX('Inputs (2)'!$D$56:$AL$56,MATCH(AF$7,'Inputs (2)'!$D$2:$AL$2,0)),"")</f>
        <v>6.627</v>
      </c>
      <c r="AG28" s="16">
        <f>IF(COUNT(AC28:AF28)=4,SUM(AC28:AF28),"")</f>
        <v>26.254</v>
      </c>
      <c r="AH28" s="16">
        <f>IFERROR(INDEX('Inputs (2)'!$D$56:$AL$56,MATCH(AH$7,'Inputs (2)'!$D$2:$AL$2,0)),"")</f>
        <v>6.118</v>
      </c>
      <c r="AI28" s="16">
        <f>IFERROR(INDEX('Inputs (2)'!$D$56:$AL$56,MATCH(AI$7,'Inputs (2)'!$D$2:$AL$2,0)),"")</f>
        <v>11.048</v>
      </c>
    </row>
    <row r="29">
      <c r="C29" s="14" t="inlineStr">
        <is>
          <t xml:space="preserve">   Transirapé</t>
        </is>
      </c>
      <c r="D29" s="15">
        <f>IFERROR(INDEX('Inputs (2)'!$D$57:$AL$57,MATCH(D$7,'Inputs (2)'!$D$2:$AL$2,0)),"")</f>
        <v>13.827</v>
      </c>
      <c r="E29" s="15">
        <f>IFERROR(INDEX('Inputs (2)'!$D$57:$AL$57,MATCH(E$7,'Inputs (2)'!$D$2:$AL$2,0)),"")</f>
        <v>21.423</v>
      </c>
      <c r="F29" s="15">
        <f>IFERROR(INDEX('Inputs (2)'!$D$57:$AL$57,MATCH(F$7,'Inputs (2)'!$D$2:$AL$2,0)),"")</f>
        <v>28.352</v>
      </c>
      <c r="G29" s="15">
        <f>IFERROR(INDEX('Inputs (2)'!$D$57:$AL$57,MATCH(G$7,'Inputs (2)'!$D$2:$AL$2,0)),"")</f>
        <v>26.923</v>
      </c>
      <c r="H29" s="16">
        <f>IF(COUNT(D29:G29)=4,SUM(D29:G29),"")</f>
        <v>90.525</v>
      </c>
      <c r="I29" s="15">
        <f>IFERROR(INDEX('Inputs (2)'!$D$57:$AL$57,MATCH(I$7,'Inputs (2)'!$D$2:$AL$2,0)),"")</f>
        <v>26.869</v>
      </c>
      <c r="J29" s="15">
        <f>IFERROR(INDEX('Inputs (2)'!$D$57:$AL$57,MATCH(J$7,'Inputs (2)'!$D$2:$AL$2,0)),"")</f>
        <v>26.737</v>
      </c>
      <c r="K29" s="15">
        <f>IFERROR(INDEX('Inputs (2)'!$D$57:$AL$57,MATCH(K$7,'Inputs (2)'!$D$2:$AL$2,0)),"")</f>
        <v>11.462</v>
      </c>
      <c r="L29" s="15">
        <f>IFERROR(INDEX('Inputs (2)'!$D$57:$AL$57,MATCH(L$7,'Inputs (2)'!$D$2:$AL$2,0)),"")</f>
        <v>7.568</v>
      </c>
      <c r="M29" s="16">
        <f>IF(COUNT(I29:L29)=4,SUM(I29:L29),"")</f>
        <v>72.636</v>
      </c>
      <c r="N29" s="15">
        <f>IFERROR(INDEX('Inputs (2)'!$D$57:$AL$57,MATCH(N$7,'Inputs (2)'!$D$2:$AL$2,0)),"")</f>
        <v>16.523</v>
      </c>
      <c r="O29" s="15">
        <f>IFERROR(INDEX('Inputs (2)'!$D$57:$AL$57,MATCH(O$7,'Inputs (2)'!$D$2:$AL$2,0)),"")</f>
        <v>16.033</v>
      </c>
      <c r="P29" s="15">
        <f>IFERROR(INDEX('Inputs (2)'!$D$57:$AL$57,MATCH(P$7,'Inputs (2)'!$D$2:$AL$2,0)),"")</f>
        <v>9.113</v>
      </c>
      <c r="Q29" s="15">
        <f>IFERROR(INDEX('Inputs (2)'!$D$57:$AL$57,MATCH(Q$7,'Inputs (2)'!$D$2:$AL$2,0)),"")</f>
        <v>1.196</v>
      </c>
      <c r="R29" s="16">
        <f>IF(COUNT(N29:Q29)=4,SUM(N29:Q29),"")</f>
        <v>42.865</v>
      </c>
      <c r="S29" s="15">
        <f>IFERROR(INDEX('Inputs (2)'!$D$57:$AL$57,MATCH(S$7,'Inputs (2)'!$D$2:$AL$2,0)),"")</f>
        <v>7.905</v>
      </c>
      <c r="T29" s="15">
        <f>IFERROR(INDEX('Inputs (2)'!$D$57:$AL$57,MATCH(T$7,'Inputs (2)'!$D$2:$AL$2,0)),"")</f>
        <v>0.551</v>
      </c>
      <c r="U29" s="15">
        <f>IFERROR(INDEX('Inputs (2)'!$D$57:$AL$57,MATCH(U$7,'Inputs (2)'!$D$2:$AL$2,0)),"")</f>
        <v>2.447</v>
      </c>
      <c r="V29" s="15">
        <f>IFERROR(INDEX('Inputs (2)'!$D$57:$AL$57,MATCH(V$7,'Inputs (2)'!$D$2:$AL$2,0)),"")</f>
        <v>9.014</v>
      </c>
      <c r="W29" s="16">
        <f>IF(COUNT(S29:V29)=4,SUM(S29:V29),"")</f>
        <v>19.917</v>
      </c>
      <c r="X29" s="15">
        <f>IFERROR(INDEX('Inputs (2)'!$D$57:$AL$57,MATCH(X$7,'Inputs (2)'!$D$2:$AL$2,0)),"")</f>
        <v>6.608</v>
      </c>
      <c r="Y29" s="15">
        <f>IFERROR(INDEX('Inputs (2)'!$D$57:$AL$57,MATCH(Y$7,'Inputs (2)'!$D$2:$AL$2,0)),"")</f>
        <v>7.553</v>
      </c>
      <c r="Z29" s="15">
        <f>IFERROR(INDEX('Inputs (2)'!$D$57:$AL$57,MATCH(Z$7,'Inputs (2)'!$D$2:$AL$2,0)),"")</f>
        <v>13.378</v>
      </c>
      <c r="AA29" s="15">
        <f>IFERROR(INDEX('Inputs (2)'!$D$57:$AL$57,MATCH(AA$7,'Inputs (2)'!$D$2:$AL$2,0)),"")</f>
        <v>13.906</v>
      </c>
      <c r="AB29" s="16">
        <f>IF(COUNT(X29:AA29)=4,SUM(X29:AA29),"")</f>
        <v>41.445</v>
      </c>
      <c r="AC29" s="15">
        <f>IFERROR(INDEX('Inputs (2)'!$D$57:$AL$57,MATCH(AC$7,'Inputs (2)'!$D$2:$AL$2,0)),"")</f>
        <v>12.179</v>
      </c>
      <c r="AD29" s="15">
        <f>IFERROR(INDEX('Inputs (2)'!$D$57:$AL$57,MATCH(AD$7,'Inputs (2)'!$D$2:$AL$2,0)),"")</f>
        <v>5.952</v>
      </c>
      <c r="AE29" s="15">
        <f>IFERROR(INDEX('Inputs (2)'!$D$57:$AL$57,MATCH(AE$7,'Inputs (2)'!$D$2:$AL$2,0)),"")</f>
        <v>2.723</v>
      </c>
      <c r="AF29" s="15">
        <f>IFERROR(INDEX('Inputs (2)'!$D$57:$AL$57,MATCH(AF$7,'Inputs (2)'!$D$2:$AL$2,0)),"")</f>
        <v>21.417</v>
      </c>
      <c r="AG29" s="16">
        <f>IF(COUNT(AC29:AF29)=4,SUM(AC29:AF29),"")</f>
        <v>42.271</v>
      </c>
      <c r="AH29" s="16">
        <f>IFERROR(INDEX('Inputs (2)'!$D$57:$AL$57,MATCH(AH$7,'Inputs (2)'!$D$2:$AL$2,0)),"")</f>
        <v>6.358</v>
      </c>
      <c r="AI29" s="16">
        <f>IFERROR(INDEX('Inputs (2)'!$D$57:$AL$57,MATCH(AI$7,'Inputs (2)'!$D$2:$AL$2,0)),"")</f>
        <v>15.274</v>
      </c>
    </row>
    <row r="30">
      <c r="C30" s="14" t="inlineStr">
        <is>
          <t xml:space="preserve">   EATE</t>
        </is>
      </c>
      <c r="D30" s="15">
        <f>IFERROR(INDEX('Inputs (2)'!$D$58:$AL$58,MATCH(D$7,'Inputs (2)'!$D$2:$AL$2,0)),"")</f>
        <v>73.371</v>
      </c>
      <c r="E30" s="15">
        <f>IFERROR(INDEX('Inputs (2)'!$D$58:$AL$58,MATCH(E$7,'Inputs (2)'!$D$2:$AL$2,0)),"")</f>
        <v>76.838</v>
      </c>
      <c r="F30" s="15">
        <f>IFERROR(INDEX('Inputs (2)'!$D$58:$AL$58,MATCH(F$7,'Inputs (2)'!$D$2:$AL$2,0)),"")</f>
        <v>119.599</v>
      </c>
      <c r="G30" s="15">
        <f>IFERROR(INDEX('Inputs (2)'!$D$58:$AL$58,MATCH(G$7,'Inputs (2)'!$D$2:$AL$2,0)),"")</f>
        <v>172.701</v>
      </c>
      <c r="H30" s="16">
        <f>IF(COUNT(D30:G30)=4,SUM(D30:G30),"")</f>
        <v>442.509</v>
      </c>
      <c r="I30" s="15">
        <f>IFERROR(INDEX('Inputs (2)'!$D$58:$AL$58,MATCH(I$7,'Inputs (2)'!$D$2:$AL$2,0)),"")</f>
        <v>134.791</v>
      </c>
      <c r="J30" s="15">
        <f>IFERROR(INDEX('Inputs (2)'!$D$58:$AL$58,MATCH(J$7,'Inputs (2)'!$D$2:$AL$2,0)),"")</f>
        <v>182.84</v>
      </c>
      <c r="K30" s="15">
        <f>IFERROR(INDEX('Inputs (2)'!$D$58:$AL$58,MATCH(K$7,'Inputs (2)'!$D$2:$AL$2,0)),"")</f>
        <v>89.435</v>
      </c>
      <c r="L30" s="15">
        <f>IFERROR(INDEX('Inputs (2)'!$D$58:$AL$58,MATCH(L$7,'Inputs (2)'!$D$2:$AL$2,0)),"")</f>
        <v>60.356</v>
      </c>
      <c r="M30" s="16">
        <f>IF(COUNT(I30:L30)=4,SUM(I30:L30),"")</f>
        <v>467.422</v>
      </c>
      <c r="N30" s="15">
        <f>IFERROR(INDEX('Inputs (2)'!$D$58:$AL$58,MATCH(N$7,'Inputs (2)'!$D$2:$AL$2,0)),"")</f>
        <v>129.129</v>
      </c>
      <c r="O30" s="15">
        <f>IFERROR(INDEX('Inputs (2)'!$D$58:$AL$58,MATCH(O$7,'Inputs (2)'!$D$2:$AL$2,0)),"")</f>
        <v>121.287</v>
      </c>
      <c r="P30" s="15">
        <f>IFERROR(INDEX('Inputs (2)'!$D$58:$AL$58,MATCH(P$7,'Inputs (2)'!$D$2:$AL$2,0)),"")</f>
        <v>64.751</v>
      </c>
      <c r="Q30" s="15">
        <f>IFERROR(INDEX('Inputs (2)'!$D$58:$AL$58,MATCH(Q$7,'Inputs (2)'!$D$2:$AL$2,0)),"")</f>
        <v>26.032</v>
      </c>
      <c r="R30" s="16">
        <f>IF(COUNT(N30:Q30)=4,SUM(N30:Q30),"")</f>
        <v>341.199</v>
      </c>
      <c r="S30" s="15">
        <f>IFERROR(INDEX('Inputs (2)'!$D$58:$AL$58,MATCH(S$7,'Inputs (2)'!$D$2:$AL$2,0)),"")</f>
        <v>70.348</v>
      </c>
      <c r="T30" s="15">
        <f>IFERROR(INDEX('Inputs (2)'!$D$58:$AL$58,MATCH(T$7,'Inputs (2)'!$D$2:$AL$2,0)),"")</f>
        <v>19.009</v>
      </c>
      <c r="U30" s="15">
        <f>IFERROR(INDEX('Inputs (2)'!$D$58:$AL$58,MATCH(U$7,'Inputs (2)'!$D$2:$AL$2,0)),"")</f>
        <v>18.724</v>
      </c>
      <c r="V30" s="15">
        <f>IFERROR(INDEX('Inputs (2)'!$D$58:$AL$58,MATCH(V$7,'Inputs (2)'!$D$2:$AL$2,0)),"")</f>
        <v>79.422</v>
      </c>
      <c r="W30" s="16">
        <f>IF(COUNT(S30:V30)=4,SUM(S30:V30),"")</f>
        <v>187.503</v>
      </c>
      <c r="X30" s="15">
        <f>IFERROR(INDEX('Inputs (2)'!$D$58:$AL$58,MATCH(X$7,'Inputs (2)'!$D$2:$AL$2,0)),"")</f>
        <v>60.003</v>
      </c>
      <c r="Y30" s="15">
        <f>IFERROR(INDEX('Inputs (2)'!$D$58:$AL$58,MATCH(Y$7,'Inputs (2)'!$D$2:$AL$2,0)),"")</f>
        <v>64.939</v>
      </c>
      <c r="Z30" s="15">
        <f>IFERROR(INDEX('Inputs (2)'!$D$58:$AL$58,MATCH(Z$7,'Inputs (2)'!$D$2:$AL$2,0)),"")</f>
        <v>73.684</v>
      </c>
      <c r="AA30" s="15">
        <f>IFERROR(INDEX('Inputs (2)'!$D$58:$AL$58,MATCH(AA$7,'Inputs (2)'!$D$2:$AL$2,0)),"")</f>
        <v>99.562</v>
      </c>
      <c r="AB30" s="16">
        <f>IF(COUNT(X30:AA30)=4,SUM(X30:AA30),"")</f>
        <v>298.188</v>
      </c>
      <c r="AC30" s="15">
        <f>IFERROR(INDEX('Inputs (2)'!$D$58:$AL$58,MATCH(AC$7,'Inputs (2)'!$D$2:$AL$2,0)),"")</f>
        <v>84.531</v>
      </c>
      <c r="AD30" s="15">
        <f>IFERROR(INDEX('Inputs (2)'!$D$58:$AL$58,MATCH(AD$7,'Inputs (2)'!$D$2:$AL$2,0)),"")</f>
        <v>48.536</v>
      </c>
      <c r="AE30" s="15">
        <f>IFERROR(INDEX('Inputs (2)'!$D$58:$AL$58,MATCH(AE$7,'Inputs (2)'!$D$2:$AL$2,0)),"")</f>
        <v>72.832</v>
      </c>
      <c r="AF30" s="15">
        <f>IFERROR(INDEX('Inputs (2)'!$D$58:$AL$58,MATCH(AF$7,'Inputs (2)'!$D$2:$AL$2,0)),"")</f>
        <v>84.444</v>
      </c>
      <c r="AG30" s="16">
        <f>IF(COUNT(AC30:AF30)=4,SUM(AC30:AF30),"")</f>
        <v>290.343</v>
      </c>
      <c r="AH30" s="16">
        <f>IFERROR(INDEX('Inputs (2)'!$D$58:$AL$58,MATCH(AH$7,'Inputs (2)'!$D$2:$AL$2,0)),"")</f>
        <v>125.373</v>
      </c>
      <c r="AI30" s="16">
        <f>IFERROR(INDEX('Inputs (2)'!$D$58:$AL$58,MATCH(AI$7,'Inputs (2)'!$D$2:$AL$2,0)),"")</f>
        <v>194.523</v>
      </c>
    </row>
    <row r="31">
      <c r="C31" s="14" t="inlineStr">
        <is>
          <t xml:space="preserve">   ETEP</t>
        </is>
      </c>
      <c r="D31" s="15">
        <f>IFERROR(INDEX('Inputs (2)'!$D$59:$AL$59,MATCH(D$7,'Inputs (2)'!$D$2:$AL$2,0)),"")</f>
        <v>16.6</v>
      </c>
      <c r="E31" s="15">
        <f>IFERROR(INDEX('Inputs (2)'!$D$59:$AL$59,MATCH(E$7,'Inputs (2)'!$D$2:$AL$2,0)),"")</f>
        <v>16.513</v>
      </c>
      <c r="F31" s="15">
        <f>IFERROR(INDEX('Inputs (2)'!$D$59:$AL$59,MATCH(F$7,'Inputs (2)'!$D$2:$AL$2,0)),"")</f>
        <v>26.746</v>
      </c>
      <c r="G31" s="15">
        <f>IFERROR(INDEX('Inputs (2)'!$D$59:$AL$59,MATCH(G$7,'Inputs (2)'!$D$2:$AL$2,0)),"")</f>
        <v>38.375</v>
      </c>
      <c r="H31" s="16">
        <f>IF(COUNT(D31:G31)=4,SUM(D31:G31),"")</f>
        <v>98.234</v>
      </c>
      <c r="I31" s="15">
        <f>IFERROR(INDEX('Inputs (2)'!$D$59:$AL$59,MATCH(I$7,'Inputs (2)'!$D$2:$AL$2,0)),"")</f>
        <v>30.299</v>
      </c>
      <c r="J31" s="15">
        <f>IFERROR(INDEX('Inputs (2)'!$D$59:$AL$59,MATCH(J$7,'Inputs (2)'!$D$2:$AL$2,0)),"")</f>
        <v>41.039</v>
      </c>
      <c r="K31" s="15">
        <f>IFERROR(INDEX('Inputs (2)'!$D$59:$AL$59,MATCH(K$7,'Inputs (2)'!$D$2:$AL$2,0)),"")</f>
        <v>20.165</v>
      </c>
      <c r="L31" s="15">
        <f>IFERROR(INDEX('Inputs (2)'!$D$59:$AL$59,MATCH(L$7,'Inputs (2)'!$D$2:$AL$2,0)),"")</f>
        <v>5.949</v>
      </c>
      <c r="M31" s="16">
        <f>IF(COUNT(I31:L31)=4,SUM(I31:L31),"")</f>
        <v>97.452</v>
      </c>
      <c r="N31" s="15">
        <f>IFERROR(INDEX('Inputs (2)'!$D$59:$AL$59,MATCH(N$7,'Inputs (2)'!$D$2:$AL$2,0)),"")</f>
        <v>29.092</v>
      </c>
      <c r="O31" s="15">
        <f>IFERROR(INDEX('Inputs (2)'!$D$59:$AL$59,MATCH(O$7,'Inputs (2)'!$D$2:$AL$2,0)),"")</f>
        <v>26.372</v>
      </c>
      <c r="P31" s="15">
        <f>IFERROR(INDEX('Inputs (2)'!$D$59:$AL$59,MATCH(P$7,'Inputs (2)'!$D$2:$AL$2,0)),"")</f>
        <v>14.811</v>
      </c>
      <c r="Q31" s="15">
        <f>IFERROR(INDEX('Inputs (2)'!$D$59:$AL$59,MATCH(Q$7,'Inputs (2)'!$D$2:$AL$2,0)),"")</f>
        <v>6.241</v>
      </c>
      <c r="R31" s="16">
        <f>IF(COUNT(N31:Q31)=4,SUM(N31:Q31),"")</f>
        <v>76.516</v>
      </c>
      <c r="S31" s="15">
        <f>IFERROR(INDEX('Inputs (2)'!$D$59:$AL$59,MATCH(S$7,'Inputs (2)'!$D$2:$AL$2,0)),"")</f>
        <v>16.005</v>
      </c>
      <c r="T31" s="15">
        <f>IFERROR(INDEX('Inputs (2)'!$D$59:$AL$59,MATCH(T$7,'Inputs (2)'!$D$2:$AL$2,0)),"")</f>
        <v>4.288</v>
      </c>
      <c r="U31" s="15">
        <f>IFERROR(INDEX('Inputs (2)'!$D$59:$AL$59,MATCH(U$7,'Inputs (2)'!$D$2:$AL$2,0)),"")</f>
        <v>5.467</v>
      </c>
      <c r="V31" s="15">
        <f>IFERROR(INDEX('Inputs (2)'!$D$59:$AL$59,MATCH(V$7,'Inputs (2)'!$D$2:$AL$2,0)),"")</f>
        <v>17.654</v>
      </c>
      <c r="W31" s="16">
        <f>IF(COUNT(S31:V31)=4,SUM(S31:V31),"")</f>
        <v>43.414</v>
      </c>
      <c r="X31" s="15">
        <f>IFERROR(INDEX('Inputs (2)'!$D$59:$AL$59,MATCH(X$7,'Inputs (2)'!$D$2:$AL$2,0)),"")</f>
        <v>13.681</v>
      </c>
      <c r="Y31" s="15">
        <f>IFERROR(INDEX('Inputs (2)'!$D$59:$AL$59,MATCH(Y$7,'Inputs (2)'!$D$2:$AL$2,0)),"")</f>
        <v>14.856</v>
      </c>
      <c r="Z31" s="15">
        <f>IFERROR(INDEX('Inputs (2)'!$D$59:$AL$59,MATCH(Z$7,'Inputs (2)'!$D$2:$AL$2,0)),"")</f>
        <v>16.837</v>
      </c>
      <c r="AA31" s="15">
        <f>IFERROR(INDEX('Inputs (2)'!$D$59:$AL$59,MATCH(AA$7,'Inputs (2)'!$D$2:$AL$2,0)),"")</f>
        <v>22.467</v>
      </c>
      <c r="AB31" s="16">
        <f>IF(COUNT(X31:AA31)=4,SUM(X31:AA31),"")</f>
        <v>67.841</v>
      </c>
      <c r="AC31" s="15">
        <f>IFERROR(INDEX('Inputs (2)'!$D$59:$AL$59,MATCH(AC$7,'Inputs (2)'!$D$2:$AL$2,0)),"")</f>
        <v>19.09</v>
      </c>
      <c r="AD31" s="15">
        <f>IFERROR(INDEX('Inputs (2)'!$D$59:$AL$59,MATCH(AD$7,'Inputs (2)'!$D$2:$AL$2,0)),"")</f>
        <v>10.98</v>
      </c>
      <c r="AE31" s="15">
        <f>IFERROR(INDEX('Inputs (2)'!$D$59:$AL$59,MATCH(AE$7,'Inputs (2)'!$D$2:$AL$2,0)),"")</f>
        <v>10.236</v>
      </c>
      <c r="AF31" s="15">
        <f>IFERROR(INDEX('Inputs (2)'!$D$59:$AL$59,MATCH(AF$7,'Inputs (2)'!$D$2:$AL$2,0)),"")</f>
        <v>15.541</v>
      </c>
      <c r="AG31" s="16">
        <f>IF(COUNT(AC31:AF31)=4,SUM(AC31:AF31),"")</f>
        <v>55.847</v>
      </c>
      <c r="AH31" s="16">
        <f>IFERROR(INDEX('Inputs (2)'!$D$59:$AL$59,MATCH(AH$7,'Inputs (2)'!$D$2:$AL$2,0)),"")</f>
        <v>12.463</v>
      </c>
      <c r="AI31" s="16">
        <f>IFERROR(INDEX('Inputs (2)'!$D$59:$AL$59,MATCH(AI$7,'Inputs (2)'!$D$2:$AL$2,0)),"")</f>
        <v>21.406</v>
      </c>
    </row>
    <row r="32">
      <c r="C32" s="14" t="inlineStr">
        <is>
          <t xml:space="preserve">   ECTE</t>
        </is>
      </c>
      <c r="D32" s="15">
        <f>IFERROR(INDEX('Inputs (2)'!$D$60:$AL$60,MATCH(D$7,'Inputs (2)'!$D$2:$AL$2,0)),"")</f>
        <v>15.604</v>
      </c>
      <c r="E32" s="15">
        <f>IFERROR(INDEX('Inputs (2)'!$D$60:$AL$60,MATCH(E$7,'Inputs (2)'!$D$2:$AL$2,0)),"")</f>
        <v>15.517</v>
      </c>
      <c r="F32" s="15">
        <f>IFERROR(INDEX('Inputs (2)'!$D$60:$AL$60,MATCH(F$7,'Inputs (2)'!$D$2:$AL$2,0)),"")</f>
        <v>24.777</v>
      </c>
      <c r="G32" s="15">
        <f>IFERROR(INDEX('Inputs (2)'!$D$60:$AL$60,MATCH(G$7,'Inputs (2)'!$D$2:$AL$2,0)),"")</f>
        <v>43.098</v>
      </c>
      <c r="H32" s="16">
        <f>IF(COUNT(D32:G32)=4,SUM(D32:G32),"")</f>
        <v>98.996</v>
      </c>
      <c r="I32" s="15">
        <f>IFERROR(INDEX('Inputs (2)'!$D$60:$AL$60,MATCH(I$7,'Inputs (2)'!$D$2:$AL$2,0)),"")</f>
        <v>28.355</v>
      </c>
      <c r="J32" s="15">
        <f>IFERROR(INDEX('Inputs (2)'!$D$60:$AL$60,MATCH(J$7,'Inputs (2)'!$D$2:$AL$2,0)),"")</f>
        <v>42.125</v>
      </c>
      <c r="K32" s="15">
        <f>IFERROR(INDEX('Inputs (2)'!$D$60:$AL$60,MATCH(K$7,'Inputs (2)'!$D$2:$AL$2,0)),"")</f>
        <v>18.911</v>
      </c>
      <c r="L32" s="15">
        <f>IFERROR(INDEX('Inputs (2)'!$D$60:$AL$60,MATCH(L$7,'Inputs (2)'!$D$2:$AL$2,0)),"")</f>
        <v>12.897</v>
      </c>
      <c r="M32" s="16">
        <f>IF(COUNT(I32:L32)=4,SUM(I32:L32),"")</f>
        <v>102.288</v>
      </c>
      <c r="N32" s="15">
        <f>IFERROR(INDEX('Inputs (2)'!$D$60:$AL$60,MATCH(N$7,'Inputs (2)'!$D$2:$AL$2,0)),"")</f>
        <v>26.96</v>
      </c>
      <c r="O32" s="15">
        <f>IFERROR(INDEX('Inputs (2)'!$D$60:$AL$60,MATCH(O$7,'Inputs (2)'!$D$2:$AL$2,0)),"")</f>
        <v>25.592</v>
      </c>
      <c r="P32" s="15">
        <f>IFERROR(INDEX('Inputs (2)'!$D$60:$AL$60,MATCH(P$7,'Inputs (2)'!$D$2:$AL$2,0)),"")</f>
        <v>13.855</v>
      </c>
      <c r="Q32" s="15">
        <f>IFERROR(INDEX('Inputs (2)'!$D$60:$AL$60,MATCH(Q$7,'Inputs (2)'!$D$2:$AL$2,0)),"")</f>
        <v>5.87</v>
      </c>
      <c r="R32" s="16">
        <f>IF(COUNT(N32:Q32)=4,SUM(N32:Q32),"")</f>
        <v>72.277</v>
      </c>
      <c r="S32" s="15">
        <f>IFERROR(INDEX('Inputs (2)'!$D$60:$AL$60,MATCH(S$7,'Inputs (2)'!$D$2:$AL$2,0)),"")</f>
        <v>14.905</v>
      </c>
      <c r="T32" s="15">
        <f>IFERROR(INDEX('Inputs (2)'!$D$60:$AL$60,MATCH(T$7,'Inputs (2)'!$D$2:$AL$2,0)),"")</f>
        <v>4.709</v>
      </c>
      <c r="U32" s="15">
        <f>IFERROR(INDEX('Inputs (2)'!$D$60:$AL$60,MATCH(U$7,'Inputs (2)'!$D$2:$AL$2,0)),"")</f>
        <v>4.923</v>
      </c>
      <c r="V32" s="15">
        <f>IFERROR(INDEX('Inputs (2)'!$D$60:$AL$60,MATCH(V$7,'Inputs (2)'!$D$2:$AL$2,0)),"")</f>
        <v>16.666</v>
      </c>
      <c r="W32" s="16">
        <f>IF(COUNT(S32:V32)=4,SUM(S32:V32),"")</f>
        <v>41.203</v>
      </c>
      <c r="X32" s="15">
        <f>IFERROR(INDEX('Inputs (2)'!$D$60:$AL$60,MATCH(X$7,'Inputs (2)'!$D$2:$AL$2,0)),"")</f>
        <v>12.165</v>
      </c>
      <c r="Y32" s="15">
        <f>IFERROR(INDEX('Inputs (2)'!$D$60:$AL$60,MATCH(Y$7,'Inputs (2)'!$D$2:$AL$2,0)),"")</f>
        <v>13.732</v>
      </c>
      <c r="Z32" s="15">
        <f>IFERROR(INDEX('Inputs (2)'!$D$60:$AL$60,MATCH(Z$7,'Inputs (2)'!$D$2:$AL$2,0)),"")</f>
        <v>15.451</v>
      </c>
      <c r="AA32" s="15">
        <f>IFERROR(INDEX('Inputs (2)'!$D$60:$AL$60,MATCH(AA$7,'Inputs (2)'!$D$2:$AL$2,0)),"")</f>
        <v>20.559</v>
      </c>
      <c r="AB32" s="16">
        <f>IF(COUNT(X32:AA32)=4,SUM(X32:AA32),"")</f>
        <v>61.907</v>
      </c>
      <c r="AC32" s="15">
        <f>IFERROR(INDEX('Inputs (2)'!$D$60:$AL$60,MATCH(AC$7,'Inputs (2)'!$D$2:$AL$2,0)),"")</f>
        <v>17.456</v>
      </c>
      <c r="AD32" s="15">
        <f>IFERROR(INDEX('Inputs (2)'!$D$60:$AL$60,MATCH(AD$7,'Inputs (2)'!$D$2:$AL$2,0)),"")</f>
        <v>10.101</v>
      </c>
      <c r="AE32" s="15">
        <f>IFERROR(INDEX('Inputs (2)'!$D$60:$AL$60,MATCH(AE$7,'Inputs (2)'!$D$2:$AL$2,0)),"")</f>
        <v>7.39</v>
      </c>
      <c r="AF32" s="15">
        <f>IFERROR(INDEX('Inputs (2)'!$D$60:$AL$60,MATCH(AF$7,'Inputs (2)'!$D$2:$AL$2,0)),"")</f>
        <v>11.758</v>
      </c>
      <c r="AG32" s="16">
        <f>IF(COUNT(AC32:AF32)=4,SUM(AC32:AF32),"")</f>
        <v>46.705</v>
      </c>
      <c r="AH32" s="16">
        <f>IFERROR(INDEX('Inputs (2)'!$D$60:$AL$60,MATCH(AH$7,'Inputs (2)'!$D$2:$AL$2,0)),"")</f>
        <v>10.154</v>
      </c>
      <c r="AI32" s="16">
        <f>IFERROR(INDEX('Inputs (2)'!$D$60:$AL$60,MATCH(AI$7,'Inputs (2)'!$D$2:$AL$2,0)),"")</f>
        <v>19.672</v>
      </c>
    </row>
    <row r="33">
      <c r="C33" s="14" t="inlineStr">
        <is>
          <t xml:space="preserve">   ENTE</t>
        </is>
      </c>
      <c r="D33" s="15">
        <f>IFERROR(INDEX('Inputs (2)'!$D$61:$AL$61,MATCH(D$7,'Inputs (2)'!$D$2:$AL$2,0)),"")</f>
        <v>38.199</v>
      </c>
      <c r="E33" s="15">
        <f>IFERROR(INDEX('Inputs (2)'!$D$61:$AL$61,MATCH(E$7,'Inputs (2)'!$D$2:$AL$2,0)),"")</f>
        <v>37.805</v>
      </c>
      <c r="F33" s="15">
        <f>IFERROR(INDEX('Inputs (2)'!$D$61:$AL$61,MATCH(F$7,'Inputs (2)'!$D$2:$AL$2,0)),"")</f>
        <v>58.001</v>
      </c>
      <c r="G33" s="15">
        <f>IFERROR(INDEX('Inputs (2)'!$D$61:$AL$61,MATCH(G$7,'Inputs (2)'!$D$2:$AL$2,0)),"")</f>
        <v>81.006</v>
      </c>
      <c r="H33" s="16">
        <f>IF(COUNT(D33:G33)=4,SUM(D33:G33),"")</f>
        <v>215.011</v>
      </c>
      <c r="I33" s="15">
        <f>IFERROR(INDEX('Inputs (2)'!$D$61:$AL$61,MATCH(I$7,'Inputs (2)'!$D$2:$AL$2,0)),"")</f>
        <v>65.089</v>
      </c>
      <c r="J33" s="15">
        <f>IFERROR(INDEX('Inputs (2)'!$D$61:$AL$61,MATCH(J$7,'Inputs (2)'!$D$2:$AL$2,0)),"")</f>
        <v>85.88</v>
      </c>
      <c r="K33" s="15">
        <f>IFERROR(INDEX('Inputs (2)'!$D$61:$AL$61,MATCH(K$7,'Inputs (2)'!$D$2:$AL$2,0)),"")</f>
        <v>47.993</v>
      </c>
      <c r="L33" s="15">
        <f>IFERROR(INDEX('Inputs (2)'!$D$61:$AL$61,MATCH(L$7,'Inputs (2)'!$D$2:$AL$2,0)),"")</f>
        <v>35.666</v>
      </c>
      <c r="M33" s="16">
        <f>IF(COUNT(I33:L33)=4,SUM(I33:L33),"")</f>
        <v>234.628</v>
      </c>
      <c r="N33" s="15">
        <f>IFERROR(INDEX('Inputs (2)'!$D$61:$AL$61,MATCH(N$7,'Inputs (2)'!$D$2:$AL$2,0)),"")</f>
        <v>65.698</v>
      </c>
      <c r="O33" s="15">
        <f>IFERROR(INDEX('Inputs (2)'!$D$61:$AL$61,MATCH(O$7,'Inputs (2)'!$D$2:$AL$2,0)),"")</f>
        <v>62.298</v>
      </c>
      <c r="P33" s="15">
        <f>IFERROR(INDEX('Inputs (2)'!$D$61:$AL$61,MATCH(P$7,'Inputs (2)'!$D$2:$AL$2,0)),"")</f>
        <v>38.456</v>
      </c>
      <c r="Q33" s="15">
        <f>IFERROR(INDEX('Inputs (2)'!$D$61:$AL$61,MATCH(Q$7,'Inputs (2)'!$D$2:$AL$2,0)),"")</f>
        <v>21.491</v>
      </c>
      <c r="R33" s="16">
        <f>IF(COUNT(N33:Q33)=4,SUM(N33:Q33),"")</f>
        <v>187.943</v>
      </c>
      <c r="S33" s="15">
        <f>IFERROR(INDEX('Inputs (2)'!$D$61:$AL$61,MATCH(S$7,'Inputs (2)'!$D$2:$AL$2,0)),"")</f>
        <v>41.141</v>
      </c>
      <c r="T33" s="15">
        <f>IFERROR(INDEX('Inputs (2)'!$D$61:$AL$61,MATCH(T$7,'Inputs (2)'!$D$2:$AL$2,0)),"")</f>
        <v>19.332</v>
      </c>
      <c r="U33" s="15">
        <f>IFERROR(INDEX('Inputs (2)'!$D$61:$AL$61,MATCH(U$7,'Inputs (2)'!$D$2:$AL$2,0)),"")</f>
        <v>19.405</v>
      </c>
      <c r="V33" s="15">
        <f>IFERROR(INDEX('Inputs (2)'!$D$61:$AL$61,MATCH(V$7,'Inputs (2)'!$D$2:$AL$2,0)),"")</f>
        <v>42.473</v>
      </c>
      <c r="W33" s="16">
        <f>IF(COUNT(S33:V33)=4,SUM(S33:V33),"")</f>
        <v>122.351</v>
      </c>
      <c r="X33" s="15">
        <f>IFERROR(INDEX('Inputs (2)'!$D$61:$AL$61,MATCH(X$7,'Inputs (2)'!$D$2:$AL$2,0)),"")</f>
        <v>36.47</v>
      </c>
      <c r="Y33" s="15">
        <f>IFERROR(INDEX('Inputs (2)'!$D$61:$AL$61,MATCH(Y$7,'Inputs (2)'!$D$2:$AL$2,0)),"")</f>
        <v>31.858</v>
      </c>
      <c r="Z33" s="15">
        <f>IFERROR(INDEX('Inputs (2)'!$D$61:$AL$61,MATCH(Z$7,'Inputs (2)'!$D$2:$AL$2,0)),"")</f>
        <v>43.194</v>
      </c>
      <c r="AA33" s="15">
        <f>IFERROR(INDEX('Inputs (2)'!$D$61:$AL$61,MATCH(AA$7,'Inputs (2)'!$D$2:$AL$2,0)),"")</f>
        <v>54.036</v>
      </c>
      <c r="AB33" s="16">
        <f>IF(COUNT(X33:AA33)=4,SUM(X33:AA33),"")</f>
        <v>165.558</v>
      </c>
      <c r="AC33" s="15">
        <f>IFERROR(INDEX('Inputs (2)'!$D$61:$AL$61,MATCH(AC$7,'Inputs (2)'!$D$2:$AL$2,0)),"")</f>
        <v>48.236</v>
      </c>
      <c r="AD33" s="15">
        <f>IFERROR(INDEX('Inputs (2)'!$D$61:$AL$61,MATCH(AD$7,'Inputs (2)'!$D$2:$AL$2,0)),"")</f>
        <v>31.218</v>
      </c>
      <c r="AE33" s="15">
        <f>IFERROR(INDEX('Inputs (2)'!$D$61:$AL$61,MATCH(AE$7,'Inputs (2)'!$D$2:$AL$2,0)),"")</f>
        <v>31.858</v>
      </c>
      <c r="AF33" s="15">
        <f>IFERROR(INDEX('Inputs (2)'!$D$61:$AL$61,MATCH(AF$7,'Inputs (2)'!$D$2:$AL$2,0)),"")</f>
        <v>37.352</v>
      </c>
      <c r="AG33" s="16">
        <f>IF(COUNT(AC33:AF33)=4,SUM(AC33:AF33),"")</f>
        <v>148.664</v>
      </c>
      <c r="AH33" s="16">
        <f>IFERROR(INDEX('Inputs (2)'!$D$61:$AL$61,MATCH(AH$7,'Inputs (2)'!$D$2:$AL$2,0)),"")</f>
        <v>54.445</v>
      </c>
      <c r="AI33" s="16">
        <f>IFERROR(INDEX('Inputs (2)'!$D$61:$AL$61,MATCH(AI$7,'Inputs (2)'!$D$2:$AL$2,0)),"")</f>
        <v>87.224</v>
      </c>
    </row>
    <row r="34">
      <c r="C34" s="14" t="inlineStr">
        <is>
          <t xml:space="preserve">   ERTE</t>
        </is>
      </c>
      <c r="D34" s="15">
        <f>IFERROR(INDEX('Inputs (2)'!$D$62:$AL$62,MATCH(D$7,'Inputs (2)'!$D$2:$AL$2,0)),"")</f>
        <v>10.74</v>
      </c>
      <c r="E34" s="15">
        <f>IFERROR(INDEX('Inputs (2)'!$D$62:$AL$62,MATCH(E$7,'Inputs (2)'!$D$2:$AL$2,0)),"")</f>
        <v>-28.055</v>
      </c>
      <c r="F34" s="15">
        <f>IFERROR(INDEX('Inputs (2)'!$D$62:$AL$62,MATCH(F$7,'Inputs (2)'!$D$2:$AL$2,0)),"")</f>
        <v>-0.882</v>
      </c>
      <c r="G34" s="15">
        <f>IFERROR(INDEX('Inputs (2)'!$D$62:$AL$62,MATCH(G$7,'Inputs (2)'!$D$2:$AL$2,0)),"")</f>
        <v>22.831</v>
      </c>
      <c r="H34" s="16">
        <f>IF(COUNT(D34:G34)=4,SUM(D34:G34),"")</f>
        <v>4.634</v>
      </c>
      <c r="I34" s="15">
        <f>IFERROR(INDEX('Inputs (2)'!$D$62:$AL$62,MATCH(I$7,'Inputs (2)'!$D$2:$AL$2,0)),"")</f>
        <v>14.836</v>
      </c>
      <c r="J34" s="15">
        <f>IFERROR(INDEX('Inputs (2)'!$D$62:$AL$62,MATCH(J$7,'Inputs (2)'!$D$2:$AL$2,0)),"")</f>
        <v>17.116</v>
      </c>
      <c r="K34" s="15">
        <f>IFERROR(INDEX('Inputs (2)'!$D$62:$AL$62,MATCH(K$7,'Inputs (2)'!$D$2:$AL$2,0)),"")</f>
        <v>9.208</v>
      </c>
      <c r="L34" s="15">
        <f>IFERROR(INDEX('Inputs (2)'!$D$62:$AL$62,MATCH(L$7,'Inputs (2)'!$D$2:$AL$2,0)),"")</f>
        <v>7.682</v>
      </c>
      <c r="M34" s="16">
        <f>IF(COUNT(I34:L34)=4,SUM(I34:L34),"")</f>
        <v>48.842</v>
      </c>
      <c r="N34" s="15">
        <f>IFERROR(INDEX('Inputs (2)'!$D$62:$AL$62,MATCH(N$7,'Inputs (2)'!$D$2:$AL$2,0)),"")</f>
        <v>13.059</v>
      </c>
      <c r="O34" s="15">
        <f>IFERROR(INDEX('Inputs (2)'!$D$62:$AL$62,MATCH(O$7,'Inputs (2)'!$D$2:$AL$2,0)),"")</f>
        <v>1.859</v>
      </c>
      <c r="P34" s="15">
        <f>IFERROR(INDEX('Inputs (2)'!$D$62:$AL$62,MATCH(P$7,'Inputs (2)'!$D$2:$AL$2,0)),"")</f>
        <v>12.35</v>
      </c>
      <c r="Q34" s="15">
        <f>IFERROR(INDEX('Inputs (2)'!$D$62:$AL$62,MATCH(Q$7,'Inputs (2)'!$D$2:$AL$2,0)),"")</f>
        <v>2.303</v>
      </c>
      <c r="R34" s="16">
        <f>IF(COUNT(N34:Q34)=4,SUM(N34:Q34),"")</f>
        <v>29.571</v>
      </c>
      <c r="S34" s="15">
        <f>IFERROR(INDEX('Inputs (2)'!$D$62:$AL$62,MATCH(S$7,'Inputs (2)'!$D$2:$AL$2,0)),"")</f>
        <v>7.839</v>
      </c>
      <c r="T34" s="15">
        <f>IFERROR(INDEX('Inputs (2)'!$D$62:$AL$62,MATCH(T$7,'Inputs (2)'!$D$2:$AL$2,0)),"")</f>
        <v>4.685</v>
      </c>
      <c r="U34" s="15">
        <f>IFERROR(INDEX('Inputs (2)'!$D$62:$AL$62,MATCH(U$7,'Inputs (2)'!$D$2:$AL$2,0)),"")</f>
        <v>3.546</v>
      </c>
      <c r="V34" s="15">
        <f>IFERROR(INDEX('Inputs (2)'!$D$62:$AL$62,MATCH(V$7,'Inputs (2)'!$D$2:$AL$2,0)),"")</f>
        <v>10.455</v>
      </c>
      <c r="W34" s="16">
        <f>IF(COUNT(S34:V34)=4,SUM(S34:V34),"")</f>
        <v>26.525</v>
      </c>
      <c r="X34" s="15">
        <f>IFERROR(INDEX('Inputs (2)'!$D$62:$AL$62,MATCH(X$7,'Inputs (2)'!$D$2:$AL$2,0)),"")</f>
        <v>7.97</v>
      </c>
      <c r="Y34" s="15">
        <f>IFERROR(INDEX('Inputs (2)'!$D$62:$AL$62,MATCH(Y$7,'Inputs (2)'!$D$2:$AL$2,0)),"")</f>
        <v>8.7</v>
      </c>
      <c r="Z34" s="15">
        <f>IFERROR(INDEX('Inputs (2)'!$D$62:$AL$62,MATCH(Z$7,'Inputs (2)'!$D$2:$AL$2,0)),"")</f>
        <v>9.877</v>
      </c>
      <c r="AA34" s="15">
        <f>IFERROR(INDEX('Inputs (2)'!$D$62:$AL$62,MATCH(AA$7,'Inputs (2)'!$D$2:$AL$2,0)),"")</f>
        <v>12.384</v>
      </c>
      <c r="AB34" s="16">
        <f>IF(COUNT(X34:AA34)=4,SUM(X34:AA34),"")</f>
        <v>38.931</v>
      </c>
      <c r="AC34" s="15">
        <f>IFERROR(INDEX('Inputs (2)'!$D$62:$AL$62,MATCH(AC$7,'Inputs (2)'!$D$2:$AL$2,0)),"")</f>
        <v>10.964</v>
      </c>
      <c r="AD34" s="15">
        <f>IFERROR(INDEX('Inputs (2)'!$D$62:$AL$62,MATCH(AD$7,'Inputs (2)'!$D$2:$AL$2,0)),"")</f>
        <v>6.711</v>
      </c>
      <c r="AE34" s="15">
        <f>IFERROR(INDEX('Inputs (2)'!$D$62:$AL$62,MATCH(AE$7,'Inputs (2)'!$D$2:$AL$2,0)),"")</f>
        <v>4.977</v>
      </c>
      <c r="AF34" s="15">
        <f>IFERROR(INDEX('Inputs (2)'!$D$62:$AL$62,MATCH(AF$7,'Inputs (2)'!$D$2:$AL$2,0)),"")</f>
        <v>17.054</v>
      </c>
      <c r="AG34" s="16">
        <f>IF(COUNT(AC34:AF34)=4,SUM(AC34:AF34),"")</f>
        <v>39.706</v>
      </c>
      <c r="AH34" s="16">
        <f>IFERROR(INDEX('Inputs (2)'!$D$62:$AL$62,MATCH(AH$7,'Inputs (2)'!$D$2:$AL$2,0)),"")</f>
        <v>7.243</v>
      </c>
      <c r="AI34" s="16">
        <f>IFERROR(INDEX('Inputs (2)'!$D$62:$AL$62,MATCH(AI$7,'Inputs (2)'!$D$2:$AL$2,0)),"")</f>
        <v>13.286</v>
      </c>
    </row>
    <row r="35">
      <c r="C35" s="14" t="inlineStr">
        <is>
          <t xml:space="preserve">   EBTE</t>
        </is>
      </c>
      <c r="D35" s="15">
        <f>IFERROR(INDEX('Inputs (2)'!$D$63:$AL$63,MATCH(D$7,'Inputs (2)'!$D$2:$AL$2,0)),"")</f>
        <v>15.194</v>
      </c>
      <c r="E35" s="15">
        <f>IFERROR(INDEX('Inputs (2)'!$D$63:$AL$63,MATCH(E$7,'Inputs (2)'!$D$2:$AL$2,0)),"")</f>
        <v>12.029</v>
      </c>
      <c r="F35" s="15">
        <f>IFERROR(INDEX('Inputs (2)'!$D$63:$AL$63,MATCH(F$7,'Inputs (2)'!$D$2:$AL$2,0)),"")</f>
        <v>28.227</v>
      </c>
      <c r="G35" s="15">
        <f>IFERROR(INDEX('Inputs (2)'!$D$63:$AL$63,MATCH(G$7,'Inputs (2)'!$D$2:$AL$2,0)),"")</f>
        <v>17.477</v>
      </c>
      <c r="H35" s="16">
        <f>IF(COUNT(D35:G35)=4,SUM(D35:G35),"")</f>
        <v>72.927</v>
      </c>
      <c r="I35" s="15">
        <f>IFERROR(INDEX('Inputs (2)'!$D$63:$AL$63,MATCH(I$7,'Inputs (2)'!$D$2:$AL$2,0)),"")</f>
        <v>19.255</v>
      </c>
      <c r="J35" s="15">
        <f>IFERROR(INDEX('Inputs (2)'!$D$63:$AL$63,MATCH(J$7,'Inputs (2)'!$D$2:$AL$2,0)),"")</f>
        <v>18.39</v>
      </c>
      <c r="K35" s="15">
        <f>IFERROR(INDEX('Inputs (2)'!$D$63:$AL$63,MATCH(K$7,'Inputs (2)'!$D$2:$AL$2,0)),"")</f>
        <v>19.595</v>
      </c>
      <c r="L35" s="15">
        <f>IFERROR(INDEX('Inputs (2)'!$D$63:$AL$63,MATCH(L$7,'Inputs (2)'!$D$2:$AL$2,0)),"")</f>
        <v>22.928</v>
      </c>
      <c r="M35" s="16">
        <f>IF(COUNT(I35:L35)=4,SUM(I35:L35),"")</f>
        <v>80.168</v>
      </c>
      <c r="N35" s="15">
        <f>IFERROR(INDEX('Inputs (2)'!$D$63:$AL$63,MATCH(N$7,'Inputs (2)'!$D$2:$AL$2,0)),"")</f>
        <v>20.26</v>
      </c>
      <c r="O35" s="15">
        <f>IFERROR(INDEX('Inputs (2)'!$D$63:$AL$63,MATCH(O$7,'Inputs (2)'!$D$2:$AL$2,0)),"")</f>
        <v>25.002</v>
      </c>
      <c r="P35" s="15">
        <f>IFERROR(INDEX('Inputs (2)'!$D$63:$AL$63,MATCH(P$7,'Inputs (2)'!$D$2:$AL$2,0)),"")</f>
        <v>8.49</v>
      </c>
      <c r="Q35" s="15">
        <f>IFERROR(INDEX('Inputs (2)'!$D$63:$AL$63,MATCH(Q$7,'Inputs (2)'!$D$2:$AL$2,0)),"")</f>
        <v>17.525</v>
      </c>
      <c r="R35" s="16">
        <f>IF(COUNT(N35:Q35)=4,SUM(N35:Q35),"")</f>
        <v>71.277</v>
      </c>
      <c r="S35" s="15">
        <f>IFERROR(INDEX('Inputs (2)'!$D$63:$AL$63,MATCH(S$7,'Inputs (2)'!$D$2:$AL$2,0)),"")</f>
        <v>22.924</v>
      </c>
      <c r="T35" s="15">
        <f>IFERROR(INDEX('Inputs (2)'!$D$63:$AL$63,MATCH(T$7,'Inputs (2)'!$D$2:$AL$2,0)),"")</f>
        <v>21.243</v>
      </c>
      <c r="U35" s="15">
        <f>IFERROR(INDEX('Inputs (2)'!$D$63:$AL$63,MATCH(U$7,'Inputs (2)'!$D$2:$AL$2,0)),"")</f>
        <v>12.336</v>
      </c>
      <c r="V35" s="15">
        <f>IFERROR(INDEX('Inputs (2)'!$D$63:$AL$63,MATCH(V$7,'Inputs (2)'!$D$2:$AL$2,0)),"")</f>
        <v>14.833</v>
      </c>
      <c r="W35" s="16">
        <f>IF(COUNT(S35:V35)=4,SUM(S35:V35),"")</f>
        <v>71.336</v>
      </c>
      <c r="X35" s="15">
        <f>IFERROR(INDEX('Inputs (2)'!$D$63:$AL$63,MATCH(X$7,'Inputs (2)'!$D$2:$AL$2,0)),"")</f>
        <v>19.503</v>
      </c>
      <c r="Y35" s="15">
        <f>IFERROR(INDEX('Inputs (2)'!$D$63:$AL$63,MATCH(Y$7,'Inputs (2)'!$D$2:$AL$2,0)),"")</f>
        <v>16.12</v>
      </c>
      <c r="Z35" s="15">
        <f>IFERROR(INDEX('Inputs (2)'!$D$63:$AL$63,MATCH(Z$7,'Inputs (2)'!$D$2:$AL$2,0)),"")</f>
        <v>15.327</v>
      </c>
      <c r="AA35" s="15">
        <f>IFERROR(INDEX('Inputs (2)'!$D$63:$AL$63,MATCH(AA$7,'Inputs (2)'!$D$2:$AL$2,0)),"")</f>
        <v>17.97</v>
      </c>
      <c r="AB35" s="16">
        <f>IF(COUNT(X35:AA35)=4,SUM(X35:AA35),"")</f>
        <v>68.92</v>
      </c>
      <c r="AC35" s="15">
        <f>IFERROR(INDEX('Inputs (2)'!$D$63:$AL$63,MATCH(AC$7,'Inputs (2)'!$D$2:$AL$2,0)),"")</f>
        <v>22.331</v>
      </c>
      <c r="AD35" s="15">
        <f>IFERROR(INDEX('Inputs (2)'!$D$63:$AL$63,MATCH(AD$7,'Inputs (2)'!$D$2:$AL$2,0)),"")</f>
        <v>19.45</v>
      </c>
      <c r="AE35" s="15">
        <f>IFERROR(INDEX('Inputs (2)'!$D$63:$AL$63,MATCH(AE$7,'Inputs (2)'!$D$2:$AL$2,0)),"")</f>
        <v>15.263</v>
      </c>
      <c r="AF35" s="15">
        <f>IFERROR(INDEX('Inputs (2)'!$D$63:$AL$63,MATCH(AF$7,'Inputs (2)'!$D$2:$AL$2,0)),"")</f>
        <v>20.256</v>
      </c>
      <c r="AG35" s="16">
        <f>IF(COUNT(AC35:AF35)=4,SUM(AC35:AF35),"")</f>
        <v>77.3</v>
      </c>
      <c r="AH35" s="16">
        <f>IFERROR(INDEX('Inputs (2)'!$D$63:$AL$63,MATCH(AH$7,'Inputs (2)'!$D$2:$AL$2,0)),"")</f>
        <v>19.948</v>
      </c>
      <c r="AI35" s="16">
        <f>IFERROR(INDEX('Inputs (2)'!$D$63:$AL$63,MATCH(AI$7,'Inputs (2)'!$D$2:$AL$2,0)),"")</f>
        <v>23.762</v>
      </c>
    </row>
    <row r="36">
      <c r="C36" s="14" t="inlineStr">
        <is>
          <t xml:space="preserve">   Lumitrans</t>
        </is>
      </c>
      <c r="D36" s="15">
        <f>IFERROR(INDEX('Inputs (2)'!$D$64:$AL$64,MATCH(D$7,'Inputs (2)'!$D$2:$AL$2,0)),"")</f>
        <v>6.182</v>
      </c>
      <c r="E36" s="15">
        <f>IFERROR(INDEX('Inputs (2)'!$D$64:$AL$64,MATCH(E$7,'Inputs (2)'!$D$2:$AL$2,0)),"")</f>
        <v>6.102</v>
      </c>
      <c r="F36" s="15">
        <f>IFERROR(INDEX('Inputs (2)'!$D$64:$AL$64,MATCH(F$7,'Inputs (2)'!$D$2:$AL$2,0)),"")</f>
        <v>8.912</v>
      </c>
      <c r="G36" s="15">
        <f>IFERROR(INDEX('Inputs (2)'!$D$64:$AL$64,MATCH(G$7,'Inputs (2)'!$D$2:$AL$2,0)),"")</f>
        <v>12.35</v>
      </c>
      <c r="H36" s="16">
        <f>IF(COUNT(D36:G36)=4,SUM(D36:G36),"")</f>
        <v>33.546</v>
      </c>
      <c r="I36" s="15">
        <f>IFERROR(INDEX('Inputs (2)'!$D$64:$AL$64,MATCH(I$7,'Inputs (2)'!$D$2:$AL$2,0)),"")</f>
        <v>9.915</v>
      </c>
      <c r="J36" s="15">
        <f>IFERROR(INDEX('Inputs (2)'!$D$64:$AL$64,MATCH(J$7,'Inputs (2)'!$D$2:$AL$2,0)),"")</f>
        <v>13.118</v>
      </c>
      <c r="K36" s="15">
        <f>IFERROR(INDEX('Inputs (2)'!$D$64:$AL$64,MATCH(K$7,'Inputs (2)'!$D$2:$AL$2,0)),"")</f>
        <v>6.583</v>
      </c>
      <c r="L36" s="15">
        <f>IFERROR(INDEX('Inputs (2)'!$D$64:$AL$64,MATCH(L$7,'Inputs (2)'!$D$2:$AL$2,0)),"")</f>
        <v>4.921</v>
      </c>
      <c r="M36" s="16">
        <f>IF(COUNT(I36:L36)=4,SUM(I36:L36),"")</f>
        <v>34.537</v>
      </c>
      <c r="N36" s="15">
        <f>IFERROR(INDEX('Inputs (2)'!$D$64:$AL$64,MATCH(N$7,'Inputs (2)'!$D$2:$AL$2,0)),"")</f>
        <v>8.686</v>
      </c>
      <c r="O36" s="15">
        <f>IFERROR(INDEX('Inputs (2)'!$D$64:$AL$64,MATCH(O$7,'Inputs (2)'!$D$2:$AL$2,0)),"")</f>
        <v>8.125</v>
      </c>
      <c r="P36" s="15">
        <f>IFERROR(INDEX('Inputs (2)'!$D$64:$AL$64,MATCH(P$7,'Inputs (2)'!$D$2:$AL$2,0)),"")</f>
        <v>4.914</v>
      </c>
      <c r="Q36" s="15">
        <f>IFERROR(INDEX('Inputs (2)'!$D$64:$AL$64,MATCH(Q$7,'Inputs (2)'!$D$2:$AL$2,0)),"")</f>
        <v>2.741</v>
      </c>
      <c r="R36" s="16">
        <f>IF(COUNT(N36:Q36)=4,SUM(N36:Q36),"")</f>
        <v>24.466</v>
      </c>
      <c r="S36" s="15">
        <f>IFERROR(INDEX('Inputs (2)'!$D$64:$AL$64,MATCH(S$7,'Inputs (2)'!$D$2:$AL$2,0)),"")</f>
        <v>5.175</v>
      </c>
      <c r="T36" s="15">
        <f>IFERROR(INDEX('Inputs (2)'!$D$64:$AL$64,MATCH(T$7,'Inputs (2)'!$D$2:$AL$2,0)),"")</f>
        <v>2.442</v>
      </c>
      <c r="U36" s="15">
        <f>IFERROR(INDEX('Inputs (2)'!$D$64:$AL$64,MATCH(U$7,'Inputs (2)'!$D$2:$AL$2,0)),"")</f>
        <v>2.394</v>
      </c>
      <c r="V36" s="15">
        <f>IFERROR(INDEX('Inputs (2)'!$D$64:$AL$64,MATCH(V$7,'Inputs (2)'!$D$2:$AL$2,0)),"")</f>
        <v>5.415</v>
      </c>
      <c r="W36" s="16">
        <f>IF(COUNT(S36:V36)=4,SUM(S36:V36),"")</f>
        <v>15.426</v>
      </c>
      <c r="X36" s="15">
        <f>IFERROR(INDEX('Inputs (2)'!$D$64:$AL$64,MATCH(X$7,'Inputs (2)'!$D$2:$AL$2,0)),"")</f>
        <v>4.568</v>
      </c>
      <c r="Y36" s="15">
        <f>IFERROR(INDEX('Inputs (2)'!$D$64:$AL$64,MATCH(Y$7,'Inputs (2)'!$D$2:$AL$2,0)),"")</f>
        <v>4.898</v>
      </c>
      <c r="Z36" s="15">
        <f>IFERROR(INDEX('Inputs (2)'!$D$64:$AL$64,MATCH(Z$7,'Inputs (2)'!$D$2:$AL$2,0)),"")</f>
        <v>5.485</v>
      </c>
      <c r="AA36" s="15">
        <f>IFERROR(INDEX('Inputs (2)'!$D$64:$AL$64,MATCH(AA$7,'Inputs (2)'!$D$2:$AL$2,0)),"")</f>
        <v>6.781</v>
      </c>
      <c r="AB36" s="16">
        <f>IF(COUNT(X36:AA36)=4,SUM(X36:AA36),"")</f>
        <v>21.732</v>
      </c>
      <c r="AC36" s="15">
        <f>IFERROR(INDEX('Inputs (2)'!$D$64:$AL$64,MATCH(AC$7,'Inputs (2)'!$D$2:$AL$2,0)),"")</f>
        <v>6.045</v>
      </c>
      <c r="AD36" s="15">
        <f>IFERROR(INDEX('Inputs (2)'!$D$64:$AL$64,MATCH(AD$7,'Inputs (2)'!$D$2:$AL$2,0)),"")</f>
        <v>3.906</v>
      </c>
      <c r="AE36" s="15">
        <f>IFERROR(INDEX('Inputs (2)'!$D$64:$AL$64,MATCH(AE$7,'Inputs (2)'!$D$2:$AL$2,0)),"")</f>
        <v>3.082</v>
      </c>
      <c r="AF36" s="15">
        <f>IFERROR(INDEX('Inputs (2)'!$D$64:$AL$64,MATCH(AF$7,'Inputs (2)'!$D$2:$AL$2,0)),"")</f>
        <v>4.63</v>
      </c>
      <c r="AG36" s="16">
        <f>IF(COUNT(AC36:AF36)=4,SUM(AC36:AF36),"")</f>
        <v>17.663</v>
      </c>
      <c r="AH36" s="16">
        <f>IFERROR(INDEX('Inputs (2)'!$D$64:$AL$64,MATCH(AH$7,'Inputs (2)'!$D$2:$AL$2,0)),"")</f>
        <v>4.147</v>
      </c>
      <c r="AI36" s="16">
        <f>IFERROR(INDEX('Inputs (2)'!$D$64:$AL$64,MATCH(AI$7,'Inputs (2)'!$D$2:$AL$2,0)),"")</f>
        <v>7.297</v>
      </c>
    </row>
    <row r="37">
      <c r="C37" s="14" t="inlineStr">
        <is>
          <t xml:space="preserve">   STC</t>
        </is>
      </c>
      <c r="D37" s="15">
        <f>IFERROR(INDEX('Inputs (2)'!$D$65:$AL$65,MATCH(D$7,'Inputs (2)'!$D$2:$AL$2,0)),"")</f>
        <v>5.77</v>
      </c>
      <c r="E37" s="15">
        <f>IFERROR(INDEX('Inputs (2)'!$D$65:$AL$65,MATCH(E$7,'Inputs (2)'!$D$2:$AL$2,0)),"")</f>
        <v>4.18</v>
      </c>
      <c r="F37" s="15">
        <f>IFERROR(INDEX('Inputs (2)'!$D$65:$AL$65,MATCH(F$7,'Inputs (2)'!$D$2:$AL$2,0)),"")</f>
        <v>8.456</v>
      </c>
      <c r="G37" s="15">
        <f>IFERROR(INDEX('Inputs (2)'!$D$65:$AL$65,MATCH(G$7,'Inputs (2)'!$D$2:$AL$2,0)),"")</f>
        <v>7.658</v>
      </c>
      <c r="H37" s="16">
        <f>IF(COUNT(D37:G37)=4,SUM(D37:G37),"")</f>
        <v>26.064</v>
      </c>
      <c r="I37" s="15">
        <f>IFERROR(INDEX('Inputs (2)'!$D$65:$AL$65,MATCH(I$7,'Inputs (2)'!$D$2:$AL$2,0)),"")</f>
        <v>11.471</v>
      </c>
      <c r="J37" s="15">
        <f>IFERROR(INDEX('Inputs (2)'!$D$65:$AL$65,MATCH(J$7,'Inputs (2)'!$D$2:$AL$2,0)),"")</f>
        <v>10.373</v>
      </c>
      <c r="K37" s="15">
        <f>IFERROR(INDEX('Inputs (2)'!$D$65:$AL$65,MATCH(K$7,'Inputs (2)'!$D$2:$AL$2,0)),"")</f>
        <v>14.172</v>
      </c>
      <c r="L37" s="15">
        <f>IFERROR(INDEX('Inputs (2)'!$D$65:$AL$65,MATCH(L$7,'Inputs (2)'!$D$2:$AL$2,0)),"")</f>
        <v>12.477</v>
      </c>
      <c r="M37" s="16">
        <f>IF(COUNT(I37:L37)=4,SUM(I37:L37),"")</f>
        <v>48.493</v>
      </c>
      <c r="N37" s="15">
        <f>IFERROR(INDEX('Inputs (2)'!$D$65:$AL$65,MATCH(N$7,'Inputs (2)'!$D$2:$AL$2,0)),"")</f>
        <v>10.893</v>
      </c>
      <c r="O37" s="15">
        <f>IFERROR(INDEX('Inputs (2)'!$D$65:$AL$65,MATCH(O$7,'Inputs (2)'!$D$2:$AL$2,0)),"")</f>
        <v>12.575</v>
      </c>
      <c r="P37" s="15">
        <f>IFERROR(INDEX('Inputs (2)'!$D$65:$AL$65,MATCH(P$7,'Inputs (2)'!$D$2:$AL$2,0)),"")</f>
        <v>6.558</v>
      </c>
      <c r="Q37" s="15">
        <f>IFERROR(INDEX('Inputs (2)'!$D$65:$AL$65,MATCH(Q$7,'Inputs (2)'!$D$2:$AL$2,0)),"")</f>
        <v>8.208</v>
      </c>
      <c r="R37" s="16">
        <f>IF(COUNT(N37:Q37)=4,SUM(N37:Q37),"")</f>
        <v>38.234</v>
      </c>
      <c r="S37" s="15">
        <f>IFERROR(INDEX('Inputs (2)'!$D$65:$AL$65,MATCH(S$7,'Inputs (2)'!$D$2:$AL$2,0)),"")</f>
        <v>10.325</v>
      </c>
      <c r="T37" s="15">
        <f>IFERROR(INDEX('Inputs (2)'!$D$65:$AL$65,MATCH(T$7,'Inputs (2)'!$D$2:$AL$2,0)),"")</f>
        <v>9.862</v>
      </c>
      <c r="U37" s="15">
        <f>IFERROR(INDEX('Inputs (2)'!$D$65:$AL$65,MATCH(U$7,'Inputs (2)'!$D$2:$AL$2,0)),"")</f>
        <v>7.353</v>
      </c>
      <c r="V37" s="15">
        <f>IFERROR(INDEX('Inputs (2)'!$D$65:$AL$65,MATCH(V$7,'Inputs (2)'!$D$2:$AL$2,0)),"")</f>
        <v>8.229</v>
      </c>
      <c r="W37" s="16">
        <f>IF(COUNT(S37:V37)=4,SUM(S37:V37),"")</f>
        <v>35.769</v>
      </c>
      <c r="X37" s="15">
        <f>IFERROR(INDEX('Inputs (2)'!$D$65:$AL$65,MATCH(X$7,'Inputs (2)'!$D$2:$AL$2,0)),"")</f>
        <v>9.967</v>
      </c>
      <c r="Y37" s="15">
        <f>IFERROR(INDEX('Inputs (2)'!$D$65:$AL$65,MATCH(Y$7,'Inputs (2)'!$D$2:$AL$2,0)),"")</f>
        <v>8.716</v>
      </c>
      <c r="Z37" s="15">
        <f>IFERROR(INDEX('Inputs (2)'!$D$65:$AL$65,MATCH(Z$7,'Inputs (2)'!$D$2:$AL$2,0)),"")</f>
        <v>8.539</v>
      </c>
      <c r="AA37" s="15">
        <f>IFERROR(INDEX('Inputs (2)'!$D$65:$AL$65,MATCH(AA$7,'Inputs (2)'!$D$2:$AL$2,0)),"")</f>
        <v>9.259</v>
      </c>
      <c r="AB37" s="16">
        <f>IF(COUNT(X37:AA37)=4,SUM(X37:AA37),"")</f>
        <v>36.481</v>
      </c>
      <c r="AC37" s="15">
        <f>IFERROR(INDEX('Inputs (2)'!$D$65:$AL$65,MATCH(AC$7,'Inputs (2)'!$D$2:$AL$2,0)),"")</f>
        <v>10.511</v>
      </c>
      <c r="AD37" s="15">
        <f>IFERROR(INDEX('Inputs (2)'!$D$65:$AL$65,MATCH(AD$7,'Inputs (2)'!$D$2:$AL$2,0)),"")</f>
        <v>9.413</v>
      </c>
      <c r="AE37" s="15">
        <f>IFERROR(INDEX('Inputs (2)'!$D$65:$AL$65,MATCH(AE$7,'Inputs (2)'!$D$2:$AL$2,0)),"")</f>
        <v>0.178</v>
      </c>
      <c r="AF37" s="15">
        <f>IFERROR(INDEX('Inputs (2)'!$D$65:$AL$65,MATCH(AF$7,'Inputs (2)'!$D$2:$AL$2,0)),"")</f>
        <v>10.703</v>
      </c>
      <c r="AG37" s="16">
        <f>IF(COUNT(AC37:AF37)=4,SUM(AC37:AF37),"")</f>
        <v>30.805</v>
      </c>
      <c r="AH37" s="16">
        <f>IFERROR(INDEX('Inputs (2)'!$D$65:$AL$65,MATCH(AH$7,'Inputs (2)'!$D$2:$AL$2,0)),"")</f>
        <v>9.069</v>
      </c>
      <c r="AI37" s="16">
        <f>IFERROR(INDEX('Inputs (2)'!$D$65:$AL$65,MATCH(AI$7,'Inputs (2)'!$D$2:$AL$2,0)),"")</f>
        <v>10.393</v>
      </c>
    </row>
    <row r="38">
      <c r="C38" s="14" t="inlineStr">
        <is>
          <t xml:space="preserve">   ESDE</t>
        </is>
      </c>
      <c r="D38" s="15">
        <f>IFERROR(INDEX('Inputs (2)'!$D$66:$AL$66,MATCH(D$7,'Inputs (2)'!$D$2:$AL$2,0)),"")</f>
        <v>4.586</v>
      </c>
      <c r="E38" s="15">
        <f>IFERROR(INDEX('Inputs (2)'!$D$66:$AL$66,MATCH(E$7,'Inputs (2)'!$D$2:$AL$2,0)),"")</f>
        <v>1.966</v>
      </c>
      <c r="F38" s="15">
        <f>IFERROR(INDEX('Inputs (2)'!$D$66:$AL$66,MATCH(F$7,'Inputs (2)'!$D$2:$AL$2,0)),"")</f>
        <v>3.665</v>
      </c>
      <c r="G38" s="15">
        <f>IFERROR(INDEX('Inputs (2)'!$D$66:$AL$66,MATCH(G$7,'Inputs (2)'!$D$2:$AL$2,0)),"")</f>
        <v>-3.582</v>
      </c>
      <c r="H38" s="16">
        <f>IF(COUNT(D38:G38)=4,SUM(D38:G38),"")</f>
        <v>6.635</v>
      </c>
      <c r="I38" s="15">
        <f>IFERROR(INDEX('Inputs (2)'!$D$66:$AL$66,MATCH(I$7,'Inputs (2)'!$D$2:$AL$2,0)),"")</f>
        <v>5.646</v>
      </c>
      <c r="J38" s="15">
        <f>IFERROR(INDEX('Inputs (2)'!$D$66:$AL$66,MATCH(J$7,'Inputs (2)'!$D$2:$AL$2,0)),"")</f>
        <v>5.312</v>
      </c>
      <c r="K38" s="15">
        <f>IFERROR(INDEX('Inputs (2)'!$D$66:$AL$66,MATCH(K$7,'Inputs (2)'!$D$2:$AL$2,0)),"")</f>
        <v>7.027</v>
      </c>
      <c r="L38" s="15">
        <f>IFERROR(INDEX('Inputs (2)'!$D$66:$AL$66,MATCH(L$7,'Inputs (2)'!$D$2:$AL$2,0)),"")</f>
        <v>7.005</v>
      </c>
      <c r="M38" s="16">
        <f>IF(COUNT(I38:L38)=4,SUM(I38:L38),"")</f>
        <v>24.99</v>
      </c>
      <c r="N38" s="15">
        <f>IFERROR(INDEX('Inputs (2)'!$D$66:$AL$66,MATCH(N$7,'Inputs (2)'!$D$2:$AL$2,0)),"")</f>
        <v>5.945</v>
      </c>
      <c r="O38" s="15">
        <f>IFERROR(INDEX('Inputs (2)'!$D$66:$AL$66,MATCH(O$7,'Inputs (2)'!$D$2:$AL$2,0)),"")</f>
        <v>7.231</v>
      </c>
      <c r="P38" s="15">
        <f>IFERROR(INDEX('Inputs (2)'!$D$66:$AL$66,MATCH(P$7,'Inputs (2)'!$D$2:$AL$2,0)),"")</f>
        <v>2.941</v>
      </c>
      <c r="Q38" s="15">
        <f>IFERROR(INDEX('Inputs (2)'!$D$66:$AL$66,MATCH(Q$7,'Inputs (2)'!$D$2:$AL$2,0)),"")</f>
        <v>4.212</v>
      </c>
      <c r="R38" s="16">
        <f>IF(COUNT(N38:Q38)=4,SUM(N38:Q38),"")</f>
        <v>20.329</v>
      </c>
      <c r="S38" s="15">
        <f>IFERROR(INDEX('Inputs (2)'!$D$66:$AL$66,MATCH(S$7,'Inputs (2)'!$D$2:$AL$2,0)),"")</f>
        <v>5.775</v>
      </c>
      <c r="T38" s="15">
        <f>IFERROR(INDEX('Inputs (2)'!$D$66:$AL$66,MATCH(T$7,'Inputs (2)'!$D$2:$AL$2,0)),"")</f>
        <v>5.427</v>
      </c>
      <c r="U38" s="15">
        <f>IFERROR(INDEX('Inputs (2)'!$D$66:$AL$66,MATCH(U$7,'Inputs (2)'!$D$2:$AL$2,0)),"")</f>
        <v>3.741</v>
      </c>
      <c r="V38" s="15">
        <f>IFERROR(INDEX('Inputs (2)'!$D$66:$AL$66,MATCH(V$7,'Inputs (2)'!$D$2:$AL$2,0)),"")</f>
        <v>4.647</v>
      </c>
      <c r="W38" s="16">
        <f>IF(COUNT(S38:V38)=4,SUM(S38:V38),"")</f>
        <v>19.59</v>
      </c>
      <c r="X38" s="15">
        <f>IFERROR(INDEX('Inputs (2)'!$D$66:$AL$66,MATCH(X$7,'Inputs (2)'!$D$2:$AL$2,0)),"")</f>
        <v>5.7</v>
      </c>
      <c r="Y38" s="15">
        <f>IFERROR(INDEX('Inputs (2)'!$D$66:$AL$66,MATCH(Y$7,'Inputs (2)'!$D$2:$AL$2,0)),"")</f>
        <v>4.591</v>
      </c>
      <c r="Z38" s="15">
        <f>IFERROR(INDEX('Inputs (2)'!$D$66:$AL$66,MATCH(Z$7,'Inputs (2)'!$D$2:$AL$2,0)),"")</f>
        <v>4.193</v>
      </c>
      <c r="AA38" s="15">
        <f>IFERROR(INDEX('Inputs (2)'!$D$66:$AL$66,MATCH(AA$7,'Inputs (2)'!$D$2:$AL$2,0)),"")</f>
        <v>5.173</v>
      </c>
      <c r="AB38" s="16">
        <f>IF(COUNT(X38:AA38)=4,SUM(X38:AA38),"")</f>
        <v>19.657</v>
      </c>
      <c r="AC38" s="15">
        <f>IFERROR(INDEX('Inputs (2)'!$D$66:$AL$66,MATCH(AC$7,'Inputs (2)'!$D$2:$AL$2,0)),"")</f>
        <v>6.013</v>
      </c>
      <c r="AD38" s="15">
        <f>IFERROR(INDEX('Inputs (2)'!$D$66:$AL$66,MATCH(AD$7,'Inputs (2)'!$D$2:$AL$2,0)),"")</f>
        <v>5.12</v>
      </c>
      <c r="AE38" s="15">
        <f>IFERROR(INDEX('Inputs (2)'!$D$66:$AL$66,MATCH(AE$7,'Inputs (2)'!$D$2:$AL$2,0)),"")</f>
        <v>-1.746</v>
      </c>
      <c r="AF38" s="15">
        <f>IFERROR(INDEX('Inputs (2)'!$D$66:$AL$66,MATCH(AF$7,'Inputs (2)'!$D$2:$AL$2,0)),"")</f>
        <v>4.334</v>
      </c>
      <c r="AG38" s="16">
        <f>IF(COUNT(AC38:AF38)=4,SUM(AC38:AF38),"")</f>
        <v>13.721</v>
      </c>
      <c r="AH38" s="16">
        <f>IFERROR(INDEX('Inputs (2)'!$D$66:$AL$66,MATCH(AH$7,'Inputs (2)'!$D$2:$AL$2,0)),"")</f>
        <v>5.106</v>
      </c>
      <c r="AI38" s="16">
        <f>IFERROR(INDEX('Inputs (2)'!$D$66:$AL$66,MATCH(AI$7,'Inputs (2)'!$D$2:$AL$2,0)),"")</f>
        <v>6.157</v>
      </c>
    </row>
    <row r="39">
      <c r="C39" s="14" t="inlineStr">
        <is>
          <t xml:space="preserve">   ETSE</t>
        </is>
      </c>
      <c r="D39" s="15">
        <f>IFERROR(INDEX('Inputs (2)'!$D$67:$AL$67,MATCH(D$7,'Inputs (2)'!$D$2:$AL$2,0)),"")</f>
        <v>7.239</v>
      </c>
      <c r="E39" s="15">
        <f>IFERROR(INDEX('Inputs (2)'!$D$67:$AL$67,MATCH(E$7,'Inputs (2)'!$D$2:$AL$2,0)),"")</f>
        <v>4.947</v>
      </c>
      <c r="F39" s="15">
        <f>IFERROR(INDEX('Inputs (2)'!$D$67:$AL$67,MATCH(F$7,'Inputs (2)'!$D$2:$AL$2,0)),"")</f>
        <v>16.098</v>
      </c>
      <c r="G39" s="15">
        <f>IFERROR(INDEX('Inputs (2)'!$D$67:$AL$67,MATCH(G$7,'Inputs (2)'!$D$2:$AL$2,0)),"")</f>
        <v>14.554</v>
      </c>
      <c r="H39" s="16">
        <f>IF(COUNT(D39:G39)=4,SUM(D39:G39),"")</f>
        <v>42.838</v>
      </c>
      <c r="I39" s="15">
        <f>IFERROR(INDEX('Inputs (2)'!$D$67:$AL$67,MATCH(I$7,'Inputs (2)'!$D$2:$AL$2,0)),"")</f>
        <v>10.139</v>
      </c>
      <c r="J39" s="15">
        <f>IFERROR(INDEX('Inputs (2)'!$D$67:$AL$67,MATCH(J$7,'Inputs (2)'!$D$2:$AL$2,0)),"")</f>
        <v>9.398</v>
      </c>
      <c r="K39" s="15">
        <f>IFERROR(INDEX('Inputs (2)'!$D$67:$AL$67,MATCH(K$7,'Inputs (2)'!$D$2:$AL$2,0)),"")</f>
        <v>9.871</v>
      </c>
      <c r="L39" s="15">
        <f>IFERROR(INDEX('Inputs (2)'!$D$67:$AL$67,MATCH(L$7,'Inputs (2)'!$D$2:$AL$2,0)),"")</f>
        <v>12.252</v>
      </c>
      <c r="M39" s="16">
        <f>IF(COUNT(I39:L39)=4,SUM(I39:L39),"")</f>
        <v>41.66</v>
      </c>
      <c r="N39" s="15">
        <f>IFERROR(INDEX('Inputs (2)'!$D$67:$AL$67,MATCH(N$7,'Inputs (2)'!$D$2:$AL$2,0)),"")</f>
        <v>10.269</v>
      </c>
      <c r="O39" s="15">
        <f>IFERROR(INDEX('Inputs (2)'!$D$67:$AL$67,MATCH(O$7,'Inputs (2)'!$D$2:$AL$2,0)),"")</f>
        <v>12.582</v>
      </c>
      <c r="P39" s="15">
        <f>IFERROR(INDEX('Inputs (2)'!$D$67:$AL$67,MATCH(P$7,'Inputs (2)'!$D$2:$AL$2,0)),"")</f>
        <v>7.951</v>
      </c>
      <c r="Q39" s="15">
        <f>IFERROR(INDEX('Inputs (2)'!$D$67:$AL$67,MATCH(Q$7,'Inputs (2)'!$D$2:$AL$2,0)),"")</f>
        <v>8.247</v>
      </c>
      <c r="R39" s="16">
        <f>IF(COUNT(N39:Q39)=4,SUM(N39:Q39),"")</f>
        <v>39.049</v>
      </c>
      <c r="S39" s="15">
        <f>IFERROR(INDEX('Inputs (2)'!$D$67:$AL$67,MATCH(S$7,'Inputs (2)'!$D$2:$AL$2,0)),"")</f>
        <v>11.985</v>
      </c>
      <c r="T39" s="15">
        <f>IFERROR(INDEX('Inputs (2)'!$D$67:$AL$67,MATCH(T$7,'Inputs (2)'!$D$2:$AL$2,0)),"")</f>
        <v>13.339</v>
      </c>
      <c r="U39" s="15">
        <f>IFERROR(INDEX('Inputs (2)'!$D$67:$AL$67,MATCH(U$7,'Inputs (2)'!$D$2:$AL$2,0)),"")</f>
        <v>7.257</v>
      </c>
      <c r="V39" s="15">
        <f>IFERROR(INDEX('Inputs (2)'!$D$67:$AL$67,MATCH(V$7,'Inputs (2)'!$D$2:$AL$2,0)),"")</f>
        <v>8.679</v>
      </c>
      <c r="W39" s="16">
        <f>IF(COUNT(S39:V39)=4,SUM(S39:V39),"")</f>
        <v>41.26</v>
      </c>
      <c r="X39" s="15">
        <f>IFERROR(INDEX('Inputs (2)'!$D$67:$AL$67,MATCH(X$7,'Inputs (2)'!$D$2:$AL$2,0)),"")</f>
        <v>11.689</v>
      </c>
      <c r="Y39" s="15">
        <f>IFERROR(INDEX('Inputs (2)'!$D$67:$AL$67,MATCH(Y$7,'Inputs (2)'!$D$2:$AL$2,0)),"")</f>
        <v>9.515</v>
      </c>
      <c r="Z39" s="15">
        <f>IFERROR(INDEX('Inputs (2)'!$D$67:$AL$67,MATCH(Z$7,'Inputs (2)'!$D$2:$AL$2,0)),"")</f>
        <v>10.254</v>
      </c>
      <c r="AA39" s="15">
        <f>IFERROR(INDEX('Inputs (2)'!$D$67:$AL$67,MATCH(AA$7,'Inputs (2)'!$D$2:$AL$2,0)),"")</f>
        <v>10.317</v>
      </c>
      <c r="AB39" s="16">
        <f>IF(COUNT(X39:AA39)=4,SUM(X39:AA39),"")</f>
        <v>41.775</v>
      </c>
      <c r="AC39" s="15">
        <f>IFERROR(INDEX('Inputs (2)'!$D$67:$AL$67,MATCH(AC$7,'Inputs (2)'!$D$2:$AL$2,0)),"")</f>
        <v>12.241</v>
      </c>
      <c r="AD39" s="15">
        <f>IFERROR(INDEX('Inputs (2)'!$D$67:$AL$67,MATCH(AD$7,'Inputs (2)'!$D$2:$AL$2,0)),"")</f>
        <v>10.285</v>
      </c>
      <c r="AE39" s="15">
        <f>IFERROR(INDEX('Inputs (2)'!$D$67:$AL$67,MATCH(AE$7,'Inputs (2)'!$D$2:$AL$2,0)),"")</f>
        <v>7.704</v>
      </c>
      <c r="AF39" s="15">
        <f>IFERROR(INDEX('Inputs (2)'!$D$67:$AL$67,MATCH(AF$7,'Inputs (2)'!$D$2:$AL$2,0)),"")</f>
        <v>9.766</v>
      </c>
      <c r="AG39" s="16">
        <f>IF(COUNT(AC39:AF39)=4,SUM(AC39:AF39),"")</f>
        <v>39.996</v>
      </c>
      <c r="AH39" s="16">
        <f>IFERROR(INDEX('Inputs (2)'!$D$67:$AL$67,MATCH(AH$7,'Inputs (2)'!$D$2:$AL$2,0)),"")</f>
        <v>10.57</v>
      </c>
      <c r="AI39" s="16">
        <f>IFERROR(INDEX('Inputs (2)'!$D$67:$AL$67,MATCH(AI$7,'Inputs (2)'!$D$2:$AL$2,0)),"")</f>
        <v>13.047</v>
      </c>
    </row>
    <row r="40">
      <c r="C40" s="14" t="inlineStr">
        <is>
          <t xml:space="preserve">   TME</t>
        </is>
      </c>
      <c r="D40" s="15">
        <f>IFERROR(INDEX('Inputs (2)'!$D$68:$AL$68,MATCH(D$7,'Inputs (2)'!$D$2:$AL$2,0)),"")</f>
        <v>17.694</v>
      </c>
      <c r="E40" s="15">
        <f>IFERROR(INDEX('Inputs (2)'!$D$68:$AL$68,MATCH(E$7,'Inputs (2)'!$D$2:$AL$2,0)),"")</f>
        <v>6.26</v>
      </c>
      <c r="F40" s="15">
        <f>IFERROR(INDEX('Inputs (2)'!$D$68:$AL$68,MATCH(F$7,'Inputs (2)'!$D$2:$AL$2,0)),"")</f>
        <v>14.536</v>
      </c>
      <c r="G40" s="15">
        <f>IFERROR(INDEX('Inputs (2)'!$D$68:$AL$68,MATCH(G$7,'Inputs (2)'!$D$2:$AL$2,0)),"")</f>
        <v>19.742</v>
      </c>
      <c r="H40" s="16">
        <f>IF(COUNT(D40:G40)=4,SUM(D40:G40),"")</f>
        <v>58.232</v>
      </c>
      <c r="I40" s="15">
        <f>IFERROR(INDEX('Inputs (2)'!$D$68:$AL$68,MATCH(I$7,'Inputs (2)'!$D$2:$AL$2,0)),"")</f>
        <v>21.826</v>
      </c>
      <c r="J40" s="15">
        <f>IFERROR(INDEX('Inputs (2)'!$D$68:$AL$68,MATCH(J$7,'Inputs (2)'!$D$2:$AL$2,0)),"")</f>
        <v>21.496</v>
      </c>
      <c r="K40" s="15">
        <f>IFERROR(INDEX('Inputs (2)'!$D$68:$AL$68,MATCH(K$7,'Inputs (2)'!$D$2:$AL$2,0)),"")</f>
        <v>15.078</v>
      </c>
      <c r="L40" s="15">
        <f>IFERROR(INDEX('Inputs (2)'!$D$68:$AL$68,MATCH(L$7,'Inputs (2)'!$D$2:$AL$2,0)),"")</f>
        <v>26.395</v>
      </c>
      <c r="M40" s="16">
        <f>IF(COUNT(I40:L40)=4,SUM(I40:L40),"")</f>
        <v>84.795</v>
      </c>
      <c r="N40" s="15">
        <f>IFERROR(INDEX('Inputs (2)'!$D$68:$AL$68,MATCH(N$7,'Inputs (2)'!$D$2:$AL$2,0)),"")</f>
        <v>22.25</v>
      </c>
      <c r="O40" s="15">
        <f>IFERROR(INDEX('Inputs (2)'!$D$68:$AL$68,MATCH(O$7,'Inputs (2)'!$D$2:$AL$2,0)),"")</f>
        <v>27.242</v>
      </c>
      <c r="P40" s="15">
        <f>IFERROR(INDEX('Inputs (2)'!$D$68:$AL$68,MATCH(P$7,'Inputs (2)'!$D$2:$AL$2,0)),"")</f>
        <v>10.115</v>
      </c>
      <c r="Q40" s="15">
        <f>IFERROR(INDEX('Inputs (2)'!$D$68:$AL$68,MATCH(Q$7,'Inputs (2)'!$D$2:$AL$2,0)),"")</f>
        <v>15.251</v>
      </c>
      <c r="R40" s="16">
        <f>IF(COUNT(N40:Q40)=4,SUM(N40:Q40),"")</f>
        <v>74.858</v>
      </c>
      <c r="S40" s="15">
        <f>IFERROR(INDEX('Inputs (2)'!$D$68:$AL$68,MATCH(S$7,'Inputs (2)'!$D$2:$AL$2,0)),"")</f>
        <v>21.712</v>
      </c>
      <c r="T40" s="15">
        <f>IFERROR(INDEX('Inputs (2)'!$D$68:$AL$68,MATCH(T$7,'Inputs (2)'!$D$2:$AL$2,0)),"")</f>
        <v>19.897</v>
      </c>
      <c r="U40" s="15">
        <f>IFERROR(INDEX('Inputs (2)'!$D$68:$AL$68,MATCH(U$7,'Inputs (2)'!$D$2:$AL$2,0)),"")</f>
        <v>13.567</v>
      </c>
      <c r="V40" s="15">
        <f>IFERROR(INDEX('Inputs (2)'!$D$68:$AL$68,MATCH(V$7,'Inputs (2)'!$D$2:$AL$2,0)),"")</f>
        <v>15.87</v>
      </c>
      <c r="W40" s="16">
        <f>IF(COUNT(S40:V40)=4,SUM(S40:V40),"")</f>
        <v>71.046</v>
      </c>
      <c r="X40" s="15">
        <f>IFERROR(INDEX('Inputs (2)'!$D$68:$AL$68,MATCH(X$7,'Inputs (2)'!$D$2:$AL$2,0)),"")</f>
        <v>21.147</v>
      </c>
      <c r="Y40" s="15">
        <f>IFERROR(INDEX('Inputs (2)'!$D$68:$AL$68,MATCH(Y$7,'Inputs (2)'!$D$2:$AL$2,0)),"")</f>
        <v>17.322</v>
      </c>
      <c r="Z40" s="15">
        <f>IFERROR(INDEX('Inputs (2)'!$D$68:$AL$68,MATCH(Z$7,'Inputs (2)'!$D$2:$AL$2,0)),"")</f>
        <v>15.02</v>
      </c>
      <c r="AA40" s="15">
        <f>IFERROR(INDEX('Inputs (2)'!$D$68:$AL$68,MATCH(AA$7,'Inputs (2)'!$D$2:$AL$2,0)),"")</f>
        <v>19.115</v>
      </c>
      <c r="AB40" s="16">
        <f>IF(COUNT(X40:AA40)=4,SUM(X40:AA40),"")</f>
        <v>72.604</v>
      </c>
      <c r="AC40" s="15">
        <f>IFERROR(INDEX('Inputs (2)'!$D$68:$AL$68,MATCH(AC$7,'Inputs (2)'!$D$2:$AL$2,0)),"")</f>
        <v>22.414</v>
      </c>
      <c r="AD40" s="15">
        <f>IFERROR(INDEX('Inputs (2)'!$D$68:$AL$68,MATCH(AD$7,'Inputs (2)'!$D$2:$AL$2,0)),"")</f>
        <v>18.934</v>
      </c>
      <c r="AE40" s="15">
        <f>IFERROR(INDEX('Inputs (2)'!$D$68:$AL$68,MATCH(AE$7,'Inputs (2)'!$D$2:$AL$2,0)),"")</f>
        <v>14.236</v>
      </c>
      <c r="AF40" s="15">
        <f>IFERROR(INDEX('Inputs (2)'!$D$68:$AL$68,MATCH(AF$7,'Inputs (2)'!$D$2:$AL$2,0)),"")</f>
        <v>15.908</v>
      </c>
      <c r="AG40" s="16">
        <f>IF(COUNT(AC40:AF40)=4,SUM(AC40:AF40),"")</f>
        <v>71.492</v>
      </c>
      <c r="AH40" s="16">
        <f>IFERROR(INDEX('Inputs (2)'!$D$68:$AL$68,MATCH(AH$7,'Inputs (2)'!$D$2:$AL$2,0)),"")</f>
        <v>19.029</v>
      </c>
      <c r="AI40" s="16">
        <f>IFERROR(INDEX('Inputs (2)'!$D$68:$AL$68,MATCH(AI$7,'Inputs (2)'!$D$2:$AL$2,0)),"")</f>
        <v>22.668</v>
      </c>
    </row>
    <row r="41">
      <c r="C41" s="14" t="inlineStr">
        <is>
          <t xml:space="preserve">   TPE</t>
        </is>
      </c>
      <c r="D41" s="15">
        <f>IFERROR(INDEX('Inputs (2)'!$D$69:$AL$69,MATCH(D$7,'Inputs (2)'!$D$2:$AL$2,0)),"")</f>
        <v>244.342</v>
      </c>
      <c r="E41" s="15">
        <f>IFERROR(INDEX('Inputs (2)'!$D$69:$AL$69,MATCH(E$7,'Inputs (2)'!$D$2:$AL$2,0)),"")</f>
        <v>261.313</v>
      </c>
      <c r="F41" s="15">
        <f>IFERROR(INDEX('Inputs (2)'!$D$69:$AL$69,MATCH(F$7,'Inputs (2)'!$D$2:$AL$2,0)),"")</f>
        <v>155.388</v>
      </c>
      <c r="G41" s="15">
        <f>IFERROR(INDEX('Inputs (2)'!$D$69:$AL$69,MATCH(G$7,'Inputs (2)'!$D$2:$AL$2,0)),"")</f>
        <v>641.729</v>
      </c>
      <c r="H41" s="16">
        <f>IF(COUNT(D41:G41)=4,SUM(D41:G41),"")</f>
        <v>1302.772</v>
      </c>
      <c r="I41" s="15">
        <f>IFERROR(INDEX('Inputs (2)'!$D$69:$AL$69,MATCH(I$7,'Inputs (2)'!$D$2:$AL$2,0)),"")</f>
        <v>112.342</v>
      </c>
      <c r="J41" s="15">
        <f>IFERROR(INDEX('Inputs (2)'!$D$69:$AL$69,MATCH(J$7,'Inputs (2)'!$D$2:$AL$2,0)),"")</f>
        <v>137.284</v>
      </c>
      <c r="K41" s="15">
        <f>IFERROR(INDEX('Inputs (2)'!$D$69:$AL$69,MATCH(K$7,'Inputs (2)'!$D$2:$AL$2,0)),"")</f>
        <v>112.088</v>
      </c>
      <c r="L41" s="15">
        <f>IFERROR(INDEX('Inputs (2)'!$D$69:$AL$69,MATCH(L$7,'Inputs (2)'!$D$2:$AL$2,0)),"")</f>
        <v>139.417</v>
      </c>
      <c r="M41" s="16">
        <f>IF(COUNT(I41:L41)=4,SUM(I41:L41),"")</f>
        <v>501.131</v>
      </c>
      <c r="N41" s="15">
        <f>IFERROR(INDEX('Inputs (2)'!$D$69:$AL$69,MATCH(N$7,'Inputs (2)'!$D$2:$AL$2,0)),"")</f>
        <v>117.661</v>
      </c>
      <c r="O41" s="15">
        <f>IFERROR(INDEX('Inputs (2)'!$D$69:$AL$69,MATCH(O$7,'Inputs (2)'!$D$2:$AL$2,0)),"")</f>
        <v>140.164</v>
      </c>
      <c r="P41" s="15">
        <f>IFERROR(INDEX('Inputs (2)'!$D$69:$AL$69,MATCH(P$7,'Inputs (2)'!$D$2:$AL$2,0)),"")</f>
        <v>54.032</v>
      </c>
      <c r="Q41" s="15">
        <f>IFERROR(INDEX('Inputs (2)'!$D$69:$AL$69,MATCH(Q$7,'Inputs (2)'!$D$2:$AL$2,0)),"")</f>
        <v>80.276</v>
      </c>
      <c r="R41" s="16">
        <f>IF(COUNT(N41:Q41)=4,SUM(N41:Q41),"")</f>
        <v>392.133</v>
      </c>
      <c r="S41" s="15">
        <f>IFERROR(INDEX('Inputs (2)'!$D$69:$AL$69,MATCH(S$7,'Inputs (2)'!$D$2:$AL$2,0)),"")</f>
        <v>113.18</v>
      </c>
      <c r="T41" s="15">
        <f>IFERROR(INDEX('Inputs (2)'!$D$69:$AL$69,MATCH(T$7,'Inputs (2)'!$D$2:$AL$2,0)),"")</f>
        <v>104.836</v>
      </c>
      <c r="U41" s="15">
        <f>IFERROR(INDEX('Inputs (2)'!$D$69:$AL$69,MATCH(U$7,'Inputs (2)'!$D$2:$AL$2,0)),"")</f>
        <v>71.205</v>
      </c>
      <c r="V41" s="15">
        <f>IFERROR(INDEX('Inputs (2)'!$D$69:$AL$69,MATCH(V$7,'Inputs (2)'!$D$2:$AL$2,0)),"")</f>
        <v>84.746</v>
      </c>
      <c r="W41" s="16">
        <f>IF(COUNT(S41:V41)=4,SUM(S41:V41),"")</f>
        <v>373.967</v>
      </c>
      <c r="X41" s="15">
        <f>IFERROR(INDEX('Inputs (2)'!$D$69:$AL$69,MATCH(X$7,'Inputs (2)'!$D$2:$AL$2,0)),"")</f>
        <v>112.65</v>
      </c>
      <c r="Y41" s="15">
        <f>IFERROR(INDEX('Inputs (2)'!$D$69:$AL$69,MATCH(Y$7,'Inputs (2)'!$D$2:$AL$2,0)),"")</f>
        <v>92.954</v>
      </c>
      <c r="Z41" s="15">
        <f>IFERROR(INDEX('Inputs (2)'!$D$69:$AL$69,MATCH(Z$7,'Inputs (2)'!$D$2:$AL$2,0)),"")</f>
        <v>81.169</v>
      </c>
      <c r="AA41" s="15">
        <f>IFERROR(INDEX('Inputs (2)'!$D$69:$AL$69,MATCH(AA$7,'Inputs (2)'!$D$2:$AL$2,0)),"")</f>
        <v>103.139</v>
      </c>
      <c r="AB41" s="16">
        <f>IF(COUNT(X41:AA41)=4,SUM(X41:AA41),"")</f>
        <v>389.912</v>
      </c>
      <c r="AC41" s="15">
        <f>IFERROR(INDEX('Inputs (2)'!$D$69:$AL$69,MATCH(AC$7,'Inputs (2)'!$D$2:$AL$2,0)),"")</f>
        <v>120.293</v>
      </c>
      <c r="AD41" s="15">
        <f>IFERROR(INDEX('Inputs (2)'!$D$69:$AL$69,MATCH(AD$7,'Inputs (2)'!$D$2:$AL$2,0)),"")</f>
        <v>102.759</v>
      </c>
      <c r="AE41" s="15">
        <f>IFERROR(INDEX('Inputs (2)'!$D$69:$AL$69,MATCH(AE$7,'Inputs (2)'!$D$2:$AL$2,0)),"")</f>
        <v>79.546</v>
      </c>
      <c r="AF41" s="15">
        <f>IFERROR(INDEX('Inputs (2)'!$D$69:$AL$69,MATCH(AF$7,'Inputs (2)'!$D$2:$AL$2,0)),"")</f>
        <v>90.018</v>
      </c>
      <c r="AG41" s="16">
        <f>IF(COUNT(AC41:AF41)=4,SUM(AC41:AF41),"")</f>
        <v>392.616</v>
      </c>
      <c r="AH41" s="16">
        <f>IFERROR(INDEX('Inputs (2)'!$D$69:$AL$69,MATCH(AH$7,'Inputs (2)'!$D$2:$AL$2,0)),"")</f>
        <v>107.153</v>
      </c>
      <c r="AI41" s="16">
        <f>IFERROR(INDEX('Inputs (2)'!$D$69:$AL$69,MATCH(AI$7,'Inputs (2)'!$D$2:$AL$2,0)),"")</f>
        <v>130.903</v>
      </c>
    </row>
    <row r="42">
      <c r="C42" s="14" t="inlineStr">
        <is>
          <t xml:space="preserve">   ETEM</t>
        </is>
      </c>
      <c r="D42" s="15">
        <f>IFERROR(INDEX('Inputs (2)'!$D$70:$AL$70,MATCH(D$7,'Inputs (2)'!$D$2:$AL$2,0)),"")</f>
        <v>4.437</v>
      </c>
      <c r="E42" s="15">
        <f>IFERROR(INDEX('Inputs (2)'!$D$70:$AL$70,MATCH(E$7,'Inputs (2)'!$D$2:$AL$2,0)),"")</f>
        <v>1.918</v>
      </c>
      <c r="F42" s="15">
        <f>IFERROR(INDEX('Inputs (2)'!$D$70:$AL$70,MATCH(F$7,'Inputs (2)'!$D$2:$AL$2,0)),"")</f>
        <v>3.572</v>
      </c>
      <c r="G42" s="15">
        <f>IFERROR(INDEX('Inputs (2)'!$D$70:$AL$70,MATCH(G$7,'Inputs (2)'!$D$2:$AL$2,0)),"")</f>
        <v>4.895</v>
      </c>
      <c r="H42" s="16">
        <f>IF(COUNT(D42:G42)=4,SUM(D42:G42),"")</f>
        <v>14.822</v>
      </c>
      <c r="I42" s="15">
        <f>IFERROR(INDEX('Inputs (2)'!$D$70:$AL$70,MATCH(I$7,'Inputs (2)'!$D$2:$AL$2,0)),"")</f>
        <v>5.496</v>
      </c>
      <c r="J42" s="15">
        <f>IFERROR(INDEX('Inputs (2)'!$D$70:$AL$70,MATCH(J$7,'Inputs (2)'!$D$2:$AL$2,0)),"")</f>
        <v>6.175</v>
      </c>
      <c r="K42" s="15">
        <f>IFERROR(INDEX('Inputs (2)'!$D$70:$AL$70,MATCH(K$7,'Inputs (2)'!$D$2:$AL$2,0)),"")</f>
        <v>6.029</v>
      </c>
      <c r="L42" s="15">
        <f>IFERROR(INDEX('Inputs (2)'!$D$70:$AL$70,MATCH(L$7,'Inputs (2)'!$D$2:$AL$2,0)),"")</f>
        <v>6.203</v>
      </c>
      <c r="M42" s="16">
        <f>IF(COUNT(I42:L42)=4,SUM(I42:L42),"")</f>
        <v>23.903</v>
      </c>
      <c r="N42" s="15">
        <f>IFERROR(INDEX('Inputs (2)'!$D$70:$AL$70,MATCH(N$7,'Inputs (2)'!$D$2:$AL$2,0)),"")</f>
        <v>6.269</v>
      </c>
      <c r="O42" s="15">
        <f>IFERROR(INDEX('Inputs (2)'!$D$70:$AL$70,MATCH(O$7,'Inputs (2)'!$D$2:$AL$2,0)),"")</f>
        <v>7.684</v>
      </c>
      <c r="P42" s="15">
        <f>IFERROR(INDEX('Inputs (2)'!$D$70:$AL$70,MATCH(P$7,'Inputs (2)'!$D$2:$AL$2,0)),"")</f>
        <v>2.836</v>
      </c>
      <c r="Q42" s="15">
        <f>IFERROR(INDEX('Inputs (2)'!$D$70:$AL$70,MATCH(Q$7,'Inputs (2)'!$D$2:$AL$2,0)),"")</f>
        <v>4.282</v>
      </c>
      <c r="R42" s="16">
        <f>IF(COUNT(N42:Q42)=4,SUM(N42:Q42),"")</f>
        <v>21.071</v>
      </c>
      <c r="S42" s="15">
        <f>IFERROR(INDEX('Inputs (2)'!$D$70:$AL$70,MATCH(S$7,'Inputs (2)'!$D$2:$AL$2,0)),"")</f>
        <v>6.113</v>
      </c>
      <c r="T42" s="15">
        <f>IFERROR(INDEX('Inputs (2)'!$D$70:$AL$70,MATCH(T$7,'Inputs (2)'!$D$2:$AL$2,0)),"")</f>
        <v>5.599</v>
      </c>
      <c r="U42" s="15">
        <f>IFERROR(INDEX('Inputs (2)'!$D$70:$AL$70,MATCH(U$7,'Inputs (2)'!$D$2:$AL$2,0)),"")</f>
        <v>3.804</v>
      </c>
      <c r="V42" s="15">
        <f>IFERROR(INDEX('Inputs (2)'!$D$70:$AL$70,MATCH(V$7,'Inputs (2)'!$D$2:$AL$2,0)),"")</f>
        <v>4.467</v>
      </c>
      <c r="W42" s="16">
        <f>IF(COUNT(S42:V42)=4,SUM(S42:V42),"")</f>
        <v>19.983</v>
      </c>
      <c r="X42" s="15">
        <f>IFERROR(INDEX('Inputs (2)'!$D$70:$AL$70,MATCH(X$7,'Inputs (2)'!$D$2:$AL$2,0)),"")</f>
        <v>5.959</v>
      </c>
      <c r="Y42" s="15">
        <f>IFERROR(INDEX('Inputs (2)'!$D$70:$AL$70,MATCH(Y$7,'Inputs (2)'!$D$2:$AL$2,0)),"")</f>
        <v>4.746</v>
      </c>
      <c r="Z42" s="15">
        <f>IFERROR(INDEX('Inputs (2)'!$D$70:$AL$70,MATCH(Z$7,'Inputs (2)'!$D$2:$AL$2,0)),"")</f>
        <v>4.228</v>
      </c>
      <c r="AA42" s="15">
        <f>IFERROR(INDEX('Inputs (2)'!$D$70:$AL$70,MATCH(AA$7,'Inputs (2)'!$D$2:$AL$2,0)),"")</f>
        <v>5.344</v>
      </c>
      <c r="AB42" s="16">
        <f>IF(COUNT(X42:AA42)=4,SUM(X42:AA42),"")</f>
        <v>20.277</v>
      </c>
      <c r="AC42" s="15">
        <f>IFERROR(INDEX('Inputs (2)'!$D$70:$AL$70,MATCH(AC$7,'Inputs (2)'!$D$2:$AL$2,0)),"")</f>
        <v>6.593</v>
      </c>
      <c r="AD42" s="15">
        <f>IFERROR(INDEX('Inputs (2)'!$D$70:$AL$70,MATCH(AD$7,'Inputs (2)'!$D$2:$AL$2,0)),"")</f>
        <v>5.347</v>
      </c>
      <c r="AE42" s="15">
        <f>IFERROR(INDEX('Inputs (2)'!$D$70:$AL$70,MATCH(AE$7,'Inputs (2)'!$D$2:$AL$2,0)),"")</f>
        <v>4.082</v>
      </c>
      <c r="AF42" s="15">
        <f>IFERROR(INDEX('Inputs (2)'!$D$70:$AL$70,MATCH(AF$7,'Inputs (2)'!$D$2:$AL$2,0)),"")</f>
        <v>4.583</v>
      </c>
      <c r="AG42" s="16">
        <f>IF(COUNT(AC42:AF42)=4,SUM(AC42:AF42),"")</f>
        <v>20.605</v>
      </c>
      <c r="AH42" s="16">
        <f>IFERROR(INDEX('Inputs (2)'!$D$70:$AL$70,MATCH(AH$7,'Inputs (2)'!$D$2:$AL$2,0)),"")</f>
        <v>5.446</v>
      </c>
      <c r="AI42" s="16">
        <f>IFERROR(INDEX('Inputs (2)'!$D$70:$AL$70,MATCH(AI$7,'Inputs (2)'!$D$2:$AL$2,0)),"")</f>
        <v>6.696</v>
      </c>
    </row>
    <row r="43">
      <c r="C43" s="14" t="inlineStr">
        <is>
          <t xml:space="preserve">   TNE (controle compartilhado)</t>
        </is>
      </c>
      <c r="D43" s="15">
        <f>IFERROR(INDEX('Inputs (2)'!$D$71:$AL$71,MATCH(D$7,'Inputs (2)'!$D$2:$AL$2,0)),"")</f>
        <v>193.717</v>
      </c>
      <c r="E43" s="15">
        <f>IFERROR(INDEX('Inputs (2)'!$D$71:$AL$71,MATCH(E$7,'Inputs (2)'!$D$2:$AL$2,0)),"")</f>
        <v>5.088</v>
      </c>
      <c r="F43" s="15">
        <f>IFERROR(INDEX('Inputs (2)'!$D$71:$AL$71,MATCH(F$7,'Inputs (2)'!$D$2:$AL$2,0)),"")</f>
        <v>1.992</v>
      </c>
      <c r="G43" s="15">
        <f>IFERROR(INDEX('Inputs (2)'!$D$71:$AL$71,MATCH(G$7,'Inputs (2)'!$D$2:$AL$2,0)),"")</f>
        <v>-25.724</v>
      </c>
      <c r="H43" s="16">
        <f>IF(COUNT(D43:G43)=4,SUM(D43:G43),"")</f>
        <v>175.073</v>
      </c>
      <c r="I43" s="15">
        <f>IFERROR(INDEX('Inputs (2)'!$D$71:$AL$71,MATCH(I$7,'Inputs (2)'!$D$2:$AL$2,0)),"")</f>
        <v>5.44</v>
      </c>
      <c r="J43" s="15">
        <f>IFERROR(INDEX('Inputs (2)'!$D$71:$AL$71,MATCH(J$7,'Inputs (2)'!$D$2:$AL$2,0)),"")</f>
        <v>6.195</v>
      </c>
      <c r="K43" s="15">
        <f>IFERROR(INDEX('Inputs (2)'!$D$71:$AL$71,MATCH(K$7,'Inputs (2)'!$D$2:$AL$2,0)),"")</f>
        <v>5.376</v>
      </c>
      <c r="L43" s="15">
        <f>IFERROR(INDEX('Inputs (2)'!$D$71:$AL$71,MATCH(L$7,'Inputs (2)'!$D$2:$AL$2,0)),"")</f>
        <v>5.206</v>
      </c>
      <c r="M43" s="16">
        <f>IF(COUNT(I43:L43)=4,SUM(I43:L43),"")</f>
        <v>22.217</v>
      </c>
      <c r="N43" s="15">
        <f>IFERROR(INDEX('Inputs (2)'!$D$71:$AL$71,MATCH(N$7,'Inputs (2)'!$D$2:$AL$2,0)),"")</f>
        <v>3.634</v>
      </c>
      <c r="O43" s="15">
        <f>IFERROR(INDEX('Inputs (2)'!$D$71:$AL$71,MATCH(O$7,'Inputs (2)'!$D$2:$AL$2,0)),"")</f>
        <v>6.398</v>
      </c>
      <c r="P43" s="15">
        <f>IFERROR(INDEX('Inputs (2)'!$D$71:$AL$71,MATCH(P$7,'Inputs (2)'!$D$2:$AL$2,0)),"")</f>
        <v>14.105</v>
      </c>
      <c r="Q43" s="15">
        <f>IFERROR(INDEX('Inputs (2)'!$D$71:$AL$71,MATCH(Q$7,'Inputs (2)'!$D$2:$AL$2,0)),"")</f>
        <v>33.618</v>
      </c>
      <c r="R43" s="16">
        <f>IF(COUNT(N43:Q43)=4,SUM(N43:Q43),"")</f>
        <v>57.755</v>
      </c>
      <c r="S43" s="15">
        <f>IFERROR(INDEX('Inputs (2)'!$D$71:$AL$71,MATCH(S$7,'Inputs (2)'!$D$2:$AL$2,0)),"")</f>
        <v>15.185</v>
      </c>
      <c r="T43" s="15">
        <f>IFERROR(INDEX('Inputs (2)'!$D$71:$AL$71,MATCH(T$7,'Inputs (2)'!$D$2:$AL$2,0)),"")</f>
        <v>23.083</v>
      </c>
      <c r="U43" s="15">
        <f>IFERROR(INDEX('Inputs (2)'!$D$71:$AL$71,MATCH(U$7,'Inputs (2)'!$D$2:$AL$2,0)),"")</f>
        <v>66.286</v>
      </c>
      <c r="V43" s="15">
        <f>IFERROR(INDEX('Inputs (2)'!$D$71:$AL$71,MATCH(V$7,'Inputs (2)'!$D$2:$AL$2,0)),"")</f>
        <v>242.892</v>
      </c>
      <c r="W43" s="16">
        <f>IF(COUNT(S43:V43)=4,SUM(S43:V43),"")</f>
        <v>347.446</v>
      </c>
      <c r="X43" s="15">
        <f>IFERROR(INDEX('Inputs (2)'!$D$71:$AL$71,MATCH(X$7,'Inputs (2)'!$D$2:$AL$2,0)),"")</f>
        <v>288.075</v>
      </c>
      <c r="Y43" s="15">
        <f>IFERROR(INDEX('Inputs (2)'!$D$71:$AL$71,MATCH(Y$7,'Inputs (2)'!$D$2:$AL$2,0)),"")</f>
        <v>562.531</v>
      </c>
      <c r="Z43" s="15">
        <f>IFERROR(INDEX('Inputs (2)'!$D$71:$AL$71,MATCH(Z$7,'Inputs (2)'!$D$2:$AL$2,0)),"")</f>
        <v>749.807</v>
      </c>
      <c r="AA43" s="15">
        <f>IFERROR(INDEX('Inputs (2)'!$D$71:$AL$71,MATCH(AA$7,'Inputs (2)'!$D$2:$AL$2,0)),"")</f>
        <v>717.261</v>
      </c>
      <c r="AB43" s="16">
        <f>IF(COUNT(X43:AA43)=4,SUM(X43:AA43),"")</f>
        <v>2317.674</v>
      </c>
      <c r="AC43" s="15">
        <f>IFERROR(INDEX('Inputs (2)'!$D$71:$AL$71,MATCH(AC$7,'Inputs (2)'!$D$2:$AL$2,0)),"")</f>
        <v>623.738</v>
      </c>
      <c r="AD43" s="15">
        <f>IFERROR(INDEX('Inputs (2)'!$D$71:$AL$71,MATCH(AD$7,'Inputs (2)'!$D$2:$AL$2,0)),"")</f>
        <v>172.372</v>
      </c>
      <c r="AE43" s="15">
        <f>IFERROR(INDEX('Inputs (2)'!$D$71:$AL$71,MATCH(AE$7,'Inputs (2)'!$D$2:$AL$2,0)),"")</f>
        <v>2279.208</v>
      </c>
      <c r="AF43" s="15">
        <f>IFERROR(INDEX('Inputs (2)'!$D$71:$AL$71,MATCH(AF$7,'Inputs (2)'!$D$2:$AL$2,0)),"")</f>
        <v>133.091</v>
      </c>
      <c r="AG43" s="16">
        <f>IF(COUNT(AC43:AF43)=4,SUM(AC43:AF43),"")</f>
        <v>3208.409</v>
      </c>
      <c r="AH43" s="16">
        <f>IFERROR(INDEX('Inputs (2)'!$D$71:$AL$71,MATCH(AH$7,'Inputs (2)'!$D$2:$AL$2,0)),"")</f>
        <v>168.521</v>
      </c>
      <c r="AI43" s="16">
        <f>IFERROR(INDEX('Inputs (2)'!$D$71:$AL$71,MATCH(AI$7,'Inputs (2)'!$D$2:$AL$2,0)),"")</f>
        <v>215.897</v>
      </c>
    </row>
    <row r="44">
      <c r="C44" s="14" t="inlineStr">
        <is>
          <t xml:space="preserve">   ETES</t>
        </is>
      </c>
      <c r="D44" s="15">
        <f>IFERROR(INDEX('Inputs (2)'!$D$72:$AL$72,MATCH(D$7,'Inputs (2)'!$D$2:$AL$2,0)),"")</f>
        <v>7.316</v>
      </c>
      <c r="E44" s="15">
        <f>IFERROR(INDEX('Inputs (2)'!$D$72:$AL$72,MATCH(E$7,'Inputs (2)'!$D$2:$AL$2,0)),"")</f>
        <v>3.562</v>
      </c>
      <c r="F44" s="15">
        <f>IFERROR(INDEX('Inputs (2)'!$D$72:$AL$72,MATCH(F$7,'Inputs (2)'!$D$2:$AL$2,0)),"")</f>
        <v>23.34</v>
      </c>
      <c r="G44" s="15">
        <f>IFERROR(INDEX('Inputs (2)'!$D$72:$AL$72,MATCH(G$7,'Inputs (2)'!$D$2:$AL$2,0)),"")</f>
        <v>5.158</v>
      </c>
      <c r="H44" s="16">
        <f>IF(COUNT(D44:G44)=4,SUM(D44:G44),"")</f>
        <v>39.376</v>
      </c>
      <c r="I44" s="15">
        <f>IFERROR(INDEX('Inputs (2)'!$D$72:$AL$72,MATCH(I$7,'Inputs (2)'!$D$2:$AL$2,0)),"")</f>
        <v>0.608</v>
      </c>
      <c r="J44" s="15">
        <f>IFERROR(INDEX('Inputs (2)'!$D$72:$AL$72,MATCH(J$7,'Inputs (2)'!$D$2:$AL$2,0)),"")</f>
        <v>6.208</v>
      </c>
      <c r="K44" s="15">
        <f>IFERROR(INDEX('Inputs (2)'!$D$72:$AL$72,MATCH(K$7,'Inputs (2)'!$D$2:$AL$2,0)),"")</f>
        <v>5.469</v>
      </c>
      <c r="L44" s="15">
        <f>IFERROR(INDEX('Inputs (2)'!$D$72:$AL$72,MATCH(L$7,'Inputs (2)'!$D$2:$AL$2,0)),"")</f>
        <v>6.627</v>
      </c>
      <c r="M44" s="16">
        <f>IF(COUNT(I44:L44)=4,SUM(I44:L44),"")</f>
        <v>18.912</v>
      </c>
      <c r="N44" s="15">
        <f>IFERROR(INDEX('Inputs (2)'!$D$72:$AL$72,MATCH(N$7,'Inputs (2)'!$D$2:$AL$2,0)),"")</f>
        <v>5.685</v>
      </c>
      <c r="O44" s="15">
        <f>IFERROR(INDEX('Inputs (2)'!$D$72:$AL$72,MATCH(O$7,'Inputs (2)'!$D$2:$AL$2,0)),"")</f>
        <v>6.785</v>
      </c>
      <c r="P44" s="15">
        <f>IFERROR(INDEX('Inputs (2)'!$D$72:$AL$72,MATCH(P$7,'Inputs (2)'!$D$2:$AL$2,0)),"")</f>
        <v>3.505</v>
      </c>
      <c r="Q44" s="15">
        <f>IFERROR(INDEX('Inputs (2)'!$D$72:$AL$72,MATCH(Q$7,'Inputs (2)'!$D$2:$AL$2,0)),"")</f>
        <v>4.304</v>
      </c>
      <c r="R44" s="16">
        <f>IF(COUNT(N44:Q44)=4,SUM(N44:Q44),"")</f>
        <v>20.279</v>
      </c>
      <c r="S44" s="15">
        <f>IFERROR(INDEX('Inputs (2)'!$D$72:$AL$72,MATCH(S$7,'Inputs (2)'!$D$2:$AL$2,0)),"")</f>
        <v>5.727</v>
      </c>
      <c r="T44" s="15">
        <f>IFERROR(INDEX('Inputs (2)'!$D$72:$AL$72,MATCH(T$7,'Inputs (2)'!$D$2:$AL$2,0)),"")</f>
        <v>5.305</v>
      </c>
      <c r="U44" s="15">
        <f>IFERROR(INDEX('Inputs (2)'!$D$72:$AL$72,MATCH(U$7,'Inputs (2)'!$D$2:$AL$2,0)),"")</f>
        <v>3.946</v>
      </c>
      <c r="V44" s="15">
        <f>IFERROR(INDEX('Inputs (2)'!$D$72:$AL$72,MATCH(V$7,'Inputs (2)'!$D$2:$AL$2,0)),"")</f>
        <v>4.32</v>
      </c>
      <c r="W44" s="16">
        <f>IF(COUNT(S44:V44)=4,SUM(S44:V44),"")</f>
        <v>19.298</v>
      </c>
      <c r="X44" s="15">
        <f>IFERROR(INDEX('Inputs (2)'!$D$72:$AL$72,MATCH(X$7,'Inputs (2)'!$D$2:$AL$2,0)),"")</f>
        <v>5.458</v>
      </c>
      <c r="Y44" s="15">
        <f>IFERROR(INDEX('Inputs (2)'!$D$72:$AL$72,MATCH(Y$7,'Inputs (2)'!$D$2:$AL$2,0)),"")</f>
        <v>4.687</v>
      </c>
      <c r="Z44" s="15">
        <f>IFERROR(INDEX('Inputs (2)'!$D$72:$AL$72,MATCH(Z$7,'Inputs (2)'!$D$2:$AL$2,0)),"")</f>
        <v>3.916</v>
      </c>
      <c r="AA44" s="15">
        <f>IFERROR(INDEX('Inputs (2)'!$D$72:$AL$72,MATCH(AA$7,'Inputs (2)'!$D$2:$AL$2,0)),"")</f>
        <v>5.028</v>
      </c>
      <c r="AB44" s="16">
        <f>IF(COUNT(X44:AA44)=4,SUM(X44:AA44),"")</f>
        <v>19.089</v>
      </c>
      <c r="AC44" s="15">
        <f>IFERROR(INDEX('Inputs (2)'!$D$72:$AL$72,MATCH(AC$7,'Inputs (2)'!$D$2:$AL$2,0)),"")</f>
        <v>5.747</v>
      </c>
      <c r="AD44" s="15">
        <f>IFERROR(INDEX('Inputs (2)'!$D$72:$AL$72,MATCH(AD$7,'Inputs (2)'!$D$2:$AL$2,0)),"")</f>
        <v>4.996</v>
      </c>
      <c r="AE44" s="15">
        <f>IFERROR(INDEX('Inputs (2)'!$D$72:$AL$72,MATCH(AE$7,'Inputs (2)'!$D$2:$AL$2,0)),"")</f>
        <v>4.014</v>
      </c>
      <c r="AF44" s="15">
        <f>IFERROR(INDEX('Inputs (2)'!$D$72:$AL$72,MATCH(AF$7,'Inputs (2)'!$D$2:$AL$2,0)),"")</f>
        <v>4.43</v>
      </c>
      <c r="AG44" s="16">
        <f>IF(COUNT(AC44:AF44)=4,SUM(AC44:AF44),"")</f>
        <v>19.187</v>
      </c>
      <c r="AH44" s="16">
        <f>IFERROR(INDEX('Inputs (2)'!$D$72:$AL$72,MATCH(AH$7,'Inputs (2)'!$D$2:$AL$2,0)),"")</f>
        <v>5.108</v>
      </c>
      <c r="AI44" s="16">
        <f>IFERROR(INDEX('Inputs (2)'!$D$72:$AL$72,MATCH(AI$7,'Inputs (2)'!$D$2:$AL$2,0)),"")</f>
        <v>6.034</v>
      </c>
    </row>
    <row r="45">
      <c r="C45" s="14" t="inlineStr">
        <is>
          <t xml:space="preserve">   STN</t>
        </is>
      </c>
      <c r="D45" s="15">
        <f>IFERROR(INDEX('Inputs (2)'!$D$73:$AL$73,MATCH(D$7,'Inputs (2)'!$D$2:$AL$2,0)),"")</f>
        <v>34.966</v>
      </c>
      <c r="E45" s="15">
        <f>IFERROR(INDEX('Inputs (2)'!$D$73:$AL$73,MATCH(E$7,'Inputs (2)'!$D$2:$AL$2,0)),"")</f>
        <v>33.171</v>
      </c>
      <c r="F45" s="15">
        <f>IFERROR(INDEX('Inputs (2)'!$D$73:$AL$73,MATCH(F$7,'Inputs (2)'!$D$2:$AL$2,0)),"")</f>
        <v>50.624</v>
      </c>
      <c r="G45" s="15">
        <f>IFERROR(INDEX('Inputs (2)'!$D$73:$AL$73,MATCH(G$7,'Inputs (2)'!$D$2:$AL$2,0)),"")</f>
        <v>70.26</v>
      </c>
      <c r="H45" s="16">
        <f>IF(COUNT(D45:G45)=4,SUM(D45:G45),"")</f>
        <v>189.021</v>
      </c>
      <c r="I45" s="15">
        <f>IFERROR(INDEX('Inputs (2)'!$D$73:$AL$73,MATCH(I$7,'Inputs (2)'!$D$2:$AL$2,0)),"")</f>
        <v>52.242</v>
      </c>
      <c r="J45" s="15">
        <f>IFERROR(INDEX('Inputs (2)'!$D$73:$AL$73,MATCH(J$7,'Inputs (2)'!$D$2:$AL$2,0)),"")</f>
        <v>64.313</v>
      </c>
      <c r="K45" s="15">
        <f>IFERROR(INDEX('Inputs (2)'!$D$73:$AL$73,MATCH(K$7,'Inputs (2)'!$D$2:$AL$2,0)),"")</f>
        <v>44.134</v>
      </c>
      <c r="L45" s="15">
        <f>IFERROR(INDEX('Inputs (2)'!$D$73:$AL$73,MATCH(L$7,'Inputs (2)'!$D$2:$AL$2,0)),"")</f>
        <v>-14.633</v>
      </c>
      <c r="M45" s="16">
        <f>IF(COUNT(I45:L45)=4,SUM(I45:L45),"")</f>
        <v>146.056</v>
      </c>
      <c r="N45" s="15">
        <f>IFERROR(INDEX('Inputs (2)'!$D$73:$AL$73,MATCH(N$7,'Inputs (2)'!$D$2:$AL$2,0)),"")</f>
        <v>51.216</v>
      </c>
      <c r="O45" s="15">
        <f>IFERROR(INDEX('Inputs (2)'!$D$73:$AL$73,MATCH(O$7,'Inputs (2)'!$D$2:$AL$2,0)),"")</f>
        <v>48.566</v>
      </c>
      <c r="P45" s="15">
        <f>IFERROR(INDEX('Inputs (2)'!$D$73:$AL$73,MATCH(P$7,'Inputs (2)'!$D$2:$AL$2,0)),"")</f>
        <v>38.625</v>
      </c>
      <c r="Q45" s="15">
        <f>IFERROR(INDEX('Inputs (2)'!$D$73:$AL$73,MATCH(Q$7,'Inputs (2)'!$D$2:$AL$2,0)),"")</f>
        <v>45.021</v>
      </c>
      <c r="R45" s="16">
        <f>IF(COUNT(N45:Q45)=4,SUM(N45:Q45),"")</f>
        <v>183.428</v>
      </c>
      <c r="S45" s="15">
        <f>IFERROR(INDEX('Inputs (2)'!$D$73:$AL$73,MATCH(S$7,'Inputs (2)'!$D$2:$AL$2,0)),"")</f>
        <v>31.126</v>
      </c>
      <c r="T45" s="15">
        <f>IFERROR(INDEX('Inputs (2)'!$D$73:$AL$73,MATCH(T$7,'Inputs (2)'!$D$2:$AL$2,0)),"")</f>
        <v>3.203</v>
      </c>
      <c r="U45" s="15">
        <f>IFERROR(INDEX('Inputs (2)'!$D$73:$AL$73,MATCH(U$7,'Inputs (2)'!$D$2:$AL$2,0)),"")</f>
        <v>25.143</v>
      </c>
      <c r="V45" s="15">
        <f>IFERROR(INDEX('Inputs (2)'!$D$73:$AL$73,MATCH(V$7,'Inputs (2)'!$D$2:$AL$2,0)),"")</f>
        <v>37.711</v>
      </c>
      <c r="W45" s="16">
        <f>IF(COUNT(S45:V45)=4,SUM(S45:V45),"")</f>
        <v>97.183</v>
      </c>
      <c r="X45" s="15">
        <f>IFERROR(INDEX('Inputs (2)'!$D$73:$AL$73,MATCH(X$7,'Inputs (2)'!$D$2:$AL$2,0)),"")</f>
        <v>31.247</v>
      </c>
      <c r="Y45" s="15">
        <f>IFERROR(INDEX('Inputs (2)'!$D$73:$AL$73,MATCH(Y$7,'Inputs (2)'!$D$2:$AL$2,0)),"")</f>
        <v>33.645</v>
      </c>
      <c r="Z45" s="15">
        <f>IFERROR(INDEX('Inputs (2)'!$D$73:$AL$73,MATCH(Z$7,'Inputs (2)'!$D$2:$AL$2,0)),"")</f>
        <v>36.961</v>
      </c>
      <c r="AA45" s="15">
        <f>IFERROR(INDEX('Inputs (2)'!$D$73:$AL$73,MATCH(AA$7,'Inputs (2)'!$D$2:$AL$2,0)),"")</f>
        <v>40.674</v>
      </c>
      <c r="AB45" s="16">
        <f>IF(COUNT(X45:AA45)=4,SUM(X45:AA45),"")</f>
        <v>142.527</v>
      </c>
      <c r="AC45" s="15">
        <f>IFERROR(INDEX('Inputs (2)'!$D$73:$AL$73,MATCH(AC$7,'Inputs (2)'!$D$2:$AL$2,0)),"")</f>
        <v>41.117</v>
      </c>
      <c r="AD45" s="15">
        <f>IFERROR(INDEX('Inputs (2)'!$D$73:$AL$73,MATCH(AD$7,'Inputs (2)'!$D$2:$AL$2,0)),"")</f>
        <v>26.135</v>
      </c>
      <c r="AE45" s="15">
        <f>IFERROR(INDEX('Inputs (2)'!$D$73:$AL$73,MATCH(AE$7,'Inputs (2)'!$D$2:$AL$2,0)),"")</f>
        <v>41.617</v>
      </c>
      <c r="AF45" s="15">
        <f>IFERROR(INDEX('Inputs (2)'!$D$73:$AL$73,MATCH(AF$7,'Inputs (2)'!$D$2:$AL$2,0)),"")</f>
        <v>30.621</v>
      </c>
      <c r="AG45" s="16">
        <f>IF(COUNT(AC45:AF45)=4,SUM(AC45:AF45),"")</f>
        <v>139.49</v>
      </c>
      <c r="AH45" s="16">
        <f>IFERROR(INDEX('Inputs (2)'!$D$73:$AL$73,MATCH(AH$7,'Inputs (2)'!$D$2:$AL$2,0)),"")</f>
        <v>29.273</v>
      </c>
      <c r="AI45" s="16">
        <f>IFERROR(INDEX('Inputs (2)'!$D$73:$AL$73,MATCH(AI$7,'Inputs (2)'!$D$2:$AL$2,0)),"")</f>
        <v>56.666</v>
      </c>
    </row>
    <row r="46">
      <c r="C46" s="14" t="inlineStr">
        <is>
          <t xml:space="preserve">   EDTE</t>
        </is>
      </c>
      <c r="D46" s="15">
        <f>IFERROR(INDEX('Inputs (2)'!$D$74:$AL$74,MATCH(D$7,'Inputs (2)'!$D$2:$AL$2,0)),"")</f>
        <v>98.849</v>
      </c>
      <c r="E46" s="15">
        <f>IFERROR(INDEX('Inputs (2)'!$D$74:$AL$74,MATCH(E$7,'Inputs (2)'!$D$2:$AL$2,0)),"")</f>
        <v>12.744</v>
      </c>
      <c r="F46" s="15">
        <f>IFERROR(INDEX('Inputs (2)'!$D$74:$AL$74,MATCH(F$7,'Inputs (2)'!$D$2:$AL$2,0)),"")</f>
        <v>20.903</v>
      </c>
      <c r="G46" s="15">
        <f>IFERROR(INDEX('Inputs (2)'!$D$74:$AL$74,MATCH(G$7,'Inputs (2)'!$D$2:$AL$2,0)),"")</f>
        <v>59.509</v>
      </c>
      <c r="H46" s="16">
        <f>IF(COUNT(D46:G46)=4,SUM(D46:G46),"")</f>
        <v>192.005</v>
      </c>
      <c r="I46" s="15">
        <f>IFERROR(INDEX('Inputs (2)'!$D$74:$AL$74,MATCH(I$7,'Inputs (2)'!$D$2:$AL$2,0)),"")</f>
        <v>31.42</v>
      </c>
      <c r="J46" s="15">
        <f>IFERROR(INDEX('Inputs (2)'!$D$74:$AL$74,MATCH(J$7,'Inputs (2)'!$D$2:$AL$2,0)),"")</f>
        <v>29.895</v>
      </c>
      <c r="K46" s="15">
        <f>IFERROR(INDEX('Inputs (2)'!$D$74:$AL$74,MATCH(K$7,'Inputs (2)'!$D$2:$AL$2,0)),"")</f>
        <v>31.519</v>
      </c>
      <c r="L46" s="15">
        <f>IFERROR(INDEX('Inputs (2)'!$D$74:$AL$74,MATCH(L$7,'Inputs (2)'!$D$2:$AL$2,0)),"")</f>
        <v>39.299</v>
      </c>
      <c r="M46" s="16">
        <f>IF(COUNT(I46:L46)=4,SUM(I46:L46),"")</f>
        <v>132.133</v>
      </c>
      <c r="N46" s="15">
        <f>IFERROR(INDEX('Inputs (2)'!$D$74:$AL$74,MATCH(N$7,'Inputs (2)'!$D$2:$AL$2,0)),"")</f>
        <v>33.219</v>
      </c>
      <c r="O46" s="15">
        <f>IFERROR(INDEX('Inputs (2)'!$D$74:$AL$74,MATCH(O$7,'Inputs (2)'!$D$2:$AL$2,0)),"")</f>
        <v>40.373</v>
      </c>
      <c r="P46" s="15">
        <f>IFERROR(INDEX('Inputs (2)'!$D$74:$AL$74,MATCH(P$7,'Inputs (2)'!$D$2:$AL$2,0)),"")</f>
        <v>16.304</v>
      </c>
      <c r="Q46" s="15">
        <f>IFERROR(INDEX('Inputs (2)'!$D$74:$AL$74,MATCH(Q$7,'Inputs (2)'!$D$2:$AL$2,0)),"")</f>
        <v>23.357</v>
      </c>
      <c r="R46" s="16">
        <f>IF(COUNT(N46:Q46)=4,SUM(N46:Q46),"")</f>
        <v>113.253</v>
      </c>
      <c r="S46" s="15">
        <f>IFERROR(INDEX('Inputs (2)'!$D$74:$AL$74,MATCH(S$7,'Inputs (2)'!$D$2:$AL$2,0)),"")</f>
        <v>32.372</v>
      </c>
      <c r="T46" s="15">
        <f>IFERROR(INDEX('Inputs (2)'!$D$74:$AL$74,MATCH(T$7,'Inputs (2)'!$D$2:$AL$2,0)),"")</f>
        <v>30.045</v>
      </c>
      <c r="U46" s="15">
        <f>IFERROR(INDEX('Inputs (2)'!$D$74:$AL$74,MATCH(U$7,'Inputs (2)'!$D$2:$AL$2,0)),"")</f>
        <v>21.1</v>
      </c>
      <c r="V46" s="15">
        <f>IFERROR(INDEX('Inputs (2)'!$D$74:$AL$74,MATCH(V$7,'Inputs (2)'!$D$2:$AL$2,0)),"")</f>
        <v>24.643</v>
      </c>
      <c r="W46" s="16">
        <f>IF(COUNT(S46:V46)=4,SUM(S46:V46),"")</f>
        <v>108.16</v>
      </c>
      <c r="X46" s="15">
        <f>IFERROR(INDEX('Inputs (2)'!$D$74:$AL$74,MATCH(X$7,'Inputs (2)'!$D$2:$AL$2,0)),"")</f>
        <v>31.622</v>
      </c>
      <c r="Y46" s="15">
        <f>IFERROR(INDEX('Inputs (2)'!$D$74:$AL$74,MATCH(Y$7,'Inputs (2)'!$D$2:$AL$2,0)),"")</f>
        <v>26.947</v>
      </c>
      <c r="Z46" s="15">
        <f>IFERROR(INDEX('Inputs (2)'!$D$74:$AL$74,MATCH(Z$7,'Inputs (2)'!$D$2:$AL$2,0)),"")</f>
        <v>23.746</v>
      </c>
      <c r="AA46" s="15">
        <f>IFERROR(INDEX('Inputs (2)'!$D$74:$AL$74,MATCH(AA$7,'Inputs (2)'!$D$2:$AL$2,0)),"")</f>
        <v>29.671</v>
      </c>
      <c r="AB46" s="16">
        <f>IF(COUNT(X46:AA46)=4,SUM(X46:AA46),"")</f>
        <v>111.986</v>
      </c>
      <c r="AC46" s="15">
        <f>IFERROR(INDEX('Inputs (2)'!$D$74:$AL$74,MATCH(AC$7,'Inputs (2)'!$D$2:$AL$2,0)),"")</f>
        <v>34.592</v>
      </c>
      <c r="AD46" s="15">
        <f>IFERROR(INDEX('Inputs (2)'!$D$74:$AL$74,MATCH(AD$7,'Inputs (2)'!$D$2:$AL$2,0)),"")</f>
        <v>29.827</v>
      </c>
      <c r="AE46" s="15">
        <f>IFERROR(INDEX('Inputs (2)'!$D$74:$AL$74,MATCH(AE$7,'Inputs (2)'!$D$2:$AL$2,0)),"")</f>
        <v>23.412</v>
      </c>
      <c r="AF46" s="15">
        <f>IFERROR(INDEX('Inputs (2)'!$D$74:$AL$74,MATCH(AF$7,'Inputs (2)'!$D$2:$AL$2,0)),"")</f>
        <v>26.109</v>
      </c>
      <c r="AG46" s="16">
        <f>IF(COUNT(AC46:AF46)=4,SUM(AC46:AF46),"")</f>
        <v>113.94</v>
      </c>
      <c r="AH46" s="16">
        <f>IFERROR(INDEX('Inputs (2)'!$D$74:$AL$74,MATCH(AH$7,'Inputs (2)'!$D$2:$AL$2,0)),"")</f>
        <v>30.917</v>
      </c>
      <c r="AI46" s="16">
        <f>IFERROR(INDEX('Inputs (2)'!$D$74:$AL$74,MATCH(AI$7,'Inputs (2)'!$D$2:$AL$2,0)),"")</f>
        <v>37.483</v>
      </c>
    </row>
    <row r="47">
      <c r="C47" s="14" t="inlineStr">
        <is>
          <t xml:space="preserve">   ETVG</t>
        </is>
      </c>
      <c r="D47" s="15">
        <f>IFERROR(INDEX('Inputs (2)'!$D$75:$AL$75,MATCH(D$7,'Inputs (2)'!$D$2:$AL$2,0)),"")</f>
        <v>3.803</v>
      </c>
      <c r="E47" s="15">
        <f>IFERROR(INDEX('Inputs (2)'!$D$75:$AL$75,MATCH(E$7,'Inputs (2)'!$D$2:$AL$2,0)),"")</f>
        <v>33.171</v>
      </c>
      <c r="F47" s="15">
        <f>IFERROR(INDEX('Inputs (2)'!$D$75:$AL$75,MATCH(F$7,'Inputs (2)'!$D$2:$AL$2,0)),"")</f>
        <v>3.067</v>
      </c>
      <c r="G47" s="15">
        <f>IFERROR(INDEX('Inputs (2)'!$D$75:$AL$75,MATCH(G$7,'Inputs (2)'!$D$2:$AL$2,0)),"")</f>
        <v>4.324</v>
      </c>
      <c r="H47" s="16">
        <f>IF(COUNT(D47:G47)=4,SUM(D47:G47),"")</f>
        <v>44.365</v>
      </c>
      <c r="I47" s="15">
        <f>IFERROR(INDEX('Inputs (2)'!$D$75:$AL$75,MATCH(I$7,'Inputs (2)'!$D$2:$AL$2,0)),"")</f>
        <v>4.836</v>
      </c>
      <c r="J47" s="15">
        <f>IFERROR(INDEX('Inputs (2)'!$D$75:$AL$75,MATCH(J$7,'Inputs (2)'!$D$2:$AL$2,0)),"")</f>
        <v>4.762</v>
      </c>
      <c r="K47" s="15">
        <f>IFERROR(INDEX('Inputs (2)'!$D$75:$AL$75,MATCH(K$7,'Inputs (2)'!$D$2:$AL$2,0)),"")</f>
        <v>20.215</v>
      </c>
      <c r="L47" s="15">
        <f>IFERROR(INDEX('Inputs (2)'!$D$75:$AL$75,MATCH(L$7,'Inputs (2)'!$D$2:$AL$2,0)),"")</f>
        <v>7.364</v>
      </c>
      <c r="M47" s="16">
        <f>IF(COUNT(I47:L47)=4,SUM(I47:L47),"")</f>
        <v>37.177</v>
      </c>
      <c r="N47" s="15">
        <f>IFERROR(INDEX('Inputs (2)'!$D$75:$AL$75,MATCH(N$7,'Inputs (2)'!$D$2:$AL$2,0)),"")</f>
        <v>7.061</v>
      </c>
      <c r="O47" s="15">
        <f>IFERROR(INDEX('Inputs (2)'!$D$75:$AL$75,MATCH(O$7,'Inputs (2)'!$D$2:$AL$2,0)),"")</f>
        <v>8.602</v>
      </c>
      <c r="P47" s="15">
        <f>IFERROR(INDEX('Inputs (2)'!$D$75:$AL$75,MATCH(P$7,'Inputs (2)'!$D$2:$AL$2,0)),"")</f>
        <v>2.4</v>
      </c>
      <c r="Q47" s="15">
        <f>IFERROR(INDEX('Inputs (2)'!$D$75:$AL$75,MATCH(Q$7,'Inputs (2)'!$D$2:$AL$2,0)),"")</f>
        <v>4.478</v>
      </c>
      <c r="R47" s="16">
        <f>IF(COUNT(N47:Q47)=4,SUM(N47:Q47),"")</f>
        <v>22.541</v>
      </c>
      <c r="S47" s="15">
        <f>IFERROR(INDEX('Inputs (2)'!$D$75:$AL$75,MATCH(S$7,'Inputs (2)'!$D$2:$AL$2,0)),"")</f>
        <v>6.604</v>
      </c>
      <c r="T47" s="15">
        <f>IFERROR(INDEX('Inputs (2)'!$D$75:$AL$75,MATCH(T$7,'Inputs (2)'!$D$2:$AL$2,0)),"")</f>
        <v>5.994</v>
      </c>
      <c r="U47" s="15">
        <f>IFERROR(INDEX('Inputs (2)'!$D$75:$AL$75,MATCH(U$7,'Inputs (2)'!$D$2:$AL$2,0)),"")</f>
        <v>3.694</v>
      </c>
      <c r="V47" s="15">
        <f>IFERROR(INDEX('Inputs (2)'!$D$75:$AL$75,MATCH(V$7,'Inputs (2)'!$D$2:$AL$2,0)),"")</f>
        <v>4.537</v>
      </c>
      <c r="W47" s="16">
        <f>IF(COUNT(S47:V47)=4,SUM(S47:V47),"")</f>
        <v>20.829</v>
      </c>
      <c r="X47" s="15">
        <f>IFERROR(INDEX('Inputs (2)'!$D$75:$AL$75,MATCH(X$7,'Inputs (2)'!$D$2:$AL$2,0)),"")</f>
        <v>6.31</v>
      </c>
      <c r="Y47" s="15">
        <f>IFERROR(INDEX('Inputs (2)'!$D$75:$AL$75,MATCH(Y$7,'Inputs (2)'!$D$2:$AL$2,0)),"")</f>
        <v>5.071</v>
      </c>
      <c r="Z47" s="15">
        <f>IFERROR(INDEX('Inputs (2)'!$D$75:$AL$75,MATCH(Z$7,'Inputs (2)'!$D$2:$AL$2,0)),"")</f>
        <v>-1.538</v>
      </c>
      <c r="AA47" s="15">
        <f>IFERROR(INDEX('Inputs (2)'!$D$75:$AL$75,MATCH(AA$7,'Inputs (2)'!$D$2:$AL$2,0)),"")</f>
        <v>5.211</v>
      </c>
      <c r="AB47" s="16">
        <f>IF(COUNT(X47:AA47)=4,SUM(X47:AA47),"")</f>
        <v>15.054</v>
      </c>
      <c r="AC47" s="15">
        <f>IFERROR(INDEX('Inputs (2)'!$D$75:$AL$75,MATCH(AC$7,'Inputs (2)'!$D$2:$AL$2,0)),"")</f>
        <v>9.771</v>
      </c>
      <c r="AD47" s="15">
        <f>IFERROR(INDEX('Inputs (2)'!$D$75:$AL$75,MATCH(AD$7,'Inputs (2)'!$D$2:$AL$2,0)),"")</f>
        <v>5.181</v>
      </c>
      <c r="AE47" s="15">
        <f>IFERROR(INDEX('Inputs (2)'!$D$75:$AL$75,MATCH(AE$7,'Inputs (2)'!$D$2:$AL$2,0)),"")</f>
        <v>4.09</v>
      </c>
      <c r="AF47" s="15">
        <f>IFERROR(INDEX('Inputs (2)'!$D$75:$AL$75,MATCH(AF$7,'Inputs (2)'!$D$2:$AL$2,0)),"")</f>
        <v>4.676</v>
      </c>
      <c r="AG47" s="16">
        <f>IF(COUNT(AC47:AF47)=4,SUM(AC47:AF47),"")</f>
        <v>23.718</v>
      </c>
      <c r="AH47" s="16">
        <f>IFERROR(INDEX('Inputs (2)'!$D$75:$AL$75,MATCH(AH$7,'Inputs (2)'!$D$2:$AL$2,0)),"")</f>
        <v>5.438</v>
      </c>
      <c r="AI47" s="16">
        <f>IFERROR(INDEX('Inputs (2)'!$D$75:$AL$75,MATCH(AI$7,'Inputs (2)'!$D$2:$AL$2,0)),"")</f>
        <v>7.03</v>
      </c>
    </row>
    <row r="48">
      <c r="C48" s="14" t="inlineStr">
        <is>
          <t xml:space="preserve">   ELTE</t>
        </is>
      </c>
      <c r="D48" s="15">
        <f>IFERROR(INDEX('Inputs (2)'!$D$76:$AL$76,MATCH(D$7,'Inputs (2)'!$D$2:$AL$2,0)),"")</f>
        <v>-0.091</v>
      </c>
      <c r="E48" s="15">
        <f>IFERROR(INDEX('Inputs (2)'!$D$76:$AL$76,MATCH(E$7,'Inputs (2)'!$D$2:$AL$2,0)),"")</f>
        <v>0.439</v>
      </c>
      <c r="F48" s="15">
        <f>IFERROR(INDEX('Inputs (2)'!$D$76:$AL$76,MATCH(F$7,'Inputs (2)'!$D$2:$AL$2,0)),"")</f>
        <v>1.211</v>
      </c>
      <c r="G48" s="15">
        <f>IFERROR(INDEX('Inputs (2)'!$D$76:$AL$76,MATCH(G$7,'Inputs (2)'!$D$2:$AL$2,0)),"")</f>
        <v>4.536</v>
      </c>
      <c r="H48" s="16">
        <f>IF(COUNT(D48:G48)=4,SUM(D48:G48),"")</f>
        <v>6.095</v>
      </c>
      <c r="I48" s="15">
        <f>IFERROR(INDEX('Inputs (2)'!$D$76:$AL$76,MATCH(I$7,'Inputs (2)'!$D$2:$AL$2,0)),"")</f>
        <v>0.201</v>
      </c>
      <c r="J48" s="15">
        <f>IFERROR(INDEX('Inputs (2)'!$D$76:$AL$76,MATCH(J$7,'Inputs (2)'!$D$2:$AL$2,0)),"")</f>
        <v>4.371</v>
      </c>
      <c r="K48" s="15">
        <f>IFERROR(INDEX('Inputs (2)'!$D$76:$AL$76,MATCH(K$7,'Inputs (2)'!$D$2:$AL$2,0)),"")</f>
        <v>-6.612</v>
      </c>
      <c r="L48" s="15">
        <f>IFERROR(INDEX('Inputs (2)'!$D$76:$AL$76,MATCH(L$7,'Inputs (2)'!$D$2:$AL$2,0)),"")</f>
        <v>5.02</v>
      </c>
      <c r="M48" s="16">
        <f>IF(COUNT(I48:L48)=4,SUM(I48:L48),"")</f>
        <v>2.98</v>
      </c>
      <c r="N48" s="15">
        <f>IFERROR(INDEX('Inputs (2)'!$D$76:$AL$76,MATCH(N$7,'Inputs (2)'!$D$2:$AL$2,0)),"")</f>
        <v>1.445</v>
      </c>
      <c r="O48" s="15">
        <f>IFERROR(INDEX('Inputs (2)'!$D$76:$AL$76,MATCH(O$7,'Inputs (2)'!$D$2:$AL$2,0)),"")</f>
        <v>43.586</v>
      </c>
      <c r="P48" s="15">
        <f>IFERROR(INDEX('Inputs (2)'!$D$76:$AL$76,MATCH(P$7,'Inputs (2)'!$D$2:$AL$2,0)),"")</f>
        <v>26.58</v>
      </c>
      <c r="Q48" s="15">
        <f>IFERROR(INDEX('Inputs (2)'!$D$76:$AL$76,MATCH(Q$7,'Inputs (2)'!$D$2:$AL$2,0)),"")</f>
        <v>52.728</v>
      </c>
      <c r="R48" s="16">
        <f>IF(COUNT(N48:Q48)=4,SUM(N48:Q48),"")</f>
        <v>124.339</v>
      </c>
      <c r="S48" s="15">
        <f>IFERROR(INDEX('Inputs (2)'!$D$76:$AL$76,MATCH(S$7,'Inputs (2)'!$D$2:$AL$2,0)),"")</f>
        <v>69.339</v>
      </c>
      <c r="T48" s="15">
        <f>IFERROR(INDEX('Inputs (2)'!$D$76:$AL$76,MATCH(T$7,'Inputs (2)'!$D$2:$AL$2,0)),"")</f>
        <v>43.353</v>
      </c>
      <c r="U48" s="15">
        <f>IFERROR(INDEX('Inputs (2)'!$D$76:$AL$76,MATCH(U$7,'Inputs (2)'!$D$2:$AL$2,0)),"")</f>
        <v>34.344</v>
      </c>
      <c r="V48" s="15">
        <f>IFERROR(INDEX('Inputs (2)'!$D$76:$AL$76,MATCH(V$7,'Inputs (2)'!$D$2:$AL$2,0)),"")</f>
        <v>51.113</v>
      </c>
      <c r="W48" s="16">
        <f>IF(COUNT(S48:V48)=4,SUM(S48:V48),"")</f>
        <v>198.149</v>
      </c>
      <c r="X48" s="15">
        <f>IFERROR(INDEX('Inputs (2)'!$D$76:$AL$76,MATCH(X$7,'Inputs (2)'!$D$2:$AL$2,0)),"")</f>
        <v>99.704</v>
      </c>
      <c r="Y48" s="15">
        <f>IFERROR(INDEX('Inputs (2)'!$D$76:$AL$76,MATCH(Y$7,'Inputs (2)'!$D$2:$AL$2,0)),"")</f>
        <v>131.108</v>
      </c>
      <c r="Z48" s="15">
        <f>IFERROR(INDEX('Inputs (2)'!$D$76:$AL$76,MATCH(Z$7,'Inputs (2)'!$D$2:$AL$2,0)),"")</f>
        <v>124.479</v>
      </c>
      <c r="AA48" s="15">
        <f>IFERROR(INDEX('Inputs (2)'!$D$76:$AL$76,MATCH(AA$7,'Inputs (2)'!$D$2:$AL$2,0)),"")</f>
        <v>40.369</v>
      </c>
      <c r="AB48" s="16">
        <f>IF(COUNT(X48:AA48)=4,SUM(X48:AA48),"")</f>
        <v>395.66</v>
      </c>
      <c r="AC48" s="15">
        <f>IFERROR(INDEX('Inputs (2)'!$D$76:$AL$76,MATCH(AC$7,'Inputs (2)'!$D$2:$AL$2,0)),"")</f>
        <v>85.557</v>
      </c>
      <c r="AD48" s="15">
        <f>IFERROR(INDEX('Inputs (2)'!$D$76:$AL$76,MATCH(AD$7,'Inputs (2)'!$D$2:$AL$2,0)),"")</f>
        <v>114.844</v>
      </c>
      <c r="AE48" s="15">
        <f>IFERROR(INDEX('Inputs (2)'!$D$76:$AL$76,MATCH(AE$7,'Inputs (2)'!$D$2:$AL$2,0)),"")</f>
        <v>19.725</v>
      </c>
      <c r="AF48" s="15">
        <f>IFERROR(INDEX('Inputs (2)'!$D$76:$AL$76,MATCH(AF$7,'Inputs (2)'!$D$2:$AL$2,0)),"")</f>
        <v>21.78</v>
      </c>
      <c r="AG48" s="16">
        <f>IF(COUNT(AC48:AF48)=4,SUM(AC48:AF48),"")</f>
        <v>241.906</v>
      </c>
      <c r="AH48" s="16">
        <f>IFERROR(INDEX('Inputs (2)'!$D$76:$AL$76,MATCH(AH$7,'Inputs (2)'!$D$2:$AL$2,0)),"")</f>
        <v>29.72</v>
      </c>
      <c r="AI48" s="16">
        <f>IFERROR(INDEX('Inputs (2)'!$D$76:$AL$76,MATCH(AI$7,'Inputs (2)'!$D$2:$AL$2,0)),"")</f>
        <v>33.323</v>
      </c>
    </row>
    <row r="49">
      <c r="C49" s="14" t="inlineStr">
        <is>
          <t xml:space="preserve">   ETAP</t>
        </is>
      </c>
      <c r="D49" s="15">
        <f>IFERROR(INDEX('Inputs (2)'!$D$77:$AL$77,MATCH(D$7,'Inputs (2)'!$D$2:$AL$2,0)),"")</f>
        <v>20.433</v>
      </c>
      <c r="E49" s="15">
        <f>IFERROR(INDEX('Inputs (2)'!$D$77:$AL$77,MATCH(E$7,'Inputs (2)'!$D$2:$AL$2,0)),"")</f>
        <v>10.224</v>
      </c>
      <c r="F49" s="15">
        <f>IFERROR(INDEX('Inputs (2)'!$D$77:$AL$77,MATCH(F$7,'Inputs (2)'!$D$2:$AL$2,0)),"")</f>
        <v>16.747</v>
      </c>
      <c r="G49" s="15">
        <f>IFERROR(INDEX('Inputs (2)'!$D$77:$AL$77,MATCH(G$7,'Inputs (2)'!$D$2:$AL$2,0)),"")</f>
        <v>31.592</v>
      </c>
      <c r="H49" s="16">
        <f>IF(COUNT(D49:G49)=4,SUM(D49:G49),"")</f>
        <v>78.996</v>
      </c>
      <c r="I49" s="15">
        <f>IFERROR(INDEX('Inputs (2)'!$D$77:$AL$77,MATCH(I$7,'Inputs (2)'!$D$2:$AL$2,0)),"")</f>
        <v>25.157</v>
      </c>
      <c r="J49" s="15">
        <f>IFERROR(INDEX('Inputs (2)'!$D$77:$AL$77,MATCH(J$7,'Inputs (2)'!$D$2:$AL$2,0)),"")</f>
        <v>23.853</v>
      </c>
      <c r="K49" s="15">
        <f>IFERROR(INDEX('Inputs (2)'!$D$77:$AL$77,MATCH(K$7,'Inputs (2)'!$D$2:$AL$2,0)),"")</f>
        <v>25.245</v>
      </c>
      <c r="L49" s="15">
        <f>IFERROR(INDEX('Inputs (2)'!$D$77:$AL$77,MATCH(L$7,'Inputs (2)'!$D$2:$AL$2,0)),"")</f>
        <v>30.539</v>
      </c>
      <c r="M49" s="16">
        <f>IF(COUNT(I49:L49)=4,SUM(I49:L49),"")</f>
        <v>104.794</v>
      </c>
      <c r="N49" s="15">
        <f>IFERROR(INDEX('Inputs (2)'!$D$77:$AL$77,MATCH(N$7,'Inputs (2)'!$D$2:$AL$2,0)),"")</f>
        <v>26.693</v>
      </c>
      <c r="O49" s="15">
        <f>IFERROR(INDEX('Inputs (2)'!$D$77:$AL$77,MATCH(O$7,'Inputs (2)'!$D$2:$AL$2,0)),"")</f>
        <v>32.379</v>
      </c>
      <c r="P49" s="15">
        <f>IFERROR(INDEX('Inputs (2)'!$D$77:$AL$77,MATCH(P$7,'Inputs (2)'!$D$2:$AL$2,0)),"")</f>
        <v>13.329</v>
      </c>
      <c r="Q49" s="15">
        <f>IFERROR(INDEX('Inputs (2)'!$D$77:$AL$77,MATCH(Q$7,'Inputs (2)'!$D$2:$AL$2,0)),"")</f>
        <v>18.901</v>
      </c>
      <c r="R49" s="16">
        <f>IF(COUNT(N49:Q49)=4,SUM(N49:Q49),"")</f>
        <v>91.302</v>
      </c>
      <c r="S49" s="15">
        <f>IFERROR(INDEX('Inputs (2)'!$D$77:$AL$77,MATCH(S$7,'Inputs (2)'!$D$2:$AL$2,0)),"")</f>
        <v>26.047</v>
      </c>
      <c r="T49" s="15">
        <f>IFERROR(INDEX('Inputs (2)'!$D$77:$AL$77,MATCH(T$7,'Inputs (2)'!$D$2:$AL$2,0)),"")</f>
        <v>24.218</v>
      </c>
      <c r="U49" s="15">
        <f>IFERROR(INDEX('Inputs (2)'!$D$77:$AL$77,MATCH(U$7,'Inputs (2)'!$D$2:$AL$2,0)),"")</f>
        <v>17.13</v>
      </c>
      <c r="V49" s="15">
        <f>IFERROR(INDEX('Inputs (2)'!$D$77:$AL$77,MATCH(V$7,'Inputs (2)'!$D$2:$AL$2,0)),"")</f>
        <v>19.922</v>
      </c>
      <c r="W49" s="16">
        <f>IF(COUNT(S49:V49)=4,SUM(S49:V49),"")</f>
        <v>87.317</v>
      </c>
      <c r="X49" s="15">
        <f>IFERROR(INDEX('Inputs (2)'!$D$77:$AL$77,MATCH(X$7,'Inputs (2)'!$D$2:$AL$2,0)),"")</f>
        <v>25.911</v>
      </c>
      <c r="Y49" s="15">
        <f>IFERROR(INDEX('Inputs (2)'!$D$77:$AL$77,MATCH(Y$7,'Inputs (2)'!$D$2:$AL$2,0)),"")</f>
        <v>21.778</v>
      </c>
      <c r="Z49" s="15">
        <f>IFERROR(INDEX('Inputs (2)'!$D$77:$AL$77,MATCH(Z$7,'Inputs (2)'!$D$2:$AL$2,0)),"")</f>
        <v>19.232</v>
      </c>
      <c r="AA49" s="15">
        <f>IFERROR(INDEX('Inputs (2)'!$D$77:$AL$77,MATCH(AA$7,'Inputs (2)'!$D$2:$AL$2,0)),"")</f>
        <v>23.929</v>
      </c>
      <c r="AB49" s="16">
        <f>IF(COUNT(X49:AA49)=4,SUM(X49:AA49),"")</f>
        <v>90.85</v>
      </c>
      <c r="AC49" s="15">
        <f>IFERROR(INDEX('Inputs (2)'!$D$77:$AL$77,MATCH(AC$7,'Inputs (2)'!$D$2:$AL$2,0)),"")</f>
        <v>27.775</v>
      </c>
      <c r="AD49" s="15">
        <f>IFERROR(INDEX('Inputs (2)'!$D$77:$AL$77,MATCH(AD$7,'Inputs (2)'!$D$2:$AL$2,0)),"")</f>
        <v>24.054</v>
      </c>
      <c r="AE49" s="15">
        <f>IFERROR(INDEX('Inputs (2)'!$D$77:$AL$77,MATCH(AE$7,'Inputs (2)'!$D$2:$AL$2,0)),"")</f>
        <v>18.985</v>
      </c>
      <c r="AF49" s="15">
        <f>IFERROR(INDEX('Inputs (2)'!$D$77:$AL$77,MATCH(AF$7,'Inputs (2)'!$D$2:$AL$2,0)),"")</f>
        <v>21.118</v>
      </c>
      <c r="AG49" s="16">
        <f>IF(COUNT(AC49:AF49)=4,SUM(AC49:AF49),"")</f>
        <v>91.932</v>
      </c>
      <c r="AH49" s="16">
        <f>IFERROR(INDEX('Inputs (2)'!$D$77:$AL$77,MATCH(AH$7,'Inputs (2)'!$D$2:$AL$2,0)),"")</f>
        <v>24.881</v>
      </c>
      <c r="AI49" s="16">
        <f>IFERROR(INDEX('Inputs (2)'!$D$77:$AL$77,MATCH(AI$7,'Inputs (2)'!$D$2:$AL$2,0)),"")</f>
        <v>30.147</v>
      </c>
    </row>
    <row r="50">
      <c r="C50" s="14" t="inlineStr">
        <is>
          <t xml:space="preserve">   ETC</t>
        </is>
      </c>
      <c r="D50" s="15">
        <f>IFERROR(INDEX('Inputs (2)'!$D$78:$AL$78,MATCH(D$7,'Inputs (2)'!$D$2:$AL$2,0)),"")</f>
        <v>9.421</v>
      </c>
      <c r="E50" s="15">
        <f>IFERROR(INDEX('Inputs (2)'!$D$78:$AL$78,MATCH(E$7,'Inputs (2)'!$D$2:$AL$2,0)),"")</f>
        <v>4.198</v>
      </c>
      <c r="F50" s="15">
        <f>IFERROR(INDEX('Inputs (2)'!$D$78:$AL$78,MATCH(F$7,'Inputs (2)'!$D$2:$AL$2,0)),"")</f>
        <v>-24.977</v>
      </c>
      <c r="G50" s="15">
        <f>IFERROR(INDEX('Inputs (2)'!$D$78:$AL$78,MATCH(G$7,'Inputs (2)'!$D$2:$AL$2,0)),"")</f>
        <v>65.423</v>
      </c>
      <c r="H50" s="16">
        <f>IF(COUNT(D50:G50)=4,SUM(D50:G50),"")</f>
        <v>54.065</v>
      </c>
      <c r="I50" s="15">
        <f>IFERROR(INDEX('Inputs (2)'!$D$78:$AL$78,MATCH(I$7,'Inputs (2)'!$D$2:$AL$2,0)),"")</f>
        <v>15.148</v>
      </c>
      <c r="J50" s="15">
        <f>IFERROR(INDEX('Inputs (2)'!$D$78:$AL$78,MATCH(J$7,'Inputs (2)'!$D$2:$AL$2,0)),"")</f>
        <v>16.216</v>
      </c>
      <c r="K50" s="15">
        <f>IFERROR(INDEX('Inputs (2)'!$D$78:$AL$78,MATCH(K$7,'Inputs (2)'!$D$2:$AL$2,0)),"")</f>
        <v>14.508</v>
      </c>
      <c r="L50" s="15">
        <f>IFERROR(INDEX('Inputs (2)'!$D$78:$AL$78,MATCH(L$7,'Inputs (2)'!$D$2:$AL$2,0)),"")</f>
        <v>17.295</v>
      </c>
      <c r="M50" s="16">
        <f>IF(COUNT(I50:L50)=4,SUM(I50:L50),"")</f>
        <v>63.167</v>
      </c>
      <c r="N50" s="15">
        <f>IFERROR(INDEX('Inputs (2)'!$D$78:$AL$78,MATCH(N$7,'Inputs (2)'!$D$2:$AL$2,0)),"")</f>
        <v>15.181</v>
      </c>
      <c r="O50" s="15">
        <f>IFERROR(INDEX('Inputs (2)'!$D$78:$AL$78,MATCH(O$7,'Inputs (2)'!$D$2:$AL$2,0)),"")</f>
        <v>18.328</v>
      </c>
      <c r="P50" s="15">
        <f>IFERROR(INDEX('Inputs (2)'!$D$78:$AL$78,MATCH(P$7,'Inputs (2)'!$D$2:$AL$2,0)),"")</f>
        <v>8.04</v>
      </c>
      <c r="Q50" s="15">
        <f>IFERROR(INDEX('Inputs (2)'!$D$78:$AL$78,MATCH(Q$7,'Inputs (2)'!$D$2:$AL$2,0)),"")</f>
        <v>11.115</v>
      </c>
      <c r="R50" s="16">
        <f>IF(COUNT(N50:Q50)=4,SUM(N50:Q50),"")</f>
        <v>52.664</v>
      </c>
      <c r="S50" s="15">
        <f>IFERROR(INDEX('Inputs (2)'!$D$78:$AL$78,MATCH(S$7,'Inputs (2)'!$D$2:$AL$2,0)),"")</f>
        <v>15.039</v>
      </c>
      <c r="T50" s="15">
        <f>IFERROR(INDEX('Inputs (2)'!$D$78:$AL$78,MATCH(T$7,'Inputs (2)'!$D$2:$AL$2,0)),"")</f>
        <v>14.066</v>
      </c>
      <c r="U50" s="15">
        <f>IFERROR(INDEX('Inputs (2)'!$D$78:$AL$78,MATCH(U$7,'Inputs (2)'!$D$2:$AL$2,0)),"")</f>
        <v>10.166</v>
      </c>
      <c r="V50" s="15">
        <f>IFERROR(INDEX('Inputs (2)'!$D$78:$AL$78,MATCH(V$7,'Inputs (2)'!$D$2:$AL$2,0)),"")</f>
        <v>11.719</v>
      </c>
      <c r="W50" s="16">
        <f>IF(COUNT(S50:V50)=4,SUM(S50:V50),"")</f>
        <v>50.99</v>
      </c>
      <c r="X50" s="15">
        <f>IFERROR(INDEX('Inputs (2)'!$D$78:$AL$78,MATCH(X$7,'Inputs (2)'!$D$2:$AL$2,0)),"")</f>
        <v>15.015</v>
      </c>
      <c r="Y50" s="15">
        <f>IFERROR(INDEX('Inputs (2)'!$D$78:$AL$78,MATCH(Y$7,'Inputs (2)'!$D$2:$AL$2,0)),"")</f>
        <v>12.771</v>
      </c>
      <c r="Z50" s="15">
        <f>IFERROR(INDEX('Inputs (2)'!$D$78:$AL$78,MATCH(Z$7,'Inputs (2)'!$D$2:$AL$2,0)),"")</f>
        <v>11.358</v>
      </c>
      <c r="AA50" s="15">
        <f>IFERROR(INDEX('Inputs (2)'!$D$78:$AL$78,MATCH(AA$7,'Inputs (2)'!$D$2:$AL$2,0)),"")</f>
        <v>13.967</v>
      </c>
      <c r="AB50" s="16">
        <f>IF(COUNT(X50:AA50)=4,SUM(X50:AA50),"")</f>
        <v>53.111</v>
      </c>
      <c r="AC50" s="15">
        <f>IFERROR(INDEX('Inputs (2)'!$D$78:$AL$78,MATCH(AC$7,'Inputs (2)'!$D$2:$AL$2,0)),"")</f>
        <v>16.087</v>
      </c>
      <c r="AD50" s="15">
        <f>IFERROR(INDEX('Inputs (2)'!$D$78:$AL$78,MATCH(AD$7,'Inputs (2)'!$D$2:$AL$2,0)),"")</f>
        <v>14.092</v>
      </c>
      <c r="AE50" s="15">
        <f>IFERROR(INDEX('Inputs (2)'!$D$78:$AL$78,MATCH(AE$7,'Inputs (2)'!$D$2:$AL$2,0)),"")</f>
        <v>11.27</v>
      </c>
      <c r="AF50" s="15">
        <f>IFERROR(INDEX('Inputs (2)'!$D$78:$AL$78,MATCH(AF$7,'Inputs (2)'!$D$2:$AL$2,0)),"")</f>
        <v>12.478</v>
      </c>
      <c r="AG50" s="16">
        <f>IF(COUNT(AC50:AF50)=4,SUM(AC50:AF50),"")</f>
        <v>53.927</v>
      </c>
      <c r="AH50" s="16">
        <f>IFERROR(INDEX('Inputs (2)'!$D$78:$AL$78,MATCH(AH$7,'Inputs (2)'!$D$2:$AL$2,0)),"")</f>
        <v>14.591</v>
      </c>
      <c r="AI50" s="16">
        <f>IFERROR(INDEX('Inputs (2)'!$D$78:$AL$78,MATCH(AI$7,'Inputs (2)'!$D$2:$AL$2,0)),"")</f>
        <v>17.419</v>
      </c>
    </row>
    <row r="51">
      <c r="C51" s="14" t="inlineStr">
        <is>
          <t xml:space="preserve">   TCC</t>
        </is>
      </c>
      <c r="D51" s="15">
        <f>IFERROR(INDEX('Inputs (2)'!$D$79:$AL$79,MATCH(D$7,'Inputs (2)'!$D$2:$AL$2,0)),"")</f>
        <v>130.898</v>
      </c>
      <c r="E51" s="15">
        <f>IFERROR(INDEX('Inputs (2)'!$D$79:$AL$79,MATCH(E$7,'Inputs (2)'!$D$2:$AL$2,0)),"")</f>
        <v>125.845</v>
      </c>
      <c r="F51" s="15">
        <f>IFERROR(INDEX('Inputs (2)'!$D$79:$AL$79,MATCH(F$7,'Inputs (2)'!$D$2:$AL$2,0)),"")</f>
        <v>206.472</v>
      </c>
      <c r="G51" s="15">
        <f>IFERROR(INDEX('Inputs (2)'!$D$79:$AL$79,MATCH(G$7,'Inputs (2)'!$D$2:$AL$2,0)),"")</f>
        <v>192.204</v>
      </c>
      <c r="H51" s="16">
        <f>IF(COUNT(D51:G51)=4,SUM(D51:G51),"")</f>
        <v>655.419</v>
      </c>
      <c r="I51" s="15">
        <f>IFERROR(INDEX('Inputs (2)'!$D$79:$AL$79,MATCH(I$7,'Inputs (2)'!$D$2:$AL$2,0)),"")</f>
        <v>402.043</v>
      </c>
      <c r="J51" s="15">
        <f>IFERROR(INDEX('Inputs (2)'!$D$79:$AL$79,MATCH(J$7,'Inputs (2)'!$D$2:$AL$2,0)),"")</f>
        <v>90.586</v>
      </c>
      <c r="K51" s="15">
        <f>IFERROR(INDEX('Inputs (2)'!$D$79:$AL$79,MATCH(K$7,'Inputs (2)'!$D$2:$AL$2,0)),"")</f>
        <v>76.026</v>
      </c>
      <c r="L51" s="15">
        <f>IFERROR(INDEX('Inputs (2)'!$D$79:$AL$79,MATCH(L$7,'Inputs (2)'!$D$2:$AL$2,0)),"")</f>
        <v>94.017</v>
      </c>
      <c r="M51" s="16">
        <f>IF(COUNT(I51:L51)=4,SUM(I51:L51),"")</f>
        <v>662.672</v>
      </c>
      <c r="N51" s="15">
        <f>IFERROR(INDEX('Inputs (2)'!$D$79:$AL$79,MATCH(N$7,'Inputs (2)'!$D$2:$AL$2,0)),"")</f>
        <v>79.901</v>
      </c>
      <c r="O51" s="15">
        <f>IFERROR(INDEX('Inputs (2)'!$D$79:$AL$79,MATCH(O$7,'Inputs (2)'!$D$2:$AL$2,0)),"")</f>
        <v>97.828</v>
      </c>
      <c r="P51" s="15">
        <f>IFERROR(INDEX('Inputs (2)'!$D$79:$AL$79,MATCH(P$7,'Inputs (2)'!$D$2:$AL$2,0)),"")</f>
        <v>36.629</v>
      </c>
      <c r="Q51" s="15">
        <f>IFERROR(INDEX('Inputs (2)'!$D$79:$AL$79,MATCH(Q$7,'Inputs (2)'!$D$2:$AL$2,0)),"")</f>
        <v>54.471</v>
      </c>
      <c r="R51" s="16">
        <f>IF(COUNT(N51:Q51)=4,SUM(N51:Q51),"")</f>
        <v>268.829</v>
      </c>
      <c r="S51" s="15">
        <f>IFERROR(INDEX('Inputs (2)'!$D$79:$AL$79,MATCH(S$7,'Inputs (2)'!$D$2:$AL$2,0)),"")</f>
        <v>76.929</v>
      </c>
      <c r="T51" s="15">
        <f>IFERROR(INDEX('Inputs (2)'!$D$79:$AL$79,MATCH(T$7,'Inputs (2)'!$D$2:$AL$2,0)),"")</f>
        <v>71.15</v>
      </c>
      <c r="U51" s="15">
        <f>IFERROR(INDEX('Inputs (2)'!$D$79:$AL$79,MATCH(U$7,'Inputs (2)'!$D$2:$AL$2,0)),"")</f>
        <v>48.567</v>
      </c>
      <c r="V51" s="15">
        <f>IFERROR(INDEX('Inputs (2)'!$D$79:$AL$79,MATCH(V$7,'Inputs (2)'!$D$2:$AL$2,0)),"")</f>
        <v>57.24</v>
      </c>
      <c r="W51" s="16">
        <f>IF(COUNT(S51:V51)=4,SUM(S51:V51),"")</f>
        <v>253.886</v>
      </c>
      <c r="X51" s="15">
        <f>IFERROR(INDEX('Inputs (2)'!$D$79:$AL$79,MATCH(X$7,'Inputs (2)'!$D$2:$AL$2,0)),"")</f>
        <v>76.335</v>
      </c>
      <c r="Y51" s="15">
        <f>IFERROR(INDEX('Inputs (2)'!$D$79:$AL$79,MATCH(Y$7,'Inputs (2)'!$D$2:$AL$2,0)),"")</f>
        <v>62.868</v>
      </c>
      <c r="Z51" s="15">
        <f>IFERROR(INDEX('Inputs (2)'!$D$79:$AL$79,MATCH(Z$7,'Inputs (2)'!$D$2:$AL$2,0)),"")</f>
        <v>54.841</v>
      </c>
      <c r="AA51" s="15">
        <f>IFERROR(INDEX('Inputs (2)'!$D$79:$AL$79,MATCH(AA$7,'Inputs (2)'!$D$2:$AL$2,0)),"")</f>
        <v>69.307</v>
      </c>
      <c r="AB51" s="16">
        <f>IF(COUNT(X51:AA51)=4,SUM(X51:AA51),"")</f>
        <v>263.351</v>
      </c>
      <c r="AC51" s="15">
        <f>IFERROR(INDEX('Inputs (2)'!$D$79:$AL$79,MATCH(AC$7,'Inputs (2)'!$D$2:$AL$2,0)),"")</f>
        <v>82.13</v>
      </c>
      <c r="AD51" s="15">
        <f>IFERROR(INDEX('Inputs (2)'!$D$79:$AL$79,MATCH(AD$7,'Inputs (2)'!$D$2:$AL$2,0)),"")</f>
        <v>69.951</v>
      </c>
      <c r="AE51" s="15">
        <f>IFERROR(INDEX('Inputs (2)'!$D$79:$AL$79,MATCH(AE$7,'Inputs (2)'!$D$2:$AL$2,0)),"")</f>
        <v>54</v>
      </c>
      <c r="AF51" s="15">
        <f>IFERROR(INDEX('Inputs (2)'!$D$79:$AL$79,MATCH(AF$7,'Inputs (2)'!$D$2:$AL$2,0)),"")</f>
        <v>60.687</v>
      </c>
      <c r="AG51" s="16">
        <f>IF(COUNT(AC51:AF51)=4,SUM(AC51:AF51),"")</f>
        <v>266.768</v>
      </c>
      <c r="AH51" s="16">
        <f>IFERROR(INDEX('Inputs (2)'!$D$79:$AL$79,MATCH(AH$7,'Inputs (2)'!$D$2:$AL$2,0)),"")</f>
        <v>72.656</v>
      </c>
      <c r="AI51" s="16">
        <f>IFERROR(INDEX('Inputs (2)'!$D$79:$AL$79,MATCH(AI$7,'Inputs (2)'!$D$2:$AL$2,0)),"")</f>
        <v>88.941</v>
      </c>
    </row>
    <row r="52">
      <c r="C52" s="14" t="inlineStr">
        <is>
          <t xml:space="preserve">   ESTE</t>
        </is>
      </c>
      <c r="D52" s="15">
        <f>IFERROR(INDEX('Inputs (2)'!$D$80:$AL$80,MATCH(D$7,'Inputs (2)'!$D$2:$AL$2,0)),"")</f>
        <v>84.668</v>
      </c>
      <c r="E52" s="15">
        <f>IFERROR(INDEX('Inputs (2)'!$D$80:$AL$80,MATCH(E$7,'Inputs (2)'!$D$2:$AL$2,0)),"")</f>
        <v>109.389</v>
      </c>
      <c r="F52" s="15">
        <f>IFERROR(INDEX('Inputs (2)'!$D$80:$AL$80,MATCH(F$7,'Inputs (2)'!$D$2:$AL$2,0)),"")</f>
        <v>119.065</v>
      </c>
      <c r="G52" s="15">
        <f>IFERROR(INDEX('Inputs (2)'!$D$80:$AL$80,MATCH(G$7,'Inputs (2)'!$D$2:$AL$2,0)),"")</f>
        <v>150.888</v>
      </c>
      <c r="H52" s="16">
        <f>IF(COUNT(D52:G52)=4,SUM(D52:G52),"")</f>
        <v>464.01</v>
      </c>
      <c r="I52" s="15">
        <f>IFERROR(INDEX('Inputs (2)'!$D$80:$AL$80,MATCH(I$7,'Inputs (2)'!$D$2:$AL$2,0)),"")</f>
        <v>146.612</v>
      </c>
      <c r="J52" s="15">
        <f>IFERROR(INDEX('Inputs (2)'!$D$80:$AL$80,MATCH(J$7,'Inputs (2)'!$D$2:$AL$2,0)),"")</f>
        <v>163.481</v>
      </c>
      <c r="K52" s="15">
        <f>IFERROR(INDEX('Inputs (2)'!$D$80:$AL$80,MATCH(K$7,'Inputs (2)'!$D$2:$AL$2,0)),"")</f>
        <v>145.105</v>
      </c>
      <c r="L52" s="15">
        <f>IFERROR(INDEX('Inputs (2)'!$D$80:$AL$80,MATCH(L$7,'Inputs (2)'!$D$2:$AL$2,0)),"")</f>
        <v>21.244</v>
      </c>
      <c r="M52" s="16">
        <f>IF(COUNT(I52:L52)=4,SUM(I52:L52),"")</f>
        <v>476.442</v>
      </c>
      <c r="N52" s="15">
        <f>IFERROR(INDEX('Inputs (2)'!$D$80:$AL$80,MATCH(N$7,'Inputs (2)'!$D$2:$AL$2,0)),"")</f>
        <v>250.784</v>
      </c>
      <c r="O52" s="15">
        <f>IFERROR(INDEX('Inputs (2)'!$D$80:$AL$80,MATCH(O$7,'Inputs (2)'!$D$2:$AL$2,0)),"")</f>
        <v>67.122</v>
      </c>
      <c r="P52" s="15">
        <f>IFERROR(INDEX('Inputs (2)'!$D$80:$AL$80,MATCH(P$7,'Inputs (2)'!$D$2:$AL$2,0)),"")</f>
        <v>24.899</v>
      </c>
      <c r="Q52" s="15">
        <f>IFERROR(INDEX('Inputs (2)'!$D$80:$AL$80,MATCH(Q$7,'Inputs (2)'!$D$2:$AL$2,0)),"")</f>
        <v>63.86</v>
      </c>
      <c r="R52" s="16">
        <f>IF(COUNT(N52:Q52)=4,SUM(N52:Q52),"")</f>
        <v>406.665</v>
      </c>
      <c r="S52" s="15">
        <f>IFERROR(INDEX('Inputs (2)'!$D$80:$AL$80,MATCH(S$7,'Inputs (2)'!$D$2:$AL$2,0)),"")</f>
        <v>53.342</v>
      </c>
      <c r="T52" s="15">
        <f>IFERROR(INDEX('Inputs (2)'!$D$80:$AL$80,MATCH(T$7,'Inputs (2)'!$D$2:$AL$2,0)),"")</f>
        <v>49.181</v>
      </c>
      <c r="U52" s="15">
        <f>IFERROR(INDEX('Inputs (2)'!$D$80:$AL$80,MATCH(U$7,'Inputs (2)'!$D$2:$AL$2,0)),"")</f>
        <v>33.948</v>
      </c>
      <c r="V52" s="15">
        <f>IFERROR(INDEX('Inputs (2)'!$D$80:$AL$80,MATCH(V$7,'Inputs (2)'!$D$2:$AL$2,0)),"")</f>
        <v>40.03</v>
      </c>
      <c r="W52" s="16">
        <f>IF(COUNT(S52:V52)=4,SUM(S52:V52),"")</f>
        <v>176.501</v>
      </c>
      <c r="X52" s="15">
        <f>IFERROR(INDEX('Inputs (2)'!$D$80:$AL$80,MATCH(X$7,'Inputs (2)'!$D$2:$AL$2,0)),"")</f>
        <v>52.969</v>
      </c>
      <c r="Y52" s="15">
        <f>IFERROR(INDEX('Inputs (2)'!$D$80:$AL$80,MATCH(Y$7,'Inputs (2)'!$D$2:$AL$2,0)),"")</f>
        <v>43.964</v>
      </c>
      <c r="Z52" s="15">
        <f>IFERROR(INDEX('Inputs (2)'!$D$80:$AL$80,MATCH(Z$7,'Inputs (2)'!$D$2:$AL$2,0)),"")</f>
        <v>37.722</v>
      </c>
      <c r="AA52" s="15">
        <f>IFERROR(INDEX('Inputs (2)'!$D$80:$AL$80,MATCH(AA$7,'Inputs (2)'!$D$2:$AL$2,0)),"")</f>
        <v>48.386</v>
      </c>
      <c r="AB52" s="16">
        <f>IF(COUNT(X52:AA52)=4,SUM(X52:AA52),"")</f>
        <v>183.041</v>
      </c>
      <c r="AC52" s="15">
        <f>IFERROR(INDEX('Inputs (2)'!$D$80:$AL$80,MATCH(AC$7,'Inputs (2)'!$D$2:$AL$2,0)),"")</f>
        <v>56.8</v>
      </c>
      <c r="AD52" s="15">
        <f>IFERROR(INDEX('Inputs (2)'!$D$80:$AL$80,MATCH(AD$7,'Inputs (2)'!$D$2:$AL$2,0)),"")</f>
        <v>48.453</v>
      </c>
      <c r="AE52" s="15">
        <f>IFERROR(INDEX('Inputs (2)'!$D$80:$AL$80,MATCH(AE$7,'Inputs (2)'!$D$2:$AL$2,0)),"")</f>
        <v>37.351</v>
      </c>
      <c r="AF52" s="15">
        <f>IFERROR(INDEX('Inputs (2)'!$D$80:$AL$80,MATCH(AF$7,'Inputs (2)'!$D$2:$AL$2,0)),"")</f>
        <v>41.421</v>
      </c>
      <c r="AG52" s="16">
        <f>IF(COUNT(AC52:AF52)=4,SUM(AC52:AF52),"")</f>
        <v>184.025</v>
      </c>
      <c r="AH52" s="16">
        <f>IFERROR(INDEX('Inputs (2)'!$D$80:$AL$80,MATCH(AH$7,'Inputs (2)'!$D$2:$AL$2,0)),"")</f>
        <v>50.266</v>
      </c>
      <c r="AI52" s="16">
        <f>IFERROR(INDEX('Inputs (2)'!$D$80:$AL$80,MATCH(AI$7,'Inputs (2)'!$D$2:$AL$2,0)),"")</f>
        <v>61.497</v>
      </c>
    </row>
    <row r="53">
      <c r="C53" s="14" t="inlineStr">
        <is>
          <t xml:space="preserve">   TCE</t>
        </is>
      </c>
      <c r="D53" s="15">
        <f>IFERROR(INDEX('Inputs (2)'!$D$81:$AL$81,MATCH(D$7,'Inputs (2)'!$D$2:$AL$2,0)),"")</f>
        <v>0</v>
      </c>
      <c r="E53" s="15">
        <f>IFERROR(INDEX('Inputs (2)'!$D$81:$AL$81,MATCH(E$7,'Inputs (2)'!$D$2:$AL$2,0)),"")</f>
        <v>0</v>
      </c>
      <c r="F53" s="15">
        <f>IFERROR(INDEX('Inputs (2)'!$D$81:$AL$81,MATCH(F$7,'Inputs (2)'!$D$2:$AL$2,0)),"")</f>
        <v>0</v>
      </c>
      <c r="G53" s="15">
        <f>IFERROR(INDEX('Inputs (2)'!$D$81:$AL$81,MATCH(G$7,'Inputs (2)'!$D$2:$AL$2,0)),"")</f>
        <v>0</v>
      </c>
      <c r="H53" s="16">
        <f>IF(COUNT(D53:G53)=4,SUM(D53:G53),"")</f>
        <v>0</v>
      </c>
      <c r="I53" s="15">
        <f>IFERROR(INDEX('Inputs (2)'!$D$81:$AL$81,MATCH(I$7,'Inputs (2)'!$D$2:$AL$2,0)),"")</f>
        <v>0</v>
      </c>
      <c r="J53" s="15">
        <f>IFERROR(INDEX('Inputs (2)'!$D$81:$AL$81,MATCH(J$7,'Inputs (2)'!$D$2:$AL$2,0)),"")</f>
        <v>0</v>
      </c>
      <c r="K53" s="15">
        <f>IFERROR(INDEX('Inputs (2)'!$D$81:$AL$81,MATCH(K$7,'Inputs (2)'!$D$2:$AL$2,0)),"")</f>
        <v>0</v>
      </c>
      <c r="L53" s="15">
        <f>IFERROR(INDEX('Inputs (2)'!$D$81:$AL$81,MATCH(L$7,'Inputs (2)'!$D$2:$AL$2,0)),"")</f>
        <v>0</v>
      </c>
      <c r="M53" s="16">
        <f>IF(COUNT(I53:L53)=4,SUM(I53:L53),"")</f>
        <v>0</v>
      </c>
      <c r="N53" s="15">
        <f>IFERROR(INDEX('Inputs (2)'!$D$81:$AL$81,MATCH(N$7,'Inputs (2)'!$D$2:$AL$2,0)),"")</f>
        <v>0</v>
      </c>
      <c r="O53" s="15">
        <f>IFERROR(INDEX('Inputs (2)'!$D$81:$AL$81,MATCH(O$7,'Inputs (2)'!$D$2:$AL$2,0)),"")</f>
        <v>0</v>
      </c>
      <c r="P53" s="15">
        <f>IFERROR(INDEX('Inputs (2)'!$D$81:$AL$81,MATCH(P$7,'Inputs (2)'!$D$2:$AL$2,0)),"")</f>
        <v>0</v>
      </c>
      <c r="Q53" s="15">
        <f>IFERROR(INDEX('Inputs (2)'!$D$81:$AL$81,MATCH(Q$7,'Inputs (2)'!$D$2:$AL$2,0)),"")</f>
        <v>0</v>
      </c>
      <c r="R53" s="16">
        <f>IF(COUNT(N53:Q53)=4,SUM(N53:Q53),"")</f>
        <v>0</v>
      </c>
      <c r="S53" s="15">
        <f>IFERROR(INDEX('Inputs (2)'!$D$81:$AL$81,MATCH(S$7,'Inputs (2)'!$D$2:$AL$2,0)),"")</f>
        <v>0</v>
      </c>
      <c r="T53" s="15">
        <f>IFERROR(INDEX('Inputs (2)'!$D$81:$AL$81,MATCH(T$7,'Inputs (2)'!$D$2:$AL$2,0)),"")</f>
        <v>0</v>
      </c>
      <c r="U53" s="15">
        <f>IFERROR(INDEX('Inputs (2)'!$D$81:$AL$81,MATCH(U$7,'Inputs (2)'!$D$2:$AL$2,0)),"")</f>
        <v>0</v>
      </c>
      <c r="V53" s="15">
        <f>IFERROR(INDEX('Inputs (2)'!$D$81:$AL$81,MATCH(V$7,'Inputs (2)'!$D$2:$AL$2,0)),"")</f>
        <v>0</v>
      </c>
      <c r="W53" s="16">
        <f>IF(COUNT(S53:V53)=4,SUM(S53:V53),"")</f>
        <v>0</v>
      </c>
      <c r="X53" s="15">
        <f>IFERROR(INDEX('Inputs (2)'!$D$81:$AL$81,MATCH(X$7,'Inputs (2)'!$D$2:$AL$2,0)),"")</f>
        <v>0</v>
      </c>
      <c r="Y53" s="15">
        <f>IFERROR(INDEX('Inputs (2)'!$D$81:$AL$81,MATCH(Y$7,'Inputs (2)'!$D$2:$AL$2,0)),"")</f>
        <v>0</v>
      </c>
      <c r="Z53" s="15">
        <f>IFERROR(INDEX('Inputs (2)'!$D$81:$AL$81,MATCH(Z$7,'Inputs (2)'!$D$2:$AL$2,0)),"")</f>
        <v>0</v>
      </c>
      <c r="AA53" s="15">
        <f>IFERROR(INDEX('Inputs (2)'!$D$81:$AL$81,MATCH(AA$7,'Inputs (2)'!$D$2:$AL$2,0)),"")</f>
        <v>0</v>
      </c>
      <c r="AB53" s="16">
        <f>IF(COUNT(X53:AA53)=4,SUM(X53:AA53),"")</f>
        <v>0</v>
      </c>
      <c r="AC53" s="15">
        <f>IFERROR(INDEX('Inputs (2)'!$D$81:$AL$81,MATCH(AC$7,'Inputs (2)'!$D$2:$AL$2,0)),"")</f>
        <v>0</v>
      </c>
      <c r="AD53" s="15">
        <f>IFERROR(INDEX('Inputs (2)'!$D$81:$AL$81,MATCH(AD$7,'Inputs (2)'!$D$2:$AL$2,0)),"")</f>
        <v>0</v>
      </c>
      <c r="AE53" s="15">
        <f>IFERROR(INDEX('Inputs (2)'!$D$81:$AL$81,MATCH(AE$7,'Inputs (2)'!$D$2:$AL$2,0)),"")</f>
        <v>0</v>
      </c>
      <c r="AF53" s="15">
        <f>IFERROR(INDEX('Inputs (2)'!$D$81:$AL$81,MATCH(AF$7,'Inputs (2)'!$D$2:$AL$2,0)),"")</f>
        <v>34.587</v>
      </c>
      <c r="AG53" s="16">
        <f>IF(COUNT(AC53:AF53)=4,SUM(AC53:AF53),"")</f>
        <v>34.587</v>
      </c>
      <c r="AH53" s="16">
        <f>IFERROR(INDEX('Inputs (2)'!$D$81:$AL$81,MATCH(AH$7,'Inputs (2)'!$D$2:$AL$2,0)),"")</f>
        <v>45.445</v>
      </c>
      <c r="AI53" s="16">
        <f>IFERROR(INDEX('Inputs (2)'!$D$81:$AL$81,MATCH(AI$7,'Inputs (2)'!$D$2:$AL$2,0)),"")</f>
        <v>43.448</v>
      </c>
    </row>
    <row r="54">
      <c r="C54" s="14" t="inlineStr">
        <is>
          <t xml:space="preserve">   TSM</t>
        </is>
      </c>
      <c r="D54" s="15">
        <f>IFERROR(INDEX('Inputs (2)'!$D$82:$AL$82,MATCH(D$7,'Inputs (2)'!$D$2:$AL$2,0)),"")</f>
        <v>29.292</v>
      </c>
      <c r="E54" s="15">
        <f>IFERROR(INDEX('Inputs (2)'!$D$82:$AL$82,MATCH(E$7,'Inputs (2)'!$D$2:$AL$2,0)),"")</f>
        <v>69.091</v>
      </c>
      <c r="F54" s="15">
        <f>IFERROR(INDEX('Inputs (2)'!$D$82:$AL$82,MATCH(F$7,'Inputs (2)'!$D$2:$AL$2,0)),"")</f>
        <v>207.367</v>
      </c>
      <c r="G54" s="15">
        <f>IFERROR(INDEX('Inputs (2)'!$D$82:$AL$82,MATCH(G$7,'Inputs (2)'!$D$2:$AL$2,0)),"")</f>
        <v>251.524</v>
      </c>
      <c r="H54" s="16">
        <f>IF(COUNT(D54:G54)=4,SUM(D54:G54),"")</f>
        <v>557.274</v>
      </c>
      <c r="I54" s="15">
        <f>IFERROR(INDEX('Inputs (2)'!$D$82:$AL$82,MATCH(I$7,'Inputs (2)'!$D$2:$AL$2,0)),"")</f>
        <v>159.77</v>
      </c>
      <c r="J54" s="15">
        <f>IFERROR(INDEX('Inputs (2)'!$D$82:$AL$82,MATCH(J$7,'Inputs (2)'!$D$2:$AL$2,0)),"")</f>
        <v>32.08</v>
      </c>
      <c r="K54" s="15">
        <f>IFERROR(INDEX('Inputs (2)'!$D$82:$AL$82,MATCH(K$7,'Inputs (2)'!$D$2:$AL$2,0)),"")</f>
        <v>117.475</v>
      </c>
      <c r="L54" s="15">
        <f>IFERROR(INDEX('Inputs (2)'!$D$82:$AL$82,MATCH(L$7,'Inputs (2)'!$D$2:$AL$2,0)),"")</f>
        <v>275.684</v>
      </c>
      <c r="M54" s="16">
        <f>IF(COUNT(I54:L54)=4,SUM(I54:L54),"")</f>
        <v>585.009</v>
      </c>
      <c r="N54" s="15">
        <f>IFERROR(INDEX('Inputs (2)'!$D$82:$AL$82,MATCH(N$7,'Inputs (2)'!$D$2:$AL$2,0)),"")</f>
        <v>54.936</v>
      </c>
      <c r="O54" s="15">
        <f>IFERROR(INDEX('Inputs (2)'!$D$82:$AL$82,MATCH(O$7,'Inputs (2)'!$D$2:$AL$2,0)),"")</f>
        <v>45.102</v>
      </c>
      <c r="P54" s="15">
        <f>IFERROR(INDEX('Inputs (2)'!$D$82:$AL$82,MATCH(P$7,'Inputs (2)'!$D$2:$AL$2,0)),"")</f>
        <v>25.421</v>
      </c>
      <c r="Q54" s="15">
        <f>IFERROR(INDEX('Inputs (2)'!$D$82:$AL$82,MATCH(Q$7,'Inputs (2)'!$D$2:$AL$2,0)),"")</f>
        <v>37.953</v>
      </c>
      <c r="R54" s="16">
        <f>IF(COUNT(N54:Q54)=4,SUM(N54:Q54),"")</f>
        <v>163.412</v>
      </c>
      <c r="S54" s="15">
        <f>IFERROR(INDEX('Inputs (2)'!$D$82:$AL$82,MATCH(S$7,'Inputs (2)'!$D$2:$AL$2,0)),"")</f>
        <v>53.831</v>
      </c>
      <c r="T54" s="15">
        <f>IFERROR(INDEX('Inputs (2)'!$D$82:$AL$82,MATCH(T$7,'Inputs (2)'!$D$2:$AL$2,0)),"")</f>
        <v>49.666</v>
      </c>
      <c r="U54" s="15">
        <f>IFERROR(INDEX('Inputs (2)'!$D$82:$AL$82,MATCH(U$7,'Inputs (2)'!$D$2:$AL$2,0)),"")</f>
        <v>33.104</v>
      </c>
      <c r="V54" s="15">
        <f>IFERROR(INDEX('Inputs (2)'!$D$82:$AL$82,MATCH(V$7,'Inputs (2)'!$D$2:$AL$2,0)),"")</f>
        <v>39.112</v>
      </c>
      <c r="W54" s="16">
        <f>IF(COUNT(S54:V54)=4,SUM(S54:V54),"")</f>
        <v>175.713</v>
      </c>
      <c r="X54" s="15">
        <f>IFERROR(INDEX('Inputs (2)'!$D$82:$AL$82,MATCH(X$7,'Inputs (2)'!$D$2:$AL$2,0)),"")</f>
        <v>52.096</v>
      </c>
      <c r="Y54" s="15">
        <f>IFERROR(INDEX('Inputs (2)'!$D$82:$AL$82,MATCH(Y$7,'Inputs (2)'!$D$2:$AL$2,0)),"")</f>
        <v>43.057</v>
      </c>
      <c r="Z54" s="15">
        <f>IFERROR(INDEX('Inputs (2)'!$D$82:$AL$82,MATCH(Z$7,'Inputs (2)'!$D$2:$AL$2,0)),"")</f>
        <v>37.548</v>
      </c>
      <c r="AA54" s="15">
        <f>IFERROR(INDEX('Inputs (2)'!$D$82:$AL$82,MATCH(AA$7,'Inputs (2)'!$D$2:$AL$2,0)),"")</f>
        <v>47.726</v>
      </c>
      <c r="AB54" s="16">
        <f>IF(COUNT(X54:AA54)=4,SUM(X54:AA54),"")</f>
        <v>180.427</v>
      </c>
      <c r="AC54" s="15">
        <f>IFERROR(INDEX('Inputs (2)'!$D$82:$AL$82,MATCH(AC$7,'Inputs (2)'!$D$2:$AL$2,0)),"")</f>
        <v>56.082</v>
      </c>
      <c r="AD54" s="15">
        <f>IFERROR(INDEX('Inputs (2)'!$D$82:$AL$82,MATCH(AD$7,'Inputs (2)'!$D$2:$AL$2,0)),"")</f>
        <v>47.693</v>
      </c>
      <c r="AE54" s="15">
        <f>IFERROR(INDEX('Inputs (2)'!$D$82:$AL$82,MATCH(AE$7,'Inputs (2)'!$D$2:$AL$2,0)),"")</f>
        <v>36.83</v>
      </c>
      <c r="AF54" s="15">
        <f>IFERROR(INDEX('Inputs (2)'!$D$82:$AL$82,MATCH(AF$7,'Inputs (2)'!$D$2:$AL$2,0)),"")</f>
        <v>41.429</v>
      </c>
      <c r="AG54" s="16">
        <f>IF(COUNT(AC54:AF54)=4,SUM(AC54:AF54),"")</f>
        <v>182.034</v>
      </c>
      <c r="AH54" s="16">
        <f>IFERROR(INDEX('Inputs (2)'!$D$82:$AL$82,MATCH(AH$7,'Inputs (2)'!$D$2:$AL$2,0)),"")</f>
        <v>49.574</v>
      </c>
      <c r="AI54" s="16">
        <f>IFERROR(INDEX('Inputs (2)'!$D$82:$AL$82,MATCH(AI$7,'Inputs (2)'!$D$2:$AL$2,0)),"")</f>
        <v>60.77</v>
      </c>
    </row>
    <row r="55">
      <c r="C55" s="14" t="inlineStr">
        <is>
          <t xml:space="preserve">   ETB</t>
        </is>
      </c>
      <c r="D55" s="15">
        <f>IFERROR(INDEX('Inputs (2)'!$D$83:$AL$83,MATCH(D$7,'Inputs (2)'!$D$2:$AL$2,0)),"")</f>
        <v>133.85</v>
      </c>
      <c r="E55" s="15">
        <f>IFERROR(INDEX('Inputs (2)'!$D$83:$AL$83,MATCH(E$7,'Inputs (2)'!$D$2:$AL$2,0)),"")</f>
        <v>88.59</v>
      </c>
      <c r="F55" s="15">
        <f>IFERROR(INDEX('Inputs (2)'!$D$83:$AL$83,MATCH(F$7,'Inputs (2)'!$D$2:$AL$2,0)),"")</f>
        <v>199.094</v>
      </c>
      <c r="G55" s="15">
        <f>IFERROR(INDEX('Inputs (2)'!$D$83:$AL$83,MATCH(G$7,'Inputs (2)'!$D$2:$AL$2,0)),"")</f>
        <v>234.029</v>
      </c>
      <c r="H55" s="16">
        <f>IF(COUNT(D55:G55)=4,SUM(D55:G55),"")</f>
        <v>655.563</v>
      </c>
      <c r="I55" s="15">
        <f>IFERROR(INDEX('Inputs (2)'!$D$83:$AL$83,MATCH(I$7,'Inputs (2)'!$D$2:$AL$2,0)),"")</f>
        <v>63.236</v>
      </c>
      <c r="J55" s="15">
        <f>IFERROR(INDEX('Inputs (2)'!$D$83:$AL$83,MATCH(J$7,'Inputs (2)'!$D$2:$AL$2,0)),"")</f>
        <v>76.974</v>
      </c>
      <c r="K55" s="15">
        <f>IFERROR(INDEX('Inputs (2)'!$D$83:$AL$83,MATCH(K$7,'Inputs (2)'!$D$2:$AL$2,0)),"")</f>
        <v>63.72</v>
      </c>
      <c r="L55" s="15">
        <f>IFERROR(INDEX('Inputs (2)'!$D$83:$AL$83,MATCH(L$7,'Inputs (2)'!$D$2:$AL$2,0)),"")</f>
        <v>78.343</v>
      </c>
      <c r="M55" s="16">
        <f>IF(COUNT(I55:L55)=4,SUM(I55:L55),"")</f>
        <v>282.273</v>
      </c>
      <c r="N55" s="15">
        <f>IFERROR(INDEX('Inputs (2)'!$D$83:$AL$83,MATCH(N$7,'Inputs (2)'!$D$2:$AL$2,0)),"")</f>
        <v>67.153</v>
      </c>
      <c r="O55" s="15">
        <f>IFERROR(INDEX('Inputs (2)'!$D$83:$AL$83,MATCH(O$7,'Inputs (2)'!$D$2:$AL$2,0)),"")</f>
        <v>85.085</v>
      </c>
      <c r="P55" s="15">
        <f>IFERROR(INDEX('Inputs (2)'!$D$83:$AL$83,MATCH(P$7,'Inputs (2)'!$D$2:$AL$2,0)),"")</f>
        <v>34.234</v>
      </c>
      <c r="Q55" s="15">
        <f>IFERROR(INDEX('Inputs (2)'!$D$83:$AL$83,MATCH(Q$7,'Inputs (2)'!$D$2:$AL$2,0)),"")</f>
        <v>48.279</v>
      </c>
      <c r="R55" s="16">
        <f>IF(COUNT(N55:Q55)=4,SUM(N55:Q55),"")</f>
        <v>234.751</v>
      </c>
      <c r="S55" s="15">
        <f>IFERROR(INDEX('Inputs (2)'!$D$83:$AL$83,MATCH(S$7,'Inputs (2)'!$D$2:$AL$2,0)),"")</f>
        <v>66.291</v>
      </c>
      <c r="T55" s="15">
        <f>IFERROR(INDEX('Inputs (2)'!$D$83:$AL$83,MATCH(T$7,'Inputs (2)'!$D$2:$AL$2,0)),"")</f>
        <v>61.707</v>
      </c>
      <c r="U55" s="15">
        <f>IFERROR(INDEX('Inputs (2)'!$D$83:$AL$83,MATCH(U$7,'Inputs (2)'!$D$2:$AL$2,0)),"")</f>
        <v>43.673</v>
      </c>
      <c r="V55" s="15">
        <f>IFERROR(INDEX('Inputs (2)'!$D$83:$AL$83,MATCH(V$7,'Inputs (2)'!$D$2:$AL$2,0)),"")</f>
        <v>50.732</v>
      </c>
      <c r="W55" s="16">
        <f>IF(COUNT(S55:V55)=4,SUM(S55:V55),"")</f>
        <v>222.403</v>
      </c>
      <c r="X55" s="15">
        <f>IFERROR(INDEX('Inputs (2)'!$D$83:$AL$83,MATCH(X$7,'Inputs (2)'!$D$2:$AL$2,0)),"")</f>
        <v>65.824</v>
      </c>
      <c r="Y55" s="15">
        <f>IFERROR(INDEX('Inputs (2)'!$D$83:$AL$83,MATCH(Y$7,'Inputs (2)'!$D$2:$AL$2,0)),"")</f>
        <v>55.423</v>
      </c>
      <c r="Z55" s="15">
        <f>IFERROR(INDEX('Inputs (2)'!$D$83:$AL$83,MATCH(Z$7,'Inputs (2)'!$D$2:$AL$2,0)),"")</f>
        <v>48.921</v>
      </c>
      <c r="AA55" s="15">
        <f>IFERROR(INDEX('Inputs (2)'!$D$83:$AL$83,MATCH(AA$7,'Inputs (2)'!$D$2:$AL$2,0)),"")</f>
        <v>60.884</v>
      </c>
      <c r="AB55" s="16">
        <f>IF(COUNT(X55:AA55)=4,SUM(X55:AA55),"")</f>
        <v>231.052</v>
      </c>
      <c r="AC55" s="15">
        <f>IFERROR(INDEX('Inputs (2)'!$D$83:$AL$83,MATCH(AC$7,'Inputs (2)'!$D$2:$AL$2,0)),"")</f>
        <v>70.733</v>
      </c>
      <c r="AD55" s="15">
        <f>IFERROR(INDEX('Inputs (2)'!$D$83:$AL$83,MATCH(AD$7,'Inputs (2)'!$D$2:$AL$2,0)),"")</f>
        <v>61.248</v>
      </c>
      <c r="AE55" s="15">
        <f>IFERROR(INDEX('Inputs (2)'!$D$83:$AL$83,MATCH(AE$7,'Inputs (2)'!$D$2:$AL$2,0)),"")</f>
        <v>48.419</v>
      </c>
      <c r="AF55" s="15">
        <f>IFERROR(INDEX('Inputs (2)'!$D$83:$AL$83,MATCH(AF$7,'Inputs (2)'!$D$2:$AL$2,0)),"")</f>
        <v>51.914</v>
      </c>
      <c r="AG55" s="16">
        <f>IF(COUNT(AC55:AF55)=4,SUM(AC55:AF55),"")</f>
        <v>232.314</v>
      </c>
      <c r="AH55" s="16">
        <f>IFERROR(INDEX('Inputs (2)'!$D$83:$AL$83,MATCH(AH$7,'Inputs (2)'!$D$2:$AL$2,0)),"")</f>
        <v>63.51</v>
      </c>
      <c r="AI55" s="16">
        <f>IFERROR(INDEX('Inputs (2)'!$D$83:$AL$83,MATCH(AI$7,'Inputs (2)'!$D$2:$AL$2,0)),"")</f>
        <v>76.682</v>
      </c>
    </row>
    <row r="56">
      <c r="C56" s="14" t="inlineStr">
        <is>
          <t xml:space="preserve">   AETE</t>
        </is>
      </c>
      <c r="D56" s="15">
        <f>IFERROR(INDEX('Inputs (2)'!$D$84:$AL$84,MATCH(D$7,'Inputs (2)'!$D$2:$AL$2,0)),"")</f>
        <v>14.681</v>
      </c>
      <c r="E56" s="15">
        <f>IFERROR(INDEX('Inputs (2)'!$D$84:$AL$84,MATCH(E$7,'Inputs (2)'!$D$2:$AL$2,0)),"")</f>
        <v>8.617</v>
      </c>
      <c r="F56" s="15">
        <f>IFERROR(INDEX('Inputs (2)'!$D$84:$AL$84,MATCH(F$7,'Inputs (2)'!$D$2:$AL$2,0)),"")</f>
        <v>13.975</v>
      </c>
      <c r="G56" s="15">
        <f>IFERROR(INDEX('Inputs (2)'!$D$84:$AL$84,MATCH(G$7,'Inputs (2)'!$D$2:$AL$2,0)),"")</f>
        <v>22.902</v>
      </c>
      <c r="H56" s="16">
        <f>IF(COUNT(D56:G56)=4,SUM(D56:G56),"")</f>
        <v>60.175</v>
      </c>
      <c r="I56" s="15">
        <f>IFERROR(INDEX('Inputs (2)'!$D$84:$AL$84,MATCH(I$7,'Inputs (2)'!$D$2:$AL$2,0)),"")</f>
        <v>15.388</v>
      </c>
      <c r="J56" s="15">
        <f>IFERROR(INDEX('Inputs (2)'!$D$84:$AL$84,MATCH(J$7,'Inputs (2)'!$D$2:$AL$2,0)),"")</f>
        <v>21.904</v>
      </c>
      <c r="K56" s="15">
        <f>IFERROR(INDEX('Inputs (2)'!$D$84:$AL$84,MATCH(K$7,'Inputs (2)'!$D$2:$AL$2,0)),"")</f>
        <v>9.839</v>
      </c>
      <c r="L56" s="15">
        <f>IFERROR(INDEX('Inputs (2)'!$D$84:$AL$84,MATCH(L$7,'Inputs (2)'!$D$2:$AL$2,0)),"")</f>
        <v>5.896</v>
      </c>
      <c r="M56" s="16">
        <f>IF(COUNT(I56:L56)=4,SUM(I56:L56),"")</f>
        <v>53.027</v>
      </c>
      <c r="N56" s="15">
        <f>IFERROR(INDEX('Inputs (2)'!$D$84:$AL$84,MATCH(N$7,'Inputs (2)'!$D$2:$AL$2,0)),"")</f>
        <v>15.353</v>
      </c>
      <c r="O56" s="15">
        <f>IFERROR(INDEX('Inputs (2)'!$D$84:$AL$84,MATCH(O$7,'Inputs (2)'!$D$2:$AL$2,0)),"")</f>
        <v>14.603</v>
      </c>
      <c r="P56" s="15">
        <f>IFERROR(INDEX('Inputs (2)'!$D$84:$AL$84,MATCH(P$7,'Inputs (2)'!$D$2:$AL$2,0)),"")</f>
        <v>8.005</v>
      </c>
      <c r="Q56" s="15">
        <f>IFERROR(INDEX('Inputs (2)'!$D$84:$AL$84,MATCH(Q$7,'Inputs (2)'!$D$2:$AL$2,0)),"")</f>
        <v>2.927</v>
      </c>
      <c r="R56" s="16">
        <f>IF(COUNT(N56:Q56)=4,SUM(N56:Q56),"")</f>
        <v>40.888</v>
      </c>
      <c r="S56" s="15">
        <f>IFERROR(INDEX('Inputs (2)'!$D$84:$AL$84,MATCH(S$7,'Inputs (2)'!$D$2:$AL$2,0)),"")</f>
        <v>8.715</v>
      </c>
      <c r="T56" s="15">
        <f>IFERROR(INDEX('Inputs (2)'!$D$84:$AL$84,MATCH(T$7,'Inputs (2)'!$D$2:$AL$2,0)),"")</f>
        <v>2.498</v>
      </c>
      <c r="U56" s="15">
        <f>IFERROR(INDEX('Inputs (2)'!$D$84:$AL$84,MATCH(U$7,'Inputs (2)'!$D$2:$AL$2,0)),"")</f>
        <v>-2.516</v>
      </c>
      <c r="V56" s="15">
        <f>IFERROR(INDEX('Inputs (2)'!$D$84:$AL$84,MATCH(V$7,'Inputs (2)'!$D$2:$AL$2,0)),"")</f>
        <v>9.491</v>
      </c>
      <c r="W56" s="16">
        <f>IF(COUNT(S56:V56)=4,SUM(S56:V56),"")</f>
        <v>18.188</v>
      </c>
      <c r="X56" s="15">
        <f>IFERROR(INDEX('Inputs (2)'!$D$84:$AL$84,MATCH(X$7,'Inputs (2)'!$D$2:$AL$2,0)),"")</f>
        <v>7.656</v>
      </c>
      <c r="Y56" s="15">
        <f>IFERROR(INDEX('Inputs (2)'!$D$84:$AL$84,MATCH(Y$7,'Inputs (2)'!$D$2:$AL$2,0)),"")</f>
        <v>8.31</v>
      </c>
      <c r="Z56" s="15">
        <f>IFERROR(INDEX('Inputs (2)'!$D$84:$AL$84,MATCH(Z$7,'Inputs (2)'!$D$2:$AL$2,0)),"")</f>
        <v>9.232</v>
      </c>
      <c r="AA56" s="15">
        <f>IFERROR(INDEX('Inputs (2)'!$D$84:$AL$84,MATCH(AA$7,'Inputs (2)'!$D$2:$AL$2,0)),"")</f>
        <v>12.312</v>
      </c>
      <c r="AB56" s="16">
        <f>IF(COUNT(X56:AA56)=4,SUM(X56:AA56),"")</f>
        <v>37.51</v>
      </c>
      <c r="AC56" s="15">
        <f>IFERROR(INDEX('Inputs (2)'!$D$84:$AL$84,MATCH(AC$7,'Inputs (2)'!$D$2:$AL$2,0)),"")</f>
        <v>10.785</v>
      </c>
      <c r="AD56" s="15">
        <f>IFERROR(INDEX('Inputs (2)'!$D$84:$AL$84,MATCH(AD$7,'Inputs (2)'!$D$2:$AL$2,0)),"")</f>
        <v>6.367</v>
      </c>
      <c r="AE56" s="15">
        <f>IFERROR(INDEX('Inputs (2)'!$D$84:$AL$84,MATCH(AE$7,'Inputs (2)'!$D$2:$AL$2,0)),"")</f>
        <v>4.348</v>
      </c>
      <c r="AF56" s="15">
        <f>IFERROR(INDEX('Inputs (2)'!$D$84:$AL$84,MATCH(AF$7,'Inputs (2)'!$D$2:$AL$2,0)),"")</f>
        <v>7.635</v>
      </c>
      <c r="AG56" s="16">
        <f>IF(COUNT(AC56:AF56)=4,SUM(AC56:AF56),"")</f>
        <v>29.135</v>
      </c>
      <c r="AH56" s="16">
        <f>IFERROR(INDEX('Inputs (2)'!$D$84:$AL$84,MATCH(AH$7,'Inputs (2)'!$D$2:$AL$2,0)),"")</f>
        <v>6.489</v>
      </c>
      <c r="AI56" s="16">
        <f>IFERROR(INDEX('Inputs (2)'!$D$84:$AL$84,MATCH(AI$7,'Inputs (2)'!$D$2:$AL$2,0)),"")</f>
        <v>13.194</v>
      </c>
    </row>
    <row r="57">
      <c r="C57" s="14" t="inlineStr">
        <is>
          <t xml:space="preserve">   TECP</t>
        </is>
      </c>
      <c r="D57" s="15" t="str">
        <f>IFERROR(INDEX('Inputs (2)'!$D$85:$AL$85,MATCH(D$7,'Inputs (2)'!$D$2:$AL$2,0)),"")</f>
        <v/>
      </c>
      <c r="E57" s="15" t="str">
        <f>IFERROR(INDEX('Inputs (2)'!$D$85:$AL$85,MATCH(E$7,'Inputs (2)'!$D$2:$AL$2,0)),"")</f>
        <v/>
      </c>
      <c r="F57" s="15" t="str">
        <f>IFERROR(INDEX('Inputs (2)'!$D$85:$AL$85,MATCH(F$7,'Inputs (2)'!$D$2:$AL$2,0)),"")</f>
        <v/>
      </c>
      <c r="G57" s="15" t="str">
        <f>IFERROR(INDEX('Inputs (2)'!$D$85:$AL$85,MATCH(G$7,'Inputs (2)'!$D$2:$AL$2,0)),"")</f>
        <v/>
      </c>
      <c r="H57" s="16" t="str">
        <f>IF(COUNT(D57:G57)=4,SUM(D57:G57),"")</f>
        <v/>
      </c>
      <c r="I57" s="15" t="str">
        <f>IFERROR(INDEX('Inputs (2)'!$D$85:$AL$85,MATCH(I$7,'Inputs (2)'!$D$2:$AL$2,0)),"")</f>
        <v/>
      </c>
      <c r="J57" s="15" t="str">
        <f>IFERROR(INDEX('Inputs (2)'!$D$85:$AL$85,MATCH(J$7,'Inputs (2)'!$D$2:$AL$2,0)),"")</f>
        <v/>
      </c>
      <c r="K57" s="15" t="str">
        <f>IFERROR(INDEX('Inputs (2)'!$D$85:$AL$85,MATCH(K$7,'Inputs (2)'!$D$2:$AL$2,0)),"")</f>
        <v/>
      </c>
      <c r="L57" s="15" t="str">
        <f>IFERROR(INDEX('Inputs (2)'!$D$85:$AL$85,MATCH(L$7,'Inputs (2)'!$D$2:$AL$2,0)),"")</f>
        <v/>
      </c>
      <c r="M57" s="16" t="str">
        <f>IF(COUNT(I57:L57)=4,SUM(I57:L57),"")</f>
        <v/>
      </c>
      <c r="N57" s="15" t="str">
        <f>IFERROR(INDEX('Inputs (2)'!$D$85:$AL$85,MATCH(N$7,'Inputs (2)'!$D$2:$AL$2,0)),"")</f>
        <v/>
      </c>
      <c r="O57" s="15" t="str">
        <f>IFERROR(INDEX('Inputs (2)'!$D$85:$AL$85,MATCH(O$7,'Inputs (2)'!$D$2:$AL$2,0)),"")</f>
        <v/>
      </c>
      <c r="P57" s="15" t="str">
        <f>IFERROR(INDEX('Inputs (2)'!$D$85:$AL$85,MATCH(P$7,'Inputs (2)'!$D$2:$AL$2,0)),"")</f>
        <v/>
      </c>
      <c r="Q57" s="15" t="str">
        <f>IFERROR(INDEX('Inputs (2)'!$D$85:$AL$85,MATCH(Q$7,'Inputs (2)'!$D$2:$AL$2,0)),"")</f>
        <v/>
      </c>
      <c r="R57" s="16" t="str">
        <f>IF(COUNT(N57:Q57)=4,SUM(N57:Q57),"")</f>
        <v/>
      </c>
      <c r="S57" s="15" t="str">
        <f>IFERROR(INDEX('Inputs (2)'!$D$85:$AL$85,MATCH(S$7,'Inputs (2)'!$D$2:$AL$2,0)),"")</f>
        <v/>
      </c>
      <c r="T57" s="15" t="str">
        <f>IFERROR(INDEX('Inputs (2)'!$D$85:$AL$85,MATCH(T$7,'Inputs (2)'!$D$2:$AL$2,0)),"")</f>
        <v/>
      </c>
      <c r="U57" s="15" t="str">
        <f>IFERROR(INDEX('Inputs (2)'!$D$85:$AL$85,MATCH(U$7,'Inputs (2)'!$D$2:$AL$2,0)),"")</f>
        <v/>
      </c>
      <c r="V57" s="15">
        <f>IFERROR(INDEX('Inputs (2)'!$D$85:$AL$85,MATCH(V$7,'Inputs (2)'!$D$2:$AL$2,0)),"")</f>
        <v>0.218</v>
      </c>
      <c r="W57" s="16" t="str">
        <f>IF(COUNT(S57:V57)=4,SUM(S57:V57),"")</f>
        <v/>
      </c>
      <c r="X57" s="15">
        <f>IFERROR(INDEX('Inputs (2)'!$D$85:$AL$85,MATCH(X$7,'Inputs (2)'!$D$2:$AL$2,0)),"")</f>
        <v>2.522</v>
      </c>
      <c r="Y57" s="15">
        <f>IFERROR(INDEX('Inputs (2)'!$D$85:$AL$85,MATCH(Y$7,'Inputs (2)'!$D$2:$AL$2,0)),"")</f>
        <v>2.347</v>
      </c>
      <c r="Z57" s="15">
        <f>IFERROR(INDEX('Inputs (2)'!$D$85:$AL$85,MATCH(Z$7,'Inputs (2)'!$D$2:$AL$2,0)),"")</f>
        <v>3.36</v>
      </c>
      <c r="AA57" s="15">
        <f>IFERROR(INDEX('Inputs (2)'!$D$85:$AL$85,MATCH(AA$7,'Inputs (2)'!$D$2:$AL$2,0)),"")</f>
        <v>11.719</v>
      </c>
      <c r="AB57" s="16">
        <f>IF(COUNT(X57:AA57)=4,SUM(X57:AA57),"")</f>
        <v>19.948</v>
      </c>
      <c r="AC57" s="15">
        <f>IFERROR(INDEX('Inputs (2)'!$D$85:$AL$85,MATCH(AC$7,'Inputs (2)'!$D$2:$AL$2,0)),"")</f>
        <v>82.577</v>
      </c>
      <c r="AD57" s="15">
        <f>IFERROR(INDEX('Inputs (2)'!$D$85:$AL$85,MATCH(AD$7,'Inputs (2)'!$D$2:$AL$2,0)),"")</f>
        <v>67.999</v>
      </c>
      <c r="AE57" s="15">
        <f>IFERROR(INDEX('Inputs (2)'!$D$85:$AL$85,MATCH(AE$7,'Inputs (2)'!$D$2:$AL$2,0)),"")</f>
        <v>165.995</v>
      </c>
      <c r="AF57" s="15">
        <f>IFERROR(INDEX('Inputs (2)'!$D$85:$AL$85,MATCH(AF$7,'Inputs (2)'!$D$2:$AL$2,0)),"")</f>
        <v>165.338</v>
      </c>
      <c r="AG57" s="16">
        <f>IF(COUNT(AC57:AF57)=4,SUM(AC57:AF57),"")</f>
        <v>481.909</v>
      </c>
      <c r="AH57" s="16">
        <f>IFERROR(INDEX('Inputs (2)'!$D$85:$AL$85,MATCH(AH$7,'Inputs (2)'!$D$2:$AL$2,0)),"")</f>
        <v>120.196</v>
      </c>
      <c r="AI57" s="16">
        <f>IFERROR(INDEX('Inputs (2)'!$D$85:$AL$85,MATCH(AI$7,'Inputs (2)'!$D$2:$AL$2,0)),"")</f>
        <v>161.951</v>
      </c>
    </row>
    <row r="58">
      <c r="C58" s="14" t="inlineStr">
        <is>
          <t xml:space="preserve">   TAP</t>
        </is>
      </c>
      <c r="D58" s="15" t="str">
        <f>IFERROR(INDEX('Inputs (2)'!$D$86:$AL$86,MATCH(D$7,'Inputs (2)'!$D$2:$AL$2,0)),"")</f>
        <v/>
      </c>
      <c r="E58" s="15" t="str">
        <f>IFERROR(INDEX('Inputs (2)'!$D$86:$AL$86,MATCH(E$7,'Inputs (2)'!$D$2:$AL$2,0)),"")</f>
        <v/>
      </c>
      <c r="F58" s="15" t="str">
        <f>IFERROR(INDEX('Inputs (2)'!$D$86:$AL$86,MATCH(F$7,'Inputs (2)'!$D$2:$AL$2,0)),"")</f>
        <v/>
      </c>
      <c r="G58" s="15" t="str">
        <f>IFERROR(INDEX('Inputs (2)'!$D$86:$AL$86,MATCH(G$7,'Inputs (2)'!$D$2:$AL$2,0)),"")</f>
        <v/>
      </c>
      <c r="H58" s="16" t="str">
        <f>IF(COUNT(D58:G58)=4,SUM(D58:G58),"")</f>
        <v/>
      </c>
      <c r="I58" s="15" t="str">
        <f>IFERROR(INDEX('Inputs (2)'!$D$86:$AL$86,MATCH(I$7,'Inputs (2)'!$D$2:$AL$2,0)),"")</f>
        <v/>
      </c>
      <c r="J58" s="15" t="str">
        <f>IFERROR(INDEX('Inputs (2)'!$D$86:$AL$86,MATCH(J$7,'Inputs (2)'!$D$2:$AL$2,0)),"")</f>
        <v/>
      </c>
      <c r="K58" s="15" t="str">
        <f>IFERROR(INDEX('Inputs (2)'!$D$86:$AL$86,MATCH(K$7,'Inputs (2)'!$D$2:$AL$2,0)),"")</f>
        <v/>
      </c>
      <c r="L58" s="15" t="str">
        <f>IFERROR(INDEX('Inputs (2)'!$D$86:$AL$86,MATCH(L$7,'Inputs (2)'!$D$2:$AL$2,0)),"")</f>
        <v/>
      </c>
      <c r="M58" s="16" t="str">
        <f>IF(COUNT(I58:L58)=4,SUM(I58:L58),"")</f>
        <v/>
      </c>
      <c r="N58" s="15" t="str">
        <f>IFERROR(INDEX('Inputs (2)'!$D$86:$AL$86,MATCH(N$7,'Inputs (2)'!$D$2:$AL$2,0)),"")</f>
        <v/>
      </c>
      <c r="O58" s="15" t="str">
        <f>IFERROR(INDEX('Inputs (2)'!$D$86:$AL$86,MATCH(O$7,'Inputs (2)'!$D$2:$AL$2,0)),"")</f>
        <v/>
      </c>
      <c r="P58" s="15" t="str">
        <f>IFERROR(INDEX('Inputs (2)'!$D$86:$AL$86,MATCH(P$7,'Inputs (2)'!$D$2:$AL$2,0)),"")</f>
        <v/>
      </c>
      <c r="Q58" s="15" t="str">
        <f>IFERROR(INDEX('Inputs (2)'!$D$86:$AL$86,MATCH(Q$7,'Inputs (2)'!$D$2:$AL$2,0)),"")</f>
        <v/>
      </c>
      <c r="R58" s="16" t="str">
        <f>IF(COUNT(N58:Q58)=4,SUM(N58:Q58),"")</f>
        <v/>
      </c>
      <c r="S58" s="15" t="str">
        <f>IFERROR(INDEX('Inputs (2)'!$D$86:$AL$86,MATCH(S$7,'Inputs (2)'!$D$2:$AL$2,0)),"")</f>
        <v/>
      </c>
      <c r="T58" s="15" t="str">
        <f>IFERROR(INDEX('Inputs (2)'!$D$86:$AL$86,MATCH(T$7,'Inputs (2)'!$D$2:$AL$2,0)),"")</f>
        <v/>
      </c>
      <c r="U58" s="15" t="str">
        <f>IFERROR(INDEX('Inputs (2)'!$D$86:$AL$86,MATCH(U$7,'Inputs (2)'!$D$2:$AL$2,0)),"")</f>
        <v/>
      </c>
      <c r="V58" s="15">
        <f>IFERROR(INDEX('Inputs (2)'!$D$86:$AL$86,MATCH(V$7,'Inputs (2)'!$D$2:$AL$2,0)),"")</f>
        <v>0</v>
      </c>
      <c r="W58" s="16" t="str">
        <f>IF(COUNT(S58:V58)=4,SUM(S58:V58),"")</f>
        <v/>
      </c>
      <c r="X58" s="15">
        <f>IFERROR(INDEX('Inputs (2)'!$D$86:$AL$86,MATCH(X$7,'Inputs (2)'!$D$2:$AL$2,0)),"")</f>
        <v>0</v>
      </c>
      <c r="Y58" s="15">
        <f>IFERROR(INDEX('Inputs (2)'!$D$86:$AL$86,MATCH(Y$7,'Inputs (2)'!$D$2:$AL$2,0)),"")</f>
        <v>3.696</v>
      </c>
      <c r="Z58" s="15">
        <f>IFERROR(INDEX('Inputs (2)'!$D$86:$AL$86,MATCH(Z$7,'Inputs (2)'!$D$2:$AL$2,0)),"")</f>
        <v>-0.365</v>
      </c>
      <c r="AA58" s="15">
        <f>IFERROR(INDEX('Inputs (2)'!$D$86:$AL$86,MATCH(AA$7,'Inputs (2)'!$D$2:$AL$2,0)),"")</f>
        <v>8.606</v>
      </c>
      <c r="AB58" s="16">
        <f>IF(COUNT(X58:AA58)=4,SUM(X58:AA58),"")</f>
        <v>11.937</v>
      </c>
      <c r="AC58" s="15">
        <f>IFERROR(INDEX('Inputs (2)'!$D$86:$AL$86,MATCH(AC$7,'Inputs (2)'!$D$2:$AL$2,0)),"")</f>
        <v>2.215</v>
      </c>
      <c r="AD58" s="15">
        <f>IFERROR(INDEX('Inputs (2)'!$D$86:$AL$86,MATCH(AD$7,'Inputs (2)'!$D$2:$AL$2,0)),"")</f>
        <v>0</v>
      </c>
      <c r="AE58" s="15">
        <f>IFERROR(INDEX('Inputs (2)'!$D$86:$AL$86,MATCH(AE$7,'Inputs (2)'!$D$2:$AL$2,0)),"")</f>
        <v>0</v>
      </c>
      <c r="AF58" s="15">
        <f>IFERROR(INDEX('Inputs (2)'!$D$86:$AL$86,MATCH(AF$7,'Inputs (2)'!$D$2:$AL$2,0)),"")</f>
        <v>0</v>
      </c>
      <c r="AG58" s="16">
        <f>IF(COUNT(AC58:AF58)=4,SUM(AC58:AF58),"")</f>
        <v>2.215</v>
      </c>
      <c r="AH58" s="16">
        <f>IFERROR(INDEX('Inputs (2)'!$D$86:$AL$86,MATCH(AH$7,'Inputs (2)'!$D$2:$AL$2,0)),"")</f>
        <v>0</v>
      </c>
      <c r="AI58" s="16">
        <f>IFERROR(INDEX('Inputs (2)'!$D$86:$AL$86,MATCH(AI$7,'Inputs (2)'!$D$2:$AL$2,0)),"")</f>
        <v>0</v>
      </c>
    </row>
    <row r="59">
      <c r="C59" s="14" t="inlineStr">
        <is>
          <t xml:space="preserve">   TCN</t>
        </is>
      </c>
      <c r="D59" s="15" t="str">
        <f>IFERROR(INDEX('Inputs (2)'!$D$87:$AL$87,MATCH(D$7,'Inputs (2)'!$D$2:$AL$2,0)),"")</f>
        <v/>
      </c>
      <c r="E59" s="15" t="str">
        <f>IFERROR(INDEX('Inputs (2)'!$D$87:$AL$87,MATCH(E$7,'Inputs (2)'!$D$2:$AL$2,0)),"")</f>
        <v/>
      </c>
      <c r="F59" s="15" t="str">
        <f>IFERROR(INDEX('Inputs (2)'!$D$87:$AL$87,MATCH(F$7,'Inputs (2)'!$D$2:$AL$2,0)),"")</f>
        <v/>
      </c>
      <c r="G59" s="15" t="str">
        <f>IFERROR(INDEX('Inputs (2)'!$D$87:$AL$87,MATCH(G$7,'Inputs (2)'!$D$2:$AL$2,0)),"")</f>
        <v/>
      </c>
      <c r="H59" s="16" t="str">
        <f>IF(COUNT(D59:G59)=4,SUM(D59:G59),"")</f>
        <v/>
      </c>
      <c r="I59" s="15" t="str">
        <f>IFERROR(INDEX('Inputs (2)'!$D$87:$AL$87,MATCH(I$7,'Inputs (2)'!$D$2:$AL$2,0)),"")</f>
        <v/>
      </c>
      <c r="J59" s="15" t="str">
        <f>IFERROR(INDEX('Inputs (2)'!$D$87:$AL$87,MATCH(J$7,'Inputs (2)'!$D$2:$AL$2,0)),"")</f>
        <v/>
      </c>
      <c r="K59" s="15" t="str">
        <f>IFERROR(INDEX('Inputs (2)'!$D$87:$AL$87,MATCH(K$7,'Inputs (2)'!$D$2:$AL$2,0)),"")</f>
        <v/>
      </c>
      <c r="L59" s="15" t="str">
        <f>IFERROR(INDEX('Inputs (2)'!$D$87:$AL$87,MATCH(L$7,'Inputs (2)'!$D$2:$AL$2,0)),"")</f>
        <v/>
      </c>
      <c r="M59" s="16" t="str">
        <f>IF(COUNT(I59:L59)=4,SUM(I59:L59),"")</f>
        <v/>
      </c>
      <c r="N59" s="15" t="str">
        <f>IFERROR(INDEX('Inputs (2)'!$D$87:$AL$87,MATCH(N$7,'Inputs (2)'!$D$2:$AL$2,0)),"")</f>
        <v/>
      </c>
      <c r="O59" s="15" t="str">
        <f>IFERROR(INDEX('Inputs (2)'!$D$87:$AL$87,MATCH(O$7,'Inputs (2)'!$D$2:$AL$2,0)),"")</f>
        <v/>
      </c>
      <c r="P59" s="15" t="str">
        <f>IFERROR(INDEX('Inputs (2)'!$D$87:$AL$87,MATCH(P$7,'Inputs (2)'!$D$2:$AL$2,0)),"")</f>
        <v/>
      </c>
      <c r="Q59" s="15" t="str">
        <f>IFERROR(INDEX('Inputs (2)'!$D$87:$AL$87,MATCH(Q$7,'Inputs (2)'!$D$2:$AL$2,0)),"")</f>
        <v/>
      </c>
      <c r="R59" s="16" t="str">
        <f>IF(COUNT(N59:Q59)=4,SUM(N59:Q59),"")</f>
        <v/>
      </c>
      <c r="S59" s="15" t="str">
        <f>IFERROR(INDEX('Inputs (2)'!$D$87:$AL$87,MATCH(S$7,'Inputs (2)'!$D$2:$AL$2,0)),"")</f>
        <v/>
      </c>
      <c r="T59" s="15" t="str">
        <f>IFERROR(INDEX('Inputs (2)'!$D$87:$AL$87,MATCH(T$7,'Inputs (2)'!$D$2:$AL$2,0)),"")</f>
        <v/>
      </c>
      <c r="U59" s="15" t="str">
        <f>IFERROR(INDEX('Inputs (2)'!$D$87:$AL$87,MATCH(U$7,'Inputs (2)'!$D$2:$AL$2,0)),"")</f>
        <v/>
      </c>
      <c r="V59" s="15" t="str">
        <f>IFERROR(INDEX('Inputs (2)'!$D$87:$AL$87,MATCH(V$7,'Inputs (2)'!$D$2:$AL$2,0)),"")</f>
        <v/>
      </c>
      <c r="W59" s="16" t="str">
        <f>IF(COUNT(S59:V59)=4,SUM(S59:V59),"")</f>
        <v/>
      </c>
      <c r="X59" s="15">
        <f>IFERROR(INDEX('Inputs (2)'!$D$87:$AL$87,MATCH(X$7,'Inputs (2)'!$D$2:$AL$2,0)),"")</f>
        <v>0</v>
      </c>
      <c r="Y59" s="15">
        <f>IFERROR(INDEX('Inputs (2)'!$D$87:$AL$87,MATCH(Y$7,'Inputs (2)'!$D$2:$AL$2,0)),"")</f>
        <v>0</v>
      </c>
      <c r="Z59" s="15">
        <f>IFERROR(INDEX('Inputs (2)'!$D$87:$AL$87,MATCH(Z$7,'Inputs (2)'!$D$2:$AL$2,0)),"")</f>
        <v>2.322</v>
      </c>
      <c r="AA59" s="15">
        <f>IFERROR(INDEX('Inputs (2)'!$D$87:$AL$87,MATCH(AA$7,'Inputs (2)'!$D$2:$AL$2,0)),"")</f>
        <v>2.299</v>
      </c>
      <c r="AB59" s="16">
        <f>IF(COUNT(X59:AA59)=4,SUM(X59:AA59),"")</f>
        <v>4.621</v>
      </c>
      <c r="AC59" s="15">
        <f>IFERROR(INDEX('Inputs (2)'!$D$87:$AL$87,MATCH(AC$7,'Inputs (2)'!$D$2:$AL$2,0)),"")</f>
        <v>1.786</v>
      </c>
      <c r="AD59" s="15">
        <f>IFERROR(INDEX('Inputs (2)'!$D$87:$AL$87,MATCH(AD$7,'Inputs (2)'!$D$2:$AL$2,0)),"")</f>
        <v>3.813</v>
      </c>
      <c r="AE59" s="15">
        <f>IFERROR(INDEX('Inputs (2)'!$D$87:$AL$87,MATCH(AE$7,'Inputs (2)'!$D$2:$AL$2,0)),"")</f>
        <v>7.605</v>
      </c>
      <c r="AF59" s="15">
        <f>IFERROR(INDEX('Inputs (2)'!$D$87:$AL$87,MATCH(AF$7,'Inputs (2)'!$D$2:$AL$2,0)),"")</f>
        <v>16.646</v>
      </c>
      <c r="AG59" s="16">
        <f>IF(COUNT(AC59:AF59)=4,SUM(AC59:AF59),"")</f>
        <v>29.85</v>
      </c>
      <c r="AH59" s="16">
        <f>IFERROR(INDEX('Inputs (2)'!$D$87:$AL$87,MATCH(AH$7,'Inputs (2)'!$D$2:$AL$2,0)),"")</f>
        <v>0</v>
      </c>
      <c r="AI59" s="16" t="str">
        <f>IFERROR(INDEX('Inputs (2)'!$D$87:$AL$87,MATCH(AI$7,'Inputs (2)'!$D$2:$AL$2,0)),"")</f>
        <v/>
      </c>
    </row>
    <row r="60">
      <c r="C60" s="14" t="inlineStr">
        <is>
          <t xml:space="preserve">   TPC</t>
        </is>
      </c>
      <c r="D60" s="15" t="str">
        <f>IFERROR(INDEX('Inputs (2)'!$D$88:$AL$88,MATCH(D$7,'Inputs (2)'!$D$2:$AL$2,0)),"")</f>
        <v/>
      </c>
      <c r="E60" s="15" t="str">
        <f>IFERROR(INDEX('Inputs (2)'!$D$88:$AL$88,MATCH(E$7,'Inputs (2)'!$D$2:$AL$2,0)),"")</f>
        <v/>
      </c>
      <c r="F60" s="15" t="str">
        <f>IFERROR(INDEX('Inputs (2)'!$D$88:$AL$88,MATCH(F$7,'Inputs (2)'!$D$2:$AL$2,0)),"")</f>
        <v/>
      </c>
      <c r="G60" s="15" t="str">
        <f>IFERROR(INDEX('Inputs (2)'!$D$88:$AL$88,MATCH(G$7,'Inputs (2)'!$D$2:$AL$2,0)),"")</f>
        <v/>
      </c>
      <c r="H60" s="16" t="str">
        <f>IF(COUNT(D60:G60)=4,SUM(D60:G60),"")</f>
        <v/>
      </c>
      <c r="I60" s="15" t="str">
        <f>IFERROR(INDEX('Inputs (2)'!$D$88:$AL$88,MATCH(I$7,'Inputs (2)'!$D$2:$AL$2,0)),"")</f>
        <v/>
      </c>
      <c r="J60" s="15" t="str">
        <f>IFERROR(INDEX('Inputs (2)'!$D$88:$AL$88,MATCH(J$7,'Inputs (2)'!$D$2:$AL$2,0)),"")</f>
        <v/>
      </c>
      <c r="K60" s="15" t="str">
        <f>IFERROR(INDEX('Inputs (2)'!$D$88:$AL$88,MATCH(K$7,'Inputs (2)'!$D$2:$AL$2,0)),"")</f>
        <v/>
      </c>
      <c r="L60" s="15" t="str">
        <f>IFERROR(INDEX('Inputs (2)'!$D$88:$AL$88,MATCH(L$7,'Inputs (2)'!$D$2:$AL$2,0)),"")</f>
        <v/>
      </c>
      <c r="M60" s="16" t="str">
        <f>IF(COUNT(I60:L60)=4,SUM(I60:L60),"")</f>
        <v/>
      </c>
      <c r="N60" s="15" t="str">
        <f>IFERROR(INDEX('Inputs (2)'!$D$88:$AL$88,MATCH(N$7,'Inputs (2)'!$D$2:$AL$2,0)),"")</f>
        <v/>
      </c>
      <c r="O60" s="15" t="str">
        <f>IFERROR(INDEX('Inputs (2)'!$D$88:$AL$88,MATCH(O$7,'Inputs (2)'!$D$2:$AL$2,0)),"")</f>
        <v/>
      </c>
      <c r="P60" s="15" t="str">
        <f>IFERROR(INDEX('Inputs (2)'!$D$88:$AL$88,MATCH(P$7,'Inputs (2)'!$D$2:$AL$2,0)),"")</f>
        <v/>
      </c>
      <c r="Q60" s="15" t="str">
        <f>IFERROR(INDEX('Inputs (2)'!$D$88:$AL$88,MATCH(Q$7,'Inputs (2)'!$D$2:$AL$2,0)),"")</f>
        <v/>
      </c>
      <c r="R60" s="16" t="str">
        <f>IF(COUNT(N60:Q60)=4,SUM(N60:Q60),"")</f>
        <v/>
      </c>
      <c r="S60" s="15" t="str">
        <f>IFERROR(INDEX('Inputs (2)'!$D$88:$AL$88,MATCH(S$7,'Inputs (2)'!$D$2:$AL$2,0)),"")</f>
        <v/>
      </c>
      <c r="T60" s="15" t="str">
        <f>IFERROR(INDEX('Inputs (2)'!$D$88:$AL$88,MATCH(T$7,'Inputs (2)'!$D$2:$AL$2,0)),"")</f>
        <v/>
      </c>
      <c r="U60" s="15" t="str">
        <f>IFERROR(INDEX('Inputs (2)'!$D$88:$AL$88,MATCH(U$7,'Inputs (2)'!$D$2:$AL$2,0)),"")</f>
        <v/>
      </c>
      <c r="V60" s="15" t="str">
        <f>IFERROR(INDEX('Inputs (2)'!$D$88:$AL$88,MATCH(V$7,'Inputs (2)'!$D$2:$AL$2,0)),"")</f>
        <v/>
      </c>
      <c r="W60" s="16" t="str">
        <f>IF(COUNT(S60:V60)=4,SUM(S60:V60),"")</f>
        <v/>
      </c>
      <c r="X60" s="15">
        <f>IFERROR(INDEX('Inputs (2)'!$D$88:$AL$88,MATCH(X$7,'Inputs (2)'!$D$2:$AL$2,0)),"")</f>
        <v>0</v>
      </c>
      <c r="Y60" s="15">
        <f>IFERROR(INDEX('Inputs (2)'!$D$88:$AL$88,MATCH(Y$7,'Inputs (2)'!$D$2:$AL$2,0)),"")</f>
        <v>0</v>
      </c>
      <c r="Z60" s="15">
        <f>IFERROR(INDEX('Inputs (2)'!$D$88:$AL$88,MATCH(Z$7,'Inputs (2)'!$D$2:$AL$2,0)),"")</f>
        <v>1.051</v>
      </c>
      <c r="AA60" s="15">
        <f>IFERROR(INDEX('Inputs (2)'!$D$88:$AL$88,MATCH(AA$7,'Inputs (2)'!$D$2:$AL$2,0)),"")</f>
        <v>1.163</v>
      </c>
      <c r="AB60" s="16">
        <f>IF(COUNT(X60:AA60)=4,SUM(X60:AA60),"")</f>
        <v>2.214</v>
      </c>
      <c r="AC60" s="15">
        <f>IFERROR(INDEX('Inputs (2)'!$D$88:$AL$88,MATCH(AC$7,'Inputs (2)'!$D$2:$AL$2,0)),"")</f>
        <v>2.755</v>
      </c>
      <c r="AD60" s="15">
        <f>IFERROR(INDEX('Inputs (2)'!$D$88:$AL$88,MATCH(AD$7,'Inputs (2)'!$D$2:$AL$2,0)),"")</f>
        <v>2.785</v>
      </c>
      <c r="AE60" s="15">
        <f>IFERROR(INDEX('Inputs (2)'!$D$88:$AL$88,MATCH(AE$7,'Inputs (2)'!$D$2:$AL$2,0)),"")</f>
        <v>3.856</v>
      </c>
      <c r="AF60" s="15">
        <f>IFERROR(INDEX('Inputs (2)'!$D$88:$AL$88,MATCH(AF$7,'Inputs (2)'!$D$2:$AL$2,0)),"")</f>
        <v>7.902</v>
      </c>
      <c r="AG60" s="16">
        <f>IF(COUNT(AC60:AF60)=4,SUM(AC60:AF60),"")</f>
        <v>17.298</v>
      </c>
      <c r="AH60" s="16">
        <f>IFERROR(INDEX('Inputs (2)'!$D$88:$AL$88,MATCH(AH$7,'Inputs (2)'!$D$2:$AL$2,0)),"")</f>
        <v>10.13</v>
      </c>
      <c r="AI60" s="16">
        <f>IFERROR(INDEX('Inputs (2)'!$D$88:$AL$88,MATCH(AI$7,'Inputs (2)'!$D$2:$AL$2,0)),"")</f>
        <v>10.703</v>
      </c>
    </row>
    <row r="61">
      <c r="C61" s="14" t="inlineStr">
        <is>
          <t xml:space="preserve">   TSA</t>
        </is>
      </c>
      <c r="D61" s="15" t="str">
        <f>IFERROR(INDEX('Inputs (2)'!$D$89:$AL$89,MATCH(D$7,'Inputs (2)'!$D$2:$AL$2,0)),"")</f>
        <v/>
      </c>
      <c r="E61" s="15" t="str">
        <f>IFERROR(INDEX('Inputs (2)'!$D$89:$AL$89,MATCH(E$7,'Inputs (2)'!$D$2:$AL$2,0)),"")</f>
        <v/>
      </c>
      <c r="F61" s="15" t="str">
        <f>IFERROR(INDEX('Inputs (2)'!$D$89:$AL$89,MATCH(F$7,'Inputs (2)'!$D$2:$AL$2,0)),"")</f>
        <v/>
      </c>
      <c r="G61" s="15" t="str">
        <f>IFERROR(INDEX('Inputs (2)'!$D$89:$AL$89,MATCH(G$7,'Inputs (2)'!$D$2:$AL$2,0)),"")</f>
        <v/>
      </c>
      <c r="H61" s="16" t="str">
        <f>IF(COUNT(D61:G61)=4,SUM(D61:G61),"")</f>
        <v/>
      </c>
      <c r="I61" s="15" t="str">
        <f>IFERROR(INDEX('Inputs (2)'!$D$89:$AL$89,MATCH(I$7,'Inputs (2)'!$D$2:$AL$2,0)),"")</f>
        <v/>
      </c>
      <c r="J61" s="15" t="str">
        <f>IFERROR(INDEX('Inputs (2)'!$D$89:$AL$89,MATCH(J$7,'Inputs (2)'!$D$2:$AL$2,0)),"")</f>
        <v/>
      </c>
      <c r="K61" s="15" t="str">
        <f>IFERROR(INDEX('Inputs (2)'!$D$89:$AL$89,MATCH(K$7,'Inputs (2)'!$D$2:$AL$2,0)),"")</f>
        <v/>
      </c>
      <c r="L61" s="15" t="str">
        <f>IFERROR(INDEX('Inputs (2)'!$D$89:$AL$89,MATCH(L$7,'Inputs (2)'!$D$2:$AL$2,0)),"")</f>
        <v/>
      </c>
      <c r="M61" s="16" t="str">
        <f>IF(COUNT(I61:L61)=4,SUM(I61:L61),"")</f>
        <v/>
      </c>
      <c r="N61" s="15" t="str">
        <f>IFERROR(INDEX('Inputs (2)'!$D$89:$AL$89,MATCH(N$7,'Inputs (2)'!$D$2:$AL$2,0)),"")</f>
        <v/>
      </c>
      <c r="O61" s="15" t="str">
        <f>IFERROR(INDEX('Inputs (2)'!$D$89:$AL$89,MATCH(O$7,'Inputs (2)'!$D$2:$AL$2,0)),"")</f>
        <v/>
      </c>
      <c r="P61" s="15" t="str">
        <f>IFERROR(INDEX('Inputs (2)'!$D$89:$AL$89,MATCH(P$7,'Inputs (2)'!$D$2:$AL$2,0)),"")</f>
        <v/>
      </c>
      <c r="Q61" s="15" t="str">
        <f>IFERROR(INDEX('Inputs (2)'!$D$89:$AL$89,MATCH(Q$7,'Inputs (2)'!$D$2:$AL$2,0)),"")</f>
        <v/>
      </c>
      <c r="R61" s="16" t="str">
        <f>IF(COUNT(N61:Q61)=4,SUM(N61:Q61),"")</f>
        <v/>
      </c>
      <c r="S61" s="15" t="str">
        <f>IFERROR(INDEX('Inputs (2)'!$D$89:$AL$89,MATCH(S$7,'Inputs (2)'!$D$2:$AL$2,0)),"")</f>
        <v/>
      </c>
      <c r="T61" s="15" t="str">
        <f>IFERROR(INDEX('Inputs (2)'!$D$89:$AL$89,MATCH(T$7,'Inputs (2)'!$D$2:$AL$2,0)),"")</f>
        <v/>
      </c>
      <c r="U61" s="15" t="str">
        <f>IFERROR(INDEX('Inputs (2)'!$D$89:$AL$89,MATCH(U$7,'Inputs (2)'!$D$2:$AL$2,0)),"")</f>
        <v/>
      </c>
      <c r="V61" s="15" t="str">
        <f>IFERROR(INDEX('Inputs (2)'!$D$89:$AL$89,MATCH(V$7,'Inputs (2)'!$D$2:$AL$2,0)),"")</f>
        <v/>
      </c>
      <c r="W61" s="16" t="str">
        <f>IF(COUNT(S61:V61)=4,SUM(S61:V61),"")</f>
        <v/>
      </c>
      <c r="X61" s="15" t="str">
        <f>IFERROR(INDEX('Inputs (2)'!$D$89:$AL$89,MATCH(X$7,'Inputs (2)'!$D$2:$AL$2,0)),"")</f>
        <v/>
      </c>
      <c r="Y61" s="15" t="str">
        <f>IFERROR(INDEX('Inputs (2)'!$D$89:$AL$89,MATCH(Y$7,'Inputs (2)'!$D$2:$AL$2,0)),"")</f>
        <v/>
      </c>
      <c r="Z61" s="15">
        <f>IFERROR(INDEX('Inputs (2)'!$D$89:$AL$89,MATCH(Z$7,'Inputs (2)'!$D$2:$AL$2,0)),"")</f>
        <v>0</v>
      </c>
      <c r="AA61" s="15">
        <f>IFERROR(INDEX('Inputs (2)'!$D$89:$AL$89,MATCH(AA$7,'Inputs (2)'!$D$2:$AL$2,0)),"")</f>
        <v>51.793</v>
      </c>
      <c r="AB61" s="16" t="str">
        <f>IF(COUNT(X61:AA61)=4,SUM(X61:AA61),"")</f>
        <v/>
      </c>
      <c r="AC61" s="15">
        <f>IFERROR(INDEX('Inputs (2)'!$D$89:$AL$89,MATCH(AC$7,'Inputs (2)'!$D$2:$AL$2,0)),"")</f>
        <v>0.502</v>
      </c>
      <c r="AD61" s="15">
        <f>IFERROR(INDEX('Inputs (2)'!$D$89:$AL$89,MATCH(AD$7,'Inputs (2)'!$D$2:$AL$2,0)),"")</f>
        <v>2.806</v>
      </c>
      <c r="AE61" s="15">
        <f>IFERROR(INDEX('Inputs (2)'!$D$89:$AL$89,MATCH(AE$7,'Inputs (2)'!$D$2:$AL$2,0)),"")</f>
        <v>8.948</v>
      </c>
      <c r="AF61" s="15">
        <f>IFERROR(INDEX('Inputs (2)'!$D$89:$AL$89,MATCH(AF$7,'Inputs (2)'!$D$2:$AL$2,0)),"")</f>
        <v>12.498</v>
      </c>
      <c r="AG61" s="16">
        <f>IF(COUNT(AC61:AF61)=4,SUM(AC61:AF61),"")</f>
        <v>24.754</v>
      </c>
      <c r="AH61" s="16">
        <f>IFERROR(INDEX('Inputs (2)'!$D$89:$AL$89,MATCH(AH$7,'Inputs (2)'!$D$2:$AL$2,0)),"")</f>
        <v>10.483</v>
      </c>
      <c r="AI61" s="16">
        <f>IFERROR(INDEX('Inputs (2)'!$D$89:$AL$89,MATCH(AI$7,'Inputs (2)'!$D$2:$AL$2,0)),"")</f>
        <v>7.295</v>
      </c>
    </row>
    <row r="62">
      <c r="C62" s="14" t="inlineStr">
        <is>
          <t xml:space="preserve">   TBO</t>
        </is>
      </c>
      <c r="D62" s="15" t="str">
        <f>IFERROR(INDEX('Inputs (2)'!$D$90:$AL$90,MATCH(D$7,'Inputs (2)'!$D$2:$AL$2,0)),"")</f>
        <v/>
      </c>
      <c r="E62" s="15" t="str">
        <f>IFERROR(INDEX('Inputs (2)'!$D$90:$AL$90,MATCH(E$7,'Inputs (2)'!$D$2:$AL$2,0)),"")</f>
        <v/>
      </c>
      <c r="F62" s="15" t="str">
        <f>IFERROR(INDEX('Inputs (2)'!$D$90:$AL$90,MATCH(F$7,'Inputs (2)'!$D$2:$AL$2,0)),"")</f>
        <v/>
      </c>
      <c r="G62" s="15" t="str">
        <f>IFERROR(INDEX('Inputs (2)'!$D$90:$AL$90,MATCH(G$7,'Inputs (2)'!$D$2:$AL$2,0)),"")</f>
        <v/>
      </c>
      <c r="H62" s="16" t="str">
        <f>IF(COUNT(D62:G62)=4,SUM(D62:G62),"")</f>
        <v/>
      </c>
      <c r="I62" s="15" t="str">
        <f>IFERROR(INDEX('Inputs (2)'!$D$90:$AL$90,MATCH(I$7,'Inputs (2)'!$D$2:$AL$2,0)),"")</f>
        <v/>
      </c>
      <c r="J62" s="15" t="str">
        <f>IFERROR(INDEX('Inputs (2)'!$D$90:$AL$90,MATCH(J$7,'Inputs (2)'!$D$2:$AL$2,0)),"")</f>
        <v/>
      </c>
      <c r="K62" s="15" t="str">
        <f>IFERROR(INDEX('Inputs (2)'!$D$90:$AL$90,MATCH(K$7,'Inputs (2)'!$D$2:$AL$2,0)),"")</f>
        <v/>
      </c>
      <c r="L62" s="15" t="str">
        <f>IFERROR(INDEX('Inputs (2)'!$D$90:$AL$90,MATCH(L$7,'Inputs (2)'!$D$2:$AL$2,0)),"")</f>
        <v/>
      </c>
      <c r="M62" s="16" t="str">
        <f>IF(COUNT(I62:L62)=4,SUM(I62:L62),"")</f>
        <v/>
      </c>
      <c r="N62" s="15" t="str">
        <f>IFERROR(INDEX('Inputs (2)'!$D$90:$AL$90,MATCH(N$7,'Inputs (2)'!$D$2:$AL$2,0)),"")</f>
        <v/>
      </c>
      <c r="O62" s="15" t="str">
        <f>IFERROR(INDEX('Inputs (2)'!$D$90:$AL$90,MATCH(O$7,'Inputs (2)'!$D$2:$AL$2,0)),"")</f>
        <v/>
      </c>
      <c r="P62" s="15" t="str">
        <f>IFERROR(INDEX('Inputs (2)'!$D$90:$AL$90,MATCH(P$7,'Inputs (2)'!$D$2:$AL$2,0)),"")</f>
        <v/>
      </c>
      <c r="Q62" s="15" t="str">
        <f>IFERROR(INDEX('Inputs (2)'!$D$90:$AL$90,MATCH(Q$7,'Inputs (2)'!$D$2:$AL$2,0)),"")</f>
        <v/>
      </c>
      <c r="R62" s="16" t="str">
        <f>IF(COUNT(N62:Q62)=4,SUM(N62:Q62),"")</f>
        <v/>
      </c>
      <c r="S62" s="15" t="str">
        <f>IFERROR(INDEX('Inputs (2)'!$D$90:$AL$90,MATCH(S$7,'Inputs (2)'!$D$2:$AL$2,0)),"")</f>
        <v/>
      </c>
      <c r="T62" s="15" t="str">
        <f>IFERROR(INDEX('Inputs (2)'!$D$90:$AL$90,MATCH(T$7,'Inputs (2)'!$D$2:$AL$2,0)),"")</f>
        <v/>
      </c>
      <c r="U62" s="15" t="str">
        <f>IFERROR(INDEX('Inputs (2)'!$D$90:$AL$90,MATCH(U$7,'Inputs (2)'!$D$2:$AL$2,0)),"")</f>
        <v/>
      </c>
      <c r="V62" s="15" t="str">
        <f>IFERROR(INDEX('Inputs (2)'!$D$90:$AL$90,MATCH(V$7,'Inputs (2)'!$D$2:$AL$2,0)),"")</f>
        <v/>
      </c>
      <c r="W62" s="16" t="str">
        <f>IF(COUNT(S62:V62)=4,SUM(S62:V62),"")</f>
        <v/>
      </c>
      <c r="X62" s="15" t="str">
        <f>IFERROR(INDEX('Inputs (2)'!$D$90:$AL$90,MATCH(X$7,'Inputs (2)'!$D$2:$AL$2,0)),"")</f>
        <v/>
      </c>
      <c r="Y62" s="15" t="str">
        <f>IFERROR(INDEX('Inputs (2)'!$D$90:$AL$90,MATCH(Y$7,'Inputs (2)'!$D$2:$AL$2,0)),"")</f>
        <v/>
      </c>
      <c r="Z62" s="15" t="str">
        <f>IFERROR(INDEX('Inputs (2)'!$D$90:$AL$90,MATCH(Z$7,'Inputs (2)'!$D$2:$AL$2,0)),"")</f>
        <v/>
      </c>
      <c r="AA62" s="15" t="str">
        <f>IFERROR(INDEX('Inputs (2)'!$D$90:$AL$90,MATCH(AA$7,'Inputs (2)'!$D$2:$AL$2,0)),"")</f>
        <v/>
      </c>
      <c r="AB62" s="16" t="str">
        <f>IF(COUNT(X62:AA62)=4,SUM(X62:AA62),"")</f>
        <v/>
      </c>
      <c r="AC62" s="15" t="str">
        <f>IFERROR(INDEX('Inputs (2)'!$D$90:$AL$90,MATCH(AC$7,'Inputs (2)'!$D$2:$AL$2,0)),"")</f>
        <v/>
      </c>
      <c r="AD62" s="15" t="str">
        <f>IFERROR(INDEX('Inputs (2)'!$D$90:$AL$90,MATCH(AD$7,'Inputs (2)'!$D$2:$AL$2,0)),"")</f>
        <v/>
      </c>
      <c r="AE62" s="15">
        <f>IFERROR(INDEX('Inputs (2)'!$D$90:$AL$90,MATCH(AE$7,'Inputs (2)'!$D$2:$AL$2,0)),"")</f>
        <v>3.286</v>
      </c>
      <c r="AF62" s="15">
        <f>IFERROR(INDEX('Inputs (2)'!$D$90:$AL$90,MATCH(AF$7,'Inputs (2)'!$D$2:$AL$2,0)),"")</f>
        <v>5.897</v>
      </c>
      <c r="AG62" s="16" t="str">
        <f>IF(COUNT(AC62:AF62)=4,SUM(AC62:AF62),"")</f>
        <v/>
      </c>
      <c r="AH62" s="16">
        <f>IFERROR(INDEX('Inputs (2)'!$D$90:$AL$90,MATCH(AH$7,'Inputs (2)'!$D$2:$AL$2,0)),"")</f>
        <v>7.089</v>
      </c>
      <c r="AI62" s="16">
        <f>IFERROR(INDEX('Inputs (2)'!$D$90:$AL$90,MATCH(AI$7,'Inputs (2)'!$D$2:$AL$2,0)),"")</f>
        <v>8.584</v>
      </c>
    </row>
    <row r="63">
      <c r="C63" s="14" t="inlineStr">
        <is>
          <t xml:space="preserve">   PALCA</t>
        </is>
      </c>
      <c r="D63" s="15" t="str">
        <f>IFERROR(INDEX('Inputs (2)'!$D$91:$AL$91,MATCH(D$7,'Inputs (2)'!$D$2:$AL$2,0)),"")</f>
        <v/>
      </c>
      <c r="E63" s="15" t="str">
        <f>IFERROR(INDEX('Inputs (2)'!$D$91:$AL$91,MATCH(E$7,'Inputs (2)'!$D$2:$AL$2,0)),"")</f>
        <v/>
      </c>
      <c r="F63" s="15" t="str">
        <f>IFERROR(INDEX('Inputs (2)'!$D$91:$AL$91,MATCH(F$7,'Inputs (2)'!$D$2:$AL$2,0)),"")</f>
        <v/>
      </c>
      <c r="G63" s="15" t="str">
        <f>IFERROR(INDEX('Inputs (2)'!$D$91:$AL$91,MATCH(G$7,'Inputs (2)'!$D$2:$AL$2,0)),"")</f>
        <v/>
      </c>
      <c r="H63" s="16" t="str">
        <f>IF(COUNT(D63:G63)=4,SUM(D63:G63),"")</f>
        <v/>
      </c>
      <c r="I63" s="15" t="str">
        <f>IFERROR(INDEX('Inputs (2)'!$D$91:$AL$91,MATCH(I$7,'Inputs (2)'!$D$2:$AL$2,0)),"")</f>
        <v/>
      </c>
      <c r="J63" s="15" t="str">
        <f>IFERROR(INDEX('Inputs (2)'!$D$91:$AL$91,MATCH(J$7,'Inputs (2)'!$D$2:$AL$2,0)),"")</f>
        <v/>
      </c>
      <c r="K63" s="15" t="str">
        <f>IFERROR(INDEX('Inputs (2)'!$D$91:$AL$91,MATCH(K$7,'Inputs (2)'!$D$2:$AL$2,0)),"")</f>
        <v/>
      </c>
      <c r="L63" s="15" t="str">
        <f>IFERROR(INDEX('Inputs (2)'!$D$91:$AL$91,MATCH(L$7,'Inputs (2)'!$D$2:$AL$2,0)),"")</f>
        <v/>
      </c>
      <c r="M63" s="16" t="str">
        <f>IF(COUNT(I63:L63)=4,SUM(I63:L63),"")</f>
        <v/>
      </c>
      <c r="N63" s="15" t="str">
        <f>IFERROR(INDEX('Inputs (2)'!$D$91:$AL$91,MATCH(N$7,'Inputs (2)'!$D$2:$AL$2,0)),"")</f>
        <v/>
      </c>
      <c r="O63" s="15" t="str">
        <f>IFERROR(INDEX('Inputs (2)'!$D$91:$AL$91,MATCH(O$7,'Inputs (2)'!$D$2:$AL$2,0)),"")</f>
        <v/>
      </c>
      <c r="P63" s="15" t="str">
        <f>IFERROR(INDEX('Inputs (2)'!$D$91:$AL$91,MATCH(P$7,'Inputs (2)'!$D$2:$AL$2,0)),"")</f>
        <v/>
      </c>
      <c r="Q63" s="15" t="str">
        <f>IFERROR(INDEX('Inputs (2)'!$D$91:$AL$91,MATCH(Q$7,'Inputs (2)'!$D$2:$AL$2,0)),"")</f>
        <v/>
      </c>
      <c r="R63" s="16" t="str">
        <f>IF(COUNT(N63:Q63)=4,SUM(N63:Q63),"")</f>
        <v/>
      </c>
      <c r="S63" s="15" t="str">
        <f>IFERROR(INDEX('Inputs (2)'!$D$91:$AL$91,MATCH(S$7,'Inputs (2)'!$D$2:$AL$2,0)),"")</f>
        <v/>
      </c>
      <c r="T63" s="15" t="str">
        <f>IFERROR(INDEX('Inputs (2)'!$D$91:$AL$91,MATCH(T$7,'Inputs (2)'!$D$2:$AL$2,0)),"")</f>
        <v/>
      </c>
      <c r="U63" s="15" t="str">
        <f>IFERROR(INDEX('Inputs (2)'!$D$91:$AL$91,MATCH(U$7,'Inputs (2)'!$D$2:$AL$2,0)),"")</f>
        <v/>
      </c>
      <c r="V63" s="15" t="str">
        <f>IFERROR(INDEX('Inputs (2)'!$D$91:$AL$91,MATCH(V$7,'Inputs (2)'!$D$2:$AL$2,0)),"")</f>
        <v/>
      </c>
      <c r="W63" s="16" t="str">
        <f>IF(COUNT(S63:V63)=4,SUM(S63:V63),"")</f>
        <v/>
      </c>
      <c r="X63" s="15" t="str">
        <f>IFERROR(INDEX('Inputs (2)'!$D$91:$AL$91,MATCH(X$7,'Inputs (2)'!$D$2:$AL$2,0)),"")</f>
        <v/>
      </c>
      <c r="Y63" s="15" t="str">
        <f>IFERROR(INDEX('Inputs (2)'!$D$91:$AL$91,MATCH(Y$7,'Inputs (2)'!$D$2:$AL$2,0)),"")</f>
        <v/>
      </c>
      <c r="Z63" s="15" t="str">
        <f>IFERROR(INDEX('Inputs (2)'!$D$91:$AL$91,MATCH(Z$7,'Inputs (2)'!$D$2:$AL$2,0)),"")</f>
        <v/>
      </c>
      <c r="AA63" s="15" t="str">
        <f>IFERROR(INDEX('Inputs (2)'!$D$91:$AL$91,MATCH(AA$7,'Inputs (2)'!$D$2:$AL$2,0)),"")</f>
        <v/>
      </c>
      <c r="AB63" s="16" t="str">
        <f>IF(COUNT(X63:AA63)=4,SUM(X63:AA63),"")</f>
        <v/>
      </c>
      <c r="AC63" s="15" t="str">
        <f>IFERROR(INDEX('Inputs (2)'!$D$91:$AL$91,MATCH(AC$7,'Inputs (2)'!$D$2:$AL$2,0)),"")</f>
        <v/>
      </c>
      <c r="AD63" s="15" t="str">
        <f>IFERROR(INDEX('Inputs (2)'!$D$91:$AL$91,MATCH(AD$7,'Inputs (2)'!$D$2:$AL$2,0)),"")</f>
        <v/>
      </c>
      <c r="AE63" s="15" t="str">
        <f>IFERROR(INDEX('Inputs (2)'!$D$91:$AL$91,MATCH(AE$7,'Inputs (2)'!$D$2:$AL$2,0)),"")</f>
        <v/>
      </c>
      <c r="AF63" s="15">
        <f>IFERROR(INDEX('Inputs (2)'!$D$91:$AL$91,MATCH(AF$7,'Inputs (2)'!$D$2:$AL$2,0)),"")</f>
        <v>26.482</v>
      </c>
      <c r="AG63" s="16" t="str">
        <f>IF(COUNT(AC63:AF63)=4,SUM(AC63:AF63),"")</f>
        <v/>
      </c>
      <c r="AH63" s="16">
        <f>IFERROR(INDEX('Inputs (2)'!$D$91:$AL$91,MATCH(AH$7,'Inputs (2)'!$D$2:$AL$2,0)),"")</f>
        <v>2.603</v>
      </c>
      <c r="AI63" s="16">
        <f>IFERROR(INDEX('Inputs (2)'!$D$91:$AL$91,MATCH(AI$7,'Inputs (2)'!$D$2:$AL$2,0)),"")</f>
        <v>1.533</v>
      </c>
    </row>
    <row r="64">
      <c r="C64" s="261" t="inlineStr">
        <is>
          <t>Soma das SPEs (100%)</t>
        </is>
      </c>
      <c r="D64" s="15">
        <f>IF(COUNT(D27:D63)=0,"",SUM(D27:D63))</f>
        <v>1247.397</v>
      </c>
      <c r="E64" s="15">
        <f>IF(COUNT(E27:E63)=0,"",SUM(E27:E63))</f>
        <v>955.905</v>
      </c>
      <c r="F64" s="15">
        <f>IF(COUNT(F27:F63)=0,"",SUM(F27:F63))</f>
        <v>1353.563</v>
      </c>
      <c r="G64" s="15">
        <f>IF(COUNT(G27:G63)=0,"",SUM(G27:G63))</f>
        <v>2203.27</v>
      </c>
      <c r="H64" s="16">
        <f>IF(COUNT(D64:G64)=4,SUM(D64:G64),"")</f>
        <v>5760.135</v>
      </c>
      <c r="I64" s="15">
        <f>IF(COUNT(I27:I63)=0,"",SUM(I27:I63))</f>
        <v>1439.532</v>
      </c>
      <c r="J64" s="15">
        <f>IF(COUNT(J27:J63)=0,"",SUM(J27:J63))</f>
        <v>1186.14</v>
      </c>
      <c r="K64" s="15">
        <f>IF(COUNT(K27:K63)=0,"",SUM(K27:K63))</f>
        <v>954.604</v>
      </c>
      <c r="L64" s="15">
        <f>IF(COUNT(L27:L63)=0,"",SUM(L27:L63))</f>
        <v>944.5</v>
      </c>
      <c r="M64" s="16">
        <f>IF(COUNT(I64:L64)=4,SUM(I64:L64),"")</f>
        <v>4524.776</v>
      </c>
      <c r="N64" s="15">
        <f>IF(COUNT(N27:N63)=0,"",SUM(N27:N63))</f>
        <v>1115.418</v>
      </c>
      <c r="O64" s="15">
        <f>IF(COUNT(O27:O63)=0,"",SUM(O27:O63))</f>
        <v>1028.114</v>
      </c>
      <c r="P64" s="15">
        <f>IF(COUNT(P27:P63)=0,"",SUM(P27:P63))</f>
        <v>515.008</v>
      </c>
      <c r="Q64" s="15">
        <f>IF(COUNT(Q27:Q63)=0,"",SUM(Q27:Q63))</f>
        <v>611.158</v>
      </c>
      <c r="R64" s="16">
        <f>IF(COUNT(N64:Q64)=4,SUM(N64:Q64),"")</f>
        <v>3269.698</v>
      </c>
      <c r="S64" s="15">
        <f>IF(COUNT(S27:S63)=0,"",SUM(S27:S63))</f>
        <v>828.483</v>
      </c>
      <c r="T64" s="15">
        <f>IF(COUNT(T27:T63)=0,"",SUM(T27:T63))</f>
        <v>624.335</v>
      </c>
      <c r="U64" s="15">
        <f>IF(COUNT(U27:U63)=0,"",SUM(U27:U63))</f>
        <v>520.38</v>
      </c>
      <c r="V64" s="15">
        <f>IF(COUNT(V27:V63)=0,"",SUM(V27:V63))</f>
        <v>929.637</v>
      </c>
      <c r="W64" s="16">
        <f>IF(COUNT(S64:V64)=4,SUM(S64:V64),"")</f>
        <v>2902.835</v>
      </c>
      <c r="X64" s="15">
        <f>IF(COUNT(X27:X63)=0,"",SUM(X27:X63))</f>
        <v>1100.009</v>
      </c>
      <c r="Y64" s="15">
        <f>IF(COUNT(Y27:Y63)=0,"",SUM(Y27:Y63))</f>
        <v>1330.764</v>
      </c>
      <c r="Z64" s="15">
        <f>IF(COUNT(Z27:Z63)=0,"",SUM(Z27:Z63))</f>
        <v>1492.827</v>
      </c>
      <c r="AA64" s="15">
        <f>IF(COUNT(AA27:AA63)=0,"",SUM(AA27:AA63))</f>
        <v>1607.3</v>
      </c>
      <c r="AB64" s="16">
        <f>IF(COUNT(X64:AA64)=4,SUM(X64:AA64),"")</f>
        <v>5530.9</v>
      </c>
      <c r="AC64" s="15">
        <f>IF(COUNT(AC27:AC63)=0,"",SUM(AC27:AC63))</f>
        <v>1624.776</v>
      </c>
      <c r="AD64" s="15">
        <f>IF(COUNT(AD27:AD63)=0,"",SUM(AD27:AD63))</f>
        <v>1000.859</v>
      </c>
      <c r="AE64" s="15">
        <f>IF(COUNT(AE27:AE63)=0,"",SUM(AE27:AE63))</f>
        <v>3032.669</v>
      </c>
      <c r="AF64" s="15">
        <f>IF(COUNT(AF27:AF63)=0,"",SUM(AF27:AF63))</f>
        <v>1085.565</v>
      </c>
      <c r="AG64" s="16">
        <f>IF(COUNT(AC64:AF64)=4,SUM(AC64:AF64),"")</f>
        <v>6743.869</v>
      </c>
      <c r="AH64" s="16">
        <f>IF(COUNT(AH27:AH63)=0,"",SUM(AH27:AH63))</f>
        <v>1153.44</v>
      </c>
      <c r="AI64" s="16">
        <f>IF(COUNT(AI27:AI63)=0,"",SUM(AI27:AI63))</f>
        <v>1529.188</v>
      </c>
    </row>
    <row r="65">
      <c r="C65" s="14" t="inlineStr">
        <is>
          <t>(-) TNE (controle compartilhado, entra por equivalencia)</t>
        </is>
      </c>
      <c r="D65" s="15">
        <f>IF(COUNT(D43)=0,"",-D43)</f>
        <v>-193.717</v>
      </c>
      <c r="E65" s="15">
        <f>IF(COUNT(E43)=0,"",-E43)</f>
        <v>-5.088</v>
      </c>
      <c r="F65" s="15">
        <f>IF(COUNT(F43)=0,"",-F43)</f>
        <v>-1.992</v>
      </c>
      <c r="G65" s="15">
        <f>IF(COUNT(G43)=0,"",-G43)</f>
        <v>25.724</v>
      </c>
      <c r="H65" s="16">
        <f>IF(COUNT(D65:G65)=4,SUM(D65:G65),"")</f>
        <v>-175.073</v>
      </c>
      <c r="I65" s="15">
        <f>IF(COUNT(I43)=0,"",-I43)</f>
        <v>-5.44</v>
      </c>
      <c r="J65" s="15">
        <f>IF(COUNT(J43)=0,"",-J43)</f>
        <v>-6.195</v>
      </c>
      <c r="K65" s="15">
        <f>IF(COUNT(K43)=0,"",-K43)</f>
        <v>-5.376</v>
      </c>
      <c r="L65" s="15">
        <f>IF(COUNT(L43)=0,"",-L43)</f>
        <v>-5.206</v>
      </c>
      <c r="M65" s="16">
        <f>IF(COUNT(I65:L65)=4,SUM(I65:L65),"")</f>
        <v>-22.217</v>
      </c>
      <c r="N65" s="15">
        <f>IF(COUNT(N43)=0,"",-N43)</f>
        <v>-3.634</v>
      </c>
      <c r="O65" s="15">
        <f>IF(COUNT(O43)=0,"",-O43)</f>
        <v>-6.398</v>
      </c>
      <c r="P65" s="15">
        <f>IF(COUNT(P43)=0,"",-P43)</f>
        <v>-14.105</v>
      </c>
      <c r="Q65" s="15">
        <f>IF(COUNT(Q43)=0,"",-Q43)</f>
        <v>-33.618</v>
      </c>
      <c r="R65" s="16">
        <f>IF(COUNT(N65:Q65)=4,SUM(N65:Q65),"")</f>
        <v>-57.755</v>
      </c>
      <c r="S65" s="15">
        <f>IF(COUNT(S43)=0,"",-S43)</f>
        <v>-15.185</v>
      </c>
      <c r="T65" s="15">
        <f>IF(COUNT(T43)=0,"",-T43)</f>
        <v>-23.083</v>
      </c>
      <c r="U65" s="15">
        <f>IF(COUNT(U43)=0,"",-U43)</f>
        <v>-66.286</v>
      </c>
      <c r="V65" s="15">
        <f>IF(COUNT(V43)=0,"",-V43)</f>
        <v>-242.892</v>
      </c>
      <c r="W65" s="16">
        <f>IF(COUNT(S65:V65)=4,SUM(S65:V65),"")</f>
        <v>-347.446</v>
      </c>
      <c r="X65" s="15">
        <f>IF(COUNT(X43)=0,"",-X43)</f>
        <v>-288.075</v>
      </c>
      <c r="Y65" s="15">
        <f>IF(COUNT(Y43)=0,"",-Y43)</f>
        <v>-562.531</v>
      </c>
      <c r="Z65" s="15">
        <f>IF(COUNT(Z43)=0,"",-Z43)</f>
        <v>-749.807</v>
      </c>
      <c r="AA65" s="15">
        <f>IF(COUNT(AA43)=0,"",-AA43)</f>
        <v>-717.261</v>
      </c>
      <c r="AB65" s="16">
        <f>IF(COUNT(X65:AA65)=4,SUM(X65:AA65),"")</f>
        <v>-2317.674</v>
      </c>
      <c r="AC65" s="15">
        <f>IF(COUNT(AC43)=0,"",-AC43)</f>
        <v>-623.738</v>
      </c>
      <c r="AD65" s="15">
        <f>IF(COUNT(AD43)=0,"",-AD43)</f>
        <v>-172.372</v>
      </c>
      <c r="AE65" s="15">
        <f>IF(COUNT(AE43)=0,"",-AE43)</f>
        <v>-2279.208</v>
      </c>
      <c r="AF65" s="15">
        <f>IF(COUNT(AF43)=0,"",-AF43)</f>
        <v>-133.091</v>
      </c>
      <c r="AG65" s="16">
        <f>IF(COUNT(AC65:AF65)=4,SUM(AC65:AF65),"")</f>
        <v>-3208.409</v>
      </c>
      <c r="AH65" s="16">
        <f>IF(COUNT(AH43)=0,"",-AH43)</f>
        <v>-168.521</v>
      </c>
      <c r="AI65" s="16">
        <f>IF(COUNT(AI43)=0,"",-AI43)</f>
        <v>-215.897</v>
      </c>
    </row>
    <row r="66">
      <c r="C66" s="14" t="inlineStr">
        <is>
          <t>Ajuste: eliminacoes e SPE sem dado na planilha (diferenca)</t>
        </is>
      </c>
      <c r="D66" s="15" t="str">
        <f>IF(COUNT(D20)=0,"",D20-SUM(D64,D65))</f>
        <v/>
      </c>
      <c r="E66" s="15" t="str">
        <f>IF(COUNT(E20)=0,"",E20-SUM(E64,E65))</f>
        <v/>
      </c>
      <c r="F66" s="15" t="str">
        <f>IF(COUNT(F20)=0,"",F20-SUM(F64,F65))</f>
        <v/>
      </c>
      <c r="G66" s="15" t="str">
        <f>IF(COUNT(G20)=0,"",G20-SUM(G64,G65))</f>
        <v/>
      </c>
      <c r="H66" s="16" t="str">
        <f>IF(COUNT(D66:G66)=4,SUM(D66:G66),"")</f>
        <v/>
      </c>
      <c r="I66" s="15" t="str">
        <f>IF(COUNT(I20)=0,"",I20-SUM(I64,I65))</f>
        <v/>
      </c>
      <c r="J66" s="15" t="str">
        <f>IF(COUNT(J20)=0,"",J20-SUM(J64,J65))</f>
        <v/>
      </c>
      <c r="K66" s="15" t="str">
        <f>IF(COUNT(K20)=0,"",K20-SUM(K64,K65))</f>
        <v/>
      </c>
      <c r="L66" s="15" t="str">
        <f>IF(COUNT(L20)=0,"",L20-SUM(L64,L65))</f>
        <v/>
      </c>
      <c r="M66" s="16" t="str">
        <f>IF(COUNT(I66:L66)=4,SUM(I66:L66),"")</f>
        <v/>
      </c>
      <c r="N66" s="15" t="str">
        <f>IF(COUNT(N20)=0,"",N20-SUM(N64,N65))</f>
        <v/>
      </c>
      <c r="O66" s="15" t="str">
        <f>IF(COUNT(O20)=0,"",O20-SUM(O64,O65))</f>
        <v/>
      </c>
      <c r="P66" s="15" t="str">
        <f>IF(COUNT(P20)=0,"",P20-SUM(P64,P65))</f>
        <v/>
      </c>
      <c r="Q66" s="15" t="str">
        <f>IF(COUNT(Q20)=0,"",Q20-SUM(Q64,Q65))</f>
        <v/>
      </c>
      <c r="R66" s="16" t="str">
        <f>IF(COUNT(N66:Q66)=4,SUM(N66:Q66),"")</f>
        <v/>
      </c>
      <c r="S66" s="15">
        <f>IF(COUNT(S20)=0,"",S20-SUM(S64,S65))</f>
        <v>0</v>
      </c>
      <c r="T66" s="15">
        <f>IF(COUNT(T20)=0,"",T20-SUM(T64,T65))</f>
        <v>0</v>
      </c>
      <c r="U66" s="15">
        <f>IF(COUNT(U20)=0,"",U20-SUM(U64,U65))</f>
        <v>0</v>
      </c>
      <c r="V66" s="15">
        <f>IF(COUNT(V20)=0,"",V20-SUM(V64,V65))</f>
        <v>0</v>
      </c>
      <c r="W66" s="16">
        <f>IF(COUNT(S66:V66)=4,SUM(S66:V66),"")</f>
        <v>0</v>
      </c>
      <c r="X66" s="15">
        <f>IF(COUNT(X20)=0,"",X20-SUM(X64,X65))</f>
        <v>0</v>
      </c>
      <c r="Y66" s="15">
        <f>IF(COUNT(Y20)=0,"",Y20-SUM(Y64,Y65))</f>
        <v>6.73000000000013</v>
      </c>
      <c r="Z66" s="15">
        <f>IF(COUNT(Z20)=0,"",Z20-SUM(Z64,Z65))</f>
        <v>0</v>
      </c>
      <c r="AA66" s="15">
        <f>IF(COUNT(AA20)=0,"",AA20-SUM(AA64,AA65))</f>
        <v>0</v>
      </c>
      <c r="AB66" s="16">
        <f>IF(COUNT(X66:AA66)=4,SUM(X66:AA66),"")</f>
        <v>6.73000000000013</v>
      </c>
      <c r="AC66" s="15">
        <f>IF(COUNT(AC20)=0,"",AC20-SUM(AC64,AC65))</f>
        <v>0</v>
      </c>
      <c r="AD66" s="15">
        <f>IF(COUNT(AD20)=0,"",AD20-SUM(AD64,AD65))</f>
        <v>0</v>
      </c>
      <c r="AE66" s="15">
        <f>IF(COUNT(AE20)=0,"",AE20-SUM(AE64,AE65))</f>
        <v>2.73399999999981</v>
      </c>
      <c r="AF66" s="15">
        <f>IF(COUNT(AF20)=0,"",AF20-SUM(AF64,AF65))</f>
        <v>1.11199999999997</v>
      </c>
      <c r="AG66" s="16">
        <f>IF(COUNT(AC66:AF66)=4,SUM(AC66:AF66),"")</f>
        <v>3.84599999999978</v>
      </c>
      <c r="AH66" s="16">
        <f>IF(COUNT(AH20)=0,"",AH20-SUM(AH64,AH65))</f>
        <v>12.8449999999999</v>
      </c>
      <c r="AI66" s="16">
        <f>IF(COUNT(AI20)=0,"",AI20-SUM(AI64,AI65))</f>
        <v>101.374</v>
      </c>
    </row>
    <row r="67">
      <c r="C67" s="261" t="inlineStr">
        <is>
          <t>Transmissao consolidado (fecha com o segmento)</t>
        </is>
      </c>
      <c r="D67" s="15" t="str">
        <f>IF(COUNT(D20)=0,"",SUM(D64,D65,D66))</f>
        <v/>
      </c>
      <c r="E67" s="15" t="str">
        <f>IF(COUNT(E20)=0,"",SUM(E64,E65,E66))</f>
        <v/>
      </c>
      <c r="F67" s="15" t="str">
        <f>IF(COUNT(F20)=0,"",SUM(F64,F65,F66))</f>
        <v/>
      </c>
      <c r="G67" s="15" t="str">
        <f>IF(COUNT(G20)=0,"",SUM(G64,G65,G66))</f>
        <v/>
      </c>
      <c r="H67" s="16" t="str">
        <f>IF(COUNT(D67:G67)=4,SUM(D67:G67),"")</f>
        <v/>
      </c>
      <c r="I67" s="15" t="str">
        <f>IF(COUNT(I20)=0,"",SUM(I64,I65,I66))</f>
        <v/>
      </c>
      <c r="J67" s="15" t="str">
        <f>IF(COUNT(J20)=0,"",SUM(J64,J65,J66))</f>
        <v/>
      </c>
      <c r="K67" s="15" t="str">
        <f>IF(COUNT(K20)=0,"",SUM(K64,K65,K66))</f>
        <v/>
      </c>
      <c r="L67" s="15" t="str">
        <f>IF(COUNT(L20)=0,"",SUM(L64,L65,L66))</f>
        <v/>
      </c>
      <c r="M67" s="16" t="str">
        <f>IF(COUNT(I67:L67)=4,SUM(I67:L67),"")</f>
        <v/>
      </c>
      <c r="N67" s="15" t="str">
        <f>IF(COUNT(N20)=0,"",SUM(N64,N65,N66))</f>
        <v/>
      </c>
      <c r="O67" s="15" t="str">
        <f>IF(COUNT(O20)=0,"",SUM(O64,O65,O66))</f>
        <v/>
      </c>
      <c r="P67" s="15" t="str">
        <f>IF(COUNT(P20)=0,"",SUM(P64,P65,P66))</f>
        <v/>
      </c>
      <c r="Q67" s="15" t="str">
        <f>IF(COUNT(Q20)=0,"",SUM(Q64,Q65,Q66))</f>
        <v/>
      </c>
      <c r="R67" s="16" t="str">
        <f>IF(COUNT(N67:Q67)=4,SUM(N67:Q67),"")</f>
        <v/>
      </c>
      <c r="S67" s="15">
        <f>IF(COUNT(S20)=0,"",SUM(S64,S65,S66))</f>
        <v>813.298</v>
      </c>
      <c r="T67" s="15">
        <f>IF(COUNT(T20)=0,"",SUM(T64,T65,T66))</f>
        <v>601.252</v>
      </c>
      <c r="U67" s="15">
        <f>IF(COUNT(U20)=0,"",SUM(U64,U65,U66))</f>
        <v>454.094</v>
      </c>
      <c r="V67" s="15">
        <f>IF(COUNT(V20)=0,"",SUM(V64,V65,V66))</f>
        <v>686.745</v>
      </c>
      <c r="W67" s="16">
        <f>IF(COUNT(S67:V67)=4,SUM(S67:V67),"")</f>
        <v>2555.389</v>
      </c>
      <c r="X67" s="15">
        <f>IF(COUNT(X20)=0,"",SUM(X64,X65,X66))</f>
        <v>811.934</v>
      </c>
      <c r="Y67" s="15">
        <f>IF(COUNT(Y20)=0,"",SUM(Y64,Y65,Y66))</f>
        <v>774.963</v>
      </c>
      <c r="Z67" s="15">
        <f>IF(COUNT(Z20)=0,"",SUM(Z64,Z65,Z66))</f>
        <v>743.02</v>
      </c>
      <c r="AA67" s="15">
        <f>IF(COUNT(AA20)=0,"",SUM(AA64,AA65,AA66))</f>
        <v>890.039</v>
      </c>
      <c r="AB67" s="16">
        <f>IF(COUNT(X67:AA67)=4,SUM(X67:AA67),"")</f>
        <v>3219.956</v>
      </c>
      <c r="AC67" s="15">
        <f>IF(COUNT(AC20)=0,"",SUM(AC64,AC65,AC66))</f>
        <v>1001.038</v>
      </c>
      <c r="AD67" s="15">
        <f>IF(COUNT(AD20)=0,"",SUM(AD64,AD65,AD66))</f>
        <v>828.487</v>
      </c>
      <c r="AE67" s="15">
        <f>IF(COUNT(AE20)=0,"",SUM(AE64,AE65,AE66))</f>
        <v>756.195</v>
      </c>
      <c r="AF67" s="15">
        <f>IF(COUNT(AF20)=0,"",SUM(AF64,AF65,AF66))</f>
        <v>953.586</v>
      </c>
      <c r="AG67" s="16">
        <f>IF(COUNT(AC67:AF67)=4,SUM(AC67:AF67),"")</f>
        <v>3539.306</v>
      </c>
      <c r="AH67" s="16">
        <f>IF(COUNT(AH20)=0,"",SUM(AH64,AH65,AH66))</f>
        <v>997.764</v>
      </c>
      <c r="AI67" s="16">
        <f>IF(COUNT(AI20)=0,"",SUM(AI64,AI65,AI66))</f>
        <v>1414.665</v>
      </c>
    </row>
    <row r="68"/>
    <row r="69">
      <c r="C69" s="12" t="inlineStr">
        <is>
          <t>Geracao - receita liquida por usina, a 100% (R$ milhoes)</t>
        </is>
      </c>
      <c r="D69" s="12" t="str">
        <f>D7</f>
        <v>1Q20</v>
      </c>
      <c r="E69" s="12" t="str">
        <f>E7</f>
        <v>2Q20</v>
      </c>
      <c r="F69" s="12" t="str">
        <f>F7</f>
        <v>3Q20</v>
      </c>
      <c r="G69" s="12" t="str">
        <f>G7</f>
        <v>4Q20</v>
      </c>
      <c r="H69" s="12">
        <f>H7</f>
        <v>2020</v>
      </c>
      <c r="I69" s="12" t="str">
        <f>I7</f>
        <v>1Q21</v>
      </c>
      <c r="J69" s="12" t="str">
        <f>J7</f>
        <v>2Q21</v>
      </c>
      <c r="K69" s="12" t="str">
        <f>K7</f>
        <v>3Q21</v>
      </c>
      <c r="L69" s="12" t="str">
        <f>L7</f>
        <v>4Q21</v>
      </c>
      <c r="M69" s="12">
        <f>M7</f>
        <v>2021</v>
      </c>
      <c r="N69" s="12" t="str">
        <f>N7</f>
        <v>1Q22</v>
      </c>
      <c r="O69" s="12" t="str">
        <f>O7</f>
        <v>2Q22</v>
      </c>
      <c r="P69" s="12" t="str">
        <f>P7</f>
        <v>3Q22</v>
      </c>
      <c r="Q69" s="12" t="str">
        <f>Q7</f>
        <v>4Q22</v>
      </c>
      <c r="R69" s="12">
        <f>R7</f>
        <v>2022</v>
      </c>
      <c r="S69" s="12" t="str">
        <f>S7</f>
        <v>1Q23</v>
      </c>
      <c r="T69" s="12" t="str">
        <f>T7</f>
        <v>2Q23</v>
      </c>
      <c r="U69" s="12" t="str">
        <f>U7</f>
        <v>3Q23</v>
      </c>
      <c r="V69" s="12" t="str">
        <f>V7</f>
        <v>4Q23</v>
      </c>
      <c r="W69" s="12">
        <f>W7</f>
        <v>2023</v>
      </c>
      <c r="X69" s="12" t="str">
        <f>X7</f>
        <v>1Q24</v>
      </c>
      <c r="Y69" s="12" t="str">
        <f>Y7</f>
        <v>2Q24</v>
      </c>
      <c r="Z69" s="12" t="str">
        <f>Z7</f>
        <v>3Q24</v>
      </c>
      <c r="AA69" s="12" t="str">
        <f>AA7</f>
        <v>4Q24</v>
      </c>
      <c r="AB69" s="12">
        <f>AB7</f>
        <v>2024</v>
      </c>
      <c r="AC69" s="12" t="str">
        <f>AC7</f>
        <v>1Q25</v>
      </c>
      <c r="AD69" s="12" t="str">
        <f>AD7</f>
        <v>2Q25</v>
      </c>
      <c r="AE69" s="12" t="str">
        <f>AE7</f>
        <v>3Q25</v>
      </c>
      <c r="AF69" s="12" t="str">
        <f>AF7</f>
        <v>4Q25</v>
      </c>
      <c r="AG69" s="12">
        <f>AG7</f>
        <v>2025</v>
      </c>
      <c r="AH69" s="12" t="str">
        <f>AH7</f>
        <v>1Q26</v>
      </c>
      <c r="AI69" s="12" t="str">
        <f>AI7</f>
        <v>2Q26</v>
      </c>
    </row>
    <row r="70">
      <c r="C70" s="14" t="inlineStr">
        <is>
          <t xml:space="preserve">   Foz do Rio Claro</t>
        </is>
      </c>
      <c r="D70" s="15">
        <f>IFERROR(INDEX('Inputs (2)'!$D$92:$AL$92,MATCH(D$7,'Inputs (2)'!$D$2:$AL$2,0)),"")</f>
        <v>18.623</v>
      </c>
      <c r="E70" s="15">
        <f>IFERROR(INDEX('Inputs (2)'!$D$92:$AL$92,MATCH(E$7,'Inputs (2)'!$D$2:$AL$2,0)),"")</f>
        <v>19.1</v>
      </c>
      <c r="F70" s="15">
        <f>IFERROR(INDEX('Inputs (2)'!$D$92:$AL$92,MATCH(F$7,'Inputs (2)'!$D$2:$AL$2,0)),"")</f>
        <v>18.421</v>
      </c>
      <c r="G70" s="15">
        <f>IFERROR(INDEX('Inputs (2)'!$D$92:$AL$92,MATCH(G$7,'Inputs (2)'!$D$2:$AL$2,0)),"")</f>
        <v>19.87</v>
      </c>
      <c r="H70" s="16">
        <f>IF(COUNT(D70:G70)=4,SUM(D70:G70),"")</f>
        <v>76.014</v>
      </c>
      <c r="I70" s="15">
        <f>IFERROR(INDEX('Inputs (2)'!$D$92:$AL$92,MATCH(I$7,'Inputs (2)'!$D$2:$AL$2,0)),"")</f>
        <v>19.478</v>
      </c>
      <c r="J70" s="15">
        <f>IFERROR(INDEX('Inputs (2)'!$D$92:$AL$92,MATCH(J$7,'Inputs (2)'!$D$2:$AL$2,0)),"")</f>
        <v>18.977</v>
      </c>
      <c r="K70" s="15">
        <f>IFERROR(INDEX('Inputs (2)'!$D$92:$AL$92,MATCH(K$7,'Inputs (2)'!$D$2:$AL$2,0)),"")</f>
        <v>21.625</v>
      </c>
      <c r="L70" s="15">
        <f>IFERROR(INDEX('Inputs (2)'!$D$92:$AL$92,MATCH(L$7,'Inputs (2)'!$D$2:$AL$2,0)),"")</f>
        <v>21.873</v>
      </c>
      <c r="M70" s="16">
        <f>IF(COUNT(I70:L70)=4,SUM(I70:L70),"")</f>
        <v>81.953</v>
      </c>
      <c r="N70" s="15">
        <f>IFERROR(INDEX('Inputs (2)'!$D$92:$AL$92,MATCH(N$7,'Inputs (2)'!$D$2:$AL$2,0)),"")</f>
        <v>20.272</v>
      </c>
      <c r="O70" s="15">
        <f>IFERROR(INDEX('Inputs (2)'!$D$92:$AL$92,MATCH(O$7,'Inputs (2)'!$D$2:$AL$2,0)),"")</f>
        <v>19.01</v>
      </c>
      <c r="P70" s="15">
        <f>IFERROR(INDEX('Inputs (2)'!$D$92:$AL$92,MATCH(P$7,'Inputs (2)'!$D$2:$AL$2,0)),"")</f>
        <v>20.065</v>
      </c>
      <c r="Q70" s="15">
        <f>IFERROR(INDEX('Inputs (2)'!$D$92:$AL$92,MATCH(Q$7,'Inputs (2)'!$D$2:$AL$2,0)),"")</f>
        <v>21.489</v>
      </c>
      <c r="R70" s="16">
        <f>IF(COUNT(N70:Q70)=4,SUM(N70:Q70),"")</f>
        <v>80.836</v>
      </c>
      <c r="S70" s="15">
        <f>IFERROR(INDEX('Inputs (2)'!$D$92:$AL$92,MATCH(S$7,'Inputs (2)'!$D$2:$AL$2,0)),"")</f>
        <v>22.153</v>
      </c>
      <c r="T70" s="15">
        <f>IFERROR(INDEX('Inputs (2)'!$D$92:$AL$92,MATCH(T$7,'Inputs (2)'!$D$2:$AL$2,0)),"")</f>
        <v>21.002</v>
      </c>
      <c r="U70" s="15">
        <f>IFERROR(INDEX('Inputs (2)'!$D$92:$AL$92,MATCH(U$7,'Inputs (2)'!$D$2:$AL$2,0)),"")</f>
        <v>20.809</v>
      </c>
      <c r="V70" s="15">
        <f>IFERROR(INDEX('Inputs (2)'!$D$92:$AL$92,MATCH(V$7,'Inputs (2)'!$D$2:$AL$2,0)),"")</f>
        <v>22.945</v>
      </c>
      <c r="W70" s="16">
        <f>IF(COUNT(S70:V70)=4,SUM(S70:V70),"")</f>
        <v>86.909</v>
      </c>
      <c r="X70" s="15">
        <f>IFERROR(INDEX('Inputs (2)'!$D$92:$AL$92,MATCH(X$7,'Inputs (2)'!$D$2:$AL$2,0)),"")</f>
        <v>21.921</v>
      </c>
      <c r="Y70" s="15">
        <f>IFERROR(INDEX('Inputs (2)'!$D$92:$AL$92,MATCH(Y$7,'Inputs (2)'!$D$2:$AL$2,0)),"")</f>
        <v>21.734</v>
      </c>
      <c r="Z70" s="15">
        <f>IFERROR(INDEX('Inputs (2)'!$D$92:$AL$92,MATCH(Z$7,'Inputs (2)'!$D$2:$AL$2,0)),"")</f>
        <v>22.454</v>
      </c>
      <c r="AA70" s="15">
        <f>IFERROR(INDEX('Inputs (2)'!$D$92:$AL$92,MATCH(AA$7,'Inputs (2)'!$D$2:$AL$2,0)),"")</f>
        <v>24.077</v>
      </c>
      <c r="AB70" s="16">
        <f>IF(COUNT(X70:AA70)=4,SUM(X70:AA70),"")</f>
        <v>90.186</v>
      </c>
      <c r="AC70" s="15">
        <f>IFERROR(INDEX('Inputs (2)'!$D$92:$AL$92,MATCH(AC$7,'Inputs (2)'!$D$2:$AL$2,0)),"")</f>
        <v>24.522</v>
      </c>
      <c r="AD70" s="15">
        <f>IFERROR(INDEX('Inputs (2)'!$D$92:$AL$92,MATCH(AD$7,'Inputs (2)'!$D$2:$AL$2,0)),"")</f>
        <v>23.434</v>
      </c>
      <c r="AE70" s="15">
        <f>IFERROR(INDEX('Inputs (2)'!$D$92:$AL$92,MATCH(AE$7,'Inputs (2)'!$D$2:$AL$2,0)),"")</f>
        <v>23.334</v>
      </c>
      <c r="AF70" s="15">
        <f>IFERROR(INDEX('Inputs (2)'!$D$92:$AL$92,MATCH(AF$7,'Inputs (2)'!$D$2:$AL$2,0)),"")</f>
        <v>25.125</v>
      </c>
      <c r="AG70" s="16">
        <f>IF(COUNT(AC70:AF70)=4,SUM(AC70:AF70),"")</f>
        <v>96.415</v>
      </c>
      <c r="AH70" s="16">
        <f>IFERROR(INDEX('Inputs (2)'!$D$92:$AL$92,MATCH(AH$7,'Inputs (2)'!$D$2:$AL$2,0)),"")</f>
        <v>25.411</v>
      </c>
      <c r="AI70" s="16">
        <f>IFERROR(INDEX('Inputs (2)'!$D$92:$AL$92,MATCH(AI$7,'Inputs (2)'!$D$2:$AL$2,0)),"")</f>
        <v>24.407</v>
      </c>
    </row>
    <row r="71">
      <c r="C71" s="14" t="inlineStr">
        <is>
          <t xml:space="preserve">   Ijuí</t>
        </is>
      </c>
      <c r="D71" s="15">
        <f>IFERROR(INDEX('Inputs (2)'!$D$93:$AL$93,MATCH(D$7,'Inputs (2)'!$D$2:$AL$2,0)),"")</f>
        <v>15.334</v>
      </c>
      <c r="E71" s="15">
        <f>IFERROR(INDEX('Inputs (2)'!$D$93:$AL$93,MATCH(E$7,'Inputs (2)'!$D$2:$AL$2,0)),"")</f>
        <v>13.885</v>
      </c>
      <c r="F71" s="15">
        <f>IFERROR(INDEX('Inputs (2)'!$D$93:$AL$93,MATCH(F$7,'Inputs (2)'!$D$2:$AL$2,0)),"")</f>
        <v>16.367</v>
      </c>
      <c r="G71" s="15">
        <f>IFERROR(INDEX('Inputs (2)'!$D$93:$AL$93,MATCH(G$7,'Inputs (2)'!$D$2:$AL$2,0)),"")</f>
        <v>15.999</v>
      </c>
      <c r="H71" s="16">
        <f>IF(COUNT(D71:G71)=4,SUM(D71:G71),"")</f>
        <v>61.585</v>
      </c>
      <c r="I71" s="15">
        <f>IFERROR(INDEX('Inputs (2)'!$D$93:$AL$93,MATCH(I$7,'Inputs (2)'!$D$2:$AL$2,0)),"")</f>
        <v>16.055</v>
      </c>
      <c r="J71" s="15">
        <f>IFERROR(INDEX('Inputs (2)'!$D$93:$AL$93,MATCH(J$7,'Inputs (2)'!$D$2:$AL$2,0)),"")</f>
        <v>15.93</v>
      </c>
      <c r="K71" s="15">
        <f>IFERROR(INDEX('Inputs (2)'!$D$93:$AL$93,MATCH(K$7,'Inputs (2)'!$D$2:$AL$2,0)),"")</f>
        <v>18.366</v>
      </c>
      <c r="L71" s="15">
        <f>IFERROR(INDEX('Inputs (2)'!$D$93:$AL$93,MATCH(L$7,'Inputs (2)'!$D$2:$AL$2,0)),"")</f>
        <v>18.442</v>
      </c>
      <c r="M71" s="16">
        <f>IF(COUNT(I71:L71)=4,SUM(I71:L71),"")</f>
        <v>68.793</v>
      </c>
      <c r="N71" s="15">
        <f>IFERROR(INDEX('Inputs (2)'!$D$93:$AL$93,MATCH(N$7,'Inputs (2)'!$D$2:$AL$2,0)),"")</f>
        <v>17.022</v>
      </c>
      <c r="O71" s="15">
        <f>IFERROR(INDEX('Inputs (2)'!$D$93:$AL$93,MATCH(O$7,'Inputs (2)'!$D$2:$AL$2,0)),"")</f>
        <v>17.258</v>
      </c>
      <c r="P71" s="15">
        <f>IFERROR(INDEX('Inputs (2)'!$D$93:$AL$93,MATCH(P$7,'Inputs (2)'!$D$2:$AL$2,0)),"")</f>
        <v>17.228</v>
      </c>
      <c r="Q71" s="15">
        <f>IFERROR(INDEX('Inputs (2)'!$D$93:$AL$93,MATCH(Q$7,'Inputs (2)'!$D$2:$AL$2,0)),"")</f>
        <v>19.507</v>
      </c>
      <c r="R71" s="16">
        <f>IF(COUNT(N71:Q71)=4,SUM(N71:Q71),"")</f>
        <v>71.015</v>
      </c>
      <c r="S71" s="15">
        <f>IFERROR(INDEX('Inputs (2)'!$D$93:$AL$93,MATCH(S$7,'Inputs (2)'!$D$2:$AL$2,0)),"")</f>
        <v>18.983</v>
      </c>
      <c r="T71" s="15">
        <f>IFERROR(INDEX('Inputs (2)'!$D$93:$AL$93,MATCH(T$7,'Inputs (2)'!$D$2:$AL$2,0)),"")</f>
        <v>17.558</v>
      </c>
      <c r="U71" s="15">
        <f>IFERROR(INDEX('Inputs (2)'!$D$93:$AL$93,MATCH(U$7,'Inputs (2)'!$D$2:$AL$2,0)),"")</f>
        <v>18.995</v>
      </c>
      <c r="V71" s="15">
        <f>IFERROR(INDEX('Inputs (2)'!$D$93:$AL$93,MATCH(V$7,'Inputs (2)'!$D$2:$AL$2,0)),"")</f>
        <v>20.571</v>
      </c>
      <c r="W71" s="16">
        <f>IF(COUNT(S71:V71)=4,SUM(S71:V71),"")</f>
        <v>76.107</v>
      </c>
      <c r="X71" s="15">
        <f>IFERROR(INDEX('Inputs (2)'!$D$93:$AL$93,MATCH(X$7,'Inputs (2)'!$D$2:$AL$2,0)),"")</f>
        <v>19.658</v>
      </c>
      <c r="Y71" s="15">
        <f>IFERROR(INDEX('Inputs (2)'!$D$93:$AL$93,MATCH(Y$7,'Inputs (2)'!$D$2:$AL$2,0)),"")</f>
        <v>19.203</v>
      </c>
      <c r="Z71" s="15">
        <f>IFERROR(INDEX('Inputs (2)'!$D$93:$AL$93,MATCH(Z$7,'Inputs (2)'!$D$2:$AL$2,0)),"")</f>
        <v>20.228</v>
      </c>
      <c r="AA71" s="15">
        <f>IFERROR(INDEX('Inputs (2)'!$D$93:$AL$93,MATCH(AA$7,'Inputs (2)'!$D$2:$AL$2,0)),"")</f>
        <v>21.49</v>
      </c>
      <c r="AB71" s="16">
        <f>IF(COUNT(X71:AA71)=4,SUM(X71:AA71),"")</f>
        <v>80.579</v>
      </c>
      <c r="AC71" s="15">
        <f>IFERROR(INDEX('Inputs (2)'!$D$93:$AL$93,MATCH(AC$7,'Inputs (2)'!$D$2:$AL$2,0)),"")</f>
        <v>19.773</v>
      </c>
      <c r="AD71" s="15">
        <f>IFERROR(INDEX('Inputs (2)'!$D$93:$AL$93,MATCH(AD$7,'Inputs (2)'!$D$2:$AL$2,0)),"")</f>
        <v>19.77</v>
      </c>
      <c r="AE71" s="15">
        <f>IFERROR(INDEX('Inputs (2)'!$D$93:$AL$93,MATCH(AE$7,'Inputs (2)'!$D$2:$AL$2,0)),"")</f>
        <v>19.852</v>
      </c>
      <c r="AF71" s="15">
        <f>IFERROR(INDEX('Inputs (2)'!$D$93:$AL$93,MATCH(AF$7,'Inputs (2)'!$D$2:$AL$2,0)),"")</f>
        <v>20.841</v>
      </c>
      <c r="AG71" s="16">
        <f>IF(COUNT(AC71:AF71)=4,SUM(AC71:AF71),"")</f>
        <v>80.236</v>
      </c>
      <c r="AH71" s="16">
        <f>IFERROR(INDEX('Inputs (2)'!$D$93:$AL$93,MATCH(AH$7,'Inputs (2)'!$D$2:$AL$2,0)),"")</f>
        <v>21.108</v>
      </c>
      <c r="AI71" s="16">
        <f>IFERROR(INDEX('Inputs (2)'!$D$93:$AL$93,MATCH(AI$7,'Inputs (2)'!$D$2:$AL$2,0)),"")</f>
        <v>20.774</v>
      </c>
    </row>
    <row r="72">
      <c r="C72" s="14" t="inlineStr">
        <is>
          <t xml:space="preserve">   Ferreira Gomes</t>
        </is>
      </c>
      <c r="D72" s="15">
        <f>IFERROR(INDEX('Inputs (2)'!$D$94:$AL$94,MATCH(D$7,'Inputs (2)'!$D$2:$AL$2,0)),"")</f>
        <v>52.631</v>
      </c>
      <c r="E72" s="15">
        <f>IFERROR(INDEX('Inputs (2)'!$D$94:$AL$94,MATCH(E$7,'Inputs (2)'!$D$2:$AL$2,0)),"")</f>
        <v>43.989</v>
      </c>
      <c r="F72" s="15">
        <f>IFERROR(INDEX('Inputs (2)'!$D$94:$AL$94,MATCH(F$7,'Inputs (2)'!$D$2:$AL$2,0)),"")</f>
        <v>43.163</v>
      </c>
      <c r="G72" s="15">
        <f>IFERROR(INDEX('Inputs (2)'!$D$94:$AL$94,MATCH(G$7,'Inputs (2)'!$D$2:$AL$2,0)),"")</f>
        <v>55.415</v>
      </c>
      <c r="H72" s="16">
        <f>IF(COUNT(D72:G72)=4,SUM(D72:G72),"")</f>
        <v>195.198</v>
      </c>
      <c r="I72" s="15">
        <f>IFERROR(INDEX('Inputs (2)'!$D$94:$AL$94,MATCH(I$7,'Inputs (2)'!$D$2:$AL$2,0)),"")</f>
        <v>49.37</v>
      </c>
      <c r="J72" s="15">
        <f>IFERROR(INDEX('Inputs (2)'!$D$94:$AL$94,MATCH(J$7,'Inputs (2)'!$D$2:$AL$2,0)),"")</f>
        <v>47.813</v>
      </c>
      <c r="K72" s="15">
        <f>IFERROR(INDEX('Inputs (2)'!$D$94:$AL$94,MATCH(K$7,'Inputs (2)'!$D$2:$AL$2,0)),"")</f>
        <v>66.452</v>
      </c>
      <c r="L72" s="15">
        <f>IFERROR(INDEX('Inputs (2)'!$D$94:$AL$94,MATCH(L$7,'Inputs (2)'!$D$2:$AL$2,0)),"")</f>
        <v>78.369</v>
      </c>
      <c r="M72" s="16">
        <f>IF(COUNT(I72:L72)=4,SUM(I72:L72),"")</f>
        <v>242.004</v>
      </c>
      <c r="N72" s="15">
        <f>IFERROR(INDEX('Inputs (2)'!$D$94:$AL$94,MATCH(N$7,'Inputs (2)'!$D$2:$AL$2,0)),"")</f>
        <v>44.559</v>
      </c>
      <c r="O72" s="15">
        <f>IFERROR(INDEX('Inputs (2)'!$D$94:$AL$94,MATCH(O$7,'Inputs (2)'!$D$2:$AL$2,0)),"")</f>
        <v>46.677</v>
      </c>
      <c r="P72" s="15">
        <f>IFERROR(INDEX('Inputs (2)'!$D$94:$AL$94,MATCH(P$7,'Inputs (2)'!$D$2:$AL$2,0)),"")</f>
        <v>47.879</v>
      </c>
      <c r="Q72" s="15">
        <f>IFERROR(INDEX('Inputs (2)'!$D$94:$AL$94,MATCH(Q$7,'Inputs (2)'!$D$2:$AL$2,0)),"")</f>
        <v>49.725</v>
      </c>
      <c r="R72" s="16">
        <f>IF(COUNT(N72:Q72)=4,SUM(N72:Q72),"")</f>
        <v>188.84</v>
      </c>
      <c r="S72" s="15">
        <f>IFERROR(INDEX('Inputs (2)'!$D$94:$AL$94,MATCH(S$7,'Inputs (2)'!$D$2:$AL$2,0)),"")</f>
        <v>54.377</v>
      </c>
      <c r="T72" s="15">
        <f>IFERROR(INDEX('Inputs (2)'!$D$94:$AL$94,MATCH(T$7,'Inputs (2)'!$D$2:$AL$2,0)),"")</f>
        <v>55.041</v>
      </c>
      <c r="U72" s="15">
        <f>IFERROR(INDEX('Inputs (2)'!$D$94:$AL$94,MATCH(U$7,'Inputs (2)'!$D$2:$AL$2,0)),"")</f>
        <v>54.993</v>
      </c>
      <c r="V72" s="15">
        <f>IFERROR(INDEX('Inputs (2)'!$D$94:$AL$94,MATCH(V$7,'Inputs (2)'!$D$2:$AL$2,0)),"")</f>
        <v>54.948</v>
      </c>
      <c r="W72" s="16">
        <f>IF(COUNT(S72:V72)=4,SUM(S72:V72),"")</f>
        <v>219.359</v>
      </c>
      <c r="X72" s="15">
        <f>IFERROR(INDEX('Inputs (2)'!$D$94:$AL$94,MATCH(X$7,'Inputs (2)'!$D$2:$AL$2,0)),"")</f>
        <v>55.747</v>
      </c>
      <c r="Y72" s="15">
        <f>IFERROR(INDEX('Inputs (2)'!$D$94:$AL$94,MATCH(Y$7,'Inputs (2)'!$D$2:$AL$2,0)),"")</f>
        <v>57.104</v>
      </c>
      <c r="Z72" s="15">
        <f>IFERROR(INDEX('Inputs (2)'!$D$94:$AL$94,MATCH(Z$7,'Inputs (2)'!$D$2:$AL$2,0)),"")</f>
        <v>58.381</v>
      </c>
      <c r="AA72" s="15">
        <f>IFERROR(INDEX('Inputs (2)'!$D$94:$AL$94,MATCH(AA$7,'Inputs (2)'!$D$2:$AL$2,0)),"")</f>
        <v>77.114</v>
      </c>
      <c r="AB72" s="16">
        <f>IF(COUNT(X72:AA72)=4,SUM(X72:AA72),"")</f>
        <v>248.346</v>
      </c>
      <c r="AC72" s="15">
        <f>IFERROR(INDEX('Inputs (2)'!$D$94:$AL$94,MATCH(AC$7,'Inputs (2)'!$D$2:$AL$2,0)),"")</f>
        <v>70.106</v>
      </c>
      <c r="AD72" s="15">
        <f>IFERROR(INDEX('Inputs (2)'!$D$94:$AL$94,MATCH(AD$7,'Inputs (2)'!$D$2:$AL$2,0)),"")</f>
        <v>58.146</v>
      </c>
      <c r="AE72" s="15">
        <f>IFERROR(INDEX('Inputs (2)'!$D$94:$AL$94,MATCH(AE$7,'Inputs (2)'!$D$2:$AL$2,0)),"")</f>
        <v>62.463</v>
      </c>
      <c r="AF72" s="15">
        <f>IFERROR(INDEX('Inputs (2)'!$D$94:$AL$94,MATCH(AF$7,'Inputs (2)'!$D$2:$AL$2,0)),"")</f>
        <v>65.805</v>
      </c>
      <c r="AG72" s="16">
        <f>IF(COUNT(AC72:AF72)=4,SUM(AC72:AF72),"")</f>
        <v>256.52</v>
      </c>
      <c r="AH72" s="16">
        <f>IFERROR(INDEX('Inputs (2)'!$D$94:$AL$94,MATCH(AH$7,'Inputs (2)'!$D$2:$AL$2,0)),"")</f>
        <v>66.509</v>
      </c>
      <c r="AI72" s="16">
        <f>IFERROR(INDEX('Inputs (2)'!$D$94:$AL$94,MATCH(AI$7,'Inputs (2)'!$D$2:$AL$2,0)),"")</f>
        <v>67.061</v>
      </c>
    </row>
    <row r="73">
      <c r="C73" s="14" t="inlineStr">
        <is>
          <t xml:space="preserve">   La Virgen</t>
        </is>
      </c>
      <c r="D73" s="15">
        <f>IFERROR(INDEX('Inputs (2)'!$D$95:$AL$95,MATCH(D$7,'Inputs (2)'!$D$2:$AL$2,0)),"")</f>
        <v>0</v>
      </c>
      <c r="E73" s="15">
        <f>IFERROR(INDEX('Inputs (2)'!$D$95:$AL$95,MATCH(E$7,'Inputs (2)'!$D$2:$AL$2,0)),"")</f>
        <v>0</v>
      </c>
      <c r="F73" s="15">
        <f>IFERROR(INDEX('Inputs (2)'!$D$95:$AL$95,MATCH(F$7,'Inputs (2)'!$D$2:$AL$2,0)),"")</f>
        <v>0</v>
      </c>
      <c r="G73" s="15">
        <f>IFERROR(INDEX('Inputs (2)'!$D$95:$AL$95,MATCH(G$7,'Inputs (2)'!$D$2:$AL$2,0)),"")</f>
        <v>0</v>
      </c>
      <c r="H73" s="16">
        <f>IF(COUNT(D73:G73)=4,SUM(D73:G73),"")</f>
        <v>0</v>
      </c>
      <c r="I73" s="15">
        <f>IFERROR(INDEX('Inputs (2)'!$D$95:$AL$95,MATCH(I$7,'Inputs (2)'!$D$2:$AL$2,0)),"")</f>
        <v>0</v>
      </c>
      <c r="J73" s="15">
        <f>IFERROR(INDEX('Inputs (2)'!$D$95:$AL$95,MATCH(J$7,'Inputs (2)'!$D$2:$AL$2,0)),"")</f>
        <v>2.558</v>
      </c>
      <c r="K73" s="15">
        <f>IFERROR(INDEX('Inputs (2)'!$D$95:$AL$95,MATCH(K$7,'Inputs (2)'!$D$2:$AL$2,0)),"")</f>
        <v>12.707</v>
      </c>
      <c r="L73" s="15">
        <f>IFERROR(INDEX('Inputs (2)'!$D$95:$AL$95,MATCH(L$7,'Inputs (2)'!$D$2:$AL$2,0)),"")</f>
        <v>14.192</v>
      </c>
      <c r="M73" s="16">
        <f>IF(COUNT(I73:L73)=4,SUM(I73:L73),"")</f>
        <v>29.457</v>
      </c>
      <c r="N73" s="15">
        <f>IFERROR(INDEX('Inputs (2)'!$D$95:$AL$95,MATCH(N$7,'Inputs (2)'!$D$2:$AL$2,0)),"")</f>
        <v>18.251</v>
      </c>
      <c r="O73" s="15">
        <f>IFERROR(INDEX('Inputs (2)'!$D$95:$AL$95,MATCH(O$7,'Inputs (2)'!$D$2:$AL$2,0)),"")</f>
        <v>17.015</v>
      </c>
      <c r="P73" s="15">
        <f>IFERROR(INDEX('Inputs (2)'!$D$95:$AL$95,MATCH(P$7,'Inputs (2)'!$D$2:$AL$2,0)),"")</f>
        <v>12.22</v>
      </c>
      <c r="Q73" s="15">
        <f>IFERROR(INDEX('Inputs (2)'!$D$95:$AL$95,MATCH(Q$7,'Inputs (2)'!$D$2:$AL$2,0)),"")</f>
        <v>19.527</v>
      </c>
      <c r="R73" s="16">
        <f>IF(COUNT(N73:Q73)=4,SUM(N73:Q73),"")</f>
        <v>67.013</v>
      </c>
      <c r="S73" s="15">
        <f>IFERROR(INDEX('Inputs (2)'!$D$95:$AL$95,MATCH(S$7,'Inputs (2)'!$D$2:$AL$2,0)),"")</f>
        <v>31.933</v>
      </c>
      <c r="T73" s="15">
        <f>IFERROR(INDEX('Inputs (2)'!$D$95:$AL$95,MATCH(T$7,'Inputs (2)'!$D$2:$AL$2,0)),"")</f>
        <v>22.109</v>
      </c>
      <c r="U73" s="15">
        <f>IFERROR(INDEX('Inputs (2)'!$D$95:$AL$95,MATCH(U$7,'Inputs (2)'!$D$2:$AL$2,0)),"")</f>
        <v>34.221</v>
      </c>
      <c r="V73" s="15">
        <f>IFERROR(INDEX('Inputs (2)'!$D$95:$AL$95,MATCH(V$7,'Inputs (2)'!$D$2:$AL$2,0)),"")</f>
        <v>23.946</v>
      </c>
      <c r="W73" s="16">
        <f>IF(COUNT(S73:V73)=4,SUM(S73:V73),"")</f>
        <v>112.209</v>
      </c>
      <c r="X73" s="15">
        <f>IFERROR(INDEX('Inputs (2)'!$D$95:$AL$95,MATCH(X$7,'Inputs (2)'!$D$2:$AL$2,0)),"")</f>
        <v>29.812</v>
      </c>
      <c r="Y73" s="15">
        <f>IFERROR(INDEX('Inputs (2)'!$D$95:$AL$95,MATCH(Y$7,'Inputs (2)'!$D$2:$AL$2,0)),"")</f>
        <v>23.599</v>
      </c>
      <c r="Z73" s="15">
        <f>IFERROR(INDEX('Inputs (2)'!$D$95:$AL$95,MATCH(Z$7,'Inputs (2)'!$D$2:$AL$2,0)),"")</f>
        <v>16.436</v>
      </c>
      <c r="AA73" s="15">
        <f>IFERROR(INDEX('Inputs (2)'!$D$95:$AL$95,MATCH(AA$7,'Inputs (2)'!$D$2:$AL$2,0)),"")</f>
        <v>26.498</v>
      </c>
      <c r="AB73" s="16">
        <f>IF(COUNT(X73:AA73)=4,SUM(X73:AA73),"")</f>
        <v>96.345</v>
      </c>
      <c r="AC73" s="15">
        <f>IFERROR(INDEX('Inputs (2)'!$D$95:$AL$95,MATCH(AC$7,'Inputs (2)'!$D$2:$AL$2,0)),"")</f>
        <v>35.092</v>
      </c>
      <c r="AD73" s="15">
        <f>IFERROR(INDEX('Inputs (2)'!$D$95:$AL$95,MATCH(AD$7,'Inputs (2)'!$D$2:$AL$2,0)),"")</f>
        <v>34.145</v>
      </c>
      <c r="AE73" s="15">
        <f>IFERROR(INDEX('Inputs (2)'!$D$95:$AL$95,MATCH(AE$7,'Inputs (2)'!$D$2:$AL$2,0)),"")</f>
        <v>22.968</v>
      </c>
      <c r="AF73" s="15">
        <f>IFERROR(INDEX('Inputs (2)'!$D$95:$AL$95,MATCH(AF$7,'Inputs (2)'!$D$2:$AL$2,0)),"")</f>
        <v>27.932</v>
      </c>
      <c r="AG73" s="16">
        <f>IF(COUNT(AC73:AF73)=4,SUM(AC73:AF73),"")</f>
        <v>120.137</v>
      </c>
      <c r="AH73" s="16">
        <f>IFERROR(INDEX('Inputs (2)'!$D$95:$AL$95,MATCH(AH$7,'Inputs (2)'!$D$2:$AL$2,0)),"")</f>
        <v>52.247</v>
      </c>
      <c r="AI73" s="16">
        <f>IFERROR(INDEX('Inputs (2)'!$D$95:$AL$95,MATCH(AI$7,'Inputs (2)'!$D$2:$AL$2,0)),"")</f>
        <v>33.452</v>
      </c>
    </row>
    <row r="74">
      <c r="C74" s="14" t="inlineStr">
        <is>
          <t xml:space="preserve">   Risaralda (Morro Azul)</t>
        </is>
      </c>
      <c r="D74" s="15">
        <f>IFERROR(INDEX('Inputs (2)'!$D$96:$AL$96,MATCH(D$7,'Inputs (2)'!$D$2:$AL$2,0)),"")</f>
        <v>2.674</v>
      </c>
      <c r="E74" s="15">
        <f>IFERROR(INDEX('Inputs (2)'!$D$96:$AL$96,MATCH(E$7,'Inputs (2)'!$D$2:$AL$2,0)),"")</f>
        <v>5.157</v>
      </c>
      <c r="F74" s="15">
        <f>IFERROR(INDEX('Inputs (2)'!$D$96:$AL$96,MATCH(F$7,'Inputs (2)'!$D$2:$AL$2,0)),"")</f>
        <v>9.932</v>
      </c>
      <c r="G74" s="15">
        <f>IFERROR(INDEX('Inputs (2)'!$D$96:$AL$96,MATCH(G$7,'Inputs (2)'!$D$2:$AL$2,0)),"")</f>
        <v>9.794</v>
      </c>
      <c r="H74" s="16">
        <f>IF(COUNT(D74:G74)=4,SUM(D74:G74),"")</f>
        <v>27.557</v>
      </c>
      <c r="I74" s="15">
        <f>IFERROR(INDEX('Inputs (2)'!$D$96:$AL$96,MATCH(I$7,'Inputs (2)'!$D$2:$AL$2,0)),"")</f>
        <v>8.783</v>
      </c>
      <c r="J74" s="15">
        <f>IFERROR(INDEX('Inputs (2)'!$D$96:$AL$96,MATCH(J$7,'Inputs (2)'!$D$2:$AL$2,0)),"")</f>
        <v>11.277</v>
      </c>
      <c r="K74" s="15">
        <f>IFERROR(INDEX('Inputs (2)'!$D$96:$AL$96,MATCH(K$7,'Inputs (2)'!$D$2:$AL$2,0)),"")</f>
        <v>8.401</v>
      </c>
      <c r="L74" s="15">
        <f>IFERROR(INDEX('Inputs (2)'!$D$96:$AL$96,MATCH(L$7,'Inputs (2)'!$D$2:$AL$2,0)),"")</f>
        <v>9.626</v>
      </c>
      <c r="M74" s="16">
        <f>IF(COUNT(I74:L74)=4,SUM(I74:L74),"")</f>
        <v>38.087</v>
      </c>
      <c r="N74" s="15">
        <f>IFERROR(INDEX('Inputs (2)'!$D$96:$AL$96,MATCH(N$7,'Inputs (2)'!$D$2:$AL$2,0)),"")</f>
        <v>8.544</v>
      </c>
      <c r="O74" s="15">
        <f>IFERROR(INDEX('Inputs (2)'!$D$96:$AL$96,MATCH(O$7,'Inputs (2)'!$D$2:$AL$2,0)),"")</f>
        <v>9.497</v>
      </c>
      <c r="P74" s="15">
        <f>IFERROR(INDEX('Inputs (2)'!$D$96:$AL$96,MATCH(P$7,'Inputs (2)'!$D$2:$AL$2,0)),"")</f>
        <v>11.611</v>
      </c>
      <c r="Q74" s="15">
        <f>IFERROR(INDEX('Inputs (2)'!$D$96:$AL$96,MATCH(Q$7,'Inputs (2)'!$D$2:$AL$2,0)),"")</f>
        <v>10.985</v>
      </c>
      <c r="R74" s="16">
        <f>IF(COUNT(N74:Q74)=4,SUM(N74:Q74),"")</f>
        <v>40.637</v>
      </c>
      <c r="S74" s="15">
        <f>IFERROR(INDEX('Inputs (2)'!$D$96:$AL$96,MATCH(S$7,'Inputs (2)'!$D$2:$AL$2,0)),"")</f>
        <v>9.016</v>
      </c>
      <c r="T74" s="15">
        <f>IFERROR(INDEX('Inputs (2)'!$D$96:$AL$96,MATCH(T$7,'Inputs (2)'!$D$2:$AL$2,0)),"")</f>
        <v>10.217</v>
      </c>
      <c r="U74" s="15">
        <f>IFERROR(INDEX('Inputs (2)'!$D$96:$AL$96,MATCH(U$7,'Inputs (2)'!$D$2:$AL$2,0)),"")</f>
        <v>3.542</v>
      </c>
      <c r="V74" s="15">
        <f>IFERROR(INDEX('Inputs (2)'!$D$96:$AL$96,MATCH(V$7,'Inputs (2)'!$D$2:$AL$2,0)),"")</f>
        <v>6.746</v>
      </c>
      <c r="W74" s="16">
        <f>IF(COUNT(S74:V74)=4,SUM(S74:V74),"")</f>
        <v>29.521</v>
      </c>
      <c r="X74" s="15">
        <f>IFERROR(INDEX('Inputs (2)'!$D$96:$AL$96,MATCH(X$7,'Inputs (2)'!$D$2:$AL$2,0)),"")</f>
        <v>3.406</v>
      </c>
      <c r="Y74" s="15">
        <f>IFERROR(INDEX('Inputs (2)'!$D$96:$AL$96,MATCH(Y$7,'Inputs (2)'!$D$2:$AL$2,0)),"")</f>
        <v>10.491</v>
      </c>
      <c r="Z74" s="15">
        <f>IFERROR(INDEX('Inputs (2)'!$D$96:$AL$96,MATCH(Z$7,'Inputs (2)'!$D$2:$AL$2,0)),"")</f>
        <v>9.284</v>
      </c>
      <c r="AA74" s="15">
        <f>IFERROR(INDEX('Inputs (2)'!$D$96:$AL$96,MATCH(AA$7,'Inputs (2)'!$D$2:$AL$2,0)),"")</f>
        <v>10.102</v>
      </c>
      <c r="AB74" s="16">
        <f>IF(COUNT(X74:AA74)=4,SUM(X74:AA74),"")</f>
        <v>33.283</v>
      </c>
      <c r="AC74" s="15">
        <f>IFERROR(INDEX('Inputs (2)'!$D$96:$AL$96,MATCH(AC$7,'Inputs (2)'!$D$2:$AL$2,0)),"")</f>
        <v>13.431</v>
      </c>
      <c r="AD74" s="15">
        <f>IFERROR(INDEX('Inputs (2)'!$D$96:$AL$96,MATCH(AD$7,'Inputs (2)'!$D$2:$AL$2,0)),"")</f>
        <v>15.171</v>
      </c>
      <c r="AE74" s="15">
        <f>IFERROR(INDEX('Inputs (2)'!$D$96:$AL$96,MATCH(AE$7,'Inputs (2)'!$D$2:$AL$2,0)),"")</f>
        <v>9.725</v>
      </c>
      <c r="AF74" s="15">
        <f>IFERROR(INDEX('Inputs (2)'!$D$96:$AL$96,MATCH(AF$7,'Inputs (2)'!$D$2:$AL$2,0)),"")</f>
        <v>11.063</v>
      </c>
      <c r="AG74" s="16">
        <f>IF(COUNT(AC74:AF74)=4,SUM(AC74:AF74),"")</f>
        <v>49.39</v>
      </c>
      <c r="AH74" s="16">
        <f>IFERROR(INDEX('Inputs (2)'!$D$96:$AL$96,MATCH(AH$7,'Inputs (2)'!$D$2:$AL$2,0)),"")</f>
        <v>13.188</v>
      </c>
      <c r="AI74" s="16">
        <f>IFERROR(INDEX('Inputs (2)'!$D$96:$AL$96,MATCH(AI$7,'Inputs (2)'!$D$2:$AL$2,0)),"")</f>
        <v>9.945</v>
      </c>
    </row>
    <row r="75">
      <c r="C75" s="14" t="inlineStr">
        <is>
          <t xml:space="preserve">   Queluz</t>
        </is>
      </c>
      <c r="D75" s="15">
        <f>IFERROR(INDEX('Inputs (2)'!$D$97:$AL$97,MATCH(D$7,'Inputs (2)'!$D$2:$AL$2,0)),"")</f>
        <v>16.248</v>
      </c>
      <c r="E75" s="15">
        <f>IFERROR(INDEX('Inputs (2)'!$D$97:$AL$97,MATCH(E$7,'Inputs (2)'!$D$2:$AL$2,0)),"")</f>
        <v>6.448</v>
      </c>
      <c r="F75" s="15">
        <f>IFERROR(INDEX('Inputs (2)'!$D$97:$AL$97,MATCH(F$7,'Inputs (2)'!$D$2:$AL$2,0)),"")</f>
        <v>12.124</v>
      </c>
      <c r="G75" s="15">
        <f>IFERROR(INDEX('Inputs (2)'!$D$97:$AL$97,MATCH(G$7,'Inputs (2)'!$D$2:$AL$2,0)),"")</f>
        <v>17.608</v>
      </c>
      <c r="H75" s="16">
        <f>IF(COUNT(D75:G75)=4,SUM(D75:G75),"")</f>
        <v>52.428</v>
      </c>
      <c r="I75" s="15">
        <f>IFERROR(INDEX('Inputs (2)'!$D$97:$AL$97,MATCH(I$7,'Inputs (2)'!$D$2:$AL$2,0)),"")</f>
        <v>19.738</v>
      </c>
      <c r="J75" s="15">
        <f>IFERROR(INDEX('Inputs (2)'!$D$97:$AL$97,MATCH(J$7,'Inputs (2)'!$D$2:$AL$2,0)),"")</f>
        <v>21.879</v>
      </c>
      <c r="K75" s="15">
        <f>IFERROR(INDEX('Inputs (2)'!$D$97:$AL$97,MATCH(K$7,'Inputs (2)'!$D$2:$AL$2,0)),"")</f>
        <v>18.624</v>
      </c>
      <c r="L75" s="15">
        <f>IFERROR(INDEX('Inputs (2)'!$D$97:$AL$97,MATCH(L$7,'Inputs (2)'!$D$2:$AL$2,0)),"")</f>
        <v>22.284</v>
      </c>
      <c r="M75" s="16">
        <f>IF(COUNT(I75:L75)=4,SUM(I75:L75),"")</f>
        <v>82.525</v>
      </c>
      <c r="N75" s="15">
        <f>IFERROR(INDEX('Inputs (2)'!$D$97:$AL$97,MATCH(N$7,'Inputs (2)'!$D$2:$AL$2,0)),"")</f>
        <v>15.772</v>
      </c>
      <c r="O75" s="15">
        <f>IFERROR(INDEX('Inputs (2)'!$D$97:$AL$97,MATCH(O$7,'Inputs (2)'!$D$2:$AL$2,0)),"")</f>
        <v>13.252</v>
      </c>
      <c r="P75" s="15">
        <f>IFERROR(INDEX('Inputs (2)'!$D$97:$AL$97,MATCH(P$7,'Inputs (2)'!$D$2:$AL$2,0)),"")</f>
        <v>15.018</v>
      </c>
      <c r="Q75" s="15">
        <f>IFERROR(INDEX('Inputs (2)'!$D$97:$AL$97,MATCH(Q$7,'Inputs (2)'!$D$2:$AL$2,0)),"")</f>
        <v>15.462</v>
      </c>
      <c r="R75" s="16">
        <f>IF(COUNT(N75:Q75)=4,SUM(N75:Q75),"")</f>
        <v>59.504</v>
      </c>
      <c r="S75" s="15">
        <f>IFERROR(INDEX('Inputs (2)'!$D$97:$AL$97,MATCH(S$7,'Inputs (2)'!$D$2:$AL$2,0)),"")</f>
        <v>14.097</v>
      </c>
      <c r="T75" s="15">
        <f>IFERROR(INDEX('Inputs (2)'!$D$97:$AL$97,MATCH(T$7,'Inputs (2)'!$D$2:$AL$2,0)),"")</f>
        <v>13.945</v>
      </c>
      <c r="U75" s="15">
        <f>IFERROR(INDEX('Inputs (2)'!$D$97:$AL$97,MATCH(U$7,'Inputs (2)'!$D$2:$AL$2,0)),"")</f>
        <v>13.94</v>
      </c>
      <c r="V75" s="15">
        <f>IFERROR(INDEX('Inputs (2)'!$D$97:$AL$97,MATCH(V$7,'Inputs (2)'!$D$2:$AL$2,0)),"")</f>
        <v>14.586</v>
      </c>
      <c r="W75" s="16">
        <f>IF(COUNT(S75:V75)=4,SUM(S75:V75),"")</f>
        <v>56.568</v>
      </c>
      <c r="X75" s="15">
        <f>IFERROR(INDEX('Inputs (2)'!$D$97:$AL$97,MATCH(X$7,'Inputs (2)'!$D$2:$AL$2,0)),"")</f>
        <v>13.997</v>
      </c>
      <c r="Y75" s="15">
        <f>IFERROR(INDEX('Inputs (2)'!$D$97:$AL$97,MATCH(Y$7,'Inputs (2)'!$D$2:$AL$2,0)),"")</f>
        <v>12.995</v>
      </c>
      <c r="Z75" s="15">
        <f>IFERROR(INDEX('Inputs (2)'!$D$97:$AL$97,MATCH(Z$7,'Inputs (2)'!$D$2:$AL$2,0)),"")</f>
        <v>15.648</v>
      </c>
      <c r="AA75" s="15">
        <f>IFERROR(INDEX('Inputs (2)'!$D$97:$AL$97,MATCH(AA$7,'Inputs (2)'!$D$2:$AL$2,0)),"")</f>
        <v>21.937</v>
      </c>
      <c r="AB75" s="16">
        <f>IF(COUNT(X75:AA75)=4,SUM(X75:AA75),"")</f>
        <v>64.577</v>
      </c>
      <c r="AC75" s="15">
        <f>IFERROR(INDEX('Inputs (2)'!$D$97:$AL$97,MATCH(AC$7,'Inputs (2)'!$D$2:$AL$2,0)),"")</f>
        <v>15.292</v>
      </c>
      <c r="AD75" s="15">
        <f>IFERROR(INDEX('Inputs (2)'!$D$97:$AL$97,MATCH(AD$7,'Inputs (2)'!$D$2:$AL$2,0)),"")</f>
        <v>14.334</v>
      </c>
      <c r="AE75" s="15">
        <f>IFERROR(INDEX('Inputs (2)'!$D$97:$AL$97,MATCH(AE$7,'Inputs (2)'!$D$2:$AL$2,0)),"")</f>
        <v>11.443</v>
      </c>
      <c r="AF75" s="15">
        <f>IFERROR(INDEX('Inputs (2)'!$D$97:$AL$97,MATCH(AF$7,'Inputs (2)'!$D$2:$AL$2,0)),"")</f>
        <v>12.037</v>
      </c>
      <c r="AG75" s="16">
        <f>IF(COUNT(AC75:AF75)=4,SUM(AC75:AF75),"")</f>
        <v>53.106</v>
      </c>
      <c r="AH75" s="16">
        <f>IFERROR(INDEX('Inputs (2)'!$D$97:$AL$97,MATCH(AH$7,'Inputs (2)'!$D$2:$AL$2,0)),"")</f>
        <v>19.264</v>
      </c>
      <c r="AI75" s="16">
        <f>IFERROR(INDEX('Inputs (2)'!$D$97:$AL$97,MATCH(AI$7,'Inputs (2)'!$D$2:$AL$2,0)),"")</f>
        <v>12.909</v>
      </c>
    </row>
    <row r="76">
      <c r="C76" s="14" t="inlineStr">
        <is>
          <t xml:space="preserve">   Lavrinhas</t>
        </is>
      </c>
      <c r="D76" s="15">
        <f>IFERROR(INDEX('Inputs (2)'!$D$98:$AL$98,MATCH(D$7,'Inputs (2)'!$D$2:$AL$2,0)),"")</f>
        <v>16.28</v>
      </c>
      <c r="E76" s="15">
        <f>IFERROR(INDEX('Inputs (2)'!$D$98:$AL$98,MATCH(E$7,'Inputs (2)'!$D$2:$AL$2,0)),"")</f>
        <v>7.292</v>
      </c>
      <c r="F76" s="15">
        <f>IFERROR(INDEX('Inputs (2)'!$D$98:$AL$98,MATCH(F$7,'Inputs (2)'!$D$2:$AL$2,0)),"")</f>
        <v>11.255</v>
      </c>
      <c r="G76" s="15">
        <f>IFERROR(INDEX('Inputs (2)'!$D$98:$AL$98,MATCH(G$7,'Inputs (2)'!$D$2:$AL$2,0)),"")</f>
        <v>17.69</v>
      </c>
      <c r="H76" s="16">
        <f>IF(COUNT(D76:G76)=4,SUM(D76:G76),"")</f>
        <v>52.517</v>
      </c>
      <c r="I76" s="15">
        <f>IFERROR(INDEX('Inputs (2)'!$D$98:$AL$98,MATCH(I$7,'Inputs (2)'!$D$2:$AL$2,0)),"")</f>
        <v>19.635</v>
      </c>
      <c r="J76" s="15">
        <f>IFERROR(INDEX('Inputs (2)'!$D$98:$AL$98,MATCH(J$7,'Inputs (2)'!$D$2:$AL$2,0)),"")</f>
        <v>21.937</v>
      </c>
      <c r="K76" s="15">
        <f>IFERROR(INDEX('Inputs (2)'!$D$98:$AL$98,MATCH(K$7,'Inputs (2)'!$D$2:$AL$2,0)),"")</f>
        <v>18.735</v>
      </c>
      <c r="L76" s="15">
        <f>IFERROR(INDEX('Inputs (2)'!$D$98:$AL$98,MATCH(L$7,'Inputs (2)'!$D$2:$AL$2,0)),"")</f>
        <v>22.265</v>
      </c>
      <c r="M76" s="16">
        <f>IF(COUNT(I76:L76)=4,SUM(I76:L76),"")</f>
        <v>82.572</v>
      </c>
      <c r="N76" s="15">
        <f>IFERROR(INDEX('Inputs (2)'!$D$98:$AL$98,MATCH(N$7,'Inputs (2)'!$D$2:$AL$2,0)),"")</f>
        <v>15.738</v>
      </c>
      <c r="O76" s="15">
        <f>IFERROR(INDEX('Inputs (2)'!$D$98:$AL$98,MATCH(O$7,'Inputs (2)'!$D$2:$AL$2,0)),"")</f>
        <v>13.163</v>
      </c>
      <c r="P76" s="15">
        <f>IFERROR(INDEX('Inputs (2)'!$D$98:$AL$98,MATCH(P$7,'Inputs (2)'!$D$2:$AL$2,0)),"")</f>
        <v>14.995</v>
      </c>
      <c r="Q76" s="15">
        <f>IFERROR(INDEX('Inputs (2)'!$D$98:$AL$98,MATCH(Q$7,'Inputs (2)'!$D$2:$AL$2,0)),"")</f>
        <v>15.477</v>
      </c>
      <c r="R76" s="16">
        <f>IF(COUNT(N76:Q76)=4,SUM(N76:Q76),"")</f>
        <v>59.373</v>
      </c>
      <c r="S76" s="15">
        <f>IFERROR(INDEX('Inputs (2)'!$D$98:$AL$98,MATCH(S$7,'Inputs (2)'!$D$2:$AL$2,0)),"")</f>
        <v>13.581</v>
      </c>
      <c r="T76" s="15">
        <f>IFERROR(INDEX('Inputs (2)'!$D$98:$AL$98,MATCH(T$7,'Inputs (2)'!$D$2:$AL$2,0)),"")</f>
        <v>13.546</v>
      </c>
      <c r="U76" s="15">
        <f>IFERROR(INDEX('Inputs (2)'!$D$98:$AL$98,MATCH(U$7,'Inputs (2)'!$D$2:$AL$2,0)),"")</f>
        <v>13.672</v>
      </c>
      <c r="V76" s="15">
        <f>IFERROR(INDEX('Inputs (2)'!$D$98:$AL$98,MATCH(V$7,'Inputs (2)'!$D$2:$AL$2,0)),"")</f>
        <v>14.144</v>
      </c>
      <c r="W76" s="16">
        <f>IF(COUNT(S76:V76)=4,SUM(S76:V76),"")</f>
        <v>54.943</v>
      </c>
      <c r="X76" s="15">
        <f>IFERROR(INDEX('Inputs (2)'!$D$98:$AL$98,MATCH(X$7,'Inputs (2)'!$D$2:$AL$2,0)),"")</f>
        <v>13.953</v>
      </c>
      <c r="Y76" s="15">
        <f>IFERROR(INDEX('Inputs (2)'!$D$98:$AL$98,MATCH(Y$7,'Inputs (2)'!$D$2:$AL$2,0)),"")</f>
        <v>12.234</v>
      </c>
      <c r="Z76" s="15">
        <f>IFERROR(INDEX('Inputs (2)'!$D$98:$AL$98,MATCH(Z$7,'Inputs (2)'!$D$2:$AL$2,0)),"")</f>
        <v>13.531</v>
      </c>
      <c r="AA76" s="15">
        <f>IFERROR(INDEX('Inputs (2)'!$D$98:$AL$98,MATCH(AA$7,'Inputs (2)'!$D$2:$AL$2,0)),"")</f>
        <v>21.894</v>
      </c>
      <c r="AB76" s="16">
        <f>IF(COUNT(X76:AA76)=4,SUM(X76:AA76),"")</f>
        <v>61.612</v>
      </c>
      <c r="AC76" s="15">
        <f>IFERROR(INDEX('Inputs (2)'!$D$98:$AL$98,MATCH(AC$7,'Inputs (2)'!$D$2:$AL$2,0)),"")</f>
        <v>15.335</v>
      </c>
      <c r="AD76" s="15">
        <f>IFERROR(INDEX('Inputs (2)'!$D$98:$AL$98,MATCH(AD$7,'Inputs (2)'!$D$2:$AL$2,0)),"")</f>
        <v>16.888</v>
      </c>
      <c r="AE76" s="15">
        <f>IFERROR(INDEX('Inputs (2)'!$D$98:$AL$98,MATCH(AE$7,'Inputs (2)'!$D$2:$AL$2,0)),"")</f>
        <v>18.261</v>
      </c>
      <c r="AF76" s="15">
        <f>IFERROR(INDEX('Inputs (2)'!$D$98:$AL$98,MATCH(AF$7,'Inputs (2)'!$D$2:$AL$2,0)),"")</f>
        <v>13.379</v>
      </c>
      <c r="AG76" s="16">
        <f>IF(COUNT(AC76:AF76)=4,SUM(AC76:AF76),"")</f>
        <v>63.863</v>
      </c>
      <c r="AH76" s="16">
        <f>IFERROR(INDEX('Inputs (2)'!$D$98:$AL$98,MATCH(AH$7,'Inputs (2)'!$D$2:$AL$2,0)),"")</f>
        <v>18.625</v>
      </c>
      <c r="AI76" s="16">
        <f>IFERROR(INDEX('Inputs (2)'!$D$98:$AL$98,MATCH(AI$7,'Inputs (2)'!$D$2:$AL$2,0)),"")</f>
        <v>13.067</v>
      </c>
    </row>
    <row r="77">
      <c r="C77" s="14" t="inlineStr">
        <is>
          <t xml:space="preserve">   Verde 08</t>
        </is>
      </c>
      <c r="D77" s="15">
        <f>IFERROR(INDEX('Inputs (2)'!$D$99:$AL$99,MATCH(D$7,'Inputs (2)'!$D$2:$AL$2,0)),"")</f>
        <v>18.875</v>
      </c>
      <c r="E77" s="15">
        <f>IFERROR(INDEX('Inputs (2)'!$D$99:$AL$99,MATCH(E$7,'Inputs (2)'!$D$2:$AL$2,0)),"")</f>
        <v>10.975</v>
      </c>
      <c r="F77" s="15">
        <f>IFERROR(INDEX('Inputs (2)'!$D$99:$AL$99,MATCH(F$7,'Inputs (2)'!$D$2:$AL$2,0)),"")</f>
        <v>9.195</v>
      </c>
      <c r="G77" s="15">
        <f>IFERROR(INDEX('Inputs (2)'!$D$99:$AL$99,MATCH(G$7,'Inputs (2)'!$D$2:$AL$2,0)),"")</f>
        <v>17.263</v>
      </c>
      <c r="H77" s="16">
        <f>IF(COUNT(D77:G77)=4,SUM(D77:G77),"")</f>
        <v>56.308</v>
      </c>
      <c r="I77" s="15">
        <f>IFERROR(INDEX('Inputs (2)'!$D$99:$AL$99,MATCH(I$7,'Inputs (2)'!$D$2:$AL$2,0)),"")</f>
        <v>22.614</v>
      </c>
      <c r="J77" s="15">
        <f>IFERROR(INDEX('Inputs (2)'!$D$99:$AL$99,MATCH(J$7,'Inputs (2)'!$D$2:$AL$2,0)),"")</f>
        <v>18.136</v>
      </c>
      <c r="K77" s="15">
        <f>IFERROR(INDEX('Inputs (2)'!$D$99:$AL$99,MATCH(K$7,'Inputs (2)'!$D$2:$AL$2,0)),"")</f>
        <v>16.571</v>
      </c>
      <c r="L77" s="15">
        <f>IFERROR(INDEX('Inputs (2)'!$D$99:$AL$99,MATCH(L$7,'Inputs (2)'!$D$2:$AL$2,0)),"")</f>
        <v>14.689</v>
      </c>
      <c r="M77" s="16">
        <f>IF(COUNT(I77:L77)=4,SUM(I77:L77),"")</f>
        <v>72.01</v>
      </c>
      <c r="N77" s="15">
        <f>IFERROR(INDEX('Inputs (2)'!$D$99:$AL$99,MATCH(N$7,'Inputs (2)'!$D$2:$AL$2,0)),"")</f>
        <v>8.603</v>
      </c>
      <c r="O77" s="15">
        <f>IFERROR(INDEX('Inputs (2)'!$D$99:$AL$99,MATCH(O$7,'Inputs (2)'!$D$2:$AL$2,0)),"")</f>
        <v>4.374</v>
      </c>
      <c r="P77" s="15">
        <f>IFERROR(INDEX('Inputs (2)'!$D$99:$AL$99,MATCH(P$7,'Inputs (2)'!$D$2:$AL$2,0)),"")</f>
        <v>6.817</v>
      </c>
      <c r="Q77" s="15">
        <f>IFERROR(INDEX('Inputs (2)'!$D$99:$AL$99,MATCH(Q$7,'Inputs (2)'!$D$2:$AL$2,0)),"")</f>
        <v>8.063</v>
      </c>
      <c r="R77" s="16">
        <f>IF(COUNT(N77:Q77)=4,SUM(N77:Q77),"")</f>
        <v>27.857</v>
      </c>
      <c r="S77" s="15">
        <f>IFERROR(INDEX('Inputs (2)'!$D$99:$AL$99,MATCH(S$7,'Inputs (2)'!$D$2:$AL$2,0)),"")</f>
        <v>11.516</v>
      </c>
      <c r="T77" s="15">
        <f>IFERROR(INDEX('Inputs (2)'!$D$99:$AL$99,MATCH(T$7,'Inputs (2)'!$D$2:$AL$2,0)),"")</f>
        <v>10.734</v>
      </c>
      <c r="U77" s="15">
        <f>IFERROR(INDEX('Inputs (2)'!$D$99:$AL$99,MATCH(U$7,'Inputs (2)'!$D$2:$AL$2,0)),"")</f>
        <v>10.983</v>
      </c>
      <c r="V77" s="15">
        <f>IFERROR(INDEX('Inputs (2)'!$D$99:$AL$99,MATCH(V$7,'Inputs (2)'!$D$2:$AL$2,0)),"")</f>
        <v>11.809</v>
      </c>
      <c r="W77" s="16">
        <f>IF(COUNT(S77:V77)=4,SUM(S77:V77),"")</f>
        <v>45.042</v>
      </c>
      <c r="X77" s="15">
        <f>IFERROR(INDEX('Inputs (2)'!$D$99:$AL$99,MATCH(X$7,'Inputs (2)'!$D$2:$AL$2,0)),"")</f>
        <v>12.324</v>
      </c>
      <c r="Y77" s="15">
        <f>IFERROR(INDEX('Inputs (2)'!$D$99:$AL$99,MATCH(Y$7,'Inputs (2)'!$D$2:$AL$2,0)),"")</f>
        <v>11.292</v>
      </c>
      <c r="Z77" s="15">
        <f>IFERROR(INDEX('Inputs (2)'!$D$99:$AL$99,MATCH(Z$7,'Inputs (2)'!$D$2:$AL$2,0)),"")</f>
        <v>11.624</v>
      </c>
      <c r="AA77" s="15">
        <f>IFERROR(INDEX('Inputs (2)'!$D$99:$AL$99,MATCH(AA$7,'Inputs (2)'!$D$2:$AL$2,0)),"")</f>
        <v>12.227</v>
      </c>
      <c r="AB77" s="16">
        <f>IF(COUNT(X77:AA77)=4,SUM(X77:AA77),"")</f>
        <v>47.467</v>
      </c>
      <c r="AC77" s="15">
        <f>IFERROR(INDEX('Inputs (2)'!$D$99:$AL$99,MATCH(AC$7,'Inputs (2)'!$D$2:$AL$2,0)),"")</f>
        <v>13.293</v>
      </c>
      <c r="AD77" s="15">
        <f>IFERROR(INDEX('Inputs (2)'!$D$99:$AL$99,MATCH(AD$7,'Inputs (2)'!$D$2:$AL$2,0)),"")</f>
        <v>11.798</v>
      </c>
      <c r="AE77" s="15">
        <f>IFERROR(INDEX('Inputs (2)'!$D$99:$AL$99,MATCH(AE$7,'Inputs (2)'!$D$2:$AL$2,0)),"")</f>
        <v>11.951</v>
      </c>
      <c r="AF77" s="15">
        <f>IFERROR(INDEX('Inputs (2)'!$D$99:$AL$99,MATCH(AF$7,'Inputs (2)'!$D$2:$AL$2,0)),"")</f>
        <v>12.879</v>
      </c>
      <c r="AG77" s="16">
        <f>IF(COUNT(AC77:AF77)=4,SUM(AC77:AF77),"")</f>
        <v>49.921</v>
      </c>
      <c r="AH77" s="16">
        <f>IFERROR(INDEX('Inputs (2)'!$D$99:$AL$99,MATCH(AH$7,'Inputs (2)'!$D$2:$AL$2,0)),"")</f>
        <v>16.181</v>
      </c>
      <c r="AI77" s="16">
        <f>IFERROR(INDEX('Inputs (2)'!$D$99:$AL$99,MATCH(AI$7,'Inputs (2)'!$D$2:$AL$2,0)),"")</f>
        <v>12.579</v>
      </c>
    </row>
    <row r="78">
      <c r="C78" s="14" t="inlineStr">
        <is>
          <t xml:space="preserve">   EDV I</t>
        </is>
      </c>
      <c r="D78" s="15">
        <f>IFERROR(INDEX('Inputs (2)'!$D$100:$AL$100,MATCH(D$7,'Inputs (2)'!$D$2:$AL$2,0)),"")</f>
        <v>3.128</v>
      </c>
      <c r="E78" s="15">
        <f>IFERROR(INDEX('Inputs (2)'!$D$100:$AL$100,MATCH(E$7,'Inputs (2)'!$D$2:$AL$2,0)),"")</f>
        <v>3.125</v>
      </c>
      <c r="F78" s="15">
        <f>IFERROR(INDEX('Inputs (2)'!$D$100:$AL$100,MATCH(F$7,'Inputs (2)'!$D$2:$AL$2,0)),"")</f>
        <v>3.162</v>
      </c>
      <c r="G78" s="15">
        <f>IFERROR(INDEX('Inputs (2)'!$D$100:$AL$100,MATCH(G$7,'Inputs (2)'!$D$2:$AL$2,0)),"")</f>
        <v>3.17</v>
      </c>
      <c r="H78" s="16">
        <f>IF(COUNT(D78:G78)=4,SUM(D78:G78),"")</f>
        <v>12.585</v>
      </c>
      <c r="I78" s="15">
        <f>IFERROR(INDEX('Inputs (2)'!$D$100:$AL$100,MATCH(I$7,'Inputs (2)'!$D$2:$AL$2,0)),"")</f>
        <v>3.233</v>
      </c>
      <c r="J78" s="15">
        <f>IFERROR(INDEX('Inputs (2)'!$D$100:$AL$100,MATCH(J$7,'Inputs (2)'!$D$2:$AL$2,0)),"")</f>
        <v>3.359</v>
      </c>
      <c r="K78" s="15">
        <f>IFERROR(INDEX('Inputs (2)'!$D$100:$AL$100,MATCH(K$7,'Inputs (2)'!$D$2:$AL$2,0)),"")</f>
        <v>7.146</v>
      </c>
      <c r="L78" s="15">
        <f>IFERROR(INDEX('Inputs (2)'!$D$100:$AL$100,MATCH(L$7,'Inputs (2)'!$D$2:$AL$2,0)),"")</f>
        <v>3.934</v>
      </c>
      <c r="M78" s="16">
        <f>IF(COUNT(I78:L78)=4,SUM(I78:L78),"")</f>
        <v>17.672</v>
      </c>
      <c r="N78" s="15">
        <f>IFERROR(INDEX('Inputs (2)'!$D$100:$AL$100,MATCH(N$7,'Inputs (2)'!$D$2:$AL$2,0)),"")</f>
        <v>3.559</v>
      </c>
      <c r="O78" s="15">
        <f>IFERROR(INDEX('Inputs (2)'!$D$100:$AL$100,MATCH(O$7,'Inputs (2)'!$D$2:$AL$2,0)),"")</f>
        <v>3.605</v>
      </c>
      <c r="P78" s="15">
        <f>IFERROR(INDEX('Inputs (2)'!$D$100:$AL$100,MATCH(P$7,'Inputs (2)'!$D$2:$AL$2,0)),"")</f>
        <v>3.667</v>
      </c>
      <c r="Q78" s="15">
        <f>IFERROR(INDEX('Inputs (2)'!$D$100:$AL$100,MATCH(Q$7,'Inputs (2)'!$D$2:$AL$2,0)),"")</f>
        <v>3.671</v>
      </c>
      <c r="R78" s="16">
        <f>IF(COUNT(N78:Q78)=4,SUM(N78:Q78),"")</f>
        <v>14.502</v>
      </c>
      <c r="S78" s="15">
        <f>IFERROR(INDEX('Inputs (2)'!$D$100:$AL$100,MATCH(S$7,'Inputs (2)'!$D$2:$AL$2,0)),"")</f>
        <v>3.774</v>
      </c>
      <c r="T78" s="15">
        <f>IFERROR(INDEX('Inputs (2)'!$D$100:$AL$100,MATCH(T$7,'Inputs (2)'!$D$2:$AL$2,0)),"")</f>
        <v>3.461</v>
      </c>
      <c r="U78" s="15">
        <f>IFERROR(INDEX('Inputs (2)'!$D$100:$AL$100,MATCH(U$7,'Inputs (2)'!$D$2:$AL$2,0)),"")</f>
        <v>4.19</v>
      </c>
      <c r="V78" s="15">
        <f>IFERROR(INDEX('Inputs (2)'!$D$100:$AL$100,MATCH(V$7,'Inputs (2)'!$D$2:$AL$2,0)),"")</f>
        <v>4.087</v>
      </c>
      <c r="W78" s="16">
        <f>IF(COUNT(S78:V78)=4,SUM(S78:V78),"")</f>
        <v>15.512</v>
      </c>
      <c r="X78" s="15">
        <f>IFERROR(INDEX('Inputs (2)'!$D$100:$AL$100,MATCH(X$7,'Inputs (2)'!$D$2:$AL$2,0)),"")</f>
        <v>2.918</v>
      </c>
      <c r="Y78" s="15">
        <f>IFERROR(INDEX('Inputs (2)'!$D$100:$AL$100,MATCH(Y$7,'Inputs (2)'!$D$2:$AL$2,0)),"")</f>
        <v>1.988</v>
      </c>
      <c r="Z78" s="15">
        <f>IFERROR(INDEX('Inputs (2)'!$D$100:$AL$100,MATCH(Z$7,'Inputs (2)'!$D$2:$AL$2,0)),"")</f>
        <v>2.443</v>
      </c>
      <c r="AA78" s="15">
        <f>IFERROR(INDEX('Inputs (2)'!$D$100:$AL$100,MATCH(AA$7,'Inputs (2)'!$D$2:$AL$2,0)),"")</f>
        <v>5.512</v>
      </c>
      <c r="AB78" s="16">
        <f>IF(COUNT(X78:AA78)=4,SUM(X78:AA78),"")</f>
        <v>12.861</v>
      </c>
      <c r="AC78" s="15">
        <f>IFERROR(INDEX('Inputs (2)'!$D$100:$AL$100,MATCH(AC$7,'Inputs (2)'!$D$2:$AL$2,0)),"")</f>
        <v>2.62</v>
      </c>
      <c r="AD78" s="15">
        <f>IFERROR(INDEX('Inputs (2)'!$D$100:$AL$100,MATCH(AD$7,'Inputs (2)'!$D$2:$AL$2,0)),"")</f>
        <v>3.445</v>
      </c>
      <c r="AE78" s="15">
        <f>IFERROR(INDEX('Inputs (2)'!$D$100:$AL$100,MATCH(AE$7,'Inputs (2)'!$D$2:$AL$2,0)),"")</f>
        <v>4.265</v>
      </c>
      <c r="AF78" s="15">
        <f>IFERROR(INDEX('Inputs (2)'!$D$100:$AL$100,MATCH(AF$7,'Inputs (2)'!$D$2:$AL$2,0)),"")</f>
        <v>4.443</v>
      </c>
      <c r="AG78" s="16">
        <f>IF(COUNT(AC78:AF78)=4,SUM(AC78:AF78),"")</f>
        <v>14.773</v>
      </c>
      <c r="AH78" s="16">
        <f>IFERROR(INDEX('Inputs (2)'!$D$100:$AL$100,MATCH(AH$7,'Inputs (2)'!$D$2:$AL$2,0)),"")</f>
        <v>3.461</v>
      </c>
      <c r="AI78" s="16">
        <f>IFERROR(INDEX('Inputs (2)'!$D$100:$AL$100,MATCH(AI$7,'Inputs (2)'!$D$2:$AL$2,0)),"")</f>
        <v>1.656</v>
      </c>
    </row>
    <row r="79">
      <c r="C79" s="14" t="inlineStr">
        <is>
          <t xml:space="preserve">   EDV II</t>
        </is>
      </c>
      <c r="D79" s="15">
        <f>IFERROR(INDEX('Inputs (2)'!$D$101:$AL$101,MATCH(D$7,'Inputs (2)'!$D$2:$AL$2,0)),"")</f>
        <v>1.822</v>
      </c>
      <c r="E79" s="15">
        <f>IFERROR(INDEX('Inputs (2)'!$D$101:$AL$101,MATCH(E$7,'Inputs (2)'!$D$2:$AL$2,0)),"")</f>
        <v>1.814</v>
      </c>
      <c r="F79" s="15">
        <f>IFERROR(INDEX('Inputs (2)'!$D$101:$AL$101,MATCH(F$7,'Inputs (2)'!$D$2:$AL$2,0)),"")</f>
        <v>1.813</v>
      </c>
      <c r="G79" s="15">
        <f>IFERROR(INDEX('Inputs (2)'!$D$101:$AL$101,MATCH(G$7,'Inputs (2)'!$D$2:$AL$2,0)),"")</f>
        <v>1.857</v>
      </c>
      <c r="H79" s="16">
        <f>IF(COUNT(D79:G79)=4,SUM(D79:G79),"")</f>
        <v>7.306</v>
      </c>
      <c r="I79" s="15">
        <f>IFERROR(INDEX('Inputs (2)'!$D$101:$AL$101,MATCH(I$7,'Inputs (2)'!$D$2:$AL$2,0)),"")</f>
        <v>1.869</v>
      </c>
      <c r="J79" s="15">
        <f>IFERROR(INDEX('Inputs (2)'!$D$101:$AL$101,MATCH(J$7,'Inputs (2)'!$D$2:$AL$2,0)),"")</f>
        <v>1.969</v>
      </c>
      <c r="K79" s="15">
        <f>IFERROR(INDEX('Inputs (2)'!$D$101:$AL$101,MATCH(K$7,'Inputs (2)'!$D$2:$AL$2,0)),"")</f>
        <v>3.03</v>
      </c>
      <c r="L79" s="15">
        <f>IFERROR(INDEX('Inputs (2)'!$D$101:$AL$101,MATCH(L$7,'Inputs (2)'!$D$2:$AL$2,0)),"")</f>
        <v>2.112</v>
      </c>
      <c r="M79" s="16">
        <f>IF(COUNT(I79:L79)=4,SUM(I79:L79),"")</f>
        <v>8.98</v>
      </c>
      <c r="N79" s="15">
        <f>IFERROR(INDEX('Inputs (2)'!$D$101:$AL$101,MATCH(N$7,'Inputs (2)'!$D$2:$AL$2,0)),"")</f>
        <v>2.059</v>
      </c>
      <c r="O79" s="15">
        <f>IFERROR(INDEX('Inputs (2)'!$D$101:$AL$101,MATCH(O$7,'Inputs (2)'!$D$2:$AL$2,0)),"")</f>
        <v>2.094</v>
      </c>
      <c r="P79" s="15">
        <f>IFERROR(INDEX('Inputs (2)'!$D$101:$AL$101,MATCH(P$7,'Inputs (2)'!$D$2:$AL$2,0)),"")</f>
        <v>2.126</v>
      </c>
      <c r="Q79" s="15">
        <f>IFERROR(INDEX('Inputs (2)'!$D$101:$AL$101,MATCH(Q$7,'Inputs (2)'!$D$2:$AL$2,0)),"")</f>
        <v>2.127</v>
      </c>
      <c r="R79" s="16">
        <f>IF(COUNT(N79:Q79)=4,SUM(N79:Q79),"")</f>
        <v>8.406</v>
      </c>
      <c r="S79" s="15">
        <f>IFERROR(INDEX('Inputs (2)'!$D$101:$AL$101,MATCH(S$7,'Inputs (2)'!$D$2:$AL$2,0)),"")</f>
        <v>2.22</v>
      </c>
      <c r="T79" s="15">
        <f>IFERROR(INDEX('Inputs (2)'!$D$101:$AL$101,MATCH(T$7,'Inputs (2)'!$D$2:$AL$2,0)),"")</f>
        <v>1.664</v>
      </c>
      <c r="U79" s="15">
        <f>IFERROR(INDEX('Inputs (2)'!$D$101:$AL$101,MATCH(U$7,'Inputs (2)'!$D$2:$AL$2,0)),"")</f>
        <v>2.365</v>
      </c>
      <c r="V79" s="15">
        <f>IFERROR(INDEX('Inputs (2)'!$D$101:$AL$101,MATCH(V$7,'Inputs (2)'!$D$2:$AL$2,0)),"")</f>
        <v>2.429</v>
      </c>
      <c r="W79" s="16">
        <f>IF(COUNT(S79:V79)=4,SUM(S79:V79),"")</f>
        <v>8.678</v>
      </c>
      <c r="X79" s="15">
        <f>IFERROR(INDEX('Inputs (2)'!$D$101:$AL$101,MATCH(X$7,'Inputs (2)'!$D$2:$AL$2,0)),"")</f>
        <v>1.704</v>
      </c>
      <c r="Y79" s="15">
        <f>IFERROR(INDEX('Inputs (2)'!$D$101:$AL$101,MATCH(Y$7,'Inputs (2)'!$D$2:$AL$2,0)),"")</f>
        <v>0.998</v>
      </c>
      <c r="Z79" s="15">
        <f>IFERROR(INDEX('Inputs (2)'!$D$101:$AL$101,MATCH(Z$7,'Inputs (2)'!$D$2:$AL$2,0)),"")</f>
        <v>1.282</v>
      </c>
      <c r="AA79" s="15">
        <f>IFERROR(INDEX('Inputs (2)'!$D$101:$AL$101,MATCH(AA$7,'Inputs (2)'!$D$2:$AL$2,0)),"")</f>
        <v>2.94</v>
      </c>
      <c r="AB79" s="16">
        <f>IF(COUNT(X79:AA79)=4,SUM(X79:AA79),"")</f>
        <v>6.924</v>
      </c>
      <c r="AC79" s="15">
        <f>IFERROR(INDEX('Inputs (2)'!$D$101:$AL$101,MATCH(AC$7,'Inputs (2)'!$D$2:$AL$2,0)),"")</f>
        <v>1.529</v>
      </c>
      <c r="AD79" s="15">
        <f>IFERROR(INDEX('Inputs (2)'!$D$101:$AL$101,MATCH(AD$7,'Inputs (2)'!$D$2:$AL$2,0)),"")</f>
        <v>1.975</v>
      </c>
      <c r="AE79" s="15">
        <f>IFERROR(INDEX('Inputs (2)'!$D$101:$AL$101,MATCH(AE$7,'Inputs (2)'!$D$2:$AL$2,0)),"")</f>
        <v>2.102</v>
      </c>
      <c r="AF79" s="15">
        <f>IFERROR(INDEX('Inputs (2)'!$D$101:$AL$101,MATCH(AF$7,'Inputs (2)'!$D$2:$AL$2,0)),"")</f>
        <v>2.305</v>
      </c>
      <c r="AG79" s="16">
        <f>IF(COUNT(AC79:AF79)=4,SUM(AC79:AF79),"")</f>
        <v>7.911</v>
      </c>
      <c r="AH79" s="16">
        <f>IFERROR(INDEX('Inputs (2)'!$D$101:$AL$101,MATCH(AH$7,'Inputs (2)'!$D$2:$AL$2,0)),"")</f>
        <v>1.873</v>
      </c>
      <c r="AI79" s="16">
        <f>IFERROR(INDEX('Inputs (2)'!$D$101:$AL$101,MATCH(AI$7,'Inputs (2)'!$D$2:$AL$2,0)),"")</f>
        <v>0.996</v>
      </c>
    </row>
    <row r="80">
      <c r="C80" s="14" t="inlineStr">
        <is>
          <t xml:space="preserve">   EDV III</t>
        </is>
      </c>
      <c r="D80" s="15">
        <f>IFERROR(INDEX('Inputs (2)'!$D$102:$AL$102,MATCH(D$7,'Inputs (2)'!$D$2:$AL$2,0)),"")</f>
        <v>2.712</v>
      </c>
      <c r="E80" s="15">
        <f>IFERROR(INDEX('Inputs (2)'!$D$102:$AL$102,MATCH(E$7,'Inputs (2)'!$D$2:$AL$2,0)),"")</f>
        <v>2.704</v>
      </c>
      <c r="F80" s="15">
        <f>IFERROR(INDEX('Inputs (2)'!$D$102:$AL$102,MATCH(F$7,'Inputs (2)'!$D$2:$AL$2,0)),"")</f>
        <v>2.742</v>
      </c>
      <c r="G80" s="15">
        <f>IFERROR(INDEX('Inputs (2)'!$D$102:$AL$102,MATCH(G$7,'Inputs (2)'!$D$2:$AL$2,0)),"")</f>
        <v>2.753</v>
      </c>
      <c r="H80" s="16">
        <f>IF(COUNT(D80:G80)=4,SUM(D80:G80),"")</f>
        <v>10.911</v>
      </c>
      <c r="I80" s="15">
        <f>IFERROR(INDEX('Inputs (2)'!$D$102:$AL$102,MATCH(I$7,'Inputs (2)'!$D$2:$AL$2,0)),"")</f>
        <v>2.841</v>
      </c>
      <c r="J80" s="15">
        <f>IFERROR(INDEX('Inputs (2)'!$D$102:$AL$102,MATCH(J$7,'Inputs (2)'!$D$2:$AL$2,0)),"")</f>
        <v>2.895</v>
      </c>
      <c r="K80" s="15">
        <f>IFERROR(INDEX('Inputs (2)'!$D$102:$AL$102,MATCH(K$7,'Inputs (2)'!$D$2:$AL$2,0)),"")</f>
        <v>5.581</v>
      </c>
      <c r="L80" s="15">
        <f>IFERROR(INDEX('Inputs (2)'!$D$102:$AL$102,MATCH(L$7,'Inputs (2)'!$D$2:$AL$2,0)),"")</f>
        <v>3.284</v>
      </c>
      <c r="M80" s="16">
        <f>IF(COUNT(I80:L80)=4,SUM(I80:L80),"")</f>
        <v>14.601</v>
      </c>
      <c r="N80" s="15">
        <f>IFERROR(INDEX('Inputs (2)'!$D$102:$AL$102,MATCH(N$7,'Inputs (2)'!$D$2:$AL$2,0)),"")</f>
        <v>3.078</v>
      </c>
      <c r="O80" s="15">
        <f>IFERROR(INDEX('Inputs (2)'!$D$102:$AL$102,MATCH(O$7,'Inputs (2)'!$D$2:$AL$2,0)),"")</f>
        <v>3.114</v>
      </c>
      <c r="P80" s="15">
        <f>IFERROR(INDEX('Inputs (2)'!$D$102:$AL$102,MATCH(P$7,'Inputs (2)'!$D$2:$AL$2,0)),"")</f>
        <v>3.173</v>
      </c>
      <c r="Q80" s="15">
        <f>IFERROR(INDEX('Inputs (2)'!$D$102:$AL$102,MATCH(Q$7,'Inputs (2)'!$D$2:$AL$2,0)),"")</f>
        <v>3.162</v>
      </c>
      <c r="R80" s="16">
        <f>IF(COUNT(N80:Q80)=4,SUM(N80:Q80),"")</f>
        <v>12.527</v>
      </c>
      <c r="S80" s="15">
        <f>IFERROR(INDEX('Inputs (2)'!$D$102:$AL$102,MATCH(S$7,'Inputs (2)'!$D$2:$AL$2,0)),"")</f>
        <v>3.257</v>
      </c>
      <c r="T80" s="15">
        <f>IFERROR(INDEX('Inputs (2)'!$D$102:$AL$102,MATCH(T$7,'Inputs (2)'!$D$2:$AL$2,0)),"")</f>
        <v>3.563</v>
      </c>
      <c r="U80" s="15">
        <f>IFERROR(INDEX('Inputs (2)'!$D$102:$AL$102,MATCH(U$7,'Inputs (2)'!$D$2:$AL$2,0)),"")</f>
        <v>3.734</v>
      </c>
      <c r="V80" s="15">
        <f>IFERROR(INDEX('Inputs (2)'!$D$102:$AL$102,MATCH(V$7,'Inputs (2)'!$D$2:$AL$2,0)),"")</f>
        <v>3.147</v>
      </c>
      <c r="W80" s="16">
        <f>IF(COUNT(S80:V80)=4,SUM(S80:V80),"")</f>
        <v>13.701</v>
      </c>
      <c r="X80" s="15">
        <f>IFERROR(INDEX('Inputs (2)'!$D$102:$AL$102,MATCH(X$7,'Inputs (2)'!$D$2:$AL$2,0)),"")</f>
        <v>2.391</v>
      </c>
      <c r="Y80" s="15">
        <f>IFERROR(INDEX('Inputs (2)'!$D$102:$AL$102,MATCH(Y$7,'Inputs (2)'!$D$2:$AL$2,0)),"")</f>
        <v>1.558</v>
      </c>
      <c r="Z80" s="15">
        <f>IFERROR(INDEX('Inputs (2)'!$D$102:$AL$102,MATCH(Z$7,'Inputs (2)'!$D$2:$AL$2,0)),"")</f>
        <v>1.996</v>
      </c>
      <c r="AA80" s="15">
        <f>IFERROR(INDEX('Inputs (2)'!$D$102:$AL$102,MATCH(AA$7,'Inputs (2)'!$D$2:$AL$2,0)),"")</f>
        <v>4.753</v>
      </c>
      <c r="AB80" s="16">
        <f>IF(COUNT(X80:AA80)=4,SUM(X80:AA80),"")</f>
        <v>10.698</v>
      </c>
      <c r="AC80" s="15">
        <f>IFERROR(INDEX('Inputs (2)'!$D$102:$AL$102,MATCH(AC$7,'Inputs (2)'!$D$2:$AL$2,0)),"")</f>
        <v>2.356</v>
      </c>
      <c r="AD80" s="15">
        <f>IFERROR(INDEX('Inputs (2)'!$D$102:$AL$102,MATCH(AD$7,'Inputs (2)'!$D$2:$AL$2,0)),"")</f>
        <v>3.034</v>
      </c>
      <c r="AE80" s="15">
        <f>IFERROR(INDEX('Inputs (2)'!$D$102:$AL$102,MATCH(AE$7,'Inputs (2)'!$D$2:$AL$2,0)),"")</f>
        <v>3.547</v>
      </c>
      <c r="AF80" s="15">
        <f>IFERROR(INDEX('Inputs (2)'!$D$102:$AL$102,MATCH(AF$7,'Inputs (2)'!$D$2:$AL$2,0)),"")</f>
        <v>3.724</v>
      </c>
      <c r="AG80" s="16">
        <f>IF(COUNT(AC80:AF80)=4,SUM(AC80:AF80),"")</f>
        <v>12.661</v>
      </c>
      <c r="AH80" s="16">
        <f>IFERROR(INDEX('Inputs (2)'!$D$102:$AL$102,MATCH(AH$7,'Inputs (2)'!$D$2:$AL$2,0)),"")</f>
        <v>2.647</v>
      </c>
      <c r="AI80" s="16">
        <f>IFERROR(INDEX('Inputs (2)'!$D$102:$AL$102,MATCH(AI$7,'Inputs (2)'!$D$2:$AL$2,0)),"")</f>
        <v>1.287</v>
      </c>
    </row>
    <row r="81">
      <c r="C81" s="14" t="inlineStr">
        <is>
          <t xml:space="preserve">   EDV IV</t>
        </is>
      </c>
      <c r="D81" s="15">
        <f>IFERROR(INDEX('Inputs (2)'!$D$103:$AL$103,MATCH(D$7,'Inputs (2)'!$D$2:$AL$2,0)),"")</f>
        <v>4.378</v>
      </c>
      <c r="E81" s="15">
        <f>IFERROR(INDEX('Inputs (2)'!$D$103:$AL$103,MATCH(E$7,'Inputs (2)'!$D$2:$AL$2,0)),"")</f>
        <v>4.379</v>
      </c>
      <c r="F81" s="15">
        <f>IFERROR(INDEX('Inputs (2)'!$D$103:$AL$103,MATCH(F$7,'Inputs (2)'!$D$2:$AL$2,0)),"")</f>
        <v>4.426</v>
      </c>
      <c r="G81" s="15">
        <f>IFERROR(INDEX('Inputs (2)'!$D$103:$AL$103,MATCH(G$7,'Inputs (2)'!$D$2:$AL$2,0)),"")</f>
        <v>4.428</v>
      </c>
      <c r="H81" s="16">
        <f>IF(COUNT(D81:G81)=4,SUM(D81:G81),"")</f>
        <v>17.611</v>
      </c>
      <c r="I81" s="15">
        <f>IFERROR(INDEX('Inputs (2)'!$D$103:$AL$103,MATCH(I$7,'Inputs (2)'!$D$2:$AL$2,0)),"")</f>
        <v>4.413</v>
      </c>
      <c r="J81" s="15">
        <f>IFERROR(INDEX('Inputs (2)'!$D$103:$AL$103,MATCH(J$7,'Inputs (2)'!$D$2:$AL$2,0)),"")</f>
        <v>4.772</v>
      </c>
      <c r="K81" s="15">
        <f>IFERROR(INDEX('Inputs (2)'!$D$103:$AL$103,MATCH(K$7,'Inputs (2)'!$D$2:$AL$2,0)),"")</f>
        <v>7.85</v>
      </c>
      <c r="L81" s="15">
        <f>IFERROR(INDEX('Inputs (2)'!$D$103:$AL$103,MATCH(L$7,'Inputs (2)'!$D$2:$AL$2,0)),"")</f>
        <v>5.176</v>
      </c>
      <c r="M81" s="16">
        <f>IF(COUNT(I81:L81)=4,SUM(I81:L81),"")</f>
        <v>22.211</v>
      </c>
      <c r="N81" s="15">
        <f>IFERROR(INDEX('Inputs (2)'!$D$103:$AL$103,MATCH(N$7,'Inputs (2)'!$D$2:$AL$2,0)),"")</f>
        <v>4.988</v>
      </c>
      <c r="O81" s="15">
        <f>IFERROR(INDEX('Inputs (2)'!$D$103:$AL$103,MATCH(O$7,'Inputs (2)'!$D$2:$AL$2,0)),"")</f>
        <v>5.05</v>
      </c>
      <c r="P81" s="15">
        <f>IFERROR(INDEX('Inputs (2)'!$D$103:$AL$103,MATCH(P$7,'Inputs (2)'!$D$2:$AL$2,0)),"")</f>
        <v>5.131</v>
      </c>
      <c r="Q81" s="15">
        <f>IFERROR(INDEX('Inputs (2)'!$D$103:$AL$103,MATCH(Q$7,'Inputs (2)'!$D$2:$AL$2,0)),"")</f>
        <v>5.148</v>
      </c>
      <c r="R81" s="16">
        <f>IF(COUNT(N81:Q81)=4,SUM(N81:Q81),"")</f>
        <v>20.317</v>
      </c>
      <c r="S81" s="15">
        <f>IFERROR(INDEX('Inputs (2)'!$D$103:$AL$103,MATCH(S$7,'Inputs (2)'!$D$2:$AL$2,0)),"")</f>
        <v>4.821</v>
      </c>
      <c r="T81" s="15">
        <f>IFERROR(INDEX('Inputs (2)'!$D$103:$AL$103,MATCH(T$7,'Inputs (2)'!$D$2:$AL$2,0)),"")</f>
        <v>4.312</v>
      </c>
      <c r="U81" s="15">
        <f>IFERROR(INDEX('Inputs (2)'!$D$103:$AL$103,MATCH(U$7,'Inputs (2)'!$D$2:$AL$2,0)),"")</f>
        <v>5.66</v>
      </c>
      <c r="V81" s="15">
        <f>IFERROR(INDEX('Inputs (2)'!$D$103:$AL$103,MATCH(V$7,'Inputs (2)'!$D$2:$AL$2,0)),"")</f>
        <v>4.395</v>
      </c>
      <c r="W81" s="16">
        <f>IF(COUNT(S81:V81)=4,SUM(S81:V81),"")</f>
        <v>19.188</v>
      </c>
      <c r="X81" s="15">
        <f>IFERROR(INDEX('Inputs (2)'!$D$103:$AL$103,MATCH(X$7,'Inputs (2)'!$D$2:$AL$2,0)),"")</f>
        <v>4.192</v>
      </c>
      <c r="Y81" s="15">
        <f>IFERROR(INDEX('Inputs (2)'!$D$103:$AL$103,MATCH(Y$7,'Inputs (2)'!$D$2:$AL$2,0)),"")</f>
        <v>2.88</v>
      </c>
      <c r="Z81" s="15">
        <f>IFERROR(INDEX('Inputs (2)'!$D$103:$AL$103,MATCH(Z$7,'Inputs (2)'!$D$2:$AL$2,0)),"")</f>
        <v>3.121</v>
      </c>
      <c r="AA81" s="15">
        <f>IFERROR(INDEX('Inputs (2)'!$D$103:$AL$103,MATCH(AA$7,'Inputs (2)'!$D$2:$AL$2,0)),"")</f>
        <v>7.305</v>
      </c>
      <c r="AB81" s="16">
        <f>IF(COUNT(X81:AA81)=4,SUM(X81:AA81),"")</f>
        <v>17.498</v>
      </c>
      <c r="AC81" s="15">
        <f>IFERROR(INDEX('Inputs (2)'!$D$103:$AL$103,MATCH(AC$7,'Inputs (2)'!$D$2:$AL$2,0)),"")</f>
        <v>3.696</v>
      </c>
      <c r="AD81" s="15">
        <f>IFERROR(INDEX('Inputs (2)'!$D$103:$AL$103,MATCH(AD$7,'Inputs (2)'!$D$2:$AL$2,0)),"")</f>
        <v>4.92</v>
      </c>
      <c r="AE81" s="15">
        <f>IFERROR(INDEX('Inputs (2)'!$D$103:$AL$103,MATCH(AE$7,'Inputs (2)'!$D$2:$AL$2,0)),"")</f>
        <v>5.502</v>
      </c>
      <c r="AF81" s="15">
        <f>IFERROR(INDEX('Inputs (2)'!$D$103:$AL$103,MATCH(AF$7,'Inputs (2)'!$D$2:$AL$2,0)),"")</f>
        <v>5.818</v>
      </c>
      <c r="AG81" s="16">
        <f>IF(COUNT(AC81:AF81)=4,SUM(AC81:AF81),"")</f>
        <v>19.936</v>
      </c>
      <c r="AH81" s="16">
        <f>IFERROR(INDEX('Inputs (2)'!$D$103:$AL$103,MATCH(AH$7,'Inputs (2)'!$D$2:$AL$2,0)),"")</f>
        <v>6.551</v>
      </c>
      <c r="AI81" s="16">
        <f>IFERROR(INDEX('Inputs (2)'!$D$103:$AL$103,MATCH(AI$7,'Inputs (2)'!$D$2:$AL$2,0)),"")</f>
        <v>2.577</v>
      </c>
    </row>
    <row r="82">
      <c r="C82" s="14" t="inlineStr">
        <is>
          <t xml:space="preserve">   EDV X</t>
        </is>
      </c>
      <c r="D82" s="15">
        <f>IFERROR(INDEX('Inputs (2)'!$D$104:$AL$104,MATCH(D$7,'Inputs (2)'!$D$2:$AL$2,0)),"")</f>
        <v>2.291</v>
      </c>
      <c r="E82" s="15">
        <f>IFERROR(INDEX('Inputs (2)'!$D$104:$AL$104,MATCH(E$7,'Inputs (2)'!$D$2:$AL$2,0)),"")</f>
        <v>2.289</v>
      </c>
      <c r="F82" s="15">
        <f>IFERROR(INDEX('Inputs (2)'!$D$104:$AL$104,MATCH(F$7,'Inputs (2)'!$D$2:$AL$2,0)),"")</f>
        <v>2.318</v>
      </c>
      <c r="G82" s="15">
        <f>IFERROR(INDEX('Inputs (2)'!$D$104:$AL$104,MATCH(G$7,'Inputs (2)'!$D$2:$AL$2,0)),"")</f>
        <v>2.325</v>
      </c>
      <c r="H82" s="16">
        <f>IF(COUNT(D82:G82)=4,SUM(D82:G82),"")</f>
        <v>9.223</v>
      </c>
      <c r="I82" s="15">
        <f>IFERROR(INDEX('Inputs (2)'!$D$104:$AL$104,MATCH(I$7,'Inputs (2)'!$D$2:$AL$2,0)),"")</f>
        <v>2.421</v>
      </c>
      <c r="J82" s="15">
        <f>IFERROR(INDEX('Inputs (2)'!$D$104:$AL$104,MATCH(J$7,'Inputs (2)'!$D$2:$AL$2,0)),"")</f>
        <v>2.423</v>
      </c>
      <c r="K82" s="15">
        <f>IFERROR(INDEX('Inputs (2)'!$D$104:$AL$104,MATCH(K$7,'Inputs (2)'!$D$2:$AL$2,0)),"")</f>
        <v>5.215</v>
      </c>
      <c r="L82" s="15">
        <f>IFERROR(INDEX('Inputs (2)'!$D$104:$AL$104,MATCH(L$7,'Inputs (2)'!$D$2:$AL$2,0)),"")</f>
        <v>2.799</v>
      </c>
      <c r="M82" s="16">
        <f>IF(COUNT(I82:L82)=4,SUM(I82:L82),"")</f>
        <v>12.858</v>
      </c>
      <c r="N82" s="15">
        <f>IFERROR(INDEX('Inputs (2)'!$D$104:$AL$104,MATCH(N$7,'Inputs (2)'!$D$2:$AL$2,0)),"")</f>
        <v>2.618</v>
      </c>
      <c r="O82" s="15">
        <f>IFERROR(INDEX('Inputs (2)'!$D$104:$AL$104,MATCH(O$7,'Inputs (2)'!$D$2:$AL$2,0)),"")</f>
        <v>2.636</v>
      </c>
      <c r="P82" s="15">
        <f>IFERROR(INDEX('Inputs (2)'!$D$104:$AL$104,MATCH(P$7,'Inputs (2)'!$D$2:$AL$2,0)),"")</f>
        <v>2.686</v>
      </c>
      <c r="Q82" s="15">
        <f>IFERROR(INDEX('Inputs (2)'!$D$104:$AL$104,MATCH(Q$7,'Inputs (2)'!$D$2:$AL$2,0)),"")</f>
        <v>2.684</v>
      </c>
      <c r="R82" s="16">
        <f>IF(COUNT(N82:Q82)=4,SUM(N82:Q82),"")</f>
        <v>10.624</v>
      </c>
      <c r="S82" s="15">
        <f>IFERROR(INDEX('Inputs (2)'!$D$104:$AL$104,MATCH(S$7,'Inputs (2)'!$D$2:$AL$2,0)),"")</f>
        <v>2.563</v>
      </c>
      <c r="T82" s="15">
        <f>IFERROR(INDEX('Inputs (2)'!$D$104:$AL$104,MATCH(T$7,'Inputs (2)'!$D$2:$AL$2,0)),"")</f>
        <v>3.274</v>
      </c>
      <c r="U82" s="15">
        <f>IFERROR(INDEX('Inputs (2)'!$D$104:$AL$104,MATCH(U$7,'Inputs (2)'!$D$2:$AL$2,0)),"")</f>
        <v>3.07</v>
      </c>
      <c r="V82" s="15">
        <f>IFERROR(INDEX('Inputs (2)'!$D$104:$AL$104,MATCH(V$7,'Inputs (2)'!$D$2:$AL$2,0)),"")</f>
        <v>2.094</v>
      </c>
      <c r="W82" s="16">
        <f>IF(COUNT(S82:V82)=4,SUM(S82:V82),"")</f>
        <v>11.001</v>
      </c>
      <c r="X82" s="15">
        <f>IFERROR(INDEX('Inputs (2)'!$D$104:$AL$104,MATCH(X$7,'Inputs (2)'!$D$2:$AL$2,0)),"")</f>
        <v>2.378</v>
      </c>
      <c r="Y82" s="15">
        <f>IFERROR(INDEX('Inputs (2)'!$D$104:$AL$104,MATCH(Y$7,'Inputs (2)'!$D$2:$AL$2,0)),"")</f>
        <v>1.613</v>
      </c>
      <c r="Z82" s="15">
        <f>IFERROR(INDEX('Inputs (2)'!$D$104:$AL$104,MATCH(Z$7,'Inputs (2)'!$D$2:$AL$2,0)),"")</f>
        <v>1.885</v>
      </c>
      <c r="AA82" s="15">
        <f>IFERROR(INDEX('Inputs (2)'!$D$104:$AL$104,MATCH(AA$7,'Inputs (2)'!$D$2:$AL$2,0)),"")</f>
        <v>4.222</v>
      </c>
      <c r="AB82" s="16">
        <f>IF(COUNT(X82:AA82)=4,SUM(X82:AA82),"")</f>
        <v>10.098</v>
      </c>
      <c r="AC82" s="15">
        <f>IFERROR(INDEX('Inputs (2)'!$D$104:$AL$104,MATCH(AC$7,'Inputs (2)'!$D$2:$AL$2,0)),"")</f>
        <v>2.059</v>
      </c>
      <c r="AD82" s="15">
        <f>IFERROR(INDEX('Inputs (2)'!$D$104:$AL$104,MATCH(AD$7,'Inputs (2)'!$D$2:$AL$2,0)),"")</f>
        <v>2.792</v>
      </c>
      <c r="AE82" s="15">
        <f>IFERROR(INDEX('Inputs (2)'!$D$104:$AL$104,MATCH(AE$7,'Inputs (2)'!$D$2:$AL$2,0)),"")</f>
        <v>3.245</v>
      </c>
      <c r="AF82" s="15">
        <f>IFERROR(INDEX('Inputs (2)'!$D$104:$AL$104,MATCH(AF$7,'Inputs (2)'!$D$2:$AL$2,0)),"")</f>
        <v>3.295</v>
      </c>
      <c r="AG82" s="16">
        <f>IF(COUNT(AC82:AF82)=4,SUM(AC82:AF82),"")</f>
        <v>11.391</v>
      </c>
      <c r="AH82" s="16">
        <f>IFERROR(INDEX('Inputs (2)'!$D$104:$AL$104,MATCH(AH$7,'Inputs (2)'!$D$2:$AL$2,0)),"")</f>
        <v>2.349</v>
      </c>
      <c r="AI82" s="16">
        <f>IFERROR(INDEX('Inputs (2)'!$D$104:$AL$104,MATCH(AI$7,'Inputs (2)'!$D$2:$AL$2,0)),"")</f>
        <v>1.51</v>
      </c>
    </row>
    <row r="83">
      <c r="C83" s="14" t="inlineStr">
        <is>
          <t xml:space="preserve">   EAP I</t>
        </is>
      </c>
      <c r="D83" s="15">
        <f>IFERROR(INDEX('Inputs (2)'!$D$105:$AL$105,MATCH(D$7,'Inputs (2)'!$D$2:$AL$2,0)),"")</f>
        <v>0</v>
      </c>
      <c r="E83" s="15">
        <f>IFERROR(INDEX('Inputs (2)'!$D$105:$AL$105,MATCH(E$7,'Inputs (2)'!$D$2:$AL$2,0)),"")</f>
        <v>0</v>
      </c>
      <c r="F83" s="15">
        <f>IFERROR(INDEX('Inputs (2)'!$D$105:$AL$105,MATCH(F$7,'Inputs (2)'!$D$2:$AL$2,0)),"")</f>
        <v>0</v>
      </c>
      <c r="G83" s="15">
        <f>IFERROR(INDEX('Inputs (2)'!$D$105:$AL$105,MATCH(G$7,'Inputs (2)'!$D$2:$AL$2,0)),"")</f>
        <v>0</v>
      </c>
      <c r="H83" s="16">
        <f>IF(COUNT(D83:G83)=4,SUM(D83:G83),"")</f>
        <v>0</v>
      </c>
      <c r="I83" s="15">
        <f>IFERROR(INDEX('Inputs (2)'!$D$105:$AL$105,MATCH(I$7,'Inputs (2)'!$D$2:$AL$2,0)),"")</f>
        <v>0</v>
      </c>
      <c r="J83" s="15">
        <f>IFERROR(INDEX('Inputs (2)'!$D$105:$AL$105,MATCH(J$7,'Inputs (2)'!$D$2:$AL$2,0)),"")</f>
        <v>0</v>
      </c>
      <c r="K83" s="15">
        <f>IFERROR(INDEX('Inputs (2)'!$D$105:$AL$105,MATCH(K$7,'Inputs (2)'!$D$2:$AL$2,0)),"")</f>
        <v>0</v>
      </c>
      <c r="L83" s="15">
        <f>IFERROR(INDEX('Inputs (2)'!$D$105:$AL$105,MATCH(L$7,'Inputs (2)'!$D$2:$AL$2,0)),"")</f>
        <v>0</v>
      </c>
      <c r="M83" s="16">
        <f>IF(COUNT(I83:L83)=4,SUM(I83:L83),"")</f>
        <v>0</v>
      </c>
      <c r="N83" s="15">
        <f>IFERROR(INDEX('Inputs (2)'!$D$105:$AL$105,MATCH(N$7,'Inputs (2)'!$D$2:$AL$2,0)),"")</f>
        <v>0</v>
      </c>
      <c r="O83" s="15">
        <f>IFERROR(INDEX('Inputs (2)'!$D$105:$AL$105,MATCH(O$7,'Inputs (2)'!$D$2:$AL$2,0)),"")</f>
        <v>0</v>
      </c>
      <c r="P83" s="15">
        <f>IFERROR(INDEX('Inputs (2)'!$D$105:$AL$105,MATCH(P$7,'Inputs (2)'!$D$2:$AL$2,0)),"")</f>
        <v>0</v>
      </c>
      <c r="Q83" s="15">
        <f>IFERROR(INDEX('Inputs (2)'!$D$105:$AL$105,MATCH(Q$7,'Inputs (2)'!$D$2:$AL$2,0)),"")</f>
        <v>0</v>
      </c>
      <c r="R83" s="16">
        <f>IF(COUNT(N83:Q83)=4,SUM(N83:Q83),"")</f>
        <v>0</v>
      </c>
      <c r="S83" s="15">
        <f>IFERROR(INDEX('Inputs (2)'!$D$105:$AL$105,MATCH(S$7,'Inputs (2)'!$D$2:$AL$2,0)),"")</f>
        <v>0</v>
      </c>
      <c r="T83" s="15">
        <f>IFERROR(INDEX('Inputs (2)'!$D$105:$AL$105,MATCH(T$7,'Inputs (2)'!$D$2:$AL$2,0)),"")</f>
        <v>0</v>
      </c>
      <c r="U83" s="15">
        <f>IFERROR(INDEX('Inputs (2)'!$D$105:$AL$105,MATCH(U$7,'Inputs (2)'!$D$2:$AL$2,0)),"")</f>
        <v>2.631</v>
      </c>
      <c r="V83" s="15">
        <f>IFERROR(INDEX('Inputs (2)'!$D$105:$AL$105,MATCH(V$7,'Inputs (2)'!$D$2:$AL$2,0)),"")</f>
        <v>2.721</v>
      </c>
      <c r="W83" s="16">
        <f>IF(COUNT(S83:V83)=4,SUM(S83:V83),"")</f>
        <v>5.352</v>
      </c>
      <c r="X83" s="15">
        <f>IFERROR(INDEX('Inputs (2)'!$D$105:$AL$105,MATCH(X$7,'Inputs (2)'!$D$2:$AL$2,0)),"")</f>
        <v>4.04</v>
      </c>
      <c r="Y83" s="15">
        <f>IFERROR(INDEX('Inputs (2)'!$D$105:$AL$105,MATCH(Y$7,'Inputs (2)'!$D$2:$AL$2,0)),"")</f>
        <v>4.359</v>
      </c>
      <c r="Z83" s="15">
        <f>IFERROR(INDEX('Inputs (2)'!$D$105:$AL$105,MATCH(Z$7,'Inputs (2)'!$D$2:$AL$2,0)),"")</f>
        <v>6.748</v>
      </c>
      <c r="AA83" s="15">
        <f>IFERROR(INDEX('Inputs (2)'!$D$105:$AL$105,MATCH(AA$7,'Inputs (2)'!$D$2:$AL$2,0)),"")</f>
        <v>5.317</v>
      </c>
      <c r="AB83" s="16">
        <f>IF(COUNT(X83:AA83)=4,SUM(X83:AA83),"")</f>
        <v>20.464</v>
      </c>
      <c r="AC83" s="15">
        <f>IFERROR(INDEX('Inputs (2)'!$D$105:$AL$105,MATCH(AC$7,'Inputs (2)'!$D$2:$AL$2,0)),"")</f>
        <v>4.107</v>
      </c>
      <c r="AD83" s="15">
        <f>IFERROR(INDEX('Inputs (2)'!$D$105:$AL$105,MATCH(AD$7,'Inputs (2)'!$D$2:$AL$2,0)),"")</f>
        <v>4.524</v>
      </c>
      <c r="AE83" s="15">
        <f>IFERROR(INDEX('Inputs (2)'!$D$105:$AL$105,MATCH(AE$7,'Inputs (2)'!$D$2:$AL$2,0)),"")</f>
        <v>7.945</v>
      </c>
      <c r="AF83" s="15">
        <f>IFERROR(INDEX('Inputs (2)'!$D$105:$AL$105,MATCH(AF$7,'Inputs (2)'!$D$2:$AL$2,0)),"")</f>
        <v>8.206</v>
      </c>
      <c r="AG83" s="16">
        <f>IF(COUNT(AC83:AF83)=4,SUM(AC83:AF83),"")</f>
        <v>24.782</v>
      </c>
      <c r="AH83" s="16">
        <f>IFERROR(INDEX('Inputs (2)'!$D$105:$AL$105,MATCH(AH$7,'Inputs (2)'!$D$2:$AL$2,0)),"")</f>
        <v>5.473</v>
      </c>
      <c r="AI83" s="16">
        <f>IFERROR(INDEX('Inputs (2)'!$D$105:$AL$105,MATCH(AI$7,'Inputs (2)'!$D$2:$AL$2,0)),"")</f>
        <v>5.461</v>
      </c>
    </row>
    <row r="84">
      <c r="C84" s="14" t="inlineStr">
        <is>
          <t xml:space="preserve">   EAP II</t>
        </is>
      </c>
      <c r="D84" s="15">
        <f>IFERROR(INDEX('Inputs (2)'!$D$106:$AL$106,MATCH(D$7,'Inputs (2)'!$D$2:$AL$2,0)),"")</f>
        <v>0</v>
      </c>
      <c r="E84" s="15">
        <f>IFERROR(INDEX('Inputs (2)'!$D$106:$AL$106,MATCH(E$7,'Inputs (2)'!$D$2:$AL$2,0)),"")</f>
        <v>0</v>
      </c>
      <c r="F84" s="15">
        <f>IFERROR(INDEX('Inputs (2)'!$D$106:$AL$106,MATCH(F$7,'Inputs (2)'!$D$2:$AL$2,0)),"")</f>
        <v>0</v>
      </c>
      <c r="G84" s="15">
        <f>IFERROR(INDEX('Inputs (2)'!$D$106:$AL$106,MATCH(G$7,'Inputs (2)'!$D$2:$AL$2,0)),"")</f>
        <v>0</v>
      </c>
      <c r="H84" s="16">
        <f>IF(COUNT(D84:G84)=4,SUM(D84:G84),"")</f>
        <v>0</v>
      </c>
      <c r="I84" s="15">
        <f>IFERROR(INDEX('Inputs (2)'!$D$106:$AL$106,MATCH(I$7,'Inputs (2)'!$D$2:$AL$2,0)),"")</f>
        <v>0</v>
      </c>
      <c r="J84" s="15">
        <f>IFERROR(INDEX('Inputs (2)'!$D$106:$AL$106,MATCH(J$7,'Inputs (2)'!$D$2:$AL$2,0)),"")</f>
        <v>0</v>
      </c>
      <c r="K84" s="15">
        <f>IFERROR(INDEX('Inputs (2)'!$D$106:$AL$106,MATCH(K$7,'Inputs (2)'!$D$2:$AL$2,0)),"")</f>
        <v>0</v>
      </c>
      <c r="L84" s="15">
        <f>IFERROR(INDEX('Inputs (2)'!$D$106:$AL$106,MATCH(L$7,'Inputs (2)'!$D$2:$AL$2,0)),"")</f>
        <v>0</v>
      </c>
      <c r="M84" s="16">
        <f>IF(COUNT(I84:L84)=4,SUM(I84:L84),"")</f>
        <v>0</v>
      </c>
      <c r="N84" s="15">
        <f>IFERROR(INDEX('Inputs (2)'!$D$106:$AL$106,MATCH(N$7,'Inputs (2)'!$D$2:$AL$2,0)),"")</f>
        <v>0</v>
      </c>
      <c r="O84" s="15">
        <f>IFERROR(INDEX('Inputs (2)'!$D$106:$AL$106,MATCH(O$7,'Inputs (2)'!$D$2:$AL$2,0)),"")</f>
        <v>0</v>
      </c>
      <c r="P84" s="15">
        <f>IFERROR(INDEX('Inputs (2)'!$D$106:$AL$106,MATCH(P$7,'Inputs (2)'!$D$2:$AL$2,0)),"")</f>
        <v>0</v>
      </c>
      <c r="Q84" s="15">
        <f>IFERROR(INDEX('Inputs (2)'!$D$106:$AL$106,MATCH(Q$7,'Inputs (2)'!$D$2:$AL$2,0)),"")</f>
        <v>0</v>
      </c>
      <c r="R84" s="16">
        <f>IF(COUNT(N84:Q84)=4,SUM(N84:Q84),"")</f>
        <v>0</v>
      </c>
      <c r="S84" s="15">
        <f>IFERROR(INDEX('Inputs (2)'!$D$106:$AL$106,MATCH(S$7,'Inputs (2)'!$D$2:$AL$2,0)),"")</f>
        <v>0</v>
      </c>
      <c r="T84" s="15">
        <f>IFERROR(INDEX('Inputs (2)'!$D$106:$AL$106,MATCH(T$7,'Inputs (2)'!$D$2:$AL$2,0)),"")</f>
        <v>0</v>
      </c>
      <c r="U84" s="15">
        <f>IFERROR(INDEX('Inputs (2)'!$D$106:$AL$106,MATCH(U$7,'Inputs (2)'!$D$2:$AL$2,0)),"")</f>
        <v>1.492</v>
      </c>
      <c r="V84" s="15">
        <f>IFERROR(INDEX('Inputs (2)'!$D$106:$AL$106,MATCH(V$7,'Inputs (2)'!$D$2:$AL$2,0)),"")</f>
        <v>5.126</v>
      </c>
      <c r="W84" s="16">
        <f>IF(COUNT(S84:V84)=4,SUM(S84:V84),"")</f>
        <v>6.618</v>
      </c>
      <c r="X84" s="15">
        <f>IFERROR(INDEX('Inputs (2)'!$D$106:$AL$106,MATCH(X$7,'Inputs (2)'!$D$2:$AL$2,0)),"")</f>
        <v>7.639</v>
      </c>
      <c r="Y84" s="15">
        <f>IFERROR(INDEX('Inputs (2)'!$D$106:$AL$106,MATCH(Y$7,'Inputs (2)'!$D$2:$AL$2,0)),"")</f>
        <v>8.083</v>
      </c>
      <c r="Z84" s="15">
        <f>IFERROR(INDEX('Inputs (2)'!$D$106:$AL$106,MATCH(Z$7,'Inputs (2)'!$D$2:$AL$2,0)),"")</f>
        <v>10.526</v>
      </c>
      <c r="AA84" s="15">
        <f>IFERROR(INDEX('Inputs (2)'!$D$106:$AL$106,MATCH(AA$7,'Inputs (2)'!$D$2:$AL$2,0)),"")</f>
        <v>7.265</v>
      </c>
      <c r="AB84" s="16">
        <f>IF(COUNT(X84:AA84)=4,SUM(X84:AA84),"")</f>
        <v>33.513</v>
      </c>
      <c r="AC84" s="15">
        <f>IFERROR(INDEX('Inputs (2)'!$D$106:$AL$106,MATCH(AC$7,'Inputs (2)'!$D$2:$AL$2,0)),"")</f>
        <v>8.644</v>
      </c>
      <c r="AD84" s="15">
        <f>IFERROR(INDEX('Inputs (2)'!$D$106:$AL$106,MATCH(AD$7,'Inputs (2)'!$D$2:$AL$2,0)),"")</f>
        <v>8.718</v>
      </c>
      <c r="AE84" s="15">
        <f>IFERROR(INDEX('Inputs (2)'!$D$106:$AL$106,MATCH(AE$7,'Inputs (2)'!$D$2:$AL$2,0)),"")</f>
        <v>9.766</v>
      </c>
      <c r="AF84" s="15">
        <f>IFERROR(INDEX('Inputs (2)'!$D$106:$AL$106,MATCH(AF$7,'Inputs (2)'!$D$2:$AL$2,0)),"")</f>
        <v>9.349</v>
      </c>
      <c r="AG84" s="16">
        <f>IF(COUNT(AC84:AF84)=4,SUM(AC84:AF84),"")</f>
        <v>36.477</v>
      </c>
      <c r="AH84" s="16">
        <f>IFERROR(INDEX('Inputs (2)'!$D$106:$AL$106,MATCH(AH$7,'Inputs (2)'!$D$2:$AL$2,0)),"")</f>
        <v>15.151</v>
      </c>
      <c r="AI84" s="16">
        <f>IFERROR(INDEX('Inputs (2)'!$D$106:$AL$106,MATCH(AI$7,'Inputs (2)'!$D$2:$AL$2,0)),"")</f>
        <v>15.028</v>
      </c>
    </row>
    <row r="85">
      <c r="C85" s="14" t="inlineStr">
        <is>
          <t xml:space="preserve">   EAP IV</t>
        </is>
      </c>
      <c r="D85" s="15">
        <f>IFERROR(INDEX('Inputs (2)'!$D$107:$AL$107,MATCH(D$7,'Inputs (2)'!$D$2:$AL$2,0)),"")</f>
        <v>0</v>
      </c>
      <c r="E85" s="15">
        <f>IFERROR(INDEX('Inputs (2)'!$D$107:$AL$107,MATCH(E$7,'Inputs (2)'!$D$2:$AL$2,0)),"")</f>
        <v>0</v>
      </c>
      <c r="F85" s="15">
        <f>IFERROR(INDEX('Inputs (2)'!$D$107:$AL$107,MATCH(F$7,'Inputs (2)'!$D$2:$AL$2,0)),"")</f>
        <v>0</v>
      </c>
      <c r="G85" s="15">
        <f>IFERROR(INDEX('Inputs (2)'!$D$107:$AL$107,MATCH(G$7,'Inputs (2)'!$D$2:$AL$2,0)),"")</f>
        <v>0</v>
      </c>
      <c r="H85" s="16">
        <f>IF(COUNT(D85:G85)=4,SUM(D85:G85),"")</f>
        <v>0</v>
      </c>
      <c r="I85" s="15">
        <f>IFERROR(INDEX('Inputs (2)'!$D$107:$AL$107,MATCH(I$7,'Inputs (2)'!$D$2:$AL$2,0)),"")</f>
        <v>0</v>
      </c>
      <c r="J85" s="15">
        <f>IFERROR(INDEX('Inputs (2)'!$D$107:$AL$107,MATCH(J$7,'Inputs (2)'!$D$2:$AL$2,0)),"")</f>
        <v>0</v>
      </c>
      <c r="K85" s="15">
        <f>IFERROR(INDEX('Inputs (2)'!$D$107:$AL$107,MATCH(K$7,'Inputs (2)'!$D$2:$AL$2,0)),"")</f>
        <v>0</v>
      </c>
      <c r="L85" s="15">
        <f>IFERROR(INDEX('Inputs (2)'!$D$107:$AL$107,MATCH(L$7,'Inputs (2)'!$D$2:$AL$2,0)),"")</f>
        <v>0</v>
      </c>
      <c r="M85" s="16">
        <f>IF(COUNT(I85:L85)=4,SUM(I85:L85),"")</f>
        <v>0</v>
      </c>
      <c r="N85" s="15">
        <f>IFERROR(INDEX('Inputs (2)'!$D$107:$AL$107,MATCH(N$7,'Inputs (2)'!$D$2:$AL$2,0)),"")</f>
        <v>0</v>
      </c>
      <c r="O85" s="15">
        <f>IFERROR(INDEX('Inputs (2)'!$D$107:$AL$107,MATCH(O$7,'Inputs (2)'!$D$2:$AL$2,0)),"")</f>
        <v>0</v>
      </c>
      <c r="P85" s="15">
        <f>IFERROR(INDEX('Inputs (2)'!$D$107:$AL$107,MATCH(P$7,'Inputs (2)'!$D$2:$AL$2,0)),"")</f>
        <v>0</v>
      </c>
      <c r="Q85" s="15">
        <f>IFERROR(INDEX('Inputs (2)'!$D$107:$AL$107,MATCH(Q$7,'Inputs (2)'!$D$2:$AL$2,0)),"")</f>
        <v>0</v>
      </c>
      <c r="R85" s="16">
        <f>IF(COUNT(N85:Q85)=4,SUM(N85:Q85),"")</f>
        <v>0</v>
      </c>
      <c r="S85" s="15">
        <f>IFERROR(INDEX('Inputs (2)'!$D$107:$AL$107,MATCH(S$7,'Inputs (2)'!$D$2:$AL$2,0)),"")</f>
        <v>0</v>
      </c>
      <c r="T85" s="15">
        <f>IFERROR(INDEX('Inputs (2)'!$D$107:$AL$107,MATCH(T$7,'Inputs (2)'!$D$2:$AL$2,0)),"")</f>
        <v>0</v>
      </c>
      <c r="U85" s="15">
        <f>IFERROR(INDEX('Inputs (2)'!$D$107:$AL$107,MATCH(U$7,'Inputs (2)'!$D$2:$AL$2,0)),"")</f>
        <v>0</v>
      </c>
      <c r="V85" s="15">
        <f>IFERROR(INDEX('Inputs (2)'!$D$107:$AL$107,MATCH(V$7,'Inputs (2)'!$D$2:$AL$2,0)),"")</f>
        <v>0</v>
      </c>
      <c r="W85" s="16">
        <f>IF(COUNT(S85:V85)=4,SUM(S85:V85),"")</f>
        <v>0</v>
      </c>
      <c r="X85" s="15">
        <f>IFERROR(INDEX('Inputs (2)'!$D$107:$AL$107,MATCH(X$7,'Inputs (2)'!$D$2:$AL$2,0)),"")</f>
        <v>0</v>
      </c>
      <c r="Y85" s="15">
        <f>IFERROR(INDEX('Inputs (2)'!$D$107:$AL$107,MATCH(Y$7,'Inputs (2)'!$D$2:$AL$2,0)),"")</f>
        <v>0</v>
      </c>
      <c r="Z85" s="15">
        <f>IFERROR(INDEX('Inputs (2)'!$D$107:$AL$107,MATCH(Z$7,'Inputs (2)'!$D$2:$AL$2,0)),"")</f>
        <v>0</v>
      </c>
      <c r="AA85" s="15">
        <f>IFERROR(INDEX('Inputs (2)'!$D$107:$AL$107,MATCH(AA$7,'Inputs (2)'!$D$2:$AL$2,0)),"")</f>
        <v>0</v>
      </c>
      <c r="AB85" s="16">
        <f>IF(COUNT(X85:AA85)=4,SUM(X85:AA85),"")</f>
        <v>0</v>
      </c>
      <c r="AC85" s="15">
        <f>IFERROR(INDEX('Inputs (2)'!$D$107:$AL$107,MATCH(AC$7,'Inputs (2)'!$D$2:$AL$2,0)),"")</f>
        <v>0</v>
      </c>
      <c r="AD85" s="15">
        <f>IFERROR(INDEX('Inputs (2)'!$D$107:$AL$107,MATCH(AD$7,'Inputs (2)'!$D$2:$AL$2,0)),"")</f>
        <v>0</v>
      </c>
      <c r="AE85" s="15">
        <f>IFERROR(INDEX('Inputs (2)'!$D$107:$AL$107,MATCH(AE$7,'Inputs (2)'!$D$2:$AL$2,0)),"")</f>
        <v>0</v>
      </c>
      <c r="AF85" s="15">
        <f>IFERROR(INDEX('Inputs (2)'!$D$107:$AL$107,MATCH(AF$7,'Inputs (2)'!$D$2:$AL$2,0)),"")</f>
        <v>13.379</v>
      </c>
      <c r="AG85" s="16">
        <f>IF(COUNT(AC85:AF85)=4,SUM(AC85:AF85),"")</f>
        <v>13.379</v>
      </c>
      <c r="AH85" s="16">
        <f>IFERROR(INDEX('Inputs (2)'!$D$107:$AL$107,MATCH(AH$7,'Inputs (2)'!$D$2:$AL$2,0)),"")</f>
        <v>0</v>
      </c>
      <c r="AI85" s="16">
        <f>IFERROR(INDEX('Inputs (2)'!$D$107:$AL$107,MATCH(AI$7,'Inputs (2)'!$D$2:$AL$2,0)),"")</f>
        <v>0</v>
      </c>
    </row>
    <row r="86">
      <c r="C86" s="14" t="inlineStr">
        <is>
          <t xml:space="preserve">   UFV Pitombeira</t>
        </is>
      </c>
      <c r="D86" s="15" t="str">
        <f>IFERROR(INDEX('Inputs (2)'!$D$108:$AL$108,MATCH(D$7,'Inputs (2)'!$D$2:$AL$2,0)),"")</f>
        <v/>
      </c>
      <c r="E86" s="15" t="str">
        <f>IFERROR(INDEX('Inputs (2)'!$D$108:$AL$108,MATCH(E$7,'Inputs (2)'!$D$2:$AL$2,0)),"")</f>
        <v/>
      </c>
      <c r="F86" s="15" t="str">
        <f>IFERROR(INDEX('Inputs (2)'!$D$108:$AL$108,MATCH(F$7,'Inputs (2)'!$D$2:$AL$2,0)),"")</f>
        <v/>
      </c>
      <c r="G86" s="15" t="str">
        <f>IFERROR(INDEX('Inputs (2)'!$D$108:$AL$108,MATCH(G$7,'Inputs (2)'!$D$2:$AL$2,0)),"")</f>
        <v/>
      </c>
      <c r="H86" s="16" t="str">
        <f>IF(COUNT(D86:G86)=4,SUM(D86:G86),"")</f>
        <v/>
      </c>
      <c r="I86" s="15" t="str">
        <f>IFERROR(INDEX('Inputs (2)'!$D$108:$AL$108,MATCH(I$7,'Inputs (2)'!$D$2:$AL$2,0)),"")</f>
        <v/>
      </c>
      <c r="J86" s="15" t="str">
        <f>IFERROR(INDEX('Inputs (2)'!$D$108:$AL$108,MATCH(J$7,'Inputs (2)'!$D$2:$AL$2,0)),"")</f>
        <v/>
      </c>
      <c r="K86" s="15" t="str">
        <f>IFERROR(INDEX('Inputs (2)'!$D$108:$AL$108,MATCH(K$7,'Inputs (2)'!$D$2:$AL$2,0)),"")</f>
        <v/>
      </c>
      <c r="L86" s="15">
        <f>IFERROR(INDEX('Inputs (2)'!$D$108:$AL$108,MATCH(L$7,'Inputs (2)'!$D$2:$AL$2,0)),"")</f>
        <v>0</v>
      </c>
      <c r="M86" s="16" t="str">
        <f>IF(COUNT(I86:L86)=4,SUM(I86:L86),"")</f>
        <v/>
      </c>
      <c r="N86" s="15">
        <f>IFERROR(INDEX('Inputs (2)'!$D$108:$AL$108,MATCH(N$7,'Inputs (2)'!$D$2:$AL$2,0)),"")</f>
        <v>0</v>
      </c>
      <c r="O86" s="15">
        <f>IFERROR(INDEX('Inputs (2)'!$D$108:$AL$108,MATCH(O$7,'Inputs (2)'!$D$2:$AL$2,0)),"")</f>
        <v>0</v>
      </c>
      <c r="P86" s="15">
        <f>IFERROR(INDEX('Inputs (2)'!$D$108:$AL$108,MATCH(P$7,'Inputs (2)'!$D$2:$AL$2,0)),"")</f>
        <v>0</v>
      </c>
      <c r="Q86" s="15">
        <f>IFERROR(INDEX('Inputs (2)'!$D$108:$AL$108,MATCH(Q$7,'Inputs (2)'!$D$2:$AL$2,0)),"")</f>
        <v>0</v>
      </c>
      <c r="R86" s="16">
        <f>IF(COUNT(N86:Q86)=4,SUM(N86:Q86),"")</f>
        <v>0</v>
      </c>
      <c r="S86" s="15">
        <f>IFERROR(INDEX('Inputs (2)'!$D$108:$AL$108,MATCH(S$7,'Inputs (2)'!$D$2:$AL$2,0)),"")</f>
        <v>0</v>
      </c>
      <c r="T86" s="15">
        <f>IFERROR(INDEX('Inputs (2)'!$D$108:$AL$108,MATCH(T$7,'Inputs (2)'!$D$2:$AL$2,0)),"")</f>
        <v>0</v>
      </c>
      <c r="U86" s="15">
        <f>IFERROR(INDEX('Inputs (2)'!$D$108:$AL$108,MATCH(U$7,'Inputs (2)'!$D$2:$AL$2,0)),"")</f>
        <v>0</v>
      </c>
      <c r="V86" s="15">
        <f>IFERROR(INDEX('Inputs (2)'!$D$108:$AL$108,MATCH(V$7,'Inputs (2)'!$D$2:$AL$2,0)),"")</f>
        <v>0.046</v>
      </c>
      <c r="W86" s="16">
        <f>IF(COUNT(S86:V86)=4,SUM(S86:V86),"")</f>
        <v>0.046</v>
      </c>
      <c r="X86" s="15">
        <f>IFERROR(INDEX('Inputs (2)'!$D$108:$AL$108,MATCH(X$7,'Inputs (2)'!$D$2:$AL$2,0)),"")</f>
        <v>1.68</v>
      </c>
      <c r="Y86" s="15">
        <f>IFERROR(INDEX('Inputs (2)'!$D$108:$AL$108,MATCH(Y$7,'Inputs (2)'!$D$2:$AL$2,0)),"")</f>
        <v>1.922</v>
      </c>
      <c r="Z86" s="15">
        <f>IFERROR(INDEX('Inputs (2)'!$D$108:$AL$108,MATCH(Z$7,'Inputs (2)'!$D$2:$AL$2,0)),"")</f>
        <v>5.14</v>
      </c>
      <c r="AA86" s="15">
        <f>IFERROR(INDEX('Inputs (2)'!$D$108:$AL$108,MATCH(AA$7,'Inputs (2)'!$D$2:$AL$2,0)),"")</f>
        <v>6.823</v>
      </c>
      <c r="AB86" s="16">
        <f>IF(COUNT(X86:AA86)=4,SUM(X86:AA86),"")</f>
        <v>15.565</v>
      </c>
      <c r="AC86" s="15">
        <f>IFERROR(INDEX('Inputs (2)'!$D$108:$AL$108,MATCH(AC$7,'Inputs (2)'!$D$2:$AL$2,0)),"")</f>
        <v>5.728</v>
      </c>
      <c r="AD86" s="15">
        <f>IFERROR(INDEX('Inputs (2)'!$D$108:$AL$108,MATCH(AD$7,'Inputs (2)'!$D$2:$AL$2,0)),"")</f>
        <v>6.613</v>
      </c>
      <c r="AE86" s="15">
        <f>IFERROR(INDEX('Inputs (2)'!$D$108:$AL$108,MATCH(AE$7,'Inputs (2)'!$D$2:$AL$2,0)),"")</f>
        <v>9.452</v>
      </c>
      <c r="AF86" s="15">
        <f>IFERROR(INDEX('Inputs (2)'!$D$108:$AL$108,MATCH(AF$7,'Inputs (2)'!$D$2:$AL$2,0)),"")</f>
        <v>12.013</v>
      </c>
      <c r="AG86" s="16">
        <f>IF(COUNT(AC86:AF86)=4,SUM(AC86:AF86),"")</f>
        <v>33.806</v>
      </c>
      <c r="AH86" s="16">
        <f>IFERROR(INDEX('Inputs (2)'!$D$108:$AL$108,MATCH(AH$7,'Inputs (2)'!$D$2:$AL$2,0)),"")</f>
        <v>12.872</v>
      </c>
      <c r="AI86" s="16">
        <f>IFERROR(INDEX('Inputs (2)'!$D$108:$AL$108,MATCH(AI$7,'Inputs (2)'!$D$2:$AL$2,0)),"")</f>
        <v>9.481</v>
      </c>
    </row>
    <row r="87">
      <c r="C87" s="261" t="inlineStr">
        <is>
          <t>Soma das usinas (100%)</t>
        </is>
      </c>
      <c r="D87" s="15">
        <f>IF(COUNT(D70:D86)=0,"",SUM(D70:D86))</f>
        <v>154.996</v>
      </c>
      <c r="E87" s="15">
        <f>IF(COUNT(E70:E86)=0,"",SUM(E70:E86))</f>
        <v>121.157</v>
      </c>
      <c r="F87" s="15">
        <f>IF(COUNT(F70:F86)=0,"",SUM(F70:F86))</f>
        <v>134.918</v>
      </c>
      <c r="G87" s="15">
        <f>IF(COUNT(G70:G86)=0,"",SUM(G70:G86))</f>
        <v>168.172</v>
      </c>
      <c r="H87" s="16">
        <f>IF(COUNT(D87:G87)=4,SUM(D87:G87),"")</f>
        <v>579.243</v>
      </c>
      <c r="I87" s="15">
        <f>IF(COUNT(I70:I86)=0,"",SUM(I70:I86))</f>
        <v>170.45</v>
      </c>
      <c r="J87" s="15">
        <f>IF(COUNT(J70:J86)=0,"",SUM(J70:J86))</f>
        <v>173.925</v>
      </c>
      <c r="K87" s="15">
        <f>IF(COUNT(K70:K86)=0,"",SUM(K70:K86))</f>
        <v>210.303</v>
      </c>
      <c r="L87" s="15">
        <f>IF(COUNT(L70:L86)=0,"",SUM(L70:L86))</f>
        <v>219.045</v>
      </c>
      <c r="M87" s="16">
        <f>IF(COUNT(I87:L87)=4,SUM(I87:L87),"")</f>
        <v>773.723</v>
      </c>
      <c r="N87" s="15">
        <f>IF(COUNT(N70:N86)=0,"",SUM(N70:N86))</f>
        <v>165.063</v>
      </c>
      <c r="O87" s="15">
        <f>IF(COUNT(O70:O86)=0,"",SUM(O70:O86))</f>
        <v>156.745</v>
      </c>
      <c r="P87" s="15">
        <f>IF(COUNT(P70:P86)=0,"",SUM(P70:P86))</f>
        <v>162.616</v>
      </c>
      <c r="Q87" s="15">
        <f>IF(COUNT(Q70:Q86)=0,"",SUM(Q70:Q86))</f>
        <v>177.027</v>
      </c>
      <c r="R87" s="16">
        <f>IF(COUNT(N87:Q87)=4,SUM(N87:Q87),"")</f>
        <v>661.451</v>
      </c>
      <c r="S87" s="15">
        <f>IF(COUNT(S70:S86)=0,"",SUM(S70:S86))</f>
        <v>192.291</v>
      </c>
      <c r="T87" s="15">
        <f>IF(COUNT(T70:T86)=0,"",SUM(T70:T86))</f>
        <v>180.426</v>
      </c>
      <c r="U87" s="15">
        <f>IF(COUNT(U70:U86)=0,"",SUM(U70:U86))</f>
        <v>194.297</v>
      </c>
      <c r="V87" s="15">
        <f>IF(COUNT(V70:V86)=0,"",SUM(V70:V86))</f>
        <v>193.74</v>
      </c>
      <c r="W87" s="16">
        <f>IF(COUNT(S87:V87)=4,SUM(S87:V87),"")</f>
        <v>760.754</v>
      </c>
      <c r="X87" s="15">
        <f>IF(COUNT(X70:X86)=0,"",SUM(X70:X86))</f>
        <v>197.76</v>
      </c>
      <c r="Y87" s="15">
        <f>IF(COUNT(Y70:Y86)=0,"",SUM(Y70:Y86))</f>
        <v>192.053</v>
      </c>
      <c r="Z87" s="15">
        <f>IF(COUNT(Z70:Z86)=0,"",SUM(Z70:Z86))</f>
        <v>200.727</v>
      </c>
      <c r="AA87" s="15">
        <f>IF(COUNT(AA70:AA86)=0,"",SUM(AA70:AA86))</f>
        <v>259.476</v>
      </c>
      <c r="AB87" s="16">
        <f>IF(COUNT(X87:AA87)=4,SUM(X87:AA87),"")</f>
        <v>850.016</v>
      </c>
      <c r="AC87" s="15">
        <f>IF(COUNT(AC70:AC86)=0,"",SUM(AC70:AC86))</f>
        <v>237.583</v>
      </c>
      <c r="AD87" s="15">
        <f>IF(COUNT(AD70:AD86)=0,"",SUM(AD70:AD86))</f>
        <v>229.707</v>
      </c>
      <c r="AE87" s="15">
        <f>IF(COUNT(AE70:AE86)=0,"",SUM(AE70:AE86))</f>
        <v>225.821</v>
      </c>
      <c r="AF87" s="15">
        <f>IF(COUNT(AF70:AF86)=0,"",SUM(AF70:AF86))</f>
        <v>251.593</v>
      </c>
      <c r="AG87" s="16">
        <f>IF(COUNT(AC87:AF87)=4,SUM(AC87:AF87),"")</f>
        <v>944.704</v>
      </c>
      <c r="AH87" s="16">
        <f>IF(COUNT(AH70:AH86)=0,"",SUM(AH70:AH86))</f>
        <v>282.91</v>
      </c>
      <c r="AI87" s="16">
        <f>IF(COUNT(AI70:AI86)=0,"",SUM(AI70:AI86))</f>
        <v>232.19</v>
      </c>
    </row>
    <row r="88">
      <c r="C88" s="14" t="inlineStr">
        <is>
          <t>Ajuste: comercializadora e eliminacoes de venda entre empresas (diferenca)</t>
        </is>
      </c>
      <c r="D88" s="15" t="str">
        <f>IF(COUNT(D21)=0,"",D21-D87)</f>
        <v/>
      </c>
      <c r="E88" s="15" t="str">
        <f>IF(COUNT(E21)=0,"",E21-E87)</f>
        <v/>
      </c>
      <c r="F88" s="15" t="str">
        <f>IF(COUNT(F21)=0,"",F21-F87)</f>
        <v/>
      </c>
      <c r="G88" s="15" t="str">
        <f>IF(COUNT(G21)=0,"",G21-G87)</f>
        <v/>
      </c>
      <c r="H88" s="16" t="str">
        <f>IF(COUNT(D88:G88)=4,SUM(D88:G88),"")</f>
        <v/>
      </c>
      <c r="I88" s="15" t="str">
        <f>IF(COUNT(I21)=0,"",I21-I87)</f>
        <v/>
      </c>
      <c r="J88" s="15" t="str">
        <f>IF(COUNT(J21)=0,"",J21-J87)</f>
        <v/>
      </c>
      <c r="K88" s="15" t="str">
        <f>IF(COUNT(K21)=0,"",K21-K87)</f>
        <v/>
      </c>
      <c r="L88" s="15" t="str">
        <f>IF(COUNT(L21)=0,"",L21-L87)</f>
        <v/>
      </c>
      <c r="M88" s="16" t="str">
        <f>IF(COUNT(I88:L88)=4,SUM(I88:L88),"")</f>
        <v/>
      </c>
      <c r="N88" s="15" t="str">
        <f>IF(COUNT(N21)=0,"",N21-N87)</f>
        <v/>
      </c>
      <c r="O88" s="15" t="str">
        <f>IF(COUNT(O21)=0,"",O21-O87)</f>
        <v/>
      </c>
      <c r="P88" s="15" t="str">
        <f>IF(COUNT(P21)=0,"",P21-P87)</f>
        <v/>
      </c>
      <c r="Q88" s="15" t="str">
        <f>IF(COUNT(Q21)=0,"",Q21-Q87)</f>
        <v/>
      </c>
      <c r="R88" s="16" t="str">
        <f>IF(COUNT(N88:Q88)=4,SUM(N88:Q88),"")</f>
        <v/>
      </c>
      <c r="S88" s="15">
        <f>IF(COUNT(S21)=0,"",S21-S87)</f>
        <v>-0.390999999999991</v>
      </c>
      <c r="T88" s="15">
        <f>IF(COUNT(T21)=0,"",T21-T87)</f>
        <v>-0.321000000000026</v>
      </c>
      <c r="U88" s="15">
        <f>IF(COUNT(U21)=0,"",U21-U87)</f>
        <v>1.76600000000002</v>
      </c>
      <c r="V88" s="15">
        <f>IF(COUNT(V21)=0,"",V21-V87)</f>
        <v>-1.024</v>
      </c>
      <c r="W88" s="16">
        <f>IF(COUNT(S88:V88)=4,SUM(S88:V88),"")</f>
        <v>0.0300000000000011</v>
      </c>
      <c r="X88" s="15">
        <f>IF(COUNT(X21)=0,"",X21-X87)</f>
        <v>-11.417</v>
      </c>
      <c r="Y88" s="15">
        <f>IF(COUNT(Y21)=0,"",Y21-Y87)</f>
        <v>-12.218</v>
      </c>
      <c r="Z88" s="15">
        <f>IF(COUNT(Z21)=0,"",Z21-Z87)</f>
        <v>-12.892</v>
      </c>
      <c r="AA88" s="15">
        <f>IF(COUNT(AA21)=0,"",AA21-AA87)</f>
        <v>-24.555</v>
      </c>
      <c r="AB88" s="16">
        <f>IF(COUNT(X88:AA88)=4,SUM(X88:AA88),"")</f>
        <v>-61.082</v>
      </c>
      <c r="AC88" s="15">
        <f>IF(COUNT(AC21)=0,"",AC21-AC87)</f>
        <v>-13.251</v>
      </c>
      <c r="AD88" s="15">
        <f>IF(COUNT(AD21)=0,"",AD21-AD87)</f>
        <v>-9.292</v>
      </c>
      <c r="AE88" s="15">
        <f>IF(COUNT(AE21)=0,"",AE21-AE87)</f>
        <v>-17.084</v>
      </c>
      <c r="AF88" s="15">
        <f>IF(COUNT(AF21)=0,"",AF21-AF87)</f>
        <v>-39.993</v>
      </c>
      <c r="AG88" s="16">
        <f>IF(COUNT(AC88:AF88)=4,SUM(AC88:AF88),"")</f>
        <v>-79.62</v>
      </c>
      <c r="AH88" s="16">
        <f>IF(COUNT(AH21)=0,"",AH21-AH87)</f>
        <v>-24.145</v>
      </c>
      <c r="AI88" s="16">
        <f>IF(COUNT(AI21)=0,"",AI21-AI87)</f>
        <v>-19.571</v>
      </c>
    </row>
    <row r="89">
      <c r="C89" s="261" t="inlineStr">
        <is>
          <t>Geracao consolidado (fecha com o segmento)</t>
        </is>
      </c>
      <c r="D89" s="15" t="str">
        <f>IF(COUNT(D21)=0,"",D87+D88)</f>
        <v/>
      </c>
      <c r="E89" s="15" t="str">
        <f>IF(COUNT(E21)=0,"",E87+E88)</f>
        <v/>
      </c>
      <c r="F89" s="15" t="str">
        <f>IF(COUNT(F21)=0,"",F87+F88)</f>
        <v/>
      </c>
      <c r="G89" s="15" t="str">
        <f>IF(COUNT(G21)=0,"",G87+G88)</f>
        <v/>
      </c>
      <c r="H89" s="16" t="str">
        <f>IF(COUNT(D89:G89)=4,SUM(D89:G89),"")</f>
        <v/>
      </c>
      <c r="I89" s="15" t="str">
        <f>IF(COUNT(I21)=0,"",I87+I88)</f>
        <v/>
      </c>
      <c r="J89" s="15" t="str">
        <f>IF(COUNT(J21)=0,"",J87+J88)</f>
        <v/>
      </c>
      <c r="K89" s="15" t="str">
        <f>IF(COUNT(K21)=0,"",K87+K88)</f>
        <v/>
      </c>
      <c r="L89" s="15" t="str">
        <f>IF(COUNT(L21)=0,"",L87+L88)</f>
        <v/>
      </c>
      <c r="M89" s="16" t="str">
        <f>IF(COUNT(I89:L89)=4,SUM(I89:L89),"")</f>
        <v/>
      </c>
      <c r="N89" s="15" t="str">
        <f>IF(COUNT(N21)=0,"",N87+N88)</f>
        <v/>
      </c>
      <c r="O89" s="15" t="str">
        <f>IF(COUNT(O21)=0,"",O87+O88)</f>
        <v/>
      </c>
      <c r="P89" s="15" t="str">
        <f>IF(COUNT(P21)=0,"",P87+P88)</f>
        <v/>
      </c>
      <c r="Q89" s="15" t="str">
        <f>IF(COUNT(Q21)=0,"",Q87+Q88)</f>
        <v/>
      </c>
      <c r="R89" s="16" t="str">
        <f>IF(COUNT(N89:Q89)=4,SUM(N89:Q89),"")</f>
        <v/>
      </c>
      <c r="S89" s="15">
        <f>IF(COUNT(S21)=0,"",S87+S88)</f>
        <v>191.9</v>
      </c>
      <c r="T89" s="15">
        <f>IF(COUNT(T21)=0,"",T87+T88)</f>
        <v>180.105</v>
      </c>
      <c r="U89" s="15">
        <f>IF(COUNT(U21)=0,"",U87+U88)</f>
        <v>196.063</v>
      </c>
      <c r="V89" s="15">
        <f>IF(COUNT(V21)=0,"",V87+V88)</f>
        <v>192.716</v>
      </c>
      <c r="W89" s="16">
        <f>IF(COUNT(S89:V89)=4,SUM(S89:V89),"")</f>
        <v>760.784</v>
      </c>
      <c r="X89" s="15">
        <f>IF(COUNT(X21)=0,"",X87+X88)</f>
        <v>186.343</v>
      </c>
      <c r="Y89" s="15">
        <f>IF(COUNT(Y21)=0,"",Y87+Y88)</f>
        <v>179.835</v>
      </c>
      <c r="Z89" s="15">
        <f>IF(COUNT(Z21)=0,"",Z87+Z88)</f>
        <v>187.835</v>
      </c>
      <c r="AA89" s="15">
        <f>IF(COUNT(AA21)=0,"",AA87+AA88)</f>
        <v>234.921</v>
      </c>
      <c r="AB89" s="16">
        <f>IF(COUNT(X89:AA89)=4,SUM(X89:AA89),"")</f>
        <v>788.934</v>
      </c>
      <c r="AC89" s="15">
        <f>IF(COUNT(AC21)=0,"",AC87+AC88)</f>
        <v>224.332</v>
      </c>
      <c r="AD89" s="15">
        <f>IF(COUNT(AD21)=0,"",AD87+AD88)</f>
        <v>220.415</v>
      </c>
      <c r="AE89" s="15">
        <f>IF(COUNT(AE21)=0,"",AE87+AE88)</f>
        <v>208.737</v>
      </c>
      <c r="AF89" s="15">
        <f>IF(COUNT(AF21)=0,"",AF87+AF88)</f>
        <v>211.6</v>
      </c>
      <c r="AG89" s="16">
        <f>IF(COUNT(AC89:AF89)=4,SUM(AC89:AF89),"")</f>
        <v>865.084</v>
      </c>
      <c r="AH89" s="16">
        <f>IF(COUNT(AH21)=0,"",AH87+AH88)</f>
        <v>258.765</v>
      </c>
      <c r="AI89" s="16">
        <f>IF(COUNT(AI21)=0,"",AI87+AI88)</f>
        <v>212.619</v>
      </c>
    </row>
    <row r="90"/>
    <row r="91">
      <c r="C91" s="12" t="inlineStr">
        <is>
          <t>RAP ciclo 2026/2027 por SPE (R$ milhoes) - base para projetar a receita de transmissao</t>
        </is>
      </c>
      <c r="D91" s="12" t="inlineStr">
        <is>
          <t>Indexador</t>
        </is>
      </c>
      <c r="E91" s="12" t="inlineStr">
        <is>
          <t>RAP operacional</t>
        </is>
      </c>
      <c r="F91" s="12" t="inlineStr">
        <is>
          <t>RAP implantacao</t>
        </is>
      </c>
      <c r="G91" s="12" t="inlineStr">
        <is>
          <t>RAP total</t>
        </is>
      </c>
    </row>
    <row r="92">
      <c r="C92" s="14" t="str">
        <f>Inputs!H244</f>
        <v>EATE</v>
      </c>
      <c r="D92" t="str">
        <f>Inputs!I244</f>
        <v>IGP-M</v>
      </c>
      <c r="E92" s="264">
        <f>Inputs!J244</f>
        <v>396.11121422</v>
      </c>
      <c r="F92" s="264">
        <f>Inputs!K244</f>
        <v>44.26243722</v>
      </c>
      <c r="G92" s="264">
        <f>Inputs!L244</f>
        <v>440.37365144</v>
      </c>
    </row>
    <row r="93">
      <c r="C93" s="14" t="str">
        <f>Inputs!H245</f>
        <v>ETEP</v>
      </c>
      <c r="D93" t="str">
        <f>Inputs!I245</f>
        <v>IGP-M</v>
      </c>
      <c r="E93" s="264">
        <f>Inputs!J245</f>
        <v>89.16796005</v>
      </c>
      <c r="F93" s="264">
        <f>Inputs!K245</f>
        <v>0</v>
      </c>
      <c r="G93" s="264">
        <f>Inputs!L245</f>
        <v>89.16796005</v>
      </c>
    </row>
    <row r="94">
      <c r="C94" s="14" t="str">
        <f>Inputs!H246</f>
        <v>ENTE</v>
      </c>
      <c r="D94" t="str">
        <f>Inputs!I246</f>
        <v>IGP-M</v>
      </c>
      <c r="E94" s="264">
        <f>Inputs!J246</f>
        <v>204.16773446</v>
      </c>
      <c r="F94" s="264">
        <f>Inputs!K246</f>
        <v>19.2029273</v>
      </c>
      <c r="G94" s="264">
        <f>Inputs!L246</f>
        <v>223.37066176</v>
      </c>
    </row>
    <row r="95">
      <c r="C95" s="14" t="str">
        <f>Inputs!H247</f>
        <v>ECTE</v>
      </c>
      <c r="D95" t="str">
        <f>Inputs!I247</f>
        <v>IGP-M</v>
      </c>
      <c r="E95" s="264">
        <f>Inputs!J247</f>
        <v>86.21029193</v>
      </c>
      <c r="F95" s="264">
        <f>Inputs!K247</f>
        <v>0</v>
      </c>
      <c r="G95" s="264">
        <f>Inputs!L247</f>
        <v>86.21029193</v>
      </c>
    </row>
    <row r="96">
      <c r="C96" s="14" t="str">
        <f>Inputs!H248</f>
        <v>ERTE</v>
      </c>
      <c r="D96" t="str">
        <f>Inputs!I248</f>
        <v>IGP-M</v>
      </c>
      <c r="E96" s="264">
        <f>Inputs!J248</f>
        <v>46.7204853</v>
      </c>
      <c r="F96" s="264">
        <f>Inputs!K248</f>
        <v>0</v>
      </c>
      <c r="G96" s="264">
        <f>Inputs!L248</f>
        <v>46.7204853</v>
      </c>
    </row>
    <row r="97">
      <c r="C97" s="14" t="str">
        <f>Inputs!H249</f>
        <v>STC</v>
      </c>
      <c r="D97" t="str">
        <f>Inputs!I249</f>
        <v>IPCA</v>
      </c>
      <c r="E97" s="264">
        <f>Inputs!J249</f>
        <v>40.83736209</v>
      </c>
      <c r="F97" s="264">
        <f>Inputs!K249</f>
        <v>0</v>
      </c>
      <c r="G97" s="264">
        <f>Inputs!L249</f>
        <v>40.83736209</v>
      </c>
    </row>
    <row r="98">
      <c r="C98" s="14" t="str">
        <f>Inputs!H250</f>
        <v>LUMITRANS</v>
      </c>
      <c r="D98" t="str">
        <f>Inputs!I250</f>
        <v>IGP-M</v>
      </c>
      <c r="E98" s="264">
        <f>Inputs!J250</f>
        <v>24.16731148</v>
      </c>
      <c r="F98" s="264">
        <f>Inputs!K250</f>
        <v>0</v>
      </c>
      <c r="G98" s="264">
        <f>Inputs!L250</f>
        <v>24.16731148</v>
      </c>
    </row>
    <row r="99">
      <c r="C99" s="14" t="str">
        <f>Inputs!H251</f>
        <v>TRANSUDESTE</v>
      </c>
      <c r="D99" t="str">
        <f>Inputs!I251</f>
        <v>IGP-M</v>
      </c>
      <c r="E99" s="264">
        <f>Inputs!J251</f>
        <v>22.92931487</v>
      </c>
      <c r="F99" s="264">
        <f>Inputs!K251</f>
        <v>0</v>
      </c>
      <c r="G99" s="264">
        <f>Inputs!L251</f>
        <v>22.92931487</v>
      </c>
    </row>
    <row r="100">
      <c r="C100" s="14" t="str">
        <f>Inputs!H252</f>
        <v>TRANSLESTE</v>
      </c>
      <c r="D100" t="str">
        <f>Inputs!I252</f>
        <v>IGP-M</v>
      </c>
      <c r="E100" s="264">
        <f>Inputs!J252</f>
        <v>36.99413497</v>
      </c>
      <c r="F100" s="264">
        <f>Inputs!K252</f>
        <v>0</v>
      </c>
      <c r="G100" s="264">
        <f>Inputs!L252</f>
        <v>36.99413497</v>
      </c>
    </row>
    <row r="101">
      <c r="C101" s="14" t="str">
        <f>Inputs!H253</f>
        <v>TRANSIRAPÉ</v>
      </c>
      <c r="D101" t="str">
        <f>Inputs!I253</f>
        <v>IGP-M</v>
      </c>
      <c r="E101" s="264">
        <f>Inputs!J253</f>
        <v>45.47222481</v>
      </c>
      <c r="F101" s="264">
        <f>Inputs!K253</f>
        <v>0</v>
      </c>
      <c r="G101" s="264">
        <f>Inputs!L253</f>
        <v>45.47222481</v>
      </c>
    </row>
    <row r="102">
      <c r="C102" s="14" t="str">
        <f>Inputs!H254</f>
        <v>ETES</v>
      </c>
      <c r="D102" t="str">
        <f>Inputs!I254</f>
        <v>IPCA</v>
      </c>
      <c r="E102" s="264">
        <f>Inputs!J254</f>
        <v>21.59457214</v>
      </c>
      <c r="F102" s="264">
        <f>Inputs!K254</f>
        <v>0</v>
      </c>
      <c r="G102" s="264">
        <f>Inputs!L254</f>
        <v>21.59457214</v>
      </c>
    </row>
    <row r="103">
      <c r="C103" s="14" t="str">
        <f>Inputs!H255</f>
        <v>STN</v>
      </c>
      <c r="D103" t="str">
        <f>Inputs!I255</f>
        <v>IGP-M</v>
      </c>
      <c r="E103" s="264">
        <f>Inputs!J255</f>
        <v>169.99341879</v>
      </c>
      <c r="F103" s="264">
        <f>Inputs!K255</f>
        <v>0</v>
      </c>
      <c r="G103" s="264">
        <f>Inputs!L255</f>
        <v>169.99341879</v>
      </c>
    </row>
    <row r="104">
      <c r="C104" s="14" t="str">
        <f>Inputs!H256</f>
        <v>EBTE</v>
      </c>
      <c r="D104" t="str">
        <f>Inputs!I256</f>
        <v>IPCA</v>
      </c>
      <c r="E104" s="264">
        <f>Inputs!J256</f>
        <v>81.26113381</v>
      </c>
      <c r="F104" s="264">
        <f>Inputs!K256</f>
        <v>0</v>
      </c>
      <c r="G104" s="264">
        <f>Inputs!L256</f>
        <v>81.26113381</v>
      </c>
    </row>
    <row r="105">
      <c r="C105" s="14" t="str">
        <f>Inputs!H257</f>
        <v>ETEM</v>
      </c>
      <c r="D105" t="str">
        <f>Inputs!I257</f>
        <v>IPCA</v>
      </c>
      <c r="E105" s="264">
        <f>Inputs!J257</f>
        <v>20.56057662</v>
      </c>
      <c r="F105" s="264">
        <f>Inputs!K257</f>
        <v>0</v>
      </c>
      <c r="G105" s="264">
        <f>Inputs!L257</f>
        <v>20.56057662</v>
      </c>
    </row>
    <row r="106">
      <c r="C106" s="14" t="str">
        <f>Inputs!H258</f>
        <v>TME</v>
      </c>
      <c r="D106" t="str">
        <f>Inputs!I258</f>
        <v>IPCA</v>
      </c>
      <c r="E106" s="264">
        <f>Inputs!J258</f>
        <v>75.90705492</v>
      </c>
      <c r="F106" s="264">
        <f>Inputs!K258</f>
        <v>0</v>
      </c>
      <c r="G106" s="264">
        <f>Inputs!L258</f>
        <v>75.90705492</v>
      </c>
    </row>
    <row r="107">
      <c r="C107" s="14" t="str">
        <f>Inputs!H259</f>
        <v>ESDE</v>
      </c>
      <c r="D107" t="str">
        <f>Inputs!I259</f>
        <v>IPCA</v>
      </c>
      <c r="E107" s="264">
        <f>Inputs!J259</f>
        <v>20.17140985</v>
      </c>
      <c r="F107" s="264">
        <f>Inputs!K259</f>
        <v>0</v>
      </c>
      <c r="G107" s="264">
        <f>Inputs!L259</f>
        <v>20.17140985</v>
      </c>
    </row>
    <row r="108">
      <c r="C108" s="14" t="str">
        <f>Inputs!H260</f>
        <v>TNE</v>
      </c>
      <c r="D108" t="str">
        <f>Inputs!I260</f>
        <v>IPCA</v>
      </c>
      <c r="E108" s="264">
        <f>Inputs!J260</f>
        <v>588.23563353</v>
      </c>
      <c r="F108" s="264">
        <f>Inputs!K260</f>
        <v>0</v>
      </c>
      <c r="G108" s="264">
        <f>Inputs!L260</f>
        <v>588.23563353</v>
      </c>
    </row>
    <row r="109">
      <c r="C109" s="14" t="str">
        <f>Inputs!H261</f>
        <v>ETSE</v>
      </c>
      <c r="D109" t="str">
        <f>Inputs!I261</f>
        <v>IPCA</v>
      </c>
      <c r="E109" s="264">
        <f>Inputs!J261</f>
        <v>39.5313075</v>
      </c>
      <c r="F109" s="264">
        <f>Inputs!K261</f>
        <v>0</v>
      </c>
      <c r="G109" s="264">
        <f>Inputs!L261</f>
        <v>39.5313075</v>
      </c>
    </row>
    <row r="110">
      <c r="C110" s="14" t="str">
        <f>Inputs!H262</f>
        <v>ETVG</v>
      </c>
      <c r="D110" t="str">
        <f>Inputs!I262</f>
        <v>IPCA</v>
      </c>
      <c r="E110" s="264">
        <f>Inputs!J262</f>
        <v>22.29945789</v>
      </c>
      <c r="F110" s="264">
        <f>Inputs!K262</f>
        <v>10.92050169</v>
      </c>
      <c r="G110" s="264">
        <f>Inputs!L262</f>
        <v>33.21995958</v>
      </c>
    </row>
    <row r="111">
      <c r="C111" s="14" t="str">
        <f>Inputs!H263</f>
        <v>ELTE</v>
      </c>
      <c r="D111" t="str">
        <f>Inputs!I263</f>
        <v>IPCA</v>
      </c>
      <c r="E111" s="264">
        <f>Inputs!J263</f>
        <v>94.51379517</v>
      </c>
      <c r="F111" s="264">
        <f>Inputs!K263</f>
        <v>0</v>
      </c>
      <c r="G111" s="264">
        <f>Inputs!L263</f>
        <v>94.51379517</v>
      </c>
    </row>
    <row r="112">
      <c r="C112" s="14" t="str">
        <f>Inputs!H264</f>
        <v>ETAP</v>
      </c>
      <c r="D112" t="str">
        <f>Inputs!I264</f>
        <v>IPCA</v>
      </c>
      <c r="E112" s="264">
        <f>Inputs!J264</f>
        <v>81.09791448</v>
      </c>
      <c r="F112" s="264">
        <f>Inputs!K264</f>
        <v>0</v>
      </c>
      <c r="G112" s="264">
        <f>Inputs!L264</f>
        <v>81.09791448</v>
      </c>
    </row>
    <row r="113">
      <c r="C113" s="14" t="str">
        <f>Inputs!H265</f>
        <v>ETC</v>
      </c>
      <c r="D113" t="str">
        <f>Inputs!I265</f>
        <v>IPCA</v>
      </c>
      <c r="E113" s="264">
        <f>Inputs!J265</f>
        <v>47.09346056</v>
      </c>
      <c r="F113" s="264">
        <f>Inputs!K265</f>
        <v>0</v>
      </c>
      <c r="G113" s="264">
        <f>Inputs!L265</f>
        <v>47.09346056</v>
      </c>
    </row>
    <row r="114">
      <c r="C114" s="14" t="str">
        <f>Inputs!H266</f>
        <v>TPE</v>
      </c>
      <c r="D114" t="str">
        <f>Inputs!I266</f>
        <v>IPCA</v>
      </c>
      <c r="E114" s="264">
        <f>Inputs!J266</f>
        <v>342.94815839</v>
      </c>
      <c r="F114" s="264">
        <f>Inputs!K266</f>
        <v>0</v>
      </c>
      <c r="G114" s="264">
        <f>Inputs!L266</f>
        <v>342.94815839</v>
      </c>
    </row>
    <row r="115">
      <c r="C115" s="14" t="str">
        <f>Inputs!H267</f>
        <v>TCC</v>
      </c>
      <c r="D115" t="str">
        <f>Inputs!I267</f>
        <v>IPCA</v>
      </c>
      <c r="E115" s="264">
        <f>Inputs!J267</f>
        <v>232.83409329</v>
      </c>
      <c r="F115" s="264">
        <f>Inputs!K267</f>
        <v>0</v>
      </c>
      <c r="G115" s="264">
        <f>Inputs!L267</f>
        <v>232.83409329</v>
      </c>
    </row>
    <row r="116">
      <c r="C116" s="14" t="str">
        <f>Inputs!H268</f>
        <v>ESTE</v>
      </c>
      <c r="D116" t="str">
        <f>Inputs!I268</f>
        <v>IPCA</v>
      </c>
      <c r="E116" s="264">
        <f>Inputs!J268</f>
        <v>161.08025498</v>
      </c>
      <c r="F116" s="264">
        <f>Inputs!K268</f>
        <v>0</v>
      </c>
      <c r="G116" s="264">
        <f>Inputs!L268</f>
        <v>161.08025498</v>
      </c>
    </row>
    <row r="117">
      <c r="C117" s="14" t="str">
        <f>Inputs!H269</f>
        <v>TSM</v>
      </c>
      <c r="D117" t="str">
        <f>Inputs!I269</f>
        <v>IPCA</v>
      </c>
      <c r="E117" s="264">
        <f>Inputs!J269</f>
        <v>156.13173451</v>
      </c>
      <c r="F117" s="264">
        <f>Inputs!K269</f>
        <v>0</v>
      </c>
      <c r="G117" s="264">
        <f>Inputs!L269</f>
        <v>156.13173451</v>
      </c>
    </row>
    <row r="118">
      <c r="C118" s="14" t="str">
        <f>Inputs!H270</f>
        <v>ETB</v>
      </c>
      <c r="D118" t="str">
        <f>Inputs!I270</f>
        <v>IPCA</v>
      </c>
      <c r="E118" s="264">
        <f>Inputs!J270</f>
        <v>204.29257071</v>
      </c>
      <c r="F118" s="264">
        <f>Inputs!K270</f>
        <v>0</v>
      </c>
      <c r="G118" s="264">
        <f>Inputs!L270</f>
        <v>204.29257071</v>
      </c>
    </row>
    <row r="119">
      <c r="C119" s="14" t="str">
        <f>Inputs!H271</f>
        <v>EDTE</v>
      </c>
      <c r="D119" t="str">
        <f>Inputs!I271</f>
        <v>IPCA</v>
      </c>
      <c r="E119" s="264">
        <f>Inputs!J271</f>
        <v>99.65314961</v>
      </c>
      <c r="F119" s="264">
        <f>Inputs!K271</f>
        <v>0</v>
      </c>
      <c r="G119" s="264">
        <f>Inputs!L271</f>
        <v>99.65314961</v>
      </c>
    </row>
    <row r="120">
      <c r="C120" s="14" t="str">
        <f>Inputs!H272</f>
        <v>TECP</v>
      </c>
      <c r="D120" t="str">
        <f>Inputs!I272</f>
        <v>IPCA</v>
      </c>
      <c r="E120" s="264">
        <f>Inputs!J272</f>
        <v>27.83530269</v>
      </c>
      <c r="F120" s="264">
        <f>Inputs!K272</f>
        <v>55.3544839699998</v>
      </c>
      <c r="G120" s="264">
        <f>Inputs!L272</f>
        <v>83.1897866599998</v>
      </c>
    </row>
    <row r="121">
      <c r="C121" s="14" t="str">
        <f>Inputs!H273</f>
        <v>TAP</v>
      </c>
      <c r="D121" t="str">
        <f>Inputs!I273</f>
        <v>IPCA</v>
      </c>
      <c r="E121" s="264">
        <f>Inputs!J273</f>
        <v>0</v>
      </c>
      <c r="F121" s="264">
        <f>Inputs!K273</f>
        <v>276.8392254</v>
      </c>
      <c r="G121" s="264">
        <f>Inputs!L273</f>
        <v>276.8392254</v>
      </c>
    </row>
    <row r="122">
      <c r="C122" s="14" t="str">
        <f>Inputs!H274</f>
        <v>TPC</v>
      </c>
      <c r="D122" t="str">
        <f>Inputs!I274</f>
        <v>IPCA</v>
      </c>
      <c r="E122" s="264">
        <f>Inputs!J274</f>
        <v>0</v>
      </c>
      <c r="F122" s="264">
        <f>Inputs!K274</f>
        <v>176.50602087</v>
      </c>
      <c r="G122" s="264">
        <f>Inputs!L274</f>
        <v>176.50602087</v>
      </c>
    </row>
    <row r="123">
      <c r="C123" s="14" t="str">
        <f>Inputs!H275</f>
        <v>AETE</v>
      </c>
      <c r="D123" t="str">
        <f>Inputs!I275</f>
        <v>IGP-M</v>
      </c>
      <c r="E123" s="264">
        <f>Inputs!J275</f>
        <v>42.99404453</v>
      </c>
      <c r="F123" s="264">
        <f>Inputs!K275</f>
        <v>0</v>
      </c>
      <c r="G123" s="264">
        <f>Inputs!L275</f>
        <v>42.99404453</v>
      </c>
    </row>
    <row r="124">
      <c r="C124" s="14" t="str">
        <f>Inputs!H276</f>
        <v>TBO</v>
      </c>
      <c r="D124" t="str">
        <f>Inputs!I276</f>
        <v>IPCA</v>
      </c>
      <c r="E124" s="264">
        <f>Inputs!J276</f>
        <v>21.9787936</v>
      </c>
      <c r="F124" s="264">
        <f>Inputs!K276</f>
        <v>0</v>
      </c>
      <c r="G124" s="264">
        <f>Inputs!L276</f>
        <v>21.9787936</v>
      </c>
    </row>
    <row r="125">
      <c r="C125" s="14" t="str">
        <f>Inputs!H277</f>
        <v>LOTE 7 (1/2026 E2)</v>
      </c>
      <c r="D125" t="str">
        <f>Inputs!I277</f>
        <v>IPCA</v>
      </c>
      <c r="E125" s="264">
        <f>Inputs!J277</f>
        <v>96.72</v>
      </c>
      <c r="F125" s="264">
        <f>Inputs!K277</f>
        <v>0</v>
      </c>
      <c r="G125" s="264">
        <f>Inputs!L277</f>
        <v>96.72</v>
      </c>
    </row>
    <row r="126">
      <c r="C126" s="14" t="str">
        <f>Inputs!H278</f>
        <v>TOTAL BRASIL</v>
      </c>
      <c r="D126">
        <f>Inputs!I278</f>
        <v>0</v>
      </c>
      <c r="E126" s="264">
        <f>Inputs!J278</f>
        <v>3641.50587175</v>
      </c>
      <c r="F126" s="264">
        <f>Inputs!K278</f>
        <v>583.08559645</v>
      </c>
      <c r="G126" s="264">
        <f>Inputs!L278</f>
        <v>4224.5914682</v>
      </c>
    </row>
    <row r="127">
      <c r="C127" s="14" t="str">
        <f>Inputs!H279</f>
        <v>TCE (COL)</v>
      </c>
      <c r="D127" t="str">
        <f>Inputs!I279</f>
        <v>PPI</v>
      </c>
      <c r="E127" s="264">
        <f>Inputs!J279</f>
        <v>150.58735</v>
      </c>
      <c r="F127" s="264">
        <f>Inputs!K279</f>
        <v>0</v>
      </c>
      <c r="G127" s="264">
        <f>Inputs!L279</f>
        <v>150.58735</v>
      </c>
    </row>
    <row r="128">
      <c r="C128" s="14" t="str">
        <f>Inputs!H280</f>
        <v>TEL (COL)</v>
      </c>
      <c r="D128" t="str">
        <f>Inputs!I280</f>
        <v>PPI</v>
      </c>
      <c r="E128" s="264">
        <f>Inputs!J280</f>
        <v>0</v>
      </c>
      <c r="F128" s="264">
        <f>Inputs!K280</f>
        <v>31.751831</v>
      </c>
      <c r="G128" s="264">
        <f>Inputs!L280</f>
        <v>31.751831</v>
      </c>
    </row>
    <row r="129">
      <c r="C129" s="14" t="str">
        <f>Inputs!H281</f>
        <v>TES (CHL)</v>
      </c>
      <c r="D129" t="str">
        <f>Inputs!I281</f>
        <v>PPI</v>
      </c>
      <c r="E129" s="264">
        <f>Inputs!J281</f>
        <v>0</v>
      </c>
      <c r="F129" s="264">
        <f>Inputs!K281</f>
        <v>26.715121</v>
      </c>
      <c r="G129" s="264">
        <f>Inputs!L281</f>
        <v>26.715121</v>
      </c>
    </row>
    <row r="130">
      <c r="C130" s="14" t="str">
        <f>Inputs!H282</f>
        <v>SED (ANA MARIA, CHL)</v>
      </c>
      <c r="D130" t="str">
        <f>Inputs!I282</f>
        <v>PPI</v>
      </c>
      <c r="E130" s="264">
        <f>Inputs!J282</f>
        <v>0</v>
      </c>
      <c r="F130" s="264">
        <f>Inputs!K282</f>
        <v>53.96475</v>
      </c>
      <c r="G130" s="264">
        <f>Inputs!L282</f>
        <v>53.96475</v>
      </c>
    </row>
    <row r="131">
      <c r="C131" s="14" t="str">
        <f>Inputs!H283</f>
        <v>SED (ILLAPA, CHL)</v>
      </c>
      <c r="D131" t="str">
        <f>Inputs!I283</f>
        <v>PPI</v>
      </c>
      <c r="E131" s="264">
        <f>Inputs!J283</f>
        <v>0</v>
      </c>
      <c r="F131" s="264">
        <f>Inputs!K283</f>
        <v>45.74155</v>
      </c>
      <c r="G131" s="264">
        <f>Inputs!L283</f>
        <v>45.74155</v>
      </c>
    </row>
    <row r="132">
      <c r="C132" s="14" t="str">
        <f>Inputs!H284</f>
        <v>TCN (PE)</v>
      </c>
      <c r="D132" t="str">
        <f>Inputs!I284</f>
        <v>PPI</v>
      </c>
      <c r="E132" s="264">
        <f>Inputs!J284</f>
        <v>0</v>
      </c>
      <c r="F132" s="264">
        <f>Inputs!K284</f>
        <v>25.18355</v>
      </c>
      <c r="G132" s="264">
        <f>Inputs!L284</f>
        <v>25.18355</v>
      </c>
    </row>
    <row r="133">
      <c r="C133" s="14" t="str">
        <f>Inputs!H285</f>
        <v>MARAVILLA (PE)</v>
      </c>
      <c r="D133" t="str">
        <f>Inputs!I285</f>
        <v>PPI</v>
      </c>
      <c r="E133" s="264">
        <f>Inputs!J285</f>
        <v>0</v>
      </c>
      <c r="F133" s="264">
        <f>Inputs!K285</f>
        <v>6.68135</v>
      </c>
      <c r="G133" s="264">
        <f>Inputs!L285</f>
        <v>6.68135</v>
      </c>
    </row>
    <row r="134">
      <c r="C134" s="14" t="str">
        <f>Inputs!H286</f>
        <v>PUNO SUR (PE)</v>
      </c>
      <c r="D134" t="str">
        <f>Inputs!I286</f>
        <v>PPI</v>
      </c>
      <c r="E134" s="264">
        <f>Inputs!J286</f>
        <v>0</v>
      </c>
      <c r="F134" s="264">
        <f>Inputs!K286</f>
        <v>9.76505</v>
      </c>
      <c r="G134" s="264">
        <f>Inputs!L286</f>
        <v>9.76505</v>
      </c>
    </row>
    <row r="135">
      <c r="C135" s="14" t="str">
        <f>Inputs!H287</f>
        <v>TSA (PE)</v>
      </c>
      <c r="D135" t="str">
        <f>Inputs!I287</f>
        <v>PPI</v>
      </c>
      <c r="E135" s="264">
        <f>Inputs!J287</f>
        <v>0</v>
      </c>
      <c r="F135" s="264">
        <f>Inputs!K287</f>
        <v>307.85605</v>
      </c>
      <c r="G135" s="264">
        <f>Inputs!L287</f>
        <v>307.85605</v>
      </c>
    </row>
    <row r="136">
      <c r="C136" s="14" t="str">
        <f>Inputs!H288</f>
        <v>TER (PE)</v>
      </c>
      <c r="D136" t="str">
        <f>Inputs!I288</f>
        <v>PPI</v>
      </c>
      <c r="E136" s="264">
        <f>Inputs!J288</f>
        <v>0</v>
      </c>
      <c r="F136" s="264">
        <f>Inputs!K288</f>
        <v>31.8649</v>
      </c>
      <c r="G136" s="264">
        <f>Inputs!L288</f>
        <v>31.8649</v>
      </c>
    </row>
    <row r="137">
      <c r="C137" s="14" t="str">
        <f>Inputs!H289</f>
        <v>PALCA (PE)</v>
      </c>
      <c r="D137" t="str">
        <f>Inputs!I289</f>
        <v>PPI</v>
      </c>
      <c r="E137" s="264">
        <f>Inputs!J289</f>
        <v>0</v>
      </c>
      <c r="F137" s="264">
        <f>Inputs!K289</f>
        <v>163.4361</v>
      </c>
      <c r="G137" s="264">
        <f>Inputs!L289</f>
        <v>163.4361</v>
      </c>
    </row>
    <row r="138">
      <c r="C138" s="14" t="str">
        <f>Inputs!H290</f>
        <v>TOTAL LATAM</v>
      </c>
      <c r="D138" t="str">
        <f>Inputs!I290</f>
        <v>PPI</v>
      </c>
      <c r="E138" s="264">
        <f>Inputs!J290</f>
        <v>150.58735</v>
      </c>
      <c r="F138" s="264">
        <f>Inputs!K290</f>
        <v>702.960252</v>
      </c>
      <c r="G138" s="264">
        <f>Inputs!L290</f>
        <v>853.547602</v>
      </c>
    </row>
    <row r="139"/>
    <row r="140"/>
    <row r="141"/>
    <row r="142"/>
    <row r="143"/>
    <row r="144"/>
    <row r="145"/>
    <row r="146"/>
    <row r="149" hidden="1" outlineLevel="1" customFormat="1" s="23">
      <c r="A149" s="18" t="n"/>
      <c r="B149" s="19" t="n"/>
      <c r="C149" s="20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21" t="n"/>
      <c r="AP149" s="21" t="n"/>
      <c r="AQ149" s="21" t="n"/>
      <c r="AR149" s="21" t="n"/>
      <c r="AS149" s="21" t="n"/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21" t="n"/>
      <c r="BX149" s="21" t="n"/>
      <c r="BY149" s="21" t="n"/>
      <c r="BZ149" s="21" t="n"/>
      <c r="CA149" s="21" t="n"/>
      <c r="CB149" s="21" t="n"/>
      <c r="CC149" s="21" t="n"/>
      <c r="CD149" s="21" t="n"/>
      <c r="CE149" s="21" t="n"/>
      <c r="CF149" s="21" t="n"/>
      <c r="CG149" s="21" t="n"/>
      <c r="CH149" s="21" t="n"/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</row>
    <row r="150" hidden="1" outlineLevel="1" customFormat="1" s="23">
      <c r="A150" s="18" t="n"/>
      <c r="B150" s="19" t="n"/>
      <c r="C150" s="20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21" t="n"/>
      <c r="AP150" s="21" t="n"/>
      <c r="AQ150" s="21" t="n"/>
      <c r="AR150" s="21" t="n"/>
      <c r="AS150" s="21" t="n"/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21" t="n"/>
      <c r="BX150" s="21" t="n"/>
      <c r="BY150" s="21" t="n"/>
      <c r="BZ150" s="21" t="n"/>
      <c r="CA150" s="21" t="n"/>
      <c r="CB150" s="21" t="n"/>
      <c r="CC150" s="21" t="n"/>
      <c r="CD150" s="21" t="n"/>
      <c r="CE150" s="21" t="n"/>
      <c r="CF150" s="21" t="n"/>
      <c r="CG150" s="21" t="n"/>
      <c r="CH150" s="21" t="n"/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</row>
    <row r="151" collapsed="1">
      <c r="C151" s="24" t="inlineStr">
        <is>
          <t>COGS (cash)</t>
        </is>
      </c>
      <c r="D151" s="25">
        <f>INDEX('Inputs (2)'!$D$5:$AL$5,MATCH(D$7,'Inputs (2)'!$D$2:$AL$2,0))</f>
        <v>-577.646</v>
      </c>
      <c r="E151" s="25">
        <f>INDEX('Inputs (2)'!$D$5:$AL$5,MATCH(E$7,'Inputs (2)'!$D$2:$AL$2,0))</f>
        <v>-576.22</v>
      </c>
      <c r="F151" s="25">
        <f>INDEX('Inputs (2)'!$D$5:$AL$5,MATCH(F$7,'Inputs (2)'!$D$2:$AL$2,0))</f>
        <v>-742.279</v>
      </c>
      <c r="G151" s="25">
        <f>INDEX('Inputs (2)'!$D$5:$AL$5,MATCH(G$7,'Inputs (2)'!$D$2:$AL$2,0))</f>
        <v>-675.582</v>
      </c>
      <c r="H151" s="3">
        <f>SUM(D151:G151)</f>
        <v>-2571.727</v>
      </c>
      <c r="I151" s="25">
        <f>INDEX('Inputs (2)'!$D$5:$AL$5,MATCH(I$7,'Inputs (2)'!$D$2:$AL$2,0))</f>
        <v>-471.033</v>
      </c>
      <c r="J151" s="25">
        <f>INDEX('Inputs (2)'!$D$5:$AL$5,MATCH(J$7,'Inputs (2)'!$D$2:$AL$2,0))</f>
        <v>-201.254</v>
      </c>
      <c r="K151" s="25">
        <f>INDEX('Inputs (2)'!$D$5:$AL$5,MATCH(K$7,'Inputs (2)'!$D$2:$AL$2,0))</f>
        <v>-287.047</v>
      </c>
      <c r="L151" s="25">
        <f>INDEX('Inputs (2)'!$D$5:$AL$5,MATCH(L$7,'Inputs (2)'!$D$2:$AL$2,0))</f>
        <v>-305.796</v>
      </c>
      <c r="M151" s="3">
        <f>SUM(I151:L151)</f>
        <v>-1265.13</v>
      </c>
      <c r="N151" s="25">
        <f>INDEX('Inputs (2)'!$D$5:$AL$5,MATCH(N$7,'Inputs (2)'!$D$2:$AL$2,0))</f>
        <v>-134.789</v>
      </c>
      <c r="O151" s="25">
        <f>INDEX('Inputs (2)'!$D$5:$AL$5,MATCH(O$7,'Inputs (2)'!$D$2:$AL$2,0))</f>
        <v>-123.632</v>
      </c>
      <c r="P151" s="25">
        <f>INDEX('Inputs (2)'!$D$5:$AL$5,MATCH(P$7,'Inputs (2)'!$D$2:$AL$2,0))</f>
        <v>-131.418</v>
      </c>
      <c r="Q151" s="25">
        <f>INDEX('Inputs (2)'!$D$5:$AL$5,MATCH(Q$7,'Inputs (2)'!$D$2:$AL$2,0))</f>
        <v>-161.074</v>
      </c>
      <c r="R151" s="3">
        <f>SUM(N151:Q151)</f>
        <v>-550.913</v>
      </c>
      <c r="S151" s="25">
        <f>INDEX('Inputs (2)'!$D$5:$AL$5,MATCH(S$7,'Inputs (2)'!$D$2:$AL$2,0))</f>
        <v>-161.718</v>
      </c>
      <c r="T151" s="25">
        <f>INDEX('Inputs (2)'!$D$5:$AL$5,MATCH(T$7,'Inputs (2)'!$D$2:$AL$2,0))</f>
        <v>-136.738</v>
      </c>
      <c r="U151" s="25">
        <f>INDEX('Inputs (2)'!$D$5:$AL$5,MATCH(U$7,'Inputs (2)'!$D$2:$AL$2,0))</f>
        <v>-161.738</v>
      </c>
      <c r="V151" s="25">
        <f>INDEX('Inputs (2)'!$D$5:$AL$5,MATCH(V$7,'Inputs (2)'!$D$2:$AL$2,0))</f>
        <v>-189.695</v>
      </c>
      <c r="W151" s="3">
        <f>SUM(S151:V151)</f>
        <v>-649.889</v>
      </c>
      <c r="X151" s="25">
        <f>INDEX('Inputs (2)'!$D$5:$AL$5,MATCH(X$7,'Inputs (2)'!$D$2:$AL$2,0))</f>
        <v>-168.17</v>
      </c>
      <c r="Y151" s="25">
        <f>INDEX('Inputs (2)'!$D$5:$AL$5,MATCH(Y$7,'Inputs (2)'!$D$2:$AL$2,0))</f>
        <v>-180.438</v>
      </c>
      <c r="Z151" s="25">
        <f>INDEX('Inputs (2)'!$D$5:$AL$5,MATCH(Z$7,'Inputs (2)'!$D$2:$AL$2,0))</f>
        <v>-246.959</v>
      </c>
      <c r="AA151" s="25">
        <f>INDEX('Inputs (2)'!$D$5:$AL$5,MATCH(AA$7,'Inputs (2)'!$D$2:$AL$2,0))</f>
        <v>-327.35</v>
      </c>
      <c r="AB151" s="3">
        <f>SUM(X151:AA151)</f>
        <v>-922.917</v>
      </c>
      <c r="AC151" s="25">
        <f>INDEX('Inputs (2)'!$D$5:$AL$5,MATCH(AC$7,'Inputs (2)'!$D$2:$AL$2,0))</f>
        <v>-295.198</v>
      </c>
      <c r="AD151" s="25">
        <f>INDEX('Inputs (2)'!$D$5:$AL$5,MATCH(AD$7,'Inputs (2)'!$D$2:$AL$2,0))</f>
        <v>-282.606</v>
      </c>
      <c r="AE151" s="25">
        <f>INDEX('Inputs (2)'!$D$5:$AL$5,MATCH(AE$7,'Inputs (2)'!$D$2:$AL$2,0))</f>
        <v>-245.818</v>
      </c>
      <c r="AF151" s="25">
        <f>INDEX('Inputs (2)'!$D$5:$AL$5,MATCH(AF$7,'Inputs (2)'!$D$2:$AL$2,0))</f>
        <v>-335.941</v>
      </c>
      <c r="AG151" s="3">
        <f>SUM(AC151:AF151)</f>
        <v>-1159.563</v>
      </c>
      <c r="AH151" s="3">
        <f>INDEX('Inputs (2)'!$D$5:$AL$5,MATCH(AH$7,'Inputs (2)'!$D$2:$AL$2,0))</f>
        <v>-409.119</v>
      </c>
      <c r="AI151" s="3">
        <f>INDEX('Inputs (2)'!$D$5:$AL$5,MATCH(AI$7,'Inputs (2)'!$D$2:$AL$2,0))</f>
        <v>-524.176</v>
      </c>
      <c r="AJ151" s="3">
        <f>(100%-AJ152)*-AJ15</f>
        <v>-963.353</v>
      </c>
      <c r="AK151" s="3">
        <f>(100%-AK152)*-AK15</f>
        <v>-1163.659</v>
      </c>
      <c r="AL151" s="3">
        <f>SUM(AH151:AK151)</f>
        <v>-3060.307</v>
      </c>
      <c r="AM151" s="3">
        <f>(100%-AM152)*-AM15</f>
        <v>-1255.635</v>
      </c>
      <c r="AN151" s="3">
        <f>(100%-AN152)*-AN15</f>
        <v>-1627.285</v>
      </c>
      <c r="AO151" s="3">
        <f>(100%-AO152)*-AO15</f>
        <v>-963.353</v>
      </c>
      <c r="AP151" s="3">
        <f>(100%-AP152)*-AP15</f>
        <v>-1163.659</v>
      </c>
      <c r="AQ151" s="3">
        <f>SUM(AM151:AP151)</f>
        <v>-5009.932</v>
      </c>
      <c r="AR151" s="3">
        <f>(100%-AR152)*-AR15</f>
        <v>-1255.635</v>
      </c>
      <c r="AS151" s="3">
        <f>(100%-AS152)*-AS15</f>
        <v>-1627.285</v>
      </c>
      <c r="AT151" s="3">
        <f>(100%-AT152)*-AT15</f>
        <v>-963.353</v>
      </c>
      <c r="AU151" s="3">
        <f>(100%-AU152)*-AU15</f>
        <v>-1163.659</v>
      </c>
      <c r="AV151" s="3">
        <f>SUM(AR151:AU151)</f>
        <v>-5009.932</v>
      </c>
      <c r="AW151" s="3">
        <f>(100%-AW152)*-AW15</f>
        <v>-1255.635</v>
      </c>
      <c r="AX151" s="3">
        <f>(100%-AX152)*-AX15</f>
        <v>-1627.285</v>
      </c>
      <c r="AY151" s="3">
        <f>(100%-AY152)*-AY15</f>
        <v>-963.353</v>
      </c>
      <c r="AZ151" s="3">
        <f>(100%-AZ152)*-AZ15</f>
        <v>-1163.659</v>
      </c>
      <c r="BA151" s="3">
        <f>SUM(AW151:AZ151)</f>
        <v>-5009.932</v>
      </c>
      <c r="BB151" s="3">
        <f>(100%-BB152)*-BB15</f>
        <v>-1255.635</v>
      </c>
      <c r="BC151" s="3">
        <f>(100%-BC152)*-BC15</f>
        <v>-1627.285</v>
      </c>
      <c r="BD151" s="3">
        <f>(100%-BD152)*-BD15</f>
        <v>-963.353</v>
      </c>
      <c r="BE151" s="3">
        <f>(100%-BE152)*-BE15</f>
        <v>-1163.659</v>
      </c>
      <c r="BF151" s="3">
        <f>SUM(BB151:BE151)</f>
        <v>-5009.932</v>
      </c>
      <c r="BG151" s="3">
        <f>(100%-BG152)*-BG15</f>
        <v>-1255.635</v>
      </c>
      <c r="BH151" s="3">
        <f>(100%-BH152)*-BH15</f>
        <v>-1627.285</v>
      </c>
      <c r="BI151" s="3">
        <f>(100%-BI152)*-BI15</f>
        <v>-963.353</v>
      </c>
      <c r="BJ151" s="3">
        <f>(100%-BJ152)*-BJ15</f>
        <v>-1163.659</v>
      </c>
      <c r="BK151" s="3">
        <f>SUM(BG151:BJ151)</f>
        <v>-5009.932</v>
      </c>
      <c r="BL151" s="3">
        <f>(100%-BL152)*-BL15</f>
        <v>-1255.635</v>
      </c>
      <c r="BM151" s="3">
        <f>(100%-BM152)*-BM15</f>
        <v>-1627.285</v>
      </c>
      <c r="BN151" s="3">
        <f>(100%-BN152)*-BN15</f>
        <v>-963.353</v>
      </c>
      <c r="BO151" s="3">
        <f>(100%-BO152)*-BO15</f>
        <v>-1163.659</v>
      </c>
      <c r="BP151" s="3">
        <f>SUM(BL151:BO151)</f>
        <v>-5009.932</v>
      </c>
      <c r="BQ151" s="3">
        <f>(100%-BQ152)*-BQ15</f>
        <v>-1255.635</v>
      </c>
      <c r="BR151" s="3">
        <f>(100%-BR152)*-BR15</f>
        <v>-1627.285</v>
      </c>
      <c r="BS151" s="3">
        <f>(100%-BS152)*-BS15</f>
        <v>-963.353</v>
      </c>
      <c r="BT151" s="3">
        <f>(100%-BT152)*-BT15</f>
        <v>-1163.659</v>
      </c>
      <c r="BU151" s="3">
        <f>SUM(BQ151:BT151)</f>
        <v>-5009.932</v>
      </c>
      <c r="BV151" s="3">
        <f>(100%-BV152)*-BV15</f>
        <v>-1255.635</v>
      </c>
      <c r="BW151" s="3">
        <f>(100%-BW152)*-BW15</f>
        <v>-1627.285</v>
      </c>
      <c r="BX151" s="3">
        <f>(100%-BX152)*-BX15</f>
        <v>-963.353</v>
      </c>
      <c r="BY151" s="3">
        <f>(100%-BY152)*-BY15</f>
        <v>-1163.659</v>
      </c>
      <c r="BZ151" s="3">
        <f>SUM(BV151:BY151)</f>
        <v>-5009.932</v>
      </c>
      <c r="CA151" s="3">
        <f>(100%-CA152)*-CA15</f>
        <v>-1255.635</v>
      </c>
      <c r="CB151" s="3">
        <f>(100%-CB152)*-CB15</f>
        <v>-1627.285</v>
      </c>
      <c r="CC151" s="3">
        <f>(100%-CC152)*-CC15</f>
        <v>-963.353</v>
      </c>
      <c r="CD151" s="3">
        <f>(100%-CD152)*-CD15</f>
        <v>-1163.659</v>
      </c>
      <c r="CE151" s="3">
        <f>SUM(CA151:CD151)</f>
        <v>-5009.932</v>
      </c>
      <c r="CF151" s="3">
        <f>(100%-CF152)*-CF15</f>
        <v>-1255.635</v>
      </c>
      <c r="CG151" s="3">
        <f>(100%-CG152)*-CG15</f>
        <v>-1627.285</v>
      </c>
      <c r="CH151" s="3">
        <f>(100%-CH152)*-CH15</f>
        <v>-963.353</v>
      </c>
      <c r="CI151" s="3">
        <f>(100%-CI152)*-CI15</f>
        <v>-1163.659</v>
      </c>
      <c r="CJ151" s="3">
        <f>SUM(CF151:CI151)</f>
        <v>-5009.932</v>
      </c>
      <c r="CK151" s="3">
        <f>(100%-CK152)*-CK15</f>
        <v>-1255.635</v>
      </c>
      <c r="CL151" s="3">
        <f>(100%-CL152)*-CL15</f>
        <v>-1627.285</v>
      </c>
      <c r="CM151" s="3">
        <f>(100%-CM152)*-CM15</f>
        <v>-963.353</v>
      </c>
      <c r="CN151" s="3">
        <f>(100%-CN152)*-CN15</f>
        <v>-1163.659</v>
      </c>
      <c r="CO151" s="3">
        <f>SUM(CK151:CN151)</f>
        <v>-5009.932</v>
      </c>
      <c r="CP151" s="3">
        <f>(100%-CP152)*-CP15</f>
        <v>-1255.635</v>
      </c>
      <c r="CQ151" s="3">
        <f>(100%-CQ152)*-CQ15</f>
        <v>-1627.285</v>
      </c>
      <c r="CR151" s="3">
        <f>(100%-CR152)*-CR15</f>
        <v>-963.353</v>
      </c>
      <c r="CS151" s="3">
        <f>(100%-CS152)*-CS15</f>
        <v>-1163.659</v>
      </c>
      <c r="CT151" s="3">
        <f>SUM(CP151:CS151)</f>
        <v>-5009.932</v>
      </c>
      <c r="CU151" s="3">
        <f>(100%-CU152)*-CU15</f>
        <v>-1255.635</v>
      </c>
      <c r="CV151" s="3">
        <f>(100%-CV152)*-CV15</f>
        <v>-1627.285</v>
      </c>
      <c r="CW151" s="3">
        <f>(100%-CW152)*-CW15</f>
        <v>-963.353</v>
      </c>
      <c r="CX151" s="3">
        <f>(100%-CX152)*-CX15</f>
        <v>-1163.659</v>
      </c>
      <c r="CY151" s="3">
        <f>SUM(CU151:CX151)</f>
        <v>-5009.932</v>
      </c>
    </row>
    <row r="152" hidden="1" outlineLevel="1" customFormat="1" s="1">
      <c r="C152" s="57" t="inlineStr">
        <is>
          <t>% Gross Margin</t>
        </is>
      </c>
      <c r="D152" s="54">
        <f>(D15+D151)/D$15</f>
        <v>0.525324033405455</v>
      </c>
      <c r="E152" s="54">
        <f>(E15+E151)/E$15</f>
        <v>0.438915807185368</v>
      </c>
      <c r="F152" s="54">
        <f>(F15+F151)/F$15</f>
        <v>0.502268120320011</v>
      </c>
      <c r="G152" s="54">
        <f>(G15+G151)/G$15</f>
        <v>0.719153330320817</v>
      </c>
      <c r="H152" s="54">
        <f>(H15+H151)/H$15</f>
        <v>0.581202769370818</v>
      </c>
      <c r="I152" s="54">
        <f>(I15+I151)/I$15</f>
        <v>0.70587533734547</v>
      </c>
      <c r="J152" s="54">
        <f>(J15+J151)/J$15</f>
        <v>0.84948932087192</v>
      </c>
      <c r="K152" s="54">
        <f>(K15+K151)/K$15</f>
        <v>0.754167337528647</v>
      </c>
      <c r="L152" s="54">
        <f>(L15+L151)/L$15</f>
        <v>0.728890074924132</v>
      </c>
      <c r="M152" s="54">
        <f>(M15+M151)/M$15</f>
        <v>0.758295810942171</v>
      </c>
      <c r="N152" s="54">
        <f>(N15+N151)/N$15</f>
        <v>0.894738856089714</v>
      </c>
      <c r="O152" s="54">
        <f>(O15+O151)/O$15</f>
        <v>0.894172702083385</v>
      </c>
      <c r="P152" s="54">
        <f>(P15+P151)/P$15</f>
        <v>0.798642169953988</v>
      </c>
      <c r="Q152" s="54">
        <f>(Q15+Q151)/Q$15</f>
        <v>0.780039492766487</v>
      </c>
      <c r="R152" s="54">
        <f>(R15+R151)/R$15</f>
        <v>0.856297610563976</v>
      </c>
      <c r="S152" s="54">
        <f>(S15+S151)/S$15</f>
        <v>0.838925813523347</v>
      </c>
      <c r="T152" s="54">
        <f>(T15+T151)/T$15</f>
        <v>0.82472992580971</v>
      </c>
      <c r="U152" s="54">
        <f>(U15+U151)/U$15</f>
        <v>0.75077239324023</v>
      </c>
      <c r="V152" s="54">
        <f>(V15+V151)/V$15</f>
        <v>0.784013134897999</v>
      </c>
      <c r="W152" s="54">
        <f>(W15+W151)/W$15</f>
        <v>0.803740795758628</v>
      </c>
      <c r="X152" s="54">
        <f>(X15+X151)/X$15</f>
        <v>0.83124526484268</v>
      </c>
      <c r="Y152" s="54">
        <f>(Y15+Y151)/Y$15</f>
        <v>0.810800551960172</v>
      </c>
      <c r="Z152" s="54">
        <f>(Z15+Z151)/Z$15</f>
        <v>0.7340428854353</v>
      </c>
      <c r="AA152" s="54">
        <f>(AA15+AA151)/AA$15</f>
        <v>0.708584451309078</v>
      </c>
      <c r="AB152" s="54">
        <f>(AB15+AB151)/AB$15</f>
        <v>0.769392049781815</v>
      </c>
      <c r="AC152" s="54">
        <f>(AC15+AC151)/AC$15</f>
        <v>0.758772148454195</v>
      </c>
      <c r="AD152" s="54">
        <f>(AD15+AD151)/AD$15</f>
        <v>0.730116316824875</v>
      </c>
      <c r="AE152" s="54">
        <f>(AE15+AE151)/AE$15</f>
        <v>0.744830814872638</v>
      </c>
      <c r="AF152" s="44">
        <f>(AF15+AF151)/AF$15</f>
        <v>0.711306319119261</v>
      </c>
      <c r="AG152" s="54">
        <f>(AG15+AG151)/AG$15</f>
        <v>0.736336096253584</v>
      </c>
      <c r="AH152" s="55">
        <f>(AH15+AH151)/AH$15</f>
        <v>0.67417362529716</v>
      </c>
      <c r="AI152" s="55">
        <f>(AI15+AI151)/AI$15</f>
        <v>0.677883099764332</v>
      </c>
      <c r="AJ152" s="55" t="n"/>
      <c r="AK152" s="55" t="n"/>
      <c r="AL152" s="54">
        <f>(AL15+AL151)/AL$15</f>
        <v>0.389151988490063</v>
      </c>
      <c r="AM152" s="55" t="n"/>
      <c r="AN152" s="55" t="n"/>
      <c r="AO152" s="55" t="n"/>
      <c r="AP152" s="55" t="n"/>
      <c r="AQ152" s="54">
        <f>(AQ15+AQ151)/AQ$15</f>
        <v>0</v>
      </c>
      <c r="AR152" s="55" t="n"/>
      <c r="AS152" s="55" t="n"/>
      <c r="AT152" s="55" t="n"/>
      <c r="AU152" s="55" t="n"/>
      <c r="AV152" s="54">
        <f>(AV15+AV151)/AV$15</f>
        <v>0</v>
      </c>
      <c r="AW152" s="55" t="n"/>
      <c r="AX152" s="55" t="n"/>
      <c r="AY152" s="55" t="n"/>
      <c r="AZ152" s="55" t="n"/>
      <c r="BA152" s="54">
        <f>(BA15+BA151)/BA$15</f>
        <v>0</v>
      </c>
      <c r="BB152" s="55" t="n"/>
      <c r="BC152" s="55" t="n"/>
      <c r="BD152" s="55" t="n"/>
      <c r="BE152" s="55" t="n"/>
      <c r="BF152" s="54">
        <f>(BF15+BF151)/BF$15</f>
        <v>0</v>
      </c>
      <c r="BG152" s="55" t="n"/>
      <c r="BH152" s="55" t="n"/>
      <c r="BI152" s="55" t="n"/>
      <c r="BJ152" s="55" t="n"/>
      <c r="BK152" s="54">
        <f>(BK15+BK151)/BK$15</f>
        <v>0</v>
      </c>
      <c r="BL152" s="55" t="n"/>
      <c r="BM152" s="55" t="n"/>
      <c r="BN152" s="55" t="n"/>
      <c r="BO152" s="55" t="n"/>
      <c r="BP152" s="54">
        <f>(BP15+BP151)/BP$15</f>
        <v>0</v>
      </c>
      <c r="BQ152" s="55" t="n"/>
      <c r="BR152" s="55" t="n"/>
      <c r="BS152" s="55" t="n"/>
      <c r="BT152" s="55" t="n"/>
      <c r="BU152" s="54">
        <f>(BU15+BU151)/BU$15</f>
        <v>0</v>
      </c>
      <c r="BV152" s="55" t="n"/>
      <c r="BW152" s="55" t="n"/>
      <c r="BX152" s="55" t="n"/>
      <c r="BY152" s="55" t="n"/>
      <c r="BZ152" s="54">
        <f>(BZ15+BZ151)/BZ$15</f>
        <v>0</v>
      </c>
      <c r="CA152" s="55" t="n"/>
      <c r="CB152" s="55" t="n"/>
      <c r="CC152" s="55" t="n"/>
      <c r="CD152" s="55" t="n"/>
      <c r="CE152" s="54">
        <f>(CE15+CE151)/CE$15</f>
        <v>0</v>
      </c>
      <c r="CF152" s="55" t="n"/>
      <c r="CG152" s="55" t="n"/>
      <c r="CH152" s="55" t="n"/>
      <c r="CI152" s="55" t="n"/>
      <c r="CJ152" s="54">
        <f>(CJ15+CJ151)/CJ$15</f>
        <v>0</v>
      </c>
      <c r="CK152" s="55" t="n"/>
      <c r="CL152" s="55" t="n"/>
      <c r="CM152" s="55" t="n"/>
      <c r="CN152" s="55" t="n"/>
      <c r="CO152" s="54">
        <f>(CO15+CO151)/CO$15</f>
        <v>0</v>
      </c>
      <c r="CP152" s="55" t="n"/>
      <c r="CQ152" s="55" t="n"/>
      <c r="CR152" s="55" t="n"/>
      <c r="CS152" s="55" t="n"/>
      <c r="CT152" s="54">
        <f>(CT15+CT151)/CT$15</f>
        <v>0</v>
      </c>
      <c r="CU152" s="55" t="n"/>
      <c r="CV152" s="55" t="n"/>
      <c r="CW152" s="55" t="n"/>
      <c r="CX152" s="55" t="n"/>
      <c r="CY152" s="54">
        <f>(CY15+CY151)/CY$15</f>
        <v>0</v>
      </c>
    </row>
    <row r="153" hidden="1" outlineLevel="1"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  <c r="AA153" s="32" t="n"/>
      <c r="AB153" s="32" t="n"/>
      <c r="AC153" s="32" t="n"/>
      <c r="AD153" s="32" t="n"/>
      <c r="AE153" s="32" t="n"/>
      <c r="AF153" s="32" t="n"/>
      <c r="AG153" s="32" t="n"/>
      <c r="AH153" s="32" t="n"/>
      <c r="AI153" s="32" t="n"/>
      <c r="AJ153" s="32" t="n"/>
      <c r="AK153" s="32" t="n"/>
      <c r="AL153" s="32" t="n"/>
      <c r="AM153" s="32" t="n"/>
      <c r="AN153" s="32" t="n"/>
      <c r="AO153" s="32" t="n"/>
      <c r="AP153" s="32" t="n"/>
      <c r="AQ153" s="32" t="n"/>
      <c r="AR153" s="32" t="n"/>
      <c r="AS153" s="32" t="n"/>
      <c r="AT153" s="32" t="n"/>
      <c r="AU153" s="32" t="n"/>
      <c r="AV153" s="32" t="n"/>
      <c r="AW153" s="32" t="n"/>
      <c r="AX153" s="32" t="n"/>
      <c r="AY153" s="32" t="n"/>
      <c r="AZ153" s="32" t="n"/>
      <c r="BA153" s="32" t="n"/>
      <c r="BB153" s="32" t="n"/>
      <c r="BC153" s="32" t="n"/>
      <c r="BD153" s="32" t="n"/>
      <c r="BE153" s="32" t="n"/>
      <c r="BF153" s="32" t="n"/>
      <c r="BG153" s="32" t="n"/>
      <c r="BH153" s="32" t="n"/>
      <c r="BI153" s="32" t="n"/>
      <c r="BJ153" s="32" t="n"/>
      <c r="BK153" s="32" t="n"/>
      <c r="BL153" s="32" t="n"/>
      <c r="BM153" s="32" t="n"/>
      <c r="BN153" s="32" t="n"/>
      <c r="BO153" s="32" t="n"/>
      <c r="BP153" s="32" t="n"/>
      <c r="BQ153" s="32" t="n"/>
      <c r="BR153" s="32" t="n"/>
      <c r="BS153" s="32" t="n"/>
      <c r="BT153" s="32" t="n"/>
      <c r="BU153" s="32" t="n"/>
      <c r="BV153" s="32" t="n"/>
      <c r="BW153" s="32" t="n"/>
      <c r="BX153" s="32" t="n"/>
      <c r="BY153" s="32" t="n"/>
      <c r="BZ153" s="32" t="n"/>
      <c r="CA153" s="32" t="n"/>
      <c r="CB153" s="32" t="n"/>
      <c r="CC153" s="32" t="n"/>
      <c r="CD153" s="32" t="n"/>
      <c r="CE153" s="32" t="n"/>
      <c r="CF153" s="32" t="n"/>
      <c r="CG153" s="32" t="n"/>
      <c r="CH153" s="32" t="n"/>
      <c r="CI153" s="32" t="n"/>
      <c r="CJ153" s="32" t="n"/>
      <c r="CK153" s="32" t="n"/>
      <c r="CL153" s="32" t="n"/>
      <c r="CM153" s="32" t="n"/>
      <c r="CN153" s="32" t="n"/>
      <c r="CO153" s="32" t="n"/>
      <c r="CP153" s="32" t="n"/>
      <c r="CQ153" s="32" t="n"/>
      <c r="CR153" s="32" t="n"/>
      <c r="CS153" s="32" t="n"/>
      <c r="CT153" s="32" t="n"/>
      <c r="CU153" s="32" t="n"/>
      <c r="CV153" s="32" t="n"/>
      <c r="CW153" s="32" t="n"/>
      <c r="CX153" s="32" t="n"/>
      <c r="CY153" s="32" t="n"/>
    </row>
    <row r="154" hidden="1" outlineLevel="1"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  <c r="Z154" s="32" t="n"/>
      <c r="AA154" s="32" t="n"/>
      <c r="AB154" s="32" t="n"/>
      <c r="AC154" s="32" t="n"/>
      <c r="AD154" s="32" t="n"/>
      <c r="AE154" s="32" t="n"/>
      <c r="AF154" s="32" t="n"/>
      <c r="AG154" s="32" t="n"/>
      <c r="AH154" s="32" t="n"/>
      <c r="AI154" s="32" t="n"/>
      <c r="AJ154" s="32" t="n"/>
      <c r="AK154" s="32" t="n"/>
      <c r="AL154" s="32" t="n"/>
      <c r="AM154" s="32" t="n"/>
      <c r="AN154" s="32" t="n"/>
      <c r="AO154" s="32" t="n"/>
      <c r="AP154" s="32" t="n"/>
      <c r="AQ154" s="32" t="n"/>
      <c r="AR154" s="32" t="n"/>
      <c r="AS154" s="32" t="n"/>
      <c r="AT154" s="32" t="n"/>
      <c r="AU154" s="32" t="n"/>
      <c r="AV154" s="32" t="n"/>
      <c r="AW154" s="32" t="n"/>
      <c r="AX154" s="32" t="n"/>
      <c r="AY154" s="32" t="n"/>
      <c r="AZ154" s="32" t="n"/>
      <c r="BA154" s="32" t="n"/>
      <c r="BB154" s="32" t="n"/>
      <c r="BC154" s="32" t="n"/>
      <c r="BD154" s="32" t="n"/>
      <c r="BE154" s="32" t="n"/>
      <c r="BF154" s="32" t="n"/>
      <c r="BG154" s="32" t="n"/>
      <c r="BH154" s="32" t="n"/>
      <c r="BI154" s="32" t="n"/>
      <c r="BJ154" s="32" t="n"/>
      <c r="BK154" s="32" t="n"/>
      <c r="BL154" s="32" t="n"/>
      <c r="BM154" s="32" t="n"/>
      <c r="BN154" s="32" t="n"/>
      <c r="BO154" s="32" t="n"/>
      <c r="BP154" s="32" t="n"/>
      <c r="BQ154" s="32" t="n"/>
      <c r="BR154" s="32" t="n"/>
      <c r="BS154" s="32" t="n"/>
      <c r="BT154" s="32" t="n"/>
      <c r="BU154" s="32" t="n"/>
      <c r="BV154" s="32" t="n"/>
      <c r="BW154" s="32" t="n"/>
      <c r="BX154" s="32" t="n"/>
      <c r="BY154" s="32" t="n"/>
      <c r="BZ154" s="32" t="n"/>
      <c r="CA154" s="32" t="n"/>
      <c r="CB154" s="32" t="n"/>
      <c r="CC154" s="32" t="n"/>
      <c r="CD154" s="32" t="n"/>
      <c r="CE154" s="32" t="n"/>
      <c r="CF154" s="32" t="n"/>
      <c r="CG154" s="32" t="n"/>
      <c r="CH154" s="32" t="n"/>
      <c r="CI154" s="32" t="n"/>
      <c r="CJ154" s="32" t="n"/>
      <c r="CK154" s="32" t="n"/>
      <c r="CL154" s="32" t="n"/>
      <c r="CM154" s="32" t="n"/>
      <c r="CN154" s="32" t="n"/>
      <c r="CO154" s="32" t="n"/>
      <c r="CP154" s="32" t="n"/>
      <c r="CQ154" s="32" t="n"/>
      <c r="CR154" s="32" t="n"/>
      <c r="CS154" s="32" t="n"/>
      <c r="CT154" s="32" t="n"/>
      <c r="CU154" s="32" t="n"/>
      <c r="CV154" s="32" t="n"/>
      <c r="CW154" s="32" t="n"/>
      <c r="CX154" s="32" t="n"/>
      <c r="CY154" s="32" t="n"/>
    </row>
    <row r="155" collapsed="1">
      <c r="C155" s="24" t="inlineStr">
        <is>
          <t>SG&amp;A and Other (cash)</t>
        </is>
      </c>
      <c r="D155" s="25">
        <f>INDEX('Inputs (2)'!$D$6:$AL$6,MATCH(D$7,'Inputs (2)'!$D$2:$AL$2,0))</f>
        <v>-28.066</v>
      </c>
      <c r="E155" s="25">
        <f>INDEX('Inputs (2)'!$D$6:$AL$6,MATCH(E$7,'Inputs (2)'!$D$2:$AL$2,0))</f>
        <v>-29.574</v>
      </c>
      <c r="F155" s="25">
        <f>INDEX('Inputs (2)'!$D$6:$AL$6,MATCH(F$7,'Inputs (2)'!$D$2:$AL$2,0))</f>
        <v>-21.066</v>
      </c>
      <c r="G155" s="25">
        <f>INDEX('Inputs (2)'!$D$6:$AL$6,MATCH(G$7,'Inputs (2)'!$D$2:$AL$2,0))</f>
        <v>-27.349</v>
      </c>
      <c r="H155" s="3">
        <f>SUM(D155:G155)</f>
        <v>-106.055</v>
      </c>
      <c r="I155" s="25">
        <f>INDEX('Inputs (2)'!$D$6:$AL$6,MATCH(I$7,'Inputs (2)'!$D$2:$AL$2,0))</f>
        <v>-23.786</v>
      </c>
      <c r="J155" s="25">
        <f>INDEX('Inputs (2)'!$D$6:$AL$6,MATCH(J$7,'Inputs (2)'!$D$2:$AL$2,0))</f>
        <v>-8.006</v>
      </c>
      <c r="K155" s="25">
        <f>INDEX('Inputs (2)'!$D$6:$AL$6,MATCH(K$7,'Inputs (2)'!$D$2:$AL$2,0))</f>
        <v>21.031</v>
      </c>
      <c r="L155" s="25">
        <f>INDEX('Inputs (2)'!$D$6:$AL$6,MATCH(L$7,'Inputs (2)'!$D$2:$AL$2,0))</f>
        <v>-43.997</v>
      </c>
      <c r="M155" s="3">
        <f>SUM(I155:L155)</f>
        <v>-54.758</v>
      </c>
      <c r="N155" s="25">
        <f>INDEX('Inputs (2)'!$D$6:$AL$6,MATCH(N$7,'Inputs (2)'!$D$2:$AL$2,0))</f>
        <v>-14.074</v>
      </c>
      <c r="O155" s="25">
        <f>INDEX('Inputs (2)'!$D$6:$AL$6,MATCH(O$7,'Inputs (2)'!$D$2:$AL$2,0))</f>
        <v>-174.015</v>
      </c>
      <c r="P155" s="25">
        <f>INDEX('Inputs (2)'!$D$6:$AL$6,MATCH(P$7,'Inputs (2)'!$D$2:$AL$2,0))</f>
        <v>-36.025</v>
      </c>
      <c r="Q155" s="25">
        <f>INDEX('Inputs (2)'!$D$6:$AL$6,MATCH(Q$7,'Inputs (2)'!$D$2:$AL$2,0))</f>
        <v>-49.11</v>
      </c>
      <c r="R155" s="3">
        <f>SUM(N155:Q155)</f>
        <v>-273.224</v>
      </c>
      <c r="S155" s="25">
        <f>INDEX('Inputs (2)'!$D$6:$AL$6,MATCH(S$7,'Inputs (2)'!$D$2:$AL$2,0))</f>
        <v>-31.578</v>
      </c>
      <c r="T155" s="25">
        <f>INDEX('Inputs (2)'!$D$6:$AL$6,MATCH(T$7,'Inputs (2)'!$D$2:$AL$2,0))</f>
        <v>-27.46</v>
      </c>
      <c r="U155" s="25">
        <f>INDEX('Inputs (2)'!$D$6:$AL$6,MATCH(U$7,'Inputs (2)'!$D$2:$AL$2,0))</f>
        <v>-38.389</v>
      </c>
      <c r="V155" s="25">
        <f>INDEX('Inputs (2)'!$D$6:$AL$6,MATCH(V$7,'Inputs (2)'!$D$2:$AL$2,0))</f>
        <v>-93.626</v>
      </c>
      <c r="W155" s="3">
        <f>SUM(S155:V155)</f>
        <v>-191.053</v>
      </c>
      <c r="X155" s="25">
        <f>INDEX('Inputs (2)'!$D$6:$AL$6,MATCH(X$7,'Inputs (2)'!$D$2:$AL$2,0))</f>
        <v>-32.73</v>
      </c>
      <c r="Y155" s="25">
        <f>INDEX('Inputs (2)'!$D$6:$AL$6,MATCH(Y$7,'Inputs (2)'!$D$2:$AL$2,0))</f>
        <v>-18.387</v>
      </c>
      <c r="Z155" s="25">
        <f>INDEX('Inputs (2)'!$D$6:$AL$6,MATCH(Z$7,'Inputs (2)'!$D$2:$AL$2,0))</f>
        <v>-37.227</v>
      </c>
      <c r="AA155" s="25">
        <f>INDEX('Inputs (2)'!$D$6:$AL$6,MATCH(AA$7,'Inputs (2)'!$D$2:$AL$2,0))</f>
        <v>-69.055</v>
      </c>
      <c r="AB155" s="3">
        <f>SUM(X155:AA155)</f>
        <v>-157.399</v>
      </c>
      <c r="AC155" s="25">
        <f>INDEX('Inputs (2)'!$D$6:$AL$6,MATCH(AC$7,'Inputs (2)'!$D$2:$AL$2,0))</f>
        <v>-45.543</v>
      </c>
      <c r="AD155" s="25">
        <f>INDEX('Inputs (2)'!$D$6:$AL$6,MATCH(AD$7,'Inputs (2)'!$D$2:$AL$2,0))</f>
        <v>-84.158</v>
      </c>
      <c r="AE155" s="25">
        <f>INDEX('Inputs (2)'!$D$6:$AL$6,MATCH(AE$7,'Inputs (2)'!$D$2:$AL$2,0))</f>
        <v>-54.184</v>
      </c>
      <c r="AF155" s="25">
        <f>INDEX('Inputs (2)'!$D$6:$AL$6,MATCH(AF$7,'Inputs (2)'!$D$2:$AL$2,0))</f>
        <v>-55.317</v>
      </c>
      <c r="AG155" s="3">
        <f>SUM(AC155:AF155)</f>
        <v>-239.202</v>
      </c>
      <c r="AH155" s="3">
        <f>INDEX('Inputs (2)'!$D$6:$AL$6,MATCH(AH$7,'Inputs (2)'!$D$2:$AL$2,0))</f>
        <v>-59.4</v>
      </c>
      <c r="AI155" s="3">
        <f>INDEX('Inputs (2)'!$D$6:$AL$6,MATCH(AI$7,'Inputs (2)'!$D$2:$AL$2,0))</f>
        <v>-75.963</v>
      </c>
      <c r="AJ155" s="3">
        <f>-AJ15*AJ156</f>
        <v>0</v>
      </c>
      <c r="AK155" s="3">
        <f>-AK15*AK156</f>
        <v>0</v>
      </c>
      <c r="AL155" s="3">
        <f>SUM(AH155:AK155)</f>
        <v>-135.363</v>
      </c>
      <c r="AM155" s="3">
        <f>-AM15*AM156</f>
        <v>0</v>
      </c>
      <c r="AN155" s="3">
        <f>-AN15*AN156</f>
        <v>0</v>
      </c>
      <c r="AO155" s="3">
        <f>-AO15*AO156</f>
        <v>0</v>
      </c>
      <c r="AP155" s="3">
        <f>-AP15*AP156</f>
        <v>0</v>
      </c>
      <c r="AQ155" s="3">
        <f>SUM(AM155:AP155)</f>
        <v>0</v>
      </c>
      <c r="AR155" s="3">
        <f>-AR15*AR156</f>
        <v>0</v>
      </c>
      <c r="AS155" s="3">
        <f>-AS15*AS156</f>
        <v>0</v>
      </c>
      <c r="AT155" s="3">
        <f>-AT15*AT156</f>
        <v>0</v>
      </c>
      <c r="AU155" s="3">
        <f>-AU15*AU156</f>
        <v>0</v>
      </c>
      <c r="AV155" s="3">
        <f>SUM(AR155:AU155)</f>
        <v>0</v>
      </c>
      <c r="AW155" s="3">
        <f>-AW15*AW156</f>
        <v>0</v>
      </c>
      <c r="AX155" s="3">
        <f>-AX15*AX156</f>
        <v>0</v>
      </c>
      <c r="AY155" s="3">
        <f>-AY15*AY156</f>
        <v>0</v>
      </c>
      <c r="AZ155" s="3">
        <f>-AZ15*AZ156</f>
        <v>0</v>
      </c>
      <c r="BA155" s="3">
        <f>SUM(AW155:AZ155)</f>
        <v>0</v>
      </c>
      <c r="BB155" s="3">
        <f>-BB15*BB156</f>
        <v>0</v>
      </c>
      <c r="BC155" s="3">
        <f>-BC15*BC156</f>
        <v>0</v>
      </c>
      <c r="BD155" s="3">
        <f>-BD15*BD156</f>
        <v>0</v>
      </c>
      <c r="BE155" s="3">
        <f>-BE15*BE156</f>
        <v>0</v>
      </c>
      <c r="BF155" s="3">
        <f>SUM(BB155:BE155)</f>
        <v>0</v>
      </c>
      <c r="BG155" s="3">
        <f>-BG15*BG156</f>
        <v>0</v>
      </c>
      <c r="BH155" s="3">
        <f>-BH15*BH156</f>
        <v>0</v>
      </c>
      <c r="BI155" s="3">
        <f>-BI15*BI156</f>
        <v>0</v>
      </c>
      <c r="BJ155" s="3">
        <f>-BJ15*BJ156</f>
        <v>0</v>
      </c>
      <c r="BK155" s="3">
        <f>SUM(BG155:BJ155)</f>
        <v>0</v>
      </c>
      <c r="BL155" s="3">
        <f>-BL15*BL156</f>
        <v>0</v>
      </c>
      <c r="BM155" s="3">
        <f>-BM15*BM156</f>
        <v>0</v>
      </c>
      <c r="BN155" s="3">
        <f>-BN15*BN156</f>
        <v>0</v>
      </c>
      <c r="BO155" s="3">
        <f>-BO15*BO156</f>
        <v>0</v>
      </c>
      <c r="BP155" s="3">
        <f>SUM(BL155:BO155)</f>
        <v>0</v>
      </c>
      <c r="BQ155" s="3">
        <f>-BQ15*BQ156</f>
        <v>0</v>
      </c>
      <c r="BR155" s="3">
        <f>-BR15*BR156</f>
        <v>0</v>
      </c>
      <c r="BS155" s="3">
        <f>-BS15*BS156</f>
        <v>0</v>
      </c>
      <c r="BT155" s="3">
        <f>-BT15*BT156</f>
        <v>0</v>
      </c>
      <c r="BU155" s="3">
        <f>SUM(BQ155:BT155)</f>
        <v>0</v>
      </c>
      <c r="BV155" s="3">
        <f>-BV15*BV156</f>
        <v>0</v>
      </c>
      <c r="BW155" s="3">
        <f>-BW15*BW156</f>
        <v>0</v>
      </c>
      <c r="BX155" s="3">
        <f>-BX15*BX156</f>
        <v>0</v>
      </c>
      <c r="BY155" s="3">
        <f>-BY15*BY156</f>
        <v>0</v>
      </c>
      <c r="BZ155" s="3">
        <f>SUM(BV155:BY155)</f>
        <v>0</v>
      </c>
      <c r="CA155" s="3">
        <f>-CA15*CA156</f>
        <v>0</v>
      </c>
      <c r="CB155" s="3">
        <f>-CB15*CB156</f>
        <v>0</v>
      </c>
      <c r="CC155" s="3">
        <f>-CC15*CC156</f>
        <v>0</v>
      </c>
      <c r="CD155" s="3">
        <f>-CD15*CD156</f>
        <v>0</v>
      </c>
      <c r="CE155" s="3">
        <f>SUM(CA155:CD155)</f>
        <v>0</v>
      </c>
      <c r="CF155" s="3">
        <f>-CF15*CF156</f>
        <v>0</v>
      </c>
      <c r="CG155" s="3">
        <f>-CG15*CG156</f>
        <v>0</v>
      </c>
      <c r="CH155" s="3">
        <f>-CH15*CH156</f>
        <v>0</v>
      </c>
      <c r="CI155" s="3">
        <f>-CI15*CI156</f>
        <v>0</v>
      </c>
      <c r="CJ155" s="3">
        <f>SUM(CF155:CI155)</f>
        <v>0</v>
      </c>
      <c r="CK155" s="3">
        <f>-CK15*CK156</f>
        <v>0</v>
      </c>
      <c r="CL155" s="3">
        <f>-CL15*CL156</f>
        <v>0</v>
      </c>
      <c r="CM155" s="3">
        <f>-CM15*CM156</f>
        <v>0</v>
      </c>
      <c r="CN155" s="3">
        <f>-CN15*CN156</f>
        <v>0</v>
      </c>
      <c r="CO155" s="3">
        <f>SUM(CK155:CN155)</f>
        <v>0</v>
      </c>
      <c r="CP155" s="3">
        <f>-CP15*CP156</f>
        <v>0</v>
      </c>
      <c r="CQ155" s="3">
        <f>-CQ15*CQ156</f>
        <v>0</v>
      </c>
      <c r="CR155" s="3">
        <f>-CR15*CR156</f>
        <v>0</v>
      </c>
      <c r="CS155" s="3">
        <f>-CS15*CS156</f>
        <v>0</v>
      </c>
      <c r="CT155" s="3">
        <f>SUM(CP155:CS155)</f>
        <v>0</v>
      </c>
      <c r="CU155" s="3">
        <f>-CU15*CU156</f>
        <v>0</v>
      </c>
      <c r="CV155" s="3">
        <f>-CV15*CV156</f>
        <v>0</v>
      </c>
      <c r="CW155" s="3">
        <f>-CW15*CW156</f>
        <v>0</v>
      </c>
      <c r="CX155" s="3">
        <f>-CX15*CX156</f>
        <v>0</v>
      </c>
      <c r="CY155" s="3">
        <f>SUM(CU155:CX155)</f>
        <v>0</v>
      </c>
    </row>
    <row r="156" hidden="1" outlineLevel="1">
      <c r="C156" s="33" t="inlineStr">
        <is>
          <t>% SG&amp;A and Other Margin</t>
        </is>
      </c>
      <c r="D156" s="56">
        <f>-(D155/D$15)</f>
        <v>0.0230630103531272</v>
      </c>
      <c r="E156" s="56">
        <f>-(E155/E$15)</f>
        <v>0.0287971676066432</v>
      </c>
      <c r="F156" s="56">
        <f>-(F155/F$15)</f>
        <v>0.0141257125384642</v>
      </c>
      <c r="G156" s="56">
        <f>-(G155/G$15)</f>
        <v>0.0113692720780838</v>
      </c>
      <c r="H156" s="56">
        <f>-(H155/H$15)</f>
        <v>0.0172707057531293</v>
      </c>
      <c r="I156" s="56">
        <f>-(I155/I$15)</f>
        <v>0.0148525670725844</v>
      </c>
      <c r="J156" s="56">
        <f>-(J155/J$15)</f>
        <v>0.00598740147822855</v>
      </c>
      <c r="K156" s="56">
        <f>-(K155/K$15)</f>
        <v>-0.0180113595489067</v>
      </c>
      <c r="L156" s="56">
        <f>-(L155/L$15)</f>
        <v>0.039006472856293</v>
      </c>
      <c r="M156" s="56">
        <f>-(M155/M$15)</f>
        <v>0.0104615636214686</v>
      </c>
      <c r="N156" s="56">
        <f>-(N155/N$15)</f>
        <v>0.010990847468216</v>
      </c>
      <c r="O156" s="56">
        <f>-(O155/O$15)</f>
        <v>0.148954455537076</v>
      </c>
      <c r="P156" s="56">
        <f>-(P155/P$15)</f>
        <v>0.0551972775982558</v>
      </c>
      <c r="Q156" s="56">
        <f>-(Q155/Q$15)</f>
        <v>0.0670639613484349</v>
      </c>
      <c r="R156" s="56">
        <f>-(R155/R$15)</f>
        <v>0.0712688603305207</v>
      </c>
      <c r="S156" s="56">
        <f>-(S155/S$15)</f>
        <v>0.0314522852159917</v>
      </c>
      <c r="T156" s="56">
        <f>-(T155/T$15)</f>
        <v>0.0351980885874107</v>
      </c>
      <c r="U156" s="56">
        <f>-(U155/U$15)</f>
        <v>0.0591549208961457</v>
      </c>
      <c r="V156" s="56">
        <f>-(V155/V$15)</f>
        <v>0.106602631761723</v>
      </c>
      <c r="W156" s="56">
        <f>-(W155/W$15)</f>
        <v>0.0576958676757522</v>
      </c>
      <c r="X156" s="56">
        <f>-(X155/X$15)</f>
        <v>0.032843803780098</v>
      </c>
      <c r="Y156" s="56">
        <f>-(Y155/Y$15)</f>
        <v>0.0192798094143602</v>
      </c>
      <c r="Z156" s="56">
        <f>-(Z155/Z$15)</f>
        <v>0.0400908065869237</v>
      </c>
      <c r="AA156" s="56">
        <f>-(AA155/AA$15)</f>
        <v>0.0614745706884119</v>
      </c>
      <c r="AB156" s="56">
        <f>-(AB155/AB$15)</f>
        <v>0.0393290629129078</v>
      </c>
      <c r="AC156" s="56">
        <f>-(AC155/AC$15)</f>
        <v>0.0372165124524916</v>
      </c>
      <c r="AD156" s="56">
        <f>-(AD155/AD$15)</f>
        <v>0.0803693870924614</v>
      </c>
      <c r="AE156" s="56">
        <f>-(AE155/AE$15)</f>
        <v>0.0562452185232205</v>
      </c>
      <c r="AF156" s="44">
        <f>-(AF155/AF$15)</f>
        <v>0.0475371221294211</v>
      </c>
      <c r="AG156" s="56">
        <f>-(AG155/AG$15)</f>
        <v>0.0543902600410243</v>
      </c>
      <c r="AH156" s="45">
        <f>-(AH155/AH$15)</f>
        <v>0.0473067412106225</v>
      </c>
      <c r="AI156" s="45">
        <f>-(AI155/AI$15)</f>
        <v>0.0466808211222988</v>
      </c>
      <c r="AJ156" s="45" t="n"/>
      <c r="AK156" s="45" t="n"/>
      <c r="AL156" s="56">
        <f>-(AL155/AL$15)</f>
        <v>0.027018929598246</v>
      </c>
      <c r="AM156" s="45" t="n"/>
      <c r="AN156" s="45" t="n"/>
      <c r="AO156" s="45" t="n"/>
      <c r="AP156" s="45" t="n"/>
      <c r="AQ156" s="56">
        <f>-(AQ155/AQ$15)</f>
        <v>0</v>
      </c>
      <c r="AR156" s="45" t="n"/>
      <c r="AS156" s="45" t="n"/>
      <c r="AT156" s="45" t="n"/>
      <c r="AU156" s="45" t="n"/>
      <c r="AV156" s="56">
        <f>-(AV155/AV$15)</f>
        <v>0</v>
      </c>
      <c r="AW156" s="45" t="n"/>
      <c r="AX156" s="45" t="n"/>
      <c r="AY156" s="45" t="n"/>
      <c r="AZ156" s="45" t="n"/>
      <c r="BA156" s="56">
        <f>-(BA155/BA$15)</f>
        <v>0</v>
      </c>
      <c r="BB156" s="45" t="n"/>
      <c r="BC156" s="45" t="n"/>
      <c r="BD156" s="45" t="n"/>
      <c r="BE156" s="45" t="n"/>
      <c r="BF156" s="56">
        <f>-(BF155/BF$15)</f>
        <v>0</v>
      </c>
      <c r="BG156" s="45" t="n"/>
      <c r="BH156" s="45" t="n"/>
      <c r="BI156" s="45" t="n"/>
      <c r="BJ156" s="45" t="n"/>
      <c r="BK156" s="56">
        <f>-(BK155/BK$15)</f>
        <v>0</v>
      </c>
      <c r="BL156" s="45" t="n"/>
      <c r="BM156" s="45" t="n"/>
      <c r="BN156" s="45" t="n"/>
      <c r="BO156" s="45" t="n"/>
      <c r="BP156" s="56">
        <f>-(BP155/BP$15)</f>
        <v>0</v>
      </c>
      <c r="BQ156" s="45" t="n"/>
      <c r="BR156" s="45" t="n"/>
      <c r="BS156" s="45" t="n"/>
      <c r="BT156" s="45" t="n"/>
      <c r="BU156" s="56">
        <f>-(BU155/BU$15)</f>
        <v>0</v>
      </c>
      <c r="BV156" s="45" t="n"/>
      <c r="BW156" s="45" t="n"/>
      <c r="BX156" s="45" t="n"/>
      <c r="BY156" s="45" t="n"/>
      <c r="BZ156" s="56">
        <f>-(BZ155/BZ$15)</f>
        <v>0</v>
      </c>
      <c r="CA156" s="45" t="n"/>
      <c r="CB156" s="45" t="n"/>
      <c r="CC156" s="45" t="n"/>
      <c r="CD156" s="45" t="n"/>
      <c r="CE156" s="56">
        <f>-(CE155/CE$15)</f>
        <v>0</v>
      </c>
      <c r="CF156" s="45" t="n"/>
      <c r="CG156" s="45" t="n"/>
      <c r="CH156" s="45" t="n"/>
      <c r="CI156" s="45" t="n"/>
      <c r="CJ156" s="56">
        <f>-(CJ155/CJ$15)</f>
        <v>0</v>
      </c>
      <c r="CK156" s="45" t="n"/>
      <c r="CL156" s="45" t="n"/>
      <c r="CM156" s="45" t="n"/>
      <c r="CN156" s="45" t="n"/>
      <c r="CO156" s="56">
        <f>-(CO155/CO$15)</f>
        <v>0</v>
      </c>
      <c r="CP156" s="45" t="n"/>
      <c r="CQ156" s="45" t="n"/>
      <c r="CR156" s="45" t="n"/>
      <c r="CS156" s="45" t="n"/>
      <c r="CT156" s="56">
        <f>-(CT155/CT$15)</f>
        <v>0</v>
      </c>
      <c r="CU156" s="45" t="n"/>
      <c r="CV156" s="45" t="n"/>
      <c r="CW156" s="45" t="n"/>
      <c r="CX156" s="45" t="n"/>
      <c r="CY156" s="56">
        <f>-(CY155/CY$15)</f>
        <v>0</v>
      </c>
    </row>
    <row r="157" hidden="1" outlineLevel="1"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  <c r="Z157" s="32" t="n"/>
      <c r="AA157" s="32" t="n"/>
      <c r="AB157" s="32" t="n"/>
      <c r="AC157" s="32" t="n"/>
      <c r="AD157" s="32" t="n"/>
      <c r="AE157" s="32" t="n"/>
      <c r="AF157" s="32" t="n"/>
      <c r="AG157" s="32" t="n"/>
      <c r="AH157" s="32" t="n"/>
      <c r="AI157" s="32" t="n"/>
      <c r="AJ157" s="32" t="n"/>
      <c r="AK157" s="32" t="n"/>
      <c r="AL157" s="32" t="n"/>
      <c r="AM157" s="32" t="n"/>
      <c r="AN157" s="32" t="n"/>
      <c r="AO157" s="32" t="n"/>
      <c r="AP157" s="32" t="n"/>
      <c r="AQ157" s="32" t="n"/>
      <c r="AR157" s="32" t="n"/>
      <c r="AS157" s="32" t="n"/>
      <c r="AT157" s="32" t="n"/>
      <c r="AU157" s="32" t="n"/>
      <c r="AV157" s="32" t="n"/>
      <c r="AW157" s="32" t="n"/>
      <c r="AX157" s="32" t="n"/>
      <c r="AY157" s="32" t="n"/>
      <c r="AZ157" s="32" t="n"/>
      <c r="BA157" s="32" t="n"/>
      <c r="BB157" s="32" t="n"/>
      <c r="BC157" s="32" t="n"/>
      <c r="BD157" s="32" t="n"/>
      <c r="BE157" s="32" t="n"/>
      <c r="BF157" s="32" t="n"/>
      <c r="BG157" s="32" t="n"/>
      <c r="BH157" s="32" t="n"/>
      <c r="BI157" s="32" t="n"/>
      <c r="BJ157" s="32" t="n"/>
      <c r="BK157" s="32" t="n"/>
      <c r="BL157" s="32" t="n"/>
      <c r="BM157" s="32" t="n"/>
      <c r="BN157" s="32" t="n"/>
      <c r="BO157" s="32" t="n"/>
      <c r="BP157" s="32" t="n"/>
      <c r="BQ157" s="32" t="n"/>
      <c r="BR157" s="32" t="n"/>
      <c r="BS157" s="32" t="n"/>
      <c r="BT157" s="32" t="n"/>
      <c r="BU157" s="32" t="n"/>
      <c r="BV157" s="32" t="n"/>
      <c r="BW157" s="32" t="n"/>
      <c r="BX157" s="32" t="n"/>
      <c r="BY157" s="32" t="n"/>
      <c r="BZ157" s="32" t="n"/>
      <c r="CA157" s="32" t="n"/>
      <c r="CB157" s="32" t="n"/>
      <c r="CC157" s="32" t="n"/>
      <c r="CD157" s="32" t="n"/>
      <c r="CE157" s="32" t="n"/>
      <c r="CF157" s="32" t="n"/>
      <c r="CG157" s="32" t="n"/>
      <c r="CH157" s="32" t="n"/>
      <c r="CI157" s="32" t="n"/>
      <c r="CJ157" s="32" t="n"/>
      <c r="CK157" s="32" t="n"/>
      <c r="CL157" s="32" t="n"/>
      <c r="CM157" s="32" t="n"/>
      <c r="CN157" s="32" t="n"/>
      <c r="CO157" s="32" t="n"/>
      <c r="CP157" s="32" t="n"/>
      <c r="CQ157" s="32" t="n"/>
      <c r="CR157" s="32" t="n"/>
      <c r="CS157" s="32" t="n"/>
      <c r="CT157" s="32" t="n"/>
      <c r="CU157" s="32" t="n"/>
      <c r="CV157" s="32" t="n"/>
      <c r="CW157" s="32" t="n"/>
      <c r="CX157" s="32" t="n"/>
      <c r="CY157" s="32" t="n"/>
    </row>
    <row r="158" hidden="1" outlineLevel="1">
      <c r="C158" s="32" t="inlineStr">
        <is>
          <t>Com Vendas</t>
        </is>
      </c>
      <c r="D158" s="6" t="n"/>
      <c r="E158" s="6" t="n"/>
      <c r="F158" s="6" t="n"/>
      <c r="G158" s="6" t="n"/>
      <c r="H158" s="32" t="n"/>
      <c r="I158" s="6" t="n"/>
      <c r="J158" s="6" t="n"/>
      <c r="K158" s="6" t="n"/>
      <c r="L158" s="6" t="n"/>
      <c r="M158" s="32" t="n"/>
      <c r="N158" s="6" t="n"/>
      <c r="O158" s="6" t="n"/>
      <c r="P158" s="6" t="n"/>
      <c r="Q158" s="6" t="n"/>
      <c r="R158" s="32" t="n"/>
      <c r="S158" s="6" t="n"/>
      <c r="T158" s="6" t="n"/>
      <c r="U158" s="6" t="n"/>
      <c r="V158" s="6" t="n"/>
      <c r="W158" s="32" t="n"/>
      <c r="X158" s="6" t="n"/>
      <c r="Y158" s="6" t="n"/>
      <c r="Z158" s="6" t="n"/>
      <c r="AA158" s="6" t="n"/>
      <c r="AB158" s="32" t="n"/>
      <c r="AC158" s="6" t="n"/>
      <c r="AD158" s="6" t="n"/>
      <c r="AE158" s="6" t="n"/>
      <c r="AF158" s="6" t="n"/>
      <c r="AG158" s="32" t="n"/>
      <c r="AH158" s="32" t="n"/>
      <c r="AI158" s="32" t="n"/>
      <c r="AJ158" s="32" t="n"/>
      <c r="AK158" s="32" t="n"/>
      <c r="AL158" s="32" t="n"/>
      <c r="AM158" s="32" t="n"/>
      <c r="AN158" s="32" t="n"/>
      <c r="AO158" s="32" t="n"/>
      <c r="AP158" s="32" t="n"/>
      <c r="AQ158" s="32" t="n"/>
      <c r="AR158" s="32" t="n"/>
      <c r="AS158" s="32" t="n"/>
      <c r="AT158" s="32" t="n"/>
      <c r="AU158" s="32" t="n"/>
      <c r="AV158" s="32" t="n"/>
      <c r="AW158" s="32" t="n"/>
      <c r="AX158" s="32" t="n"/>
      <c r="AY158" s="32" t="n"/>
      <c r="AZ158" s="32" t="n"/>
      <c r="BA158" s="32" t="n"/>
      <c r="BB158" s="32" t="n"/>
      <c r="BC158" s="32" t="n"/>
      <c r="BD158" s="32" t="n"/>
      <c r="BE158" s="32" t="n"/>
      <c r="BF158" s="32" t="n"/>
      <c r="BG158" s="32" t="n"/>
      <c r="BH158" s="32" t="n"/>
      <c r="BI158" s="32" t="n"/>
      <c r="BJ158" s="32" t="n"/>
      <c r="BK158" s="32" t="n"/>
      <c r="BL158" s="32" t="n"/>
      <c r="BM158" s="32" t="n"/>
      <c r="BN158" s="32" t="n"/>
      <c r="BO158" s="32" t="n"/>
      <c r="BP158" s="32" t="n"/>
      <c r="BQ158" s="32" t="n"/>
      <c r="BR158" s="32" t="n"/>
      <c r="BS158" s="32" t="n"/>
      <c r="BT158" s="32" t="n"/>
      <c r="BU158" s="32" t="n"/>
      <c r="BV158" s="32" t="n"/>
      <c r="BW158" s="32" t="n"/>
      <c r="BX158" s="32" t="n"/>
      <c r="BY158" s="32" t="n"/>
      <c r="BZ158" s="32" t="n"/>
      <c r="CA158" s="32" t="n"/>
      <c r="CB158" s="32" t="n"/>
      <c r="CC158" s="32" t="n"/>
      <c r="CD158" s="32" t="n"/>
      <c r="CE158" s="32" t="n"/>
      <c r="CF158" s="32" t="n"/>
      <c r="CG158" s="32" t="n"/>
      <c r="CH158" s="32" t="n"/>
      <c r="CI158" s="32" t="n"/>
      <c r="CJ158" s="32" t="n"/>
      <c r="CK158" s="32" t="n"/>
      <c r="CL158" s="32" t="n"/>
      <c r="CM158" s="32" t="n"/>
      <c r="CN158" s="32" t="n"/>
      <c r="CO158" s="32" t="n"/>
      <c r="CP158" s="32" t="n"/>
      <c r="CQ158" s="32" t="n"/>
      <c r="CR158" s="32" t="n"/>
      <c r="CS158" s="32" t="n"/>
      <c r="CT158" s="32" t="n"/>
      <c r="CU158" s="32" t="n"/>
      <c r="CV158" s="32" t="n"/>
      <c r="CW158" s="32" t="n"/>
      <c r="CX158" s="32" t="n"/>
      <c r="CY158" s="32" t="n"/>
    </row>
    <row r="159" hidden="1" outlineLevel="1">
      <c r="C159" s="32" t="inlineStr">
        <is>
          <t>Gerais &amp; Administrativas</t>
        </is>
      </c>
      <c r="D159" s="6" t="n"/>
      <c r="E159" s="6" t="n"/>
      <c r="F159" s="6" t="n"/>
      <c r="G159" s="6" t="n"/>
      <c r="H159" s="32" t="n"/>
      <c r="I159" s="6" t="n"/>
      <c r="J159" s="6" t="n"/>
      <c r="K159" s="6" t="n"/>
      <c r="L159" s="6" t="n"/>
      <c r="M159" s="32" t="n"/>
      <c r="N159" s="6" t="n"/>
      <c r="O159" s="6" t="n"/>
      <c r="P159" s="6" t="n"/>
      <c r="Q159" s="6" t="n"/>
      <c r="R159" s="32" t="n"/>
      <c r="S159" s="6" t="n"/>
      <c r="T159" s="6" t="n"/>
      <c r="U159" s="6" t="n"/>
      <c r="V159" s="6" t="n"/>
      <c r="W159" s="32" t="n"/>
      <c r="X159" s="6" t="n"/>
      <c r="Y159" s="6" t="n"/>
      <c r="Z159" s="6" t="n"/>
      <c r="AA159" s="6" t="n"/>
      <c r="AB159" s="32" t="n"/>
      <c r="AC159" s="6" t="n"/>
      <c r="AD159" s="6" t="n"/>
      <c r="AE159" s="6" t="n"/>
      <c r="AF159" s="6" t="n"/>
      <c r="AG159" s="32" t="n"/>
      <c r="AH159" s="32" t="n"/>
      <c r="AI159" s="32" t="n"/>
      <c r="AJ159" s="32" t="n"/>
      <c r="AK159" s="32" t="n"/>
      <c r="AL159" s="32" t="n"/>
      <c r="AM159" s="32" t="n"/>
      <c r="AN159" s="32" t="n"/>
      <c r="AO159" s="32" t="n"/>
      <c r="AP159" s="32" t="n"/>
      <c r="AQ159" s="32" t="n"/>
      <c r="AR159" s="32" t="n"/>
      <c r="AS159" s="32" t="n"/>
      <c r="AT159" s="32" t="n"/>
      <c r="AU159" s="32" t="n"/>
      <c r="AV159" s="32" t="n"/>
      <c r="AW159" s="32" t="n"/>
      <c r="AX159" s="32" t="n"/>
      <c r="AY159" s="32" t="n"/>
      <c r="AZ159" s="32" t="n"/>
      <c r="BA159" s="32" t="n"/>
      <c r="BB159" s="32" t="n"/>
      <c r="BC159" s="32" t="n"/>
      <c r="BD159" s="32" t="n"/>
      <c r="BE159" s="32" t="n"/>
      <c r="BF159" s="32" t="n"/>
      <c r="BG159" s="32" t="n"/>
      <c r="BH159" s="32" t="n"/>
      <c r="BI159" s="32" t="n"/>
      <c r="BJ159" s="32" t="n"/>
      <c r="BK159" s="32" t="n"/>
      <c r="BL159" s="32" t="n"/>
      <c r="BM159" s="32" t="n"/>
      <c r="BN159" s="32" t="n"/>
      <c r="BO159" s="32" t="n"/>
      <c r="BP159" s="32" t="n"/>
      <c r="BQ159" s="32" t="n"/>
      <c r="BR159" s="32" t="n"/>
      <c r="BS159" s="32" t="n"/>
      <c r="BT159" s="32" t="n"/>
      <c r="BU159" s="32" t="n"/>
      <c r="BV159" s="32" t="n"/>
      <c r="BW159" s="32" t="n"/>
      <c r="BX159" s="32" t="n"/>
      <c r="BY159" s="32" t="n"/>
      <c r="BZ159" s="32" t="n"/>
      <c r="CA159" s="32" t="n"/>
      <c r="CB159" s="32" t="n"/>
      <c r="CC159" s="32" t="n"/>
      <c r="CD159" s="32" t="n"/>
      <c r="CE159" s="32" t="n"/>
      <c r="CF159" s="32" t="n"/>
      <c r="CG159" s="32" t="n"/>
      <c r="CH159" s="32" t="n"/>
      <c r="CI159" s="32" t="n"/>
      <c r="CJ159" s="32" t="n"/>
      <c r="CK159" s="32" t="n"/>
      <c r="CL159" s="32" t="n"/>
      <c r="CM159" s="32" t="n"/>
      <c r="CN159" s="32" t="n"/>
      <c r="CO159" s="32" t="n"/>
      <c r="CP159" s="32" t="n"/>
      <c r="CQ159" s="32" t="n"/>
      <c r="CR159" s="32" t="n"/>
      <c r="CS159" s="32" t="n"/>
      <c r="CT159" s="32" t="n"/>
      <c r="CU159" s="32" t="n"/>
      <c r="CV159" s="32" t="n"/>
      <c r="CW159" s="32" t="n"/>
      <c r="CX159" s="32" t="n"/>
      <c r="CY159" s="32" t="n"/>
    </row>
    <row r="160" hidden="1" outlineLevel="1">
      <c r="C160" s="32" t="inlineStr">
        <is>
          <t>Outras Receitas (Despesas) Operacionais, Líquidas</t>
        </is>
      </c>
      <c r="D160" s="6" t="n"/>
      <c r="E160" s="6" t="n"/>
      <c r="F160" s="6" t="n"/>
      <c r="G160" s="6" t="n"/>
      <c r="H160" s="32" t="n"/>
      <c r="I160" s="6" t="n"/>
      <c r="J160" s="6" t="n"/>
      <c r="K160" s="6" t="n"/>
      <c r="L160" s="6" t="n"/>
      <c r="M160" s="32" t="n"/>
      <c r="N160" s="6" t="n"/>
      <c r="O160" s="6" t="n"/>
      <c r="P160" s="6" t="n"/>
      <c r="Q160" s="6" t="n"/>
      <c r="R160" s="32" t="n"/>
      <c r="S160" s="6" t="n"/>
      <c r="T160" s="6" t="n"/>
      <c r="U160" s="6" t="n"/>
      <c r="V160" s="6" t="n"/>
      <c r="W160" s="32" t="n"/>
      <c r="X160" s="6" t="n"/>
      <c r="Y160" s="6" t="n"/>
      <c r="Z160" s="6" t="n"/>
      <c r="AA160" s="6" t="n"/>
      <c r="AB160" s="32" t="n"/>
      <c r="AC160" s="6" t="n"/>
      <c r="AD160" s="6" t="n"/>
      <c r="AE160" s="6" t="n"/>
      <c r="AF160" s="6" t="n"/>
      <c r="AG160" s="32" t="n"/>
      <c r="AH160" s="32" t="n"/>
      <c r="AI160" s="32" t="n"/>
      <c r="AJ160" s="32" t="n"/>
      <c r="AK160" s="32" t="n"/>
      <c r="AL160" s="32" t="n"/>
      <c r="AM160" s="32" t="n"/>
      <c r="AN160" s="32" t="n"/>
      <c r="AO160" s="32" t="n"/>
      <c r="AP160" s="32" t="n"/>
      <c r="AQ160" s="32" t="n"/>
      <c r="AR160" s="32" t="n"/>
      <c r="AS160" s="32" t="n"/>
      <c r="AT160" s="32" t="n"/>
      <c r="AU160" s="32" t="n"/>
      <c r="AV160" s="32" t="n"/>
      <c r="AW160" s="32" t="n"/>
      <c r="AX160" s="32" t="n"/>
      <c r="AY160" s="32" t="n"/>
      <c r="AZ160" s="32" t="n"/>
      <c r="BA160" s="32" t="n"/>
      <c r="BB160" s="32" t="n"/>
      <c r="BC160" s="32" t="n"/>
      <c r="BD160" s="32" t="n"/>
      <c r="BE160" s="32" t="n"/>
      <c r="BF160" s="32" t="n"/>
      <c r="BG160" s="32" t="n"/>
      <c r="BH160" s="32" t="n"/>
      <c r="BI160" s="32" t="n"/>
      <c r="BJ160" s="32" t="n"/>
      <c r="BK160" s="32" t="n"/>
      <c r="BL160" s="32" t="n"/>
      <c r="BM160" s="32" t="n"/>
      <c r="BN160" s="32" t="n"/>
      <c r="BO160" s="32" t="n"/>
      <c r="BP160" s="32" t="n"/>
      <c r="BQ160" s="32" t="n"/>
      <c r="BR160" s="32" t="n"/>
      <c r="BS160" s="32" t="n"/>
      <c r="BT160" s="32" t="n"/>
      <c r="BU160" s="32" t="n"/>
      <c r="BV160" s="32" t="n"/>
      <c r="BW160" s="32" t="n"/>
      <c r="BX160" s="32" t="n"/>
      <c r="BY160" s="32" t="n"/>
      <c r="BZ160" s="32" t="n"/>
      <c r="CA160" s="32" t="n"/>
      <c r="CB160" s="32" t="n"/>
      <c r="CC160" s="32" t="n"/>
      <c r="CD160" s="32" t="n"/>
      <c r="CE160" s="32" t="n"/>
      <c r="CF160" s="32" t="n"/>
      <c r="CG160" s="32" t="n"/>
      <c r="CH160" s="32" t="n"/>
      <c r="CI160" s="32" t="n"/>
      <c r="CJ160" s="32" t="n"/>
      <c r="CK160" s="32" t="n"/>
      <c r="CL160" s="32" t="n"/>
      <c r="CM160" s="32" t="n"/>
      <c r="CN160" s="32" t="n"/>
      <c r="CO160" s="32" t="n"/>
      <c r="CP160" s="32" t="n"/>
      <c r="CQ160" s="32" t="n"/>
      <c r="CR160" s="32" t="n"/>
      <c r="CS160" s="32" t="n"/>
      <c r="CT160" s="32" t="n"/>
      <c r="CU160" s="32" t="n"/>
      <c r="CV160" s="32" t="n"/>
      <c r="CW160" s="32" t="n"/>
      <c r="CX160" s="32" t="n"/>
      <c r="CY160" s="32" t="n"/>
    </row>
    <row r="161" hidden="1" outlineLevel="1"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  <c r="Z161" s="32" t="n"/>
      <c r="AA161" s="32" t="n"/>
      <c r="AB161" s="32" t="n"/>
      <c r="AC161" s="32" t="n"/>
      <c r="AD161" s="32" t="n"/>
      <c r="AE161" s="32" t="n"/>
      <c r="AF161" s="32" t="n"/>
      <c r="AG161" s="32" t="n"/>
      <c r="AH161" s="32" t="n"/>
      <c r="AI161" s="32" t="n"/>
      <c r="AJ161" s="32" t="n"/>
      <c r="AK161" s="32" t="n"/>
      <c r="AL161" s="32" t="n"/>
      <c r="AM161" s="32" t="n"/>
      <c r="AN161" s="32" t="n"/>
      <c r="AO161" s="32" t="n"/>
      <c r="AP161" s="32" t="n"/>
      <c r="AQ161" s="32" t="n"/>
      <c r="AR161" s="32" t="n"/>
      <c r="AS161" s="32" t="n"/>
      <c r="AT161" s="32" t="n"/>
      <c r="AU161" s="32" t="n"/>
      <c r="AV161" s="32" t="n"/>
      <c r="AW161" s="32" t="n"/>
      <c r="AX161" s="32" t="n"/>
      <c r="AY161" s="32" t="n"/>
      <c r="AZ161" s="32" t="n"/>
      <c r="BA161" s="32" t="n"/>
      <c r="BB161" s="32" t="n"/>
      <c r="BC161" s="32" t="n"/>
      <c r="BD161" s="32" t="n"/>
      <c r="BE161" s="32" t="n"/>
      <c r="BF161" s="32" t="n"/>
      <c r="BG161" s="32" t="n"/>
      <c r="BH161" s="32" t="n"/>
      <c r="BI161" s="32" t="n"/>
      <c r="BJ161" s="32" t="n"/>
      <c r="BK161" s="32" t="n"/>
      <c r="BL161" s="32" t="n"/>
      <c r="BM161" s="32" t="n"/>
      <c r="BN161" s="32" t="n"/>
      <c r="BO161" s="32" t="n"/>
      <c r="BP161" s="32" t="n"/>
      <c r="BQ161" s="32" t="n"/>
      <c r="BR161" s="32" t="n"/>
      <c r="BS161" s="32" t="n"/>
      <c r="BT161" s="32" t="n"/>
      <c r="BU161" s="32" t="n"/>
      <c r="BV161" s="32" t="n"/>
      <c r="BW161" s="32" t="n"/>
      <c r="BX161" s="32" t="n"/>
      <c r="BY161" s="32" t="n"/>
      <c r="BZ161" s="32" t="n"/>
      <c r="CA161" s="32" t="n"/>
      <c r="CB161" s="32" t="n"/>
      <c r="CC161" s="32" t="n"/>
      <c r="CD161" s="32" t="n"/>
      <c r="CE161" s="32" t="n"/>
      <c r="CF161" s="32" t="n"/>
      <c r="CG161" s="32" t="n"/>
      <c r="CH161" s="32" t="n"/>
      <c r="CI161" s="32" t="n"/>
      <c r="CJ161" s="32" t="n"/>
      <c r="CK161" s="32" t="n"/>
      <c r="CL161" s="32" t="n"/>
      <c r="CM161" s="32" t="n"/>
      <c r="CN161" s="32" t="n"/>
      <c r="CO161" s="32" t="n"/>
      <c r="CP161" s="32" t="n"/>
      <c r="CQ161" s="32" t="n"/>
      <c r="CR161" s="32" t="n"/>
      <c r="CS161" s="32" t="n"/>
      <c r="CT161" s="32" t="n"/>
      <c r="CU161" s="32" t="n"/>
      <c r="CV161" s="32" t="n"/>
      <c r="CW161" s="32" t="n"/>
      <c r="CX161" s="32" t="n"/>
      <c r="CY161" s="32" t="n"/>
    </row>
    <row r="162" hidden="1" outlineLevel="1">
      <c r="C162" s="32" t="inlineStr">
        <is>
          <t>Com Vendas (%)</t>
        </is>
      </c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  <c r="Z162" s="32" t="n"/>
      <c r="AA162" s="32" t="n"/>
      <c r="AB162" s="32" t="n"/>
      <c r="AC162" s="32" t="n"/>
      <c r="AD162" s="32" t="n"/>
      <c r="AE162" s="32" t="n"/>
      <c r="AF162" s="32" t="n"/>
      <c r="AG162" s="32" t="n"/>
      <c r="AH162" s="32" t="n"/>
      <c r="AI162" s="32" t="n"/>
      <c r="AJ162" s="32" t="n"/>
      <c r="AK162" s="32" t="n"/>
      <c r="AL162" s="32" t="n"/>
      <c r="AM162" s="32" t="n"/>
      <c r="AN162" s="32" t="n"/>
      <c r="AO162" s="32" t="n"/>
      <c r="AP162" s="32" t="n"/>
      <c r="AQ162" s="32" t="n"/>
      <c r="AR162" s="32" t="n"/>
      <c r="AS162" s="32" t="n"/>
      <c r="AT162" s="32" t="n"/>
      <c r="AU162" s="32" t="n"/>
      <c r="AV162" s="32" t="n"/>
      <c r="AW162" s="32" t="n"/>
      <c r="AX162" s="32" t="n"/>
      <c r="AY162" s="32" t="n"/>
      <c r="AZ162" s="32" t="n"/>
      <c r="BA162" s="32" t="n"/>
      <c r="BB162" s="32" t="n"/>
      <c r="BC162" s="32" t="n"/>
      <c r="BD162" s="32" t="n"/>
      <c r="BE162" s="32" t="n"/>
      <c r="BF162" s="32" t="n"/>
      <c r="BG162" s="32" t="n"/>
      <c r="BH162" s="32" t="n"/>
      <c r="BI162" s="32" t="n"/>
      <c r="BJ162" s="32" t="n"/>
      <c r="BK162" s="32" t="n"/>
      <c r="BL162" s="32" t="n"/>
      <c r="BM162" s="32" t="n"/>
      <c r="BN162" s="32" t="n"/>
      <c r="BO162" s="32" t="n"/>
      <c r="BP162" s="32" t="n"/>
      <c r="BQ162" s="32" t="n"/>
      <c r="BR162" s="32" t="n"/>
      <c r="BS162" s="32" t="n"/>
      <c r="BT162" s="32" t="n"/>
      <c r="BU162" s="32" t="n"/>
      <c r="BV162" s="32" t="n"/>
      <c r="BW162" s="32" t="n"/>
      <c r="BX162" s="32" t="n"/>
      <c r="BY162" s="32" t="n"/>
      <c r="BZ162" s="32" t="n"/>
      <c r="CA162" s="32" t="n"/>
      <c r="CB162" s="32" t="n"/>
      <c r="CC162" s="32" t="n"/>
      <c r="CD162" s="32" t="n"/>
      <c r="CE162" s="32" t="n"/>
      <c r="CF162" s="32" t="n"/>
      <c r="CG162" s="32" t="n"/>
      <c r="CH162" s="32" t="n"/>
      <c r="CI162" s="32" t="n"/>
      <c r="CJ162" s="32" t="n"/>
      <c r="CK162" s="32" t="n"/>
      <c r="CL162" s="32" t="n"/>
      <c r="CM162" s="32" t="n"/>
      <c r="CN162" s="32" t="n"/>
      <c r="CO162" s="32" t="n"/>
      <c r="CP162" s="32" t="n"/>
      <c r="CQ162" s="32" t="n"/>
      <c r="CR162" s="32" t="n"/>
      <c r="CS162" s="32" t="n"/>
      <c r="CT162" s="32" t="n"/>
      <c r="CU162" s="32" t="n"/>
      <c r="CV162" s="32" t="n"/>
      <c r="CW162" s="32" t="n"/>
      <c r="CX162" s="32" t="n"/>
      <c r="CY162" s="32" t="n"/>
    </row>
    <row r="163" hidden="1" outlineLevel="1">
      <c r="C163" s="32" t="inlineStr">
        <is>
          <t>Gerais &amp; Administrativas (%)</t>
        </is>
      </c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  <c r="Z163" s="32" t="n"/>
      <c r="AA163" s="32" t="n"/>
      <c r="AB163" s="32" t="n"/>
      <c r="AC163" s="32" t="n"/>
      <c r="AD163" s="32" t="n"/>
      <c r="AE163" s="32" t="n"/>
      <c r="AF163" s="32" t="n"/>
      <c r="AG163" s="32" t="n"/>
      <c r="AH163" s="32" t="n"/>
      <c r="AI163" s="32" t="n"/>
      <c r="AJ163" s="32" t="n"/>
      <c r="AK163" s="32" t="n"/>
      <c r="AL163" s="32" t="n"/>
      <c r="AM163" s="32" t="n"/>
      <c r="AN163" s="32" t="n"/>
      <c r="AO163" s="32" t="n"/>
      <c r="AP163" s="32" t="n"/>
      <c r="AQ163" s="32" t="n"/>
      <c r="AR163" s="32" t="n"/>
      <c r="AS163" s="32" t="n"/>
      <c r="AT163" s="32" t="n"/>
      <c r="AU163" s="32" t="n"/>
      <c r="AV163" s="32" t="n"/>
      <c r="AW163" s="32" t="n"/>
      <c r="AX163" s="32" t="n"/>
      <c r="AY163" s="32" t="n"/>
      <c r="AZ163" s="32" t="n"/>
      <c r="BA163" s="32" t="n"/>
      <c r="BB163" s="32" t="n"/>
      <c r="BC163" s="32" t="n"/>
      <c r="BD163" s="32" t="n"/>
      <c r="BE163" s="32" t="n"/>
      <c r="BF163" s="32" t="n"/>
      <c r="BG163" s="32" t="n"/>
      <c r="BH163" s="32" t="n"/>
      <c r="BI163" s="32" t="n"/>
      <c r="BJ163" s="32" t="n"/>
      <c r="BK163" s="32" t="n"/>
      <c r="BL163" s="32" t="n"/>
      <c r="BM163" s="32" t="n"/>
      <c r="BN163" s="32" t="n"/>
      <c r="BO163" s="32" t="n"/>
      <c r="BP163" s="32" t="n"/>
      <c r="BQ163" s="32" t="n"/>
      <c r="BR163" s="32" t="n"/>
      <c r="BS163" s="32" t="n"/>
      <c r="BT163" s="32" t="n"/>
      <c r="BU163" s="32" t="n"/>
      <c r="BV163" s="32" t="n"/>
      <c r="BW163" s="32" t="n"/>
      <c r="BX163" s="32" t="n"/>
      <c r="BY163" s="32" t="n"/>
      <c r="BZ163" s="32" t="n"/>
      <c r="CA163" s="32" t="n"/>
      <c r="CB163" s="32" t="n"/>
      <c r="CC163" s="32" t="n"/>
      <c r="CD163" s="32" t="n"/>
      <c r="CE163" s="32" t="n"/>
      <c r="CF163" s="32" t="n"/>
      <c r="CG163" s="32" t="n"/>
      <c r="CH163" s="32" t="n"/>
      <c r="CI163" s="32" t="n"/>
      <c r="CJ163" s="32" t="n"/>
      <c r="CK163" s="32" t="n"/>
      <c r="CL163" s="32" t="n"/>
      <c r="CM163" s="32" t="n"/>
      <c r="CN163" s="32" t="n"/>
      <c r="CO163" s="32" t="n"/>
      <c r="CP163" s="32" t="n"/>
      <c r="CQ163" s="32" t="n"/>
      <c r="CR163" s="32" t="n"/>
      <c r="CS163" s="32" t="n"/>
      <c r="CT163" s="32" t="n"/>
      <c r="CU163" s="32" t="n"/>
      <c r="CV163" s="32" t="n"/>
      <c r="CW163" s="32" t="n"/>
      <c r="CX163" s="32" t="n"/>
      <c r="CY163" s="32" t="n"/>
    </row>
    <row r="164" hidden="1" outlineLevel="1">
      <c r="C164" s="32" t="inlineStr">
        <is>
          <t>Outras Receitas (Despesas) Operacionais, Líquidas (%)</t>
        </is>
      </c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  <c r="Z164" s="32" t="n"/>
      <c r="AA164" s="32" t="n"/>
      <c r="AB164" s="32" t="n"/>
      <c r="AC164" s="32" t="n"/>
      <c r="AD164" s="32" t="n"/>
      <c r="AE164" s="32" t="n"/>
      <c r="AF164" s="32" t="n"/>
      <c r="AG164" s="32" t="n"/>
      <c r="AH164" s="32" t="n"/>
      <c r="AI164" s="32" t="n"/>
      <c r="AJ164" s="32" t="n"/>
      <c r="AK164" s="32" t="n"/>
      <c r="AL164" s="32" t="n"/>
      <c r="AM164" s="32" t="n"/>
      <c r="AN164" s="32" t="n"/>
      <c r="AO164" s="32" t="n"/>
      <c r="AP164" s="32" t="n"/>
      <c r="AQ164" s="32" t="n"/>
      <c r="AR164" s="32" t="n"/>
      <c r="AS164" s="32" t="n"/>
      <c r="AT164" s="32" t="n"/>
      <c r="AU164" s="32" t="n"/>
      <c r="AV164" s="32" t="n"/>
      <c r="AW164" s="32" t="n"/>
      <c r="AX164" s="32" t="n"/>
      <c r="AY164" s="32" t="n"/>
      <c r="AZ164" s="32" t="n"/>
      <c r="BA164" s="32" t="n"/>
      <c r="BB164" s="32" t="n"/>
      <c r="BC164" s="32" t="n"/>
      <c r="BD164" s="32" t="n"/>
      <c r="BE164" s="32" t="n"/>
      <c r="BF164" s="32" t="n"/>
      <c r="BG164" s="32" t="n"/>
      <c r="BH164" s="32" t="n"/>
      <c r="BI164" s="32" t="n"/>
      <c r="BJ164" s="32" t="n"/>
      <c r="BK164" s="32" t="n"/>
      <c r="BL164" s="32" t="n"/>
      <c r="BM164" s="32" t="n"/>
      <c r="BN164" s="32" t="n"/>
      <c r="BO164" s="32" t="n"/>
      <c r="BP164" s="32" t="n"/>
      <c r="BQ164" s="32" t="n"/>
      <c r="BR164" s="32" t="n"/>
      <c r="BS164" s="32" t="n"/>
      <c r="BT164" s="32" t="n"/>
      <c r="BU164" s="32" t="n"/>
      <c r="BV164" s="32" t="n"/>
      <c r="BW164" s="32" t="n"/>
      <c r="BX164" s="32" t="n"/>
      <c r="BY164" s="32" t="n"/>
      <c r="BZ164" s="32" t="n"/>
      <c r="CA164" s="32" t="n"/>
      <c r="CB164" s="32" t="n"/>
      <c r="CC164" s="32" t="n"/>
      <c r="CD164" s="32" t="n"/>
      <c r="CE164" s="32" t="n"/>
      <c r="CF164" s="32" t="n"/>
      <c r="CG164" s="32" t="n"/>
      <c r="CH164" s="32" t="n"/>
      <c r="CI164" s="32" t="n"/>
      <c r="CJ164" s="32" t="n"/>
      <c r="CK164" s="32" t="n"/>
      <c r="CL164" s="32" t="n"/>
      <c r="CM164" s="32" t="n"/>
      <c r="CN164" s="32" t="n"/>
      <c r="CO164" s="32" t="n"/>
      <c r="CP164" s="32" t="n"/>
      <c r="CQ164" s="32" t="n"/>
      <c r="CR164" s="32" t="n"/>
      <c r="CS164" s="32" t="n"/>
      <c r="CT164" s="32" t="n"/>
      <c r="CU164" s="32" t="n"/>
      <c r="CV164" s="32" t="n"/>
      <c r="CW164" s="32" t="n"/>
      <c r="CX164" s="32" t="n"/>
      <c r="CY164" s="32" t="n"/>
    </row>
    <row r="165" hidden="1" outlineLevel="1"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  <c r="Z165" s="32" t="n"/>
      <c r="AA165" s="32" t="n"/>
      <c r="AB165" s="32" t="n"/>
      <c r="AC165" s="32" t="n"/>
      <c r="AD165" s="32" t="n"/>
      <c r="AE165" s="32" t="n"/>
      <c r="AF165" s="32" t="n"/>
      <c r="AG165" s="32" t="n"/>
      <c r="AH165" s="32" t="n"/>
      <c r="AI165" s="32" t="n"/>
      <c r="AJ165" s="32" t="n"/>
      <c r="AK165" s="32" t="n"/>
      <c r="AL165" s="32" t="n"/>
      <c r="AM165" s="32" t="n"/>
      <c r="AN165" s="32" t="n"/>
      <c r="AO165" s="32" t="n"/>
      <c r="AP165" s="32" t="n"/>
      <c r="AQ165" s="32" t="n"/>
      <c r="AR165" s="32" t="n"/>
      <c r="AS165" s="32" t="n"/>
      <c r="AT165" s="32" t="n"/>
      <c r="AU165" s="32" t="n"/>
      <c r="AV165" s="32" t="n"/>
      <c r="AW165" s="32" t="n"/>
      <c r="AX165" s="32" t="n"/>
      <c r="AY165" s="32" t="n"/>
      <c r="AZ165" s="32" t="n"/>
      <c r="BA165" s="32" t="n"/>
      <c r="BB165" s="32" t="n"/>
      <c r="BC165" s="32" t="n"/>
      <c r="BD165" s="32" t="n"/>
      <c r="BE165" s="32" t="n"/>
      <c r="BF165" s="32" t="n"/>
      <c r="BG165" s="32" t="n"/>
      <c r="BH165" s="32" t="n"/>
      <c r="BI165" s="32" t="n"/>
      <c r="BJ165" s="32" t="n"/>
      <c r="BK165" s="32" t="n"/>
      <c r="BL165" s="32" t="n"/>
      <c r="BM165" s="32" t="n"/>
      <c r="BN165" s="32" t="n"/>
      <c r="BO165" s="32" t="n"/>
      <c r="BP165" s="32" t="n"/>
      <c r="BQ165" s="32" t="n"/>
      <c r="BR165" s="32" t="n"/>
      <c r="BS165" s="32" t="n"/>
      <c r="BT165" s="32" t="n"/>
      <c r="BU165" s="32" t="n"/>
      <c r="BV165" s="32" t="n"/>
      <c r="BW165" s="32" t="n"/>
      <c r="BX165" s="32" t="n"/>
      <c r="BY165" s="32" t="n"/>
      <c r="BZ165" s="32" t="n"/>
      <c r="CA165" s="32" t="n"/>
      <c r="CB165" s="32" t="n"/>
      <c r="CC165" s="32" t="n"/>
      <c r="CD165" s="32" t="n"/>
      <c r="CE165" s="32" t="n"/>
      <c r="CF165" s="32" t="n"/>
      <c r="CG165" s="32" t="n"/>
      <c r="CH165" s="32" t="n"/>
      <c r="CI165" s="32" t="n"/>
      <c r="CJ165" s="32" t="n"/>
      <c r="CK165" s="32" t="n"/>
      <c r="CL165" s="32" t="n"/>
      <c r="CM165" s="32" t="n"/>
      <c r="CN165" s="32" t="n"/>
      <c r="CO165" s="32" t="n"/>
      <c r="CP165" s="32" t="n"/>
      <c r="CQ165" s="32" t="n"/>
      <c r="CR165" s="32" t="n"/>
      <c r="CS165" s="32" t="n"/>
      <c r="CT165" s="32" t="n"/>
      <c r="CU165" s="32" t="n"/>
      <c r="CV165" s="32" t="n"/>
      <c r="CW165" s="32" t="n"/>
      <c r="CX165" s="32" t="n"/>
      <c r="CY165" s="32" t="n"/>
    </row>
    <row r="166" collapsed="1" customFormat="1" s="17">
      <c r="A166" s="13" t="n"/>
      <c r="B166" s="1" t="n"/>
      <c r="C166" s="14" t="inlineStr">
        <is>
          <t>EBITDA</t>
        </is>
      </c>
      <c r="D166" s="16">
        <f>SUM(D15,D151,D155)</f>
        <v>611.215</v>
      </c>
      <c r="E166" s="16">
        <f>SUM(E15,E151,E155)</f>
        <v>421.182</v>
      </c>
      <c r="F166" s="16">
        <f>SUM(F15,F151,F155)</f>
        <v>727.978</v>
      </c>
      <c r="G166" s="16">
        <f>SUM(G15,G151,G155)</f>
        <v>1702.588</v>
      </c>
      <c r="H166" s="16">
        <f>SUM(D166:G166)</f>
        <v>3462.963</v>
      </c>
      <c r="I166" s="16">
        <f>SUM(I15,I151,I155)</f>
        <v>1106.655</v>
      </c>
      <c r="J166" s="16">
        <f>SUM(J15,J151,J155)</f>
        <v>1127.881</v>
      </c>
      <c r="K166" s="16">
        <f>SUM(K15,K151,K155)</f>
        <v>901.636</v>
      </c>
      <c r="L166" s="16">
        <f>SUM(L15,L151,L155)</f>
        <v>778.148</v>
      </c>
      <c r="M166" s="16">
        <f>SUM(I166:L166)</f>
        <v>3914.32</v>
      </c>
      <c r="N166" s="16">
        <f>SUM(N15,N151,N155)</f>
        <v>1131.657</v>
      </c>
      <c r="O166" s="16">
        <f>SUM(O15,O151,O155)</f>
        <v>870.596</v>
      </c>
      <c r="P166" s="16">
        <f>SUM(P15,P151,P155)</f>
        <v>485.216</v>
      </c>
      <c r="Q166" s="16">
        <f>SUM(Q15,Q151,Q155)</f>
        <v>522.102</v>
      </c>
      <c r="R166" s="16">
        <f>SUM(N166:Q166)</f>
        <v>3009.571</v>
      </c>
      <c r="S166" s="16">
        <f>SUM(S15,S151,S155)</f>
        <v>810.701</v>
      </c>
      <c r="T166" s="16">
        <f>SUM(T15,T151,T155)</f>
        <v>615.958</v>
      </c>
      <c r="U166" s="16">
        <f>SUM(U15,U151,U155)</f>
        <v>448.83</v>
      </c>
      <c r="V166" s="16">
        <f>SUM(V15,V151,V155)</f>
        <v>594.95</v>
      </c>
      <c r="W166" s="16">
        <f>SUM(S166:V166)</f>
        <v>2470.439</v>
      </c>
      <c r="X166" s="16">
        <f>SUM(X15,X151,X155)</f>
        <v>795.635</v>
      </c>
      <c r="Y166" s="16">
        <f>SUM(Y15,Y151,Y155)</f>
        <v>754.867</v>
      </c>
      <c r="Z166" s="16">
        <f>SUM(Z15,Z151,Z155)</f>
        <v>644.381</v>
      </c>
      <c r="AA166" s="16">
        <f>SUM(AA15,AA151,AA155)</f>
        <v>726.905</v>
      </c>
      <c r="AB166" s="16">
        <f>SUM(X166:AA166)</f>
        <v>2921.788</v>
      </c>
      <c r="AC166" s="16">
        <f>SUM(AC15,AC151,AC155)</f>
        <v>882.99</v>
      </c>
      <c r="AD166" s="16">
        <f>SUM(AD15,AD151,AD155)</f>
        <v>680.376</v>
      </c>
      <c r="AE166" s="16">
        <f>SUM(AE15,AE151,AE155)</f>
        <v>663.351</v>
      </c>
      <c r="AF166" s="16">
        <f>SUM(AF15,AF151,AF155)</f>
        <v>772.401</v>
      </c>
      <c r="AG166" s="16">
        <f>SUM(AC166:AF166)</f>
        <v>2999.118</v>
      </c>
      <c r="AH166" s="16">
        <f>SUM(AH15,AH151,AH155)</f>
        <v>787.116</v>
      </c>
      <c r="AI166" s="16">
        <f>SUM(AI15,AI151,AI155)</f>
        <v>1027.146</v>
      </c>
      <c r="AJ166" s="16">
        <f>SUM(AJ15,AJ151,AJ155)</f>
        <v>0</v>
      </c>
      <c r="AK166" s="16">
        <f>SUM(AK15,AK151,AK155)</f>
        <v>0</v>
      </c>
      <c r="AL166" s="16">
        <f>SUM(AH166:AK166)</f>
        <v>1814.262</v>
      </c>
      <c r="AM166" s="16">
        <f>SUM(AM15,AM151,AM155)</f>
        <v>0</v>
      </c>
      <c r="AN166" s="16">
        <f>SUM(AN15,AN151,AN155)</f>
        <v>0</v>
      </c>
      <c r="AO166" s="16">
        <f>SUM(AO15,AO151,AO155)</f>
        <v>0</v>
      </c>
      <c r="AP166" s="16">
        <f>SUM(AP15,AP151,AP155)</f>
        <v>0</v>
      </c>
      <c r="AQ166" s="16">
        <f>SUM(AM166:AP166)</f>
        <v>0</v>
      </c>
      <c r="AR166" s="16">
        <f>SUM(AR15,AR151,AR155)</f>
        <v>0</v>
      </c>
      <c r="AS166" s="16">
        <f>SUM(AS15,AS151,AS155)</f>
        <v>0</v>
      </c>
      <c r="AT166" s="16">
        <f>SUM(AT15,AT151,AT155)</f>
        <v>0</v>
      </c>
      <c r="AU166" s="16">
        <f>SUM(AU15,AU151,AU155)</f>
        <v>0</v>
      </c>
      <c r="AV166" s="16">
        <f>SUM(AR166:AU166)</f>
        <v>0</v>
      </c>
      <c r="AW166" s="16">
        <f>SUM(AW15,AW151,AW155)</f>
        <v>0</v>
      </c>
      <c r="AX166" s="16">
        <f>SUM(AX15,AX151,AX155)</f>
        <v>0</v>
      </c>
      <c r="AY166" s="16">
        <f>SUM(AY15,AY151,AY155)</f>
        <v>0</v>
      </c>
      <c r="AZ166" s="16">
        <f>SUM(AZ15,AZ151,AZ155)</f>
        <v>0</v>
      </c>
      <c r="BA166" s="16">
        <f>SUM(AW166:AZ166)</f>
        <v>0</v>
      </c>
      <c r="BB166" s="16">
        <f>SUM(BB15,BB151,BB155)</f>
        <v>0</v>
      </c>
      <c r="BC166" s="16">
        <f>SUM(BC15,BC151,BC155)</f>
        <v>0</v>
      </c>
      <c r="BD166" s="16">
        <f>SUM(BD15,BD151,BD155)</f>
        <v>0</v>
      </c>
      <c r="BE166" s="16">
        <f>SUM(BE15,BE151,BE155)</f>
        <v>0</v>
      </c>
      <c r="BF166" s="16">
        <f>SUM(BB166:BE166)</f>
        <v>0</v>
      </c>
      <c r="BG166" s="16">
        <f>SUM(BG15,BG151,BG155)</f>
        <v>0</v>
      </c>
      <c r="BH166" s="16">
        <f>SUM(BH15,BH151,BH155)</f>
        <v>0</v>
      </c>
      <c r="BI166" s="16">
        <f>SUM(BI15,BI151,BI155)</f>
        <v>0</v>
      </c>
      <c r="BJ166" s="16">
        <f>SUM(BJ15,BJ151,BJ155)</f>
        <v>0</v>
      </c>
      <c r="BK166" s="16">
        <f>SUM(BG166:BJ166)</f>
        <v>0</v>
      </c>
      <c r="BL166" s="16">
        <f>SUM(BL15,BL151,BL155)</f>
        <v>0</v>
      </c>
      <c r="BM166" s="16">
        <f>SUM(BM15,BM151,BM155)</f>
        <v>0</v>
      </c>
      <c r="BN166" s="16">
        <f>SUM(BN15,BN151,BN155)</f>
        <v>0</v>
      </c>
      <c r="BO166" s="16">
        <f>SUM(BO15,BO151,BO155)</f>
        <v>0</v>
      </c>
      <c r="BP166" s="16">
        <f>SUM(BL166:BO166)</f>
        <v>0</v>
      </c>
      <c r="BQ166" s="16">
        <f>SUM(BQ15,BQ151,BQ155)</f>
        <v>0</v>
      </c>
      <c r="BR166" s="16">
        <f>SUM(BR15,BR151,BR155)</f>
        <v>0</v>
      </c>
      <c r="BS166" s="16">
        <f>SUM(BS15,BS151,BS155)</f>
        <v>0</v>
      </c>
      <c r="BT166" s="16">
        <f>SUM(BT15,BT151,BT155)</f>
        <v>0</v>
      </c>
      <c r="BU166" s="16">
        <f>SUM(BQ166:BT166)</f>
        <v>0</v>
      </c>
      <c r="BV166" s="16">
        <f>SUM(BV15,BV151,BV155)</f>
        <v>0</v>
      </c>
      <c r="BW166" s="16">
        <f>SUM(BW15,BW151,BW155)</f>
        <v>0</v>
      </c>
      <c r="BX166" s="16">
        <f>SUM(BX15,BX151,BX155)</f>
        <v>0</v>
      </c>
      <c r="BY166" s="16">
        <f>SUM(BY15,BY151,BY155)</f>
        <v>0</v>
      </c>
      <c r="BZ166" s="16">
        <f>SUM(BV166:BY166)</f>
        <v>0</v>
      </c>
      <c r="CA166" s="16">
        <f>SUM(CA15,CA151,CA155)</f>
        <v>0</v>
      </c>
      <c r="CB166" s="16">
        <f>SUM(CB15,CB151,CB155)</f>
        <v>0</v>
      </c>
      <c r="CC166" s="16">
        <f>SUM(CC15,CC151,CC155)</f>
        <v>0</v>
      </c>
      <c r="CD166" s="16">
        <f>SUM(CD15,CD151,CD155)</f>
        <v>0</v>
      </c>
      <c r="CE166" s="16">
        <f>SUM(CA166:CD166)</f>
        <v>0</v>
      </c>
      <c r="CF166" s="16">
        <f>SUM(CF15,CF151,CF155)</f>
        <v>0</v>
      </c>
      <c r="CG166" s="16">
        <f>SUM(CG15,CG151,CG155)</f>
        <v>0</v>
      </c>
      <c r="CH166" s="16">
        <f>SUM(CH15,CH151,CH155)</f>
        <v>0</v>
      </c>
      <c r="CI166" s="16">
        <f>SUM(CI15,CI151,CI155)</f>
        <v>0</v>
      </c>
      <c r="CJ166" s="16">
        <f>SUM(CF166:CI166)</f>
        <v>0</v>
      </c>
      <c r="CK166" s="16">
        <f>SUM(CK15,CK151,CK155)</f>
        <v>0</v>
      </c>
      <c r="CL166" s="16">
        <f>SUM(CL15,CL151,CL155)</f>
        <v>0</v>
      </c>
      <c r="CM166" s="16">
        <f>SUM(CM15,CM151,CM155)</f>
        <v>0</v>
      </c>
      <c r="CN166" s="16">
        <f>SUM(CN15,CN151,CN155)</f>
        <v>0</v>
      </c>
      <c r="CO166" s="16">
        <f>SUM(CK166:CN166)</f>
        <v>0</v>
      </c>
      <c r="CP166" s="16">
        <f>SUM(CP15,CP151,CP155)</f>
        <v>0</v>
      </c>
      <c r="CQ166" s="16">
        <f>SUM(CQ15,CQ151,CQ155)</f>
        <v>0</v>
      </c>
      <c r="CR166" s="16">
        <f>SUM(CR15,CR151,CR155)</f>
        <v>0</v>
      </c>
      <c r="CS166" s="16">
        <f>SUM(CS15,CS151,CS155)</f>
        <v>0</v>
      </c>
      <c r="CT166" s="16">
        <f>SUM(CP166:CS166)</f>
        <v>0</v>
      </c>
      <c r="CU166" s="16">
        <f>SUM(CU15,CU151,CU155)</f>
        <v>0</v>
      </c>
      <c r="CV166" s="16">
        <f>SUM(CV15,CV151,CV155)</f>
        <v>0</v>
      </c>
      <c r="CW166" s="16">
        <f>SUM(CW15,CW151,CW155)</f>
        <v>0</v>
      </c>
      <c r="CX166" s="16">
        <f>SUM(CX15,CX151,CX155)</f>
        <v>0</v>
      </c>
      <c r="CY166" s="16">
        <f>SUM(CU166:CX166)</f>
        <v>0</v>
      </c>
    </row>
    <row r="167" ht="13.5" customHeight="1">
      <c r="C167" s="24" t="inlineStr">
        <is>
          <t>D&amp;A</t>
        </is>
      </c>
      <c r="D167" s="25">
        <f>INDEX('Inputs (2)'!$D$7:$AL$7,MATCH(D$7,'Inputs (2)'!$D$2:$AL$2,0))</f>
        <v>-27.964</v>
      </c>
      <c r="E167" s="25">
        <f>INDEX('Inputs (2)'!$D$7:$AL$7,MATCH(E$7,'Inputs (2)'!$D$2:$AL$2,0))</f>
        <v>-49.987</v>
      </c>
      <c r="F167" s="25">
        <f>INDEX('Inputs (2)'!$D$7:$AL$7,MATCH(F$7,'Inputs (2)'!$D$2:$AL$2,0))</f>
        <v>-28.455</v>
      </c>
      <c r="G167" s="25">
        <f>INDEX('Inputs (2)'!$D$7:$AL$7,MATCH(G$7,'Inputs (2)'!$D$2:$AL$2,0))</f>
        <v>-28.779</v>
      </c>
      <c r="H167" s="3">
        <f>SUM(D167:G167)</f>
        <v>-135.185</v>
      </c>
      <c r="I167" s="25">
        <f>INDEX('Inputs (2)'!$D$7:$AL$7,MATCH(I$7,'Inputs (2)'!$D$2:$AL$2,0))</f>
        <v>-29.436</v>
      </c>
      <c r="J167" s="25">
        <f>INDEX('Inputs (2)'!$D$7:$AL$7,MATCH(J$7,'Inputs (2)'!$D$2:$AL$2,0))</f>
        <v>-29.857</v>
      </c>
      <c r="K167" s="25">
        <f>INDEX('Inputs (2)'!$D$7:$AL$7,MATCH(K$7,'Inputs (2)'!$D$2:$AL$2,0))</f>
        <v>-44.401</v>
      </c>
      <c r="L167" s="25">
        <f>INDEX('Inputs (2)'!$D$7:$AL$7,MATCH(L$7,'Inputs (2)'!$D$2:$AL$2,0))</f>
        <v>-35.869</v>
      </c>
      <c r="M167" s="3">
        <f>SUM(I167:L167)</f>
        <v>-139.563</v>
      </c>
      <c r="N167" s="25">
        <f>INDEX('Inputs (2)'!$D$7:$AL$7,MATCH(N$7,'Inputs (2)'!$D$2:$AL$2,0))</f>
        <v>-38.507</v>
      </c>
      <c r="O167" s="25">
        <f>INDEX('Inputs (2)'!$D$7:$AL$7,MATCH(O$7,'Inputs (2)'!$D$2:$AL$2,0))</f>
        <v>-36.456</v>
      </c>
      <c r="P167" s="25">
        <f>INDEX('Inputs (2)'!$D$7:$AL$7,MATCH(P$7,'Inputs (2)'!$D$2:$AL$2,0))</f>
        <v>-36.74</v>
      </c>
      <c r="Q167" s="25">
        <f>INDEX('Inputs (2)'!$D$7:$AL$7,MATCH(Q$7,'Inputs (2)'!$D$2:$AL$2,0))</f>
        <v>-37.879</v>
      </c>
      <c r="R167" s="3">
        <f>SUM(N167:Q167)</f>
        <v>-149.582</v>
      </c>
      <c r="S167" s="25">
        <f>INDEX('Inputs (2)'!$D$7:$AL$7,MATCH(S$7,'Inputs (2)'!$D$2:$AL$2,0))</f>
        <v>-34.786</v>
      </c>
      <c r="T167" s="25">
        <f>INDEX('Inputs (2)'!$D$7:$AL$7,MATCH(T$7,'Inputs (2)'!$D$2:$AL$2,0))</f>
        <v>-36.346</v>
      </c>
      <c r="U167" s="25">
        <f>INDEX('Inputs (2)'!$D$7:$AL$7,MATCH(U$7,'Inputs (2)'!$D$2:$AL$2,0))</f>
        <v>-40.913</v>
      </c>
      <c r="V167" s="25">
        <f>INDEX('Inputs (2)'!$D$7:$AL$7,MATCH(V$7,'Inputs (2)'!$D$2:$AL$2,0))</f>
        <v>-41.867</v>
      </c>
      <c r="W167" s="3">
        <f>SUM(S167:V167)</f>
        <v>-153.912</v>
      </c>
      <c r="X167" s="25">
        <f>INDEX('Inputs (2)'!$D$7:$AL$7,MATCH(X$7,'Inputs (2)'!$D$2:$AL$2,0))</f>
        <v>-42.888</v>
      </c>
      <c r="Y167" s="25">
        <f>INDEX('Inputs (2)'!$D$7:$AL$7,MATCH(Y$7,'Inputs (2)'!$D$2:$AL$2,0))</f>
        <v>-43.985</v>
      </c>
      <c r="Z167" s="25">
        <f>INDEX('Inputs (2)'!$D$7:$AL$7,MATCH(Z$7,'Inputs (2)'!$D$2:$AL$2,0))</f>
        <v>-45.859</v>
      </c>
      <c r="AA167" s="25">
        <f>INDEX('Inputs (2)'!$D$7:$AL$7,MATCH(AA$7,'Inputs (2)'!$D$2:$AL$2,0))</f>
        <v>-45.423</v>
      </c>
      <c r="AB167" s="3">
        <f>SUM(X167:AA167)</f>
        <v>-178.155</v>
      </c>
      <c r="AC167" s="25">
        <f>INDEX('Inputs (2)'!$D$7:$AL$7,MATCH(AC$7,'Inputs (2)'!$D$2:$AL$2,0))</f>
        <v>-41.263</v>
      </c>
      <c r="AD167" s="25">
        <f>INDEX('Inputs (2)'!$D$7:$AL$7,MATCH(AD$7,'Inputs (2)'!$D$2:$AL$2,0))</f>
        <v>-45.418</v>
      </c>
      <c r="AE167" s="25">
        <f>INDEX('Inputs (2)'!$D$7:$AL$7,MATCH(AE$7,'Inputs (2)'!$D$2:$AL$2,0))</f>
        <v>-47.651</v>
      </c>
      <c r="AF167" s="25">
        <f>INDEX('Inputs (2)'!$D$7:$AL$7,MATCH(AF$7,'Inputs (2)'!$D$2:$AL$2,0))</f>
        <v>-51.46</v>
      </c>
      <c r="AG167" s="3">
        <f>SUM(AC167:AF167)</f>
        <v>-185.792</v>
      </c>
      <c r="AH167" s="3">
        <f>INDEX('Inputs (2)'!$D$7:$AL$7,MATCH(AH$7,'Inputs (2)'!$D$2:$AL$2,0))</f>
        <v>-56.114</v>
      </c>
      <c r="AI167" s="3">
        <f>INDEX('Inputs (2)'!$D$7:$AL$7,MATCH(AI$7,'Inputs (2)'!$D$2:$AL$2,0))</f>
        <v>-51.589</v>
      </c>
      <c r="AJ167" s="3">
        <f>-AJ168*AJ15</f>
        <v>0</v>
      </c>
      <c r="AK167" s="3">
        <f>-AK168*AK15</f>
        <v>0</v>
      </c>
      <c r="AL167" s="3">
        <f>SUM(AH167:AK167)</f>
        <v>-107.703</v>
      </c>
      <c r="AM167" s="3">
        <f>-AM168*AM15</f>
        <v>0</v>
      </c>
      <c r="AN167" s="3">
        <f>-AN168*AN15</f>
        <v>0</v>
      </c>
      <c r="AO167" s="3">
        <f>-AO168*AO15</f>
        <v>0</v>
      </c>
      <c r="AP167" s="3">
        <f>-AP168*AP15</f>
        <v>0</v>
      </c>
      <c r="AQ167" s="3">
        <f>SUM(AM167:AP167)</f>
        <v>0</v>
      </c>
      <c r="AR167" s="3">
        <f>-AR168*AR15</f>
        <v>0</v>
      </c>
      <c r="AS167" s="3">
        <f>-AS168*AS15</f>
        <v>0</v>
      </c>
      <c r="AT167" s="3">
        <f>-AT168*AT15</f>
        <v>0</v>
      </c>
      <c r="AU167" s="3">
        <f>-AU168*AU15</f>
        <v>0</v>
      </c>
      <c r="AV167" s="3">
        <f>SUM(AR167:AU167)</f>
        <v>0</v>
      </c>
      <c r="AW167" s="3">
        <f>-AW168*AW15</f>
        <v>0</v>
      </c>
      <c r="AX167" s="3">
        <f>-AX168*AX15</f>
        <v>0</v>
      </c>
      <c r="AY167" s="3">
        <f>-AY168*AY15</f>
        <v>0</v>
      </c>
      <c r="AZ167" s="3">
        <f>-AZ168*AZ15</f>
        <v>0</v>
      </c>
      <c r="BA167" s="3">
        <f>SUM(AW167:AZ167)</f>
        <v>0</v>
      </c>
      <c r="BB167" s="3">
        <f>-BB168*BB15</f>
        <v>0</v>
      </c>
      <c r="BC167" s="3">
        <f>-BC168*BC15</f>
        <v>0</v>
      </c>
      <c r="BD167" s="3">
        <f>-BD168*BD15</f>
        <v>0</v>
      </c>
      <c r="BE167" s="3">
        <f>-BE168*BE15</f>
        <v>0</v>
      </c>
      <c r="BF167" s="3">
        <f>SUM(BB167:BE167)</f>
        <v>0</v>
      </c>
      <c r="BG167" s="3">
        <f>-BG168*BG15</f>
        <v>0</v>
      </c>
      <c r="BH167" s="3">
        <f>-BH168*BH15</f>
        <v>0</v>
      </c>
      <c r="BI167" s="3">
        <f>-BI168*BI15</f>
        <v>0</v>
      </c>
      <c r="BJ167" s="3">
        <f>-BJ168*BJ15</f>
        <v>0</v>
      </c>
      <c r="BK167" s="3">
        <f>SUM(BG167:BJ167)</f>
        <v>0</v>
      </c>
      <c r="BL167" s="3">
        <f>-BL168*BL15</f>
        <v>0</v>
      </c>
      <c r="BM167" s="3">
        <f>-BM168*BM15</f>
        <v>0</v>
      </c>
      <c r="BN167" s="3">
        <f>-BN168*BN15</f>
        <v>0</v>
      </c>
      <c r="BO167" s="3">
        <f>-BO168*BO15</f>
        <v>0</v>
      </c>
      <c r="BP167" s="3">
        <f>SUM(BL167:BO167)</f>
        <v>0</v>
      </c>
      <c r="BQ167" s="3">
        <f>-BQ168*BQ15</f>
        <v>0</v>
      </c>
      <c r="BR167" s="3">
        <f>-BR168*BR15</f>
        <v>0</v>
      </c>
      <c r="BS167" s="3">
        <f>-BS168*BS15</f>
        <v>0</v>
      </c>
      <c r="BT167" s="3">
        <f>-BT168*BT15</f>
        <v>0</v>
      </c>
      <c r="BU167" s="3">
        <f>SUM(BQ167:BT167)</f>
        <v>0</v>
      </c>
      <c r="BV167" s="3">
        <f>-BV168*BV15</f>
        <v>0</v>
      </c>
      <c r="BW167" s="3">
        <f>-BW168*BW15</f>
        <v>0</v>
      </c>
      <c r="BX167" s="3">
        <f>-BX168*BX15</f>
        <v>0</v>
      </c>
      <c r="BY167" s="3">
        <f>-BY168*BY15</f>
        <v>0</v>
      </c>
      <c r="BZ167" s="3">
        <f>SUM(BV167:BY167)</f>
        <v>0</v>
      </c>
      <c r="CA167" s="3">
        <f>-CA168*CA15</f>
        <v>0</v>
      </c>
      <c r="CB167" s="3">
        <f>-CB168*CB15</f>
        <v>0</v>
      </c>
      <c r="CC167" s="3">
        <f>-CC168*CC15</f>
        <v>0</v>
      </c>
      <c r="CD167" s="3">
        <f>-CD168*CD15</f>
        <v>0</v>
      </c>
      <c r="CE167" s="3">
        <f>SUM(CA167:CD167)</f>
        <v>0</v>
      </c>
      <c r="CF167" s="3">
        <f>-CF168*CF15</f>
        <v>0</v>
      </c>
      <c r="CG167" s="3">
        <f>-CG168*CG15</f>
        <v>0</v>
      </c>
      <c r="CH167" s="3">
        <f>-CH168*CH15</f>
        <v>0</v>
      </c>
      <c r="CI167" s="3">
        <f>-CI168*CI15</f>
        <v>0</v>
      </c>
      <c r="CJ167" s="3">
        <f>SUM(CF167:CI167)</f>
        <v>0</v>
      </c>
      <c r="CK167" s="3">
        <f>-CK168*CK15</f>
        <v>0</v>
      </c>
      <c r="CL167" s="3">
        <f>-CL168*CL15</f>
        <v>0</v>
      </c>
      <c r="CM167" s="3">
        <f>-CM168*CM15</f>
        <v>0</v>
      </c>
      <c r="CN167" s="3">
        <f>-CN168*CN15</f>
        <v>0</v>
      </c>
      <c r="CO167" s="3">
        <f>SUM(CK167:CN167)</f>
        <v>0</v>
      </c>
      <c r="CP167" s="3">
        <f>-CP168*CP15</f>
        <v>0</v>
      </c>
      <c r="CQ167" s="3">
        <f>-CQ168*CQ15</f>
        <v>0</v>
      </c>
      <c r="CR167" s="3">
        <f>-CR168*CR15</f>
        <v>0</v>
      </c>
      <c r="CS167" s="3">
        <f>-CS168*CS15</f>
        <v>0</v>
      </c>
      <c r="CT167" s="3">
        <f>SUM(CP167:CS167)</f>
        <v>0</v>
      </c>
      <c r="CU167" s="3">
        <f>-CU168*CU15</f>
        <v>0</v>
      </c>
      <c r="CV167" s="3">
        <f>-CV168*CV15</f>
        <v>0</v>
      </c>
      <c r="CW167" s="3">
        <f>-CW168*CW15</f>
        <v>0</v>
      </c>
      <c r="CX167" s="3">
        <f>-CX168*CX15</f>
        <v>0</v>
      </c>
      <c r="CY167" s="3">
        <f>SUM(CU167:CX167)</f>
        <v>0</v>
      </c>
    </row>
    <row r="168" hidden="1" outlineLevel="1" customFormat="1" s="247">
      <c r="A168" s="48" t="n"/>
      <c r="B168" s="48" t="n"/>
      <c r="C168" s="246" t="inlineStr">
        <is>
          <t>% of Revenue</t>
        </is>
      </c>
      <c r="D168" s="48">
        <f>-D167/D15</f>
        <v>0.0229791926713763</v>
      </c>
      <c r="E168" s="48">
        <f>-E167/E15</f>
        <v>0.0486739709593992</v>
      </c>
      <c r="F168" s="48">
        <f>-F167/F15</f>
        <v>0.0190803736011582</v>
      </c>
      <c r="G168" s="48">
        <f>-G167/G15</f>
        <v>0.0119637383866018</v>
      </c>
      <c r="H168" s="48" t="n"/>
      <c r="I168" s="48">
        <f>-I167/I15</f>
        <v>0.0183805669027409</v>
      </c>
      <c r="J168" s="48">
        <f>-J167/J15</f>
        <v>0.0223289840039308</v>
      </c>
      <c r="K168" s="48">
        <f>-K167/K15</f>
        <v>0.0380258844244689</v>
      </c>
      <c r="L168" s="48">
        <f>-L167/L15</f>
        <v>0.0318004221852029</v>
      </c>
      <c r="M168" s="48" t="n"/>
      <c r="N168" s="48">
        <f>-N167/N15</f>
        <v>0.030071377252991</v>
      </c>
      <c r="O168" s="48">
        <f>-O167/O15</f>
        <v>0.03120583645697</v>
      </c>
      <c r="P168" s="48">
        <f>-P167/P15</f>
        <v>0.0562927960849387</v>
      </c>
      <c r="Q168" s="48">
        <f>-Q167/Q15</f>
        <v>0.0517270574611559</v>
      </c>
      <c r="R168" s="48" t="n"/>
      <c r="S168" s="48">
        <f>-S167/S15</f>
        <v>0.0346475138869937</v>
      </c>
      <c r="T168" s="48">
        <f>-T167/T15</f>
        <v>0.0465881182737811</v>
      </c>
      <c r="U168" s="48">
        <f>-U167/U15</f>
        <v>0.0630442386783716</v>
      </c>
      <c r="V168" s="48">
        <f>-V167/V15</f>
        <v>0.047669796680068</v>
      </c>
      <c r="W168" s="48" t="n"/>
      <c r="X168" s="48">
        <f>-X167/X15</f>
        <v>0.0430371236333897</v>
      </c>
      <c r="Y168" s="48">
        <f>-Y167/Y15</f>
        <v>0.0461207601615616</v>
      </c>
      <c r="Z168" s="48">
        <f>-Z167/Z15</f>
        <v>0.0493868509219044</v>
      </c>
      <c r="AA168" s="48">
        <f>-AA167/AA15</f>
        <v>0.0404367449768986</v>
      </c>
      <c r="AB168" s="48" t="n"/>
      <c r="AC168" s="48">
        <f>-AC167/AC15</f>
        <v>0.0337190117762809</v>
      </c>
      <c r="AD168" s="48">
        <f>-AD167/AD15</f>
        <v>0.0433733789178142</v>
      </c>
      <c r="AE168" s="48">
        <f>-AE167/AE15</f>
        <v>0.0494636960698726</v>
      </c>
      <c r="AF168" s="218">
        <f>-AF167/AF15</f>
        <v>0.0442225772326773</v>
      </c>
      <c r="AG168" s="48" t="n"/>
      <c r="AH168" s="218">
        <f>-AH167/AH15</f>
        <v>0.0446897386581292</v>
      </c>
      <c r="AI168" s="218">
        <f>-AI167/AI15</f>
        <v>0.0317024983331131</v>
      </c>
      <c r="AJ168" s="218" t="n"/>
      <c r="AK168" s="218" t="n"/>
      <c r="AL168" s="48" t="n"/>
      <c r="AM168" s="218" t="n"/>
      <c r="AN168" s="218" t="n"/>
      <c r="AO168" s="218" t="n"/>
      <c r="AP168" s="218" t="n"/>
      <c r="AQ168" s="48" t="n"/>
      <c r="AR168" s="218" t="n"/>
      <c r="AS168" s="218" t="n"/>
      <c r="AT168" s="218" t="n"/>
      <c r="AU168" s="218" t="n"/>
      <c r="AV168" s="48" t="n"/>
      <c r="AW168" s="218" t="n"/>
      <c r="AX168" s="218" t="n"/>
      <c r="AY168" s="218" t="n"/>
      <c r="AZ168" s="218" t="n"/>
      <c r="BA168" s="48" t="n"/>
      <c r="BB168" s="218" t="n"/>
      <c r="BC168" s="218" t="n"/>
      <c r="BD168" s="218" t="n"/>
      <c r="BE168" s="218" t="n"/>
      <c r="BF168" s="48" t="n"/>
      <c r="BG168" s="218" t="n"/>
      <c r="BH168" s="218" t="n"/>
      <c r="BI168" s="218" t="n"/>
      <c r="BJ168" s="218" t="n"/>
      <c r="BK168" s="48" t="n"/>
      <c r="BL168" s="218" t="n"/>
      <c r="BM168" s="218" t="n"/>
      <c r="BN168" s="218" t="n"/>
      <c r="BO168" s="218" t="n"/>
      <c r="BP168" s="48" t="n"/>
      <c r="BQ168" s="218" t="n"/>
      <c r="BR168" s="218" t="n"/>
      <c r="BS168" s="218" t="n"/>
      <c r="BT168" s="218" t="n"/>
      <c r="BU168" s="48" t="n"/>
      <c r="BV168" s="218" t="n"/>
      <c r="BW168" s="218" t="n"/>
      <c r="BX168" s="218" t="n"/>
      <c r="BY168" s="218" t="n"/>
      <c r="BZ168" s="48" t="n"/>
      <c r="CA168" s="218" t="n"/>
      <c r="CB168" s="218" t="n"/>
      <c r="CC168" s="218" t="n"/>
      <c r="CD168" s="218" t="n"/>
      <c r="CE168" s="48" t="n"/>
      <c r="CF168" s="218" t="n"/>
      <c r="CG168" s="218" t="n"/>
      <c r="CH168" s="218" t="n"/>
      <c r="CI168" s="218" t="n"/>
      <c r="CJ168" s="48" t="n"/>
      <c r="CK168" s="218" t="n"/>
      <c r="CL168" s="218" t="n"/>
      <c r="CM168" s="218" t="n"/>
      <c r="CN168" s="218" t="n"/>
      <c r="CO168" s="48" t="n"/>
      <c r="CP168" s="218" t="n"/>
      <c r="CQ168" s="218" t="n"/>
      <c r="CR168" s="218" t="n"/>
      <c r="CS168" s="218" t="n"/>
      <c r="CT168" s="48" t="n"/>
      <c r="CU168" s="218" t="n"/>
      <c r="CV168" s="218" t="n"/>
      <c r="CW168" s="218" t="n"/>
      <c r="CX168" s="218" t="n"/>
      <c r="CY168" s="48" t="n"/>
    </row>
    <row r="169" hidden="1" outlineLevel="1">
      <c r="C169" s="32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collapsed="1" customFormat="1" s="17">
      <c r="A170" s="13" t="n"/>
      <c r="B170" s="1" t="n"/>
      <c r="C170" s="14" t="inlineStr">
        <is>
          <t>Operating Profit - EBIT</t>
        </is>
      </c>
      <c r="D170" s="16">
        <f>SUM(D166,D167)</f>
        <v>583.251</v>
      </c>
      <c r="E170" s="16">
        <f>SUM(E166,E167)</f>
        <v>371.195</v>
      </c>
      <c r="F170" s="16">
        <f>SUM(F166,F167)</f>
        <v>699.523</v>
      </c>
      <c r="G170" s="16">
        <f>SUM(G166,G167)</f>
        <v>1673.809</v>
      </c>
      <c r="H170" s="16">
        <f>SUM(D170:G170)</f>
        <v>3327.778</v>
      </c>
      <c r="I170" s="16">
        <f>SUM(I166,I167)</f>
        <v>1077.219</v>
      </c>
      <c r="J170" s="16">
        <f>SUM(J166,J167)</f>
        <v>1098.024</v>
      </c>
      <c r="K170" s="16">
        <f>SUM(K166,K167)</f>
        <v>857.235</v>
      </c>
      <c r="L170" s="16">
        <f>SUM(L166,L167)</f>
        <v>742.279</v>
      </c>
      <c r="M170" s="16">
        <f>SUM(I170:L170)</f>
        <v>3774.757</v>
      </c>
      <c r="N170" s="16">
        <f>SUM(N166,N167)</f>
        <v>1093.15</v>
      </c>
      <c r="O170" s="16">
        <f>SUM(O166,O167)</f>
        <v>834.14</v>
      </c>
      <c r="P170" s="16">
        <f>SUM(P166,P167)</f>
        <v>448.476</v>
      </c>
      <c r="Q170" s="16">
        <f>SUM(Q166,Q167)</f>
        <v>484.223</v>
      </c>
      <c r="R170" s="16">
        <f>SUM(N170:Q170)</f>
        <v>2859.989</v>
      </c>
      <c r="S170" s="16">
        <f>SUM(S166,S167)</f>
        <v>775.915</v>
      </c>
      <c r="T170" s="16">
        <f>SUM(T166,T167)</f>
        <v>579.612</v>
      </c>
      <c r="U170" s="16">
        <f>SUM(U166,U167)</f>
        <v>407.917</v>
      </c>
      <c r="V170" s="16">
        <f>SUM(V166,V167)</f>
        <v>553.083</v>
      </c>
      <c r="W170" s="16">
        <f>SUM(S170:V170)</f>
        <v>2316.527</v>
      </c>
      <c r="X170" s="16">
        <f>SUM(X166,X167)</f>
        <v>752.747</v>
      </c>
      <c r="Y170" s="16">
        <f>SUM(Y166,Y167)</f>
        <v>710.882</v>
      </c>
      <c r="Z170" s="16">
        <f>SUM(Z166,Z167)</f>
        <v>598.522</v>
      </c>
      <c r="AA170" s="16">
        <f>SUM(AA166,AA167)</f>
        <v>681.482</v>
      </c>
      <c r="AB170" s="16">
        <f>SUM(X170:AA170)</f>
        <v>2743.633</v>
      </c>
      <c r="AC170" s="16">
        <f>SUM(AC166,AC167)</f>
        <v>841.727</v>
      </c>
      <c r="AD170" s="16">
        <f>SUM(AD166,AD167)</f>
        <v>634.958</v>
      </c>
      <c r="AE170" s="16">
        <f>SUM(AE166,AE167)</f>
        <v>615.7</v>
      </c>
      <c r="AF170" s="16">
        <f>SUM(AF166,AF167)</f>
        <v>720.941</v>
      </c>
      <c r="AG170" s="16">
        <f>SUM(AC170:AF170)</f>
        <v>2813.326</v>
      </c>
      <c r="AH170" s="16">
        <f>SUM(AH166,AH167)</f>
        <v>731.002</v>
      </c>
      <c r="AI170" s="16">
        <f>SUM(AI166,AI167)</f>
        <v>975.557</v>
      </c>
      <c r="AJ170" s="16">
        <f>SUM(AJ166,AJ167)</f>
        <v>0</v>
      </c>
      <c r="AK170" s="16">
        <f>SUM(AK166,AK167)</f>
        <v>0</v>
      </c>
      <c r="AL170" s="16">
        <f>SUM(AL166,AL167)</f>
        <v>1706.559</v>
      </c>
      <c r="AM170" s="16">
        <f>SUM(AM166,AM167)</f>
        <v>0</v>
      </c>
      <c r="AN170" s="16">
        <f>SUM(AN166,AN167)</f>
        <v>0</v>
      </c>
      <c r="AO170" s="16">
        <f>SUM(AO166,AO167)</f>
        <v>0</v>
      </c>
      <c r="AP170" s="16">
        <f>SUM(AP166,AP167)</f>
        <v>0</v>
      </c>
      <c r="AQ170" s="16">
        <f>SUM(AQ166,AQ167)</f>
        <v>0</v>
      </c>
      <c r="AR170" s="16">
        <f>SUM(AR166,AR167)</f>
        <v>0</v>
      </c>
      <c r="AS170" s="16">
        <f>SUM(AS166,AS167)</f>
        <v>0</v>
      </c>
      <c r="AT170" s="16">
        <f>SUM(AT166,AT167)</f>
        <v>0</v>
      </c>
      <c r="AU170" s="16">
        <f>SUM(AU166,AU167)</f>
        <v>0</v>
      </c>
      <c r="AV170" s="16">
        <f>SUM(AV166,AV167)</f>
        <v>0</v>
      </c>
      <c r="AW170" s="16">
        <f>SUM(AW166,AW167)</f>
        <v>0</v>
      </c>
      <c r="AX170" s="16">
        <f>SUM(AX166,AX167)</f>
        <v>0</v>
      </c>
      <c r="AY170" s="16">
        <f>SUM(AY166,AY167)</f>
        <v>0</v>
      </c>
      <c r="AZ170" s="16">
        <f>SUM(AZ166,AZ167)</f>
        <v>0</v>
      </c>
      <c r="BA170" s="16">
        <f>SUM(BA166,BA167)</f>
        <v>0</v>
      </c>
      <c r="BB170" s="16">
        <f>SUM(BB166,BB167)</f>
        <v>0</v>
      </c>
      <c r="BC170" s="16">
        <f>SUM(BC166,BC167)</f>
        <v>0</v>
      </c>
      <c r="BD170" s="16">
        <f>SUM(BD166,BD167)</f>
        <v>0</v>
      </c>
      <c r="BE170" s="16">
        <f>SUM(BE166,BE167)</f>
        <v>0</v>
      </c>
      <c r="BF170" s="16">
        <f>SUM(BF166,BF167)</f>
        <v>0</v>
      </c>
      <c r="BG170" s="16">
        <f>SUM(BG166,BG167)</f>
        <v>0</v>
      </c>
      <c r="BH170" s="16">
        <f>SUM(BH166,BH167)</f>
        <v>0</v>
      </c>
      <c r="BI170" s="16">
        <f>SUM(BI166,BI167)</f>
        <v>0</v>
      </c>
      <c r="BJ170" s="16">
        <f>SUM(BJ166,BJ167)</f>
        <v>0</v>
      </c>
      <c r="BK170" s="16">
        <f>SUM(BK166,BK167)</f>
        <v>0</v>
      </c>
      <c r="BL170" s="16">
        <f>SUM(BL166,BL167)</f>
        <v>0</v>
      </c>
      <c r="BM170" s="16">
        <f>SUM(BM166,BM167)</f>
        <v>0</v>
      </c>
      <c r="BN170" s="16">
        <f>SUM(BN166,BN167)</f>
        <v>0</v>
      </c>
      <c r="BO170" s="16">
        <f>SUM(BO166,BO167)</f>
        <v>0</v>
      </c>
      <c r="BP170" s="16">
        <f>SUM(BP166,BP167)</f>
        <v>0</v>
      </c>
      <c r="BQ170" s="16">
        <f>SUM(BQ166,BQ167)</f>
        <v>0</v>
      </c>
      <c r="BR170" s="16">
        <f>SUM(BR166,BR167)</f>
        <v>0</v>
      </c>
      <c r="BS170" s="16">
        <f>SUM(BS166,BS167)</f>
        <v>0</v>
      </c>
      <c r="BT170" s="16">
        <f>SUM(BT166,BT167)</f>
        <v>0</v>
      </c>
      <c r="BU170" s="16">
        <f>SUM(BU166,BU167)</f>
        <v>0</v>
      </c>
      <c r="BV170" s="16">
        <f>SUM(BV166,BV167)</f>
        <v>0</v>
      </c>
      <c r="BW170" s="16">
        <f>SUM(BW166,BW167)</f>
        <v>0</v>
      </c>
      <c r="BX170" s="16">
        <f>SUM(BX166,BX167)</f>
        <v>0</v>
      </c>
      <c r="BY170" s="16">
        <f>SUM(BY166,BY167)</f>
        <v>0</v>
      </c>
      <c r="BZ170" s="16">
        <f>SUM(BZ166,BZ167)</f>
        <v>0</v>
      </c>
      <c r="CA170" s="16">
        <f>SUM(CA166,CA167)</f>
        <v>0</v>
      </c>
      <c r="CB170" s="16">
        <f>SUM(CB166,CB167)</f>
        <v>0</v>
      </c>
      <c r="CC170" s="16">
        <f>SUM(CC166,CC167)</f>
        <v>0</v>
      </c>
      <c r="CD170" s="16">
        <f>SUM(CD166,CD167)</f>
        <v>0</v>
      </c>
      <c r="CE170" s="16">
        <f>SUM(CE166,CE167)</f>
        <v>0</v>
      </c>
      <c r="CF170" s="16">
        <f>SUM(CF166,CF167)</f>
        <v>0</v>
      </c>
      <c r="CG170" s="16">
        <f>SUM(CG166,CG167)</f>
        <v>0</v>
      </c>
      <c r="CH170" s="16">
        <f>SUM(CH166,CH167)</f>
        <v>0</v>
      </c>
      <c r="CI170" s="16">
        <f>SUM(CI166,CI167)</f>
        <v>0</v>
      </c>
      <c r="CJ170" s="16">
        <f>SUM(CJ166,CJ167)</f>
        <v>0</v>
      </c>
      <c r="CK170" s="16">
        <f>SUM(CK166,CK167)</f>
        <v>0</v>
      </c>
      <c r="CL170" s="16">
        <f>SUM(CL166,CL167)</f>
        <v>0</v>
      </c>
      <c r="CM170" s="16">
        <f>SUM(CM166,CM167)</f>
        <v>0</v>
      </c>
      <c r="CN170" s="16">
        <f>SUM(CN166,CN167)</f>
        <v>0</v>
      </c>
      <c r="CO170" s="16">
        <f>SUM(CO166,CO167)</f>
        <v>0</v>
      </c>
      <c r="CP170" s="16">
        <f>SUM(CP166,CP167)</f>
        <v>0</v>
      </c>
      <c r="CQ170" s="16">
        <f>SUM(CQ166,CQ167)</f>
        <v>0</v>
      </c>
      <c r="CR170" s="16">
        <f>SUM(CR166,CR167)</f>
        <v>0</v>
      </c>
      <c r="CS170" s="16">
        <f>SUM(CS166,CS167)</f>
        <v>0</v>
      </c>
      <c r="CT170" s="16">
        <f>SUM(CT166,CT167)</f>
        <v>0</v>
      </c>
      <c r="CU170" s="16">
        <f>SUM(CU166,CU167)</f>
        <v>0</v>
      </c>
      <c r="CV170" s="16">
        <f>SUM(CV166,CV167)</f>
        <v>0</v>
      </c>
      <c r="CW170" s="16">
        <f>SUM(CW166,CW167)</f>
        <v>0</v>
      </c>
      <c r="CX170" s="16">
        <f>SUM(CX166,CX167)</f>
        <v>0</v>
      </c>
      <c r="CY170" s="16">
        <f>SUM(CY166,CY167)</f>
        <v>0</v>
      </c>
    </row>
    <row r="171">
      <c r="C171" s="26" t="inlineStr">
        <is>
          <t>Interest Expense</t>
        </is>
      </c>
      <c r="D171" s="25">
        <f>INDEX('Inputs (2)'!$D$8:$AL$8,MATCH(D$7,'Inputs (2)'!$D$2:$AL$2,0))</f>
        <v>-86.301</v>
      </c>
      <c r="E171" s="25">
        <f>INDEX('Inputs (2)'!$D$8:$AL$8,MATCH(E$7,'Inputs (2)'!$D$2:$AL$2,0))</f>
        <v>-57.992</v>
      </c>
      <c r="F171" s="25">
        <f>INDEX('Inputs (2)'!$D$8:$AL$8,MATCH(F$7,'Inputs (2)'!$D$2:$AL$2,0))</f>
        <v>-81.496</v>
      </c>
      <c r="G171" s="25">
        <f>INDEX('Inputs (2)'!$D$8:$AL$8,MATCH(G$7,'Inputs (2)'!$D$2:$AL$2,0))</f>
        <v>-166.642</v>
      </c>
      <c r="H171" s="3">
        <f>SUM(D171:G171)</f>
        <v>-392.431</v>
      </c>
      <c r="I171" s="25">
        <f>INDEX('Inputs (2)'!$D$8:$AL$8,MATCH(I$7,'Inputs (2)'!$D$2:$AL$2,0))</f>
        <v>-181.976</v>
      </c>
      <c r="J171" s="25">
        <f>INDEX('Inputs (2)'!$D$8:$AL$8,MATCH(J$7,'Inputs (2)'!$D$2:$AL$2,0))</f>
        <v>-186.631</v>
      </c>
      <c r="K171" s="25">
        <f>INDEX('Inputs (2)'!$D$8:$AL$8,MATCH(K$7,'Inputs (2)'!$D$2:$AL$2,0))</f>
        <v>-237.76</v>
      </c>
      <c r="L171" s="25">
        <f>INDEX('Inputs (2)'!$D$8:$AL$8,MATCH(L$7,'Inputs (2)'!$D$2:$AL$2,0))</f>
        <v>-278.357</v>
      </c>
      <c r="M171" s="3">
        <f>SUM(I171:L171)</f>
        <v>-884.724</v>
      </c>
      <c r="N171" s="25">
        <f>INDEX('Inputs (2)'!$D$8:$AL$8,MATCH(N$7,'Inputs (2)'!$D$2:$AL$2,0))</f>
        <v>-330.641</v>
      </c>
      <c r="O171" s="25">
        <f>INDEX('Inputs (2)'!$D$8:$AL$8,MATCH(O$7,'Inputs (2)'!$D$2:$AL$2,0))</f>
        <v>-370.837</v>
      </c>
      <c r="P171" s="25">
        <f>INDEX('Inputs (2)'!$D$8:$AL$8,MATCH(P$7,'Inputs (2)'!$D$2:$AL$2,0))</f>
        <v>-191.864</v>
      </c>
      <c r="Q171" s="25">
        <f>INDEX('Inputs (2)'!$D$8:$AL$8,MATCH(Q$7,'Inputs (2)'!$D$2:$AL$2,0))</f>
        <v>-287.488</v>
      </c>
      <c r="R171" s="3">
        <f>SUM(N171:Q171)</f>
        <v>-1180.83</v>
      </c>
      <c r="S171" s="25">
        <f>INDEX('Inputs (2)'!$D$8:$AL$8,MATCH(S$7,'Inputs (2)'!$D$2:$AL$2,0))</f>
        <v>-356.946</v>
      </c>
      <c r="T171" s="25">
        <f>INDEX('Inputs (2)'!$D$8:$AL$8,MATCH(T$7,'Inputs (2)'!$D$2:$AL$2,0))</f>
        <v>-285.361</v>
      </c>
      <c r="U171" s="25">
        <f>INDEX('Inputs (2)'!$D$8:$AL$8,MATCH(U$7,'Inputs (2)'!$D$2:$AL$2,0))</f>
        <v>-260.613</v>
      </c>
      <c r="V171" s="25">
        <f>INDEX('Inputs (2)'!$D$8:$AL$8,MATCH(V$7,'Inputs (2)'!$D$2:$AL$2,0))</f>
        <v>-263.293</v>
      </c>
      <c r="W171" s="3">
        <f>SUM(S171:V171)</f>
        <v>-1166.213</v>
      </c>
      <c r="X171" s="25">
        <f>INDEX('Inputs (2)'!$D$8:$AL$8,MATCH(X$7,'Inputs (2)'!$D$2:$AL$2,0))</f>
        <v>-322.739</v>
      </c>
      <c r="Y171" s="25">
        <f>INDEX('Inputs (2)'!$D$8:$AL$8,MATCH(Y$7,'Inputs (2)'!$D$2:$AL$2,0))</f>
        <v>-285.754</v>
      </c>
      <c r="Z171" s="25">
        <f>INDEX('Inputs (2)'!$D$8:$AL$8,MATCH(Z$7,'Inputs (2)'!$D$2:$AL$2,0))</f>
        <v>-282.534</v>
      </c>
      <c r="AA171" s="25">
        <f>INDEX('Inputs (2)'!$D$8:$AL$8,MATCH(AA$7,'Inputs (2)'!$D$2:$AL$2,0))</f>
        <v>-331.378</v>
      </c>
      <c r="AB171" s="3">
        <f>SUM(X171:AA171)</f>
        <v>-1222.405</v>
      </c>
      <c r="AC171" s="25">
        <f>INDEX('Inputs (2)'!$D$8:$AL$8,MATCH(AC$7,'Inputs (2)'!$D$2:$AL$2,0))</f>
        <v>-385.908</v>
      </c>
      <c r="AD171" s="25">
        <f>INDEX('Inputs (2)'!$D$8:$AL$8,MATCH(AD$7,'Inputs (2)'!$D$2:$AL$2,0))</f>
        <v>-306.645</v>
      </c>
      <c r="AE171" s="25">
        <f>INDEX('Inputs (2)'!$D$8:$AL$8,MATCH(AE$7,'Inputs (2)'!$D$2:$AL$2,0))</f>
        <v>-311.413</v>
      </c>
      <c r="AF171" s="25">
        <f>INDEX('Inputs (2)'!$D$8:$AL$8,MATCH(AF$7,'Inputs (2)'!$D$2:$AL$2,0))</f>
        <v>-320.395</v>
      </c>
      <c r="AG171" s="3">
        <f>SUM(AC171:AF171)</f>
        <v>-1324.361</v>
      </c>
      <c r="AH171" s="3">
        <f>INDEX('Inputs (2)'!$D$8:$AL$8,MATCH(AH$7,'Inputs (2)'!$D$2:$AL$2,0))</f>
        <v>-362.798</v>
      </c>
      <c r="AI171" s="3">
        <f>INDEX('Inputs (2)'!$D$8:$AL$8,MATCH(AI$7,'Inputs (2)'!$D$2:$AL$2,0))</f>
        <v>-389.195</v>
      </c>
      <c r="AJ171" s="3" t="n"/>
      <c r="AK171" s="3" t="n"/>
      <c r="AL171" s="3">
        <f>SUM(AH171:AK171)</f>
        <v>-751.993</v>
      </c>
      <c r="AM171" s="3" t="n"/>
      <c r="AN171" s="3" t="n"/>
      <c r="AO171" s="3" t="n"/>
      <c r="AP171" s="3" t="n"/>
      <c r="AQ171" s="3">
        <f>SUM(AM171:AP171)</f>
        <v>0</v>
      </c>
      <c r="AR171" s="3" t="n"/>
      <c r="AS171" s="3" t="n"/>
      <c r="AT171" s="3" t="n"/>
      <c r="AU171" s="3" t="n"/>
      <c r="AV171" s="3">
        <f>SUM(AR171:AU171)</f>
        <v>0</v>
      </c>
      <c r="AW171" s="3" t="n"/>
      <c r="AX171" s="3" t="n"/>
      <c r="AY171" s="3" t="n"/>
      <c r="AZ171" s="3" t="n"/>
      <c r="BA171" s="3">
        <f>SUM(AW171:AZ171)</f>
        <v>0</v>
      </c>
      <c r="BB171" s="3" t="n"/>
      <c r="BC171" s="3" t="n"/>
      <c r="BD171" s="3" t="n"/>
      <c r="BE171" s="3" t="n"/>
      <c r="BF171" s="3">
        <f>SUM(BB171:BE171)</f>
        <v>0</v>
      </c>
      <c r="BG171" s="3" t="n"/>
      <c r="BH171" s="3" t="n"/>
      <c r="BI171" s="3" t="n"/>
      <c r="BJ171" s="3" t="n"/>
      <c r="BK171" s="3">
        <f>SUM(BG171:BJ171)</f>
        <v>0</v>
      </c>
      <c r="BL171" s="3" t="n"/>
      <c r="BM171" s="3" t="n"/>
      <c r="BN171" s="3" t="n"/>
      <c r="BO171" s="3" t="n"/>
      <c r="BP171" s="3">
        <f>SUM(BL171:BO171)</f>
        <v>0</v>
      </c>
      <c r="BQ171" s="3" t="n"/>
      <c r="BR171" s="3" t="n"/>
      <c r="BS171" s="3" t="n"/>
      <c r="BT171" s="3" t="n"/>
      <c r="BU171" s="3">
        <f>SUM(BQ171:BT171)</f>
        <v>0</v>
      </c>
      <c r="BV171" s="3" t="n"/>
      <c r="BW171" s="3" t="n"/>
      <c r="BX171" s="3" t="n"/>
      <c r="BY171" s="3" t="n"/>
      <c r="BZ171" s="3">
        <f>SUM(BV171:BY171)</f>
        <v>0</v>
      </c>
      <c r="CA171" s="3" t="n"/>
      <c r="CB171" s="3" t="n"/>
      <c r="CC171" s="3" t="n"/>
      <c r="CD171" s="3" t="n"/>
      <c r="CE171" s="3">
        <f>SUM(CA171:CD171)</f>
        <v>0</v>
      </c>
      <c r="CF171" s="3" t="n"/>
      <c r="CG171" s="3" t="n"/>
      <c r="CH171" s="3" t="n"/>
      <c r="CI171" s="3" t="n"/>
      <c r="CJ171" s="3">
        <f>SUM(CF171:CI171)</f>
        <v>0</v>
      </c>
      <c r="CK171" s="3" t="n"/>
      <c r="CL171" s="3" t="n"/>
      <c r="CM171" s="3" t="n"/>
      <c r="CN171" s="3" t="n"/>
      <c r="CO171" s="3">
        <f>SUM(CK171:CN171)</f>
        <v>0</v>
      </c>
      <c r="CP171" s="3" t="n"/>
      <c r="CQ171" s="3" t="n"/>
      <c r="CR171" s="3" t="n"/>
      <c r="CS171" s="3" t="n"/>
      <c r="CT171" s="3">
        <f>SUM(CP171:CS171)</f>
        <v>0</v>
      </c>
      <c r="CU171" s="3" t="n"/>
      <c r="CV171" s="3" t="n"/>
      <c r="CW171" s="3" t="n"/>
      <c r="CX171" s="3" t="n"/>
      <c r="CY171" s="3">
        <f>SUM(CU171:CX171)</f>
        <v>0</v>
      </c>
    </row>
    <row r="172" hidden="1" outlineLevel="1">
      <c r="C172" s="32" t="inlineStr">
        <is>
          <t>% of Debt</t>
        </is>
      </c>
      <c r="D172" s="48">
        <f>-D171/SUM(D309+D314)</f>
        <v>0.010033113541326</v>
      </c>
      <c r="E172" s="48">
        <f>-E171/SUM(E309+E314)</f>
        <v>0.00684629574930412</v>
      </c>
      <c r="F172" s="48">
        <f>-F171/SUM(F309+F314)</f>
        <v>0.00932533230135552</v>
      </c>
      <c r="G172" s="48">
        <f>-G171/SUM(G309+G314)</f>
        <v>0.0185664104419876</v>
      </c>
      <c r="H172" s="3" t="n"/>
      <c r="I172" s="48">
        <f>-I171/SUM(I309+I314)</f>
        <v>0.0199634291952975</v>
      </c>
      <c r="J172" s="48">
        <f>-J171/SUM(J309+J314)</f>
        <v>0.0201098617746688</v>
      </c>
      <c r="K172" s="48">
        <f>-K171/SUM(K309+K314)</f>
        <v>0.025308171912485</v>
      </c>
      <c r="L172" s="48">
        <f>-L171/SUM(L309+L314)</f>
        <v>0.027703399644657</v>
      </c>
      <c r="M172" s="3" t="n"/>
      <c r="N172" s="48">
        <f>-N171/SUM(N309+N314)</f>
        <v>0.0332712501304371</v>
      </c>
      <c r="O172" s="48">
        <f>-O171/SUM(O309+O314)</f>
        <v>0.0345461826969772</v>
      </c>
      <c r="P172" s="48">
        <f>-P171/SUM(P309+P314)</f>
        <v>0.0174183029083765</v>
      </c>
      <c r="Q172" s="48">
        <f>-Q171/SUM(Q309+Q314)</f>
        <v>0.0247065470183926</v>
      </c>
      <c r="R172" s="3" t="n"/>
      <c r="S172" s="48">
        <f>-S171/SUM(S309+S314)</f>
        <v>0.0304344004066037</v>
      </c>
      <c r="T172" s="48">
        <f>-T171/SUM(T309+T314)</f>
        <v>0.0244965229326603</v>
      </c>
      <c r="U172" s="48">
        <f>-U171/SUM(U309+U314)</f>
        <v>0.0225084065482204</v>
      </c>
      <c r="V172" s="48">
        <f>-V171/SUM(V309+V314)</f>
        <v>0.0223614202673573</v>
      </c>
      <c r="W172" s="3" t="n"/>
      <c r="X172" s="48">
        <f>-X171/SUM(X309+X314)</f>
        <v>0.0275255922105932</v>
      </c>
      <c r="Y172" s="48">
        <f>-Y171/SUM(Y309+Y314)</f>
        <v>0.0229826927263832</v>
      </c>
      <c r="Z172" s="48">
        <f>-Z171/SUM(Z309+Z314)</f>
        <v>0.0230248765057578</v>
      </c>
      <c r="AA172" s="48">
        <f>-AA171/SUM(AA309+AA314)</f>
        <v>0.0261275837689468</v>
      </c>
      <c r="AB172" s="3" t="n"/>
      <c r="AC172" s="48">
        <f>-AC171/SUM(AC309+AC314)</f>
        <v>0.0306577853351258</v>
      </c>
      <c r="AD172" s="48">
        <f>-AD171/SUM(AD309+AD314)</f>
        <v>0.0240835326190124</v>
      </c>
      <c r="AE172" s="48">
        <f>-AE171/SUM(AE309+AE314)</f>
        <v>0.025042747407633</v>
      </c>
      <c r="AF172" s="231">
        <f>-AF171/SUM(AF309+AF314)</f>
        <v>0.0254537273172092</v>
      </c>
      <c r="AG172" s="3" t="n"/>
      <c r="AH172" s="6">
        <f>-AH171/SUM(AH309+AH314)</f>
        <v>0.0249347126859899</v>
      </c>
      <c r="AI172" s="6">
        <f>-AI171/SUM(AI309+AI314)</f>
        <v>0.0261706524638621</v>
      </c>
      <c r="AJ172" s="6" t="n"/>
      <c r="AK172" s="6" t="n"/>
      <c r="AL172" s="3" t="n"/>
      <c r="AM172" s="6" t="n"/>
      <c r="AN172" s="6" t="n"/>
      <c r="AO172" s="6" t="n"/>
      <c r="AP172" s="6" t="n"/>
      <c r="AQ172" s="3" t="n"/>
      <c r="AR172" s="6" t="n"/>
      <c r="AS172" s="6" t="n"/>
      <c r="AT172" s="6" t="n"/>
      <c r="AU172" s="6" t="n"/>
      <c r="AV172" s="3" t="n"/>
      <c r="AW172" s="6" t="n"/>
      <c r="AX172" s="6" t="n"/>
      <c r="AY172" s="6" t="n"/>
      <c r="AZ172" s="6" t="n"/>
      <c r="BA172" s="3" t="n"/>
      <c r="BB172" s="6" t="n"/>
      <c r="BC172" s="6" t="n"/>
      <c r="BD172" s="6" t="n"/>
      <c r="BE172" s="6" t="n"/>
      <c r="BF172" s="3" t="n"/>
      <c r="BG172" s="6" t="n"/>
      <c r="BH172" s="6" t="n"/>
      <c r="BI172" s="6" t="n"/>
      <c r="BJ172" s="6" t="n"/>
      <c r="BK172" s="3" t="n"/>
      <c r="BL172" s="6" t="n"/>
      <c r="BM172" s="6" t="n"/>
      <c r="BN172" s="6" t="n"/>
      <c r="BO172" s="6" t="n"/>
      <c r="BP172" s="3" t="n"/>
      <c r="BQ172" s="6" t="n"/>
      <c r="BR172" s="6" t="n"/>
      <c r="BS172" s="6" t="n"/>
      <c r="BT172" s="6" t="n"/>
      <c r="BU172" s="3" t="n"/>
      <c r="BV172" s="6" t="n"/>
      <c r="BW172" s="6" t="n"/>
      <c r="BX172" s="6" t="n"/>
      <c r="BY172" s="6" t="n"/>
      <c r="BZ172" s="3" t="n"/>
      <c r="CA172" s="6" t="n"/>
      <c r="CB172" s="6" t="n"/>
      <c r="CC172" s="6" t="n"/>
      <c r="CD172" s="6" t="n"/>
      <c r="CE172" s="3" t="n"/>
      <c r="CF172" s="6" t="n"/>
      <c r="CG172" s="6" t="n"/>
      <c r="CH172" s="6" t="n"/>
      <c r="CI172" s="6" t="n"/>
      <c r="CJ172" s="3" t="n"/>
      <c r="CK172" s="6" t="n"/>
      <c r="CL172" s="6" t="n"/>
      <c r="CM172" s="6" t="n"/>
      <c r="CN172" s="6" t="n"/>
      <c r="CO172" s="3" t="n"/>
      <c r="CP172" s="6" t="n"/>
      <c r="CQ172" s="6" t="n"/>
      <c r="CR172" s="6" t="n"/>
      <c r="CS172" s="6" t="n"/>
      <c r="CT172" s="3" t="n"/>
      <c r="CU172" s="6" t="n"/>
      <c r="CV172" s="6" t="n"/>
      <c r="CW172" s="6" t="n"/>
      <c r="CX172" s="6" t="n"/>
      <c r="CY172" s="3" t="n"/>
    </row>
    <row r="173" hidden="1" outlineLevel="1">
      <c r="C173" s="32" t="inlineStr">
        <is>
          <t>%CDI</t>
        </is>
      </c>
      <c r="D173" s="6" t="n"/>
      <c r="E173" s="6" t="n"/>
      <c r="F173" s="6" t="n"/>
      <c r="G173" s="6" t="n"/>
      <c r="H173" s="3" t="n"/>
      <c r="I173" s="6" t="n"/>
      <c r="J173" s="6" t="n"/>
      <c r="K173" s="6" t="n"/>
      <c r="L173" s="6" t="n"/>
      <c r="M173" s="3" t="n"/>
      <c r="N173" s="6" t="n"/>
      <c r="O173" s="6" t="n"/>
      <c r="P173" s="6" t="n"/>
      <c r="Q173" s="6" t="n"/>
      <c r="R173" s="3" t="n"/>
      <c r="S173" s="6" t="n"/>
      <c r="T173" s="6" t="n"/>
      <c r="U173" s="6" t="n"/>
      <c r="V173" s="6" t="n"/>
      <c r="W173" s="3" t="n"/>
      <c r="X173" s="6" t="n"/>
      <c r="Y173" s="6" t="n"/>
      <c r="Z173" s="6" t="n"/>
      <c r="AA173" s="6" t="n"/>
      <c r="AB173" s="3" t="n"/>
      <c r="AC173" s="6" t="n"/>
      <c r="AD173" s="6" t="n"/>
      <c r="AE173" s="6" t="n"/>
      <c r="AF173" s="6" t="n"/>
      <c r="AG173" s="3" t="n"/>
      <c r="AH173" s="6" t="n"/>
      <c r="AI173" s="6" t="n"/>
      <c r="AJ173" s="6" t="n"/>
      <c r="AK173" s="6" t="n"/>
      <c r="AL173" s="3" t="n"/>
      <c r="AM173" s="6" t="n"/>
      <c r="AN173" s="6" t="n"/>
      <c r="AO173" s="6" t="n"/>
      <c r="AP173" s="6" t="n"/>
      <c r="AQ173" s="3" t="n"/>
      <c r="AR173" s="6" t="n"/>
      <c r="AS173" s="6" t="n"/>
      <c r="AT173" s="6" t="n"/>
      <c r="AU173" s="6" t="n"/>
      <c r="AV173" s="3" t="n"/>
      <c r="AW173" s="6" t="n"/>
      <c r="AX173" s="6" t="n"/>
      <c r="AY173" s="6" t="n"/>
      <c r="AZ173" s="6" t="n"/>
      <c r="BA173" s="3" t="n"/>
      <c r="BB173" s="6" t="n"/>
      <c r="BC173" s="6" t="n"/>
      <c r="BD173" s="6" t="n"/>
      <c r="BE173" s="6" t="n"/>
      <c r="BF173" s="3" t="n"/>
      <c r="BG173" s="6" t="n"/>
      <c r="BH173" s="6" t="n"/>
      <c r="BI173" s="6" t="n"/>
      <c r="BJ173" s="6" t="n"/>
      <c r="BK173" s="3" t="n"/>
      <c r="BL173" s="6" t="n"/>
      <c r="BM173" s="6" t="n"/>
      <c r="BN173" s="6" t="n"/>
      <c r="BO173" s="6" t="n"/>
      <c r="BP173" s="3" t="n"/>
      <c r="BQ173" s="6" t="n"/>
      <c r="BR173" s="6" t="n"/>
      <c r="BS173" s="6" t="n"/>
      <c r="BT173" s="6" t="n"/>
      <c r="BU173" s="3" t="n"/>
      <c r="BV173" s="6" t="n"/>
      <c r="BW173" s="6" t="n"/>
      <c r="BX173" s="6" t="n"/>
      <c r="BY173" s="6" t="n"/>
      <c r="BZ173" s="3" t="n"/>
      <c r="CA173" s="6" t="n"/>
      <c r="CB173" s="6" t="n"/>
      <c r="CC173" s="6" t="n"/>
      <c r="CD173" s="6" t="n"/>
      <c r="CE173" s="3" t="n"/>
      <c r="CF173" s="6" t="n"/>
      <c r="CG173" s="6" t="n"/>
      <c r="CH173" s="6" t="n"/>
      <c r="CI173" s="6" t="n"/>
      <c r="CJ173" s="3" t="n"/>
      <c r="CK173" s="6" t="n"/>
      <c r="CL173" s="6" t="n"/>
      <c r="CM173" s="6" t="n"/>
      <c r="CN173" s="6" t="n"/>
      <c r="CO173" s="3" t="n"/>
      <c r="CP173" s="6" t="n"/>
      <c r="CQ173" s="6" t="n"/>
      <c r="CR173" s="6" t="n"/>
      <c r="CS173" s="6" t="n"/>
      <c r="CT173" s="3" t="n"/>
      <c r="CU173" s="6" t="n"/>
      <c r="CV173" s="6" t="n"/>
      <c r="CW173" s="6" t="n"/>
      <c r="CX173" s="6" t="n"/>
      <c r="CY173" s="3" t="n"/>
    </row>
    <row r="174" hidden="1" outlineLevel="1">
      <c r="C174" s="3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</row>
    <row r="175" hidden="1" outlineLevel="1">
      <c r="C175" s="34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  <c r="CU175" s="3" t="n"/>
      <c r="CV175" s="3" t="n"/>
      <c r="CW175" s="3" t="n"/>
      <c r="CX175" s="3" t="n"/>
      <c r="CY175" s="3" t="n"/>
    </row>
    <row r="176" hidden="1" outlineLevel="1">
      <c r="C176" s="34" t="inlineStr">
        <is>
          <t>RECEITA FINANCEIRA</t>
        </is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</row>
    <row r="177" hidden="1" outlineLevel="1">
      <c r="C177" s="34" t="inlineStr">
        <is>
          <t>DESPESA FINANCEIRA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hidden="1" outlineLevel="1">
      <c r="C178" s="34" t="inlineStr">
        <is>
          <t>OUTROS</t>
        </is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  <c r="CU178" s="3" t="n"/>
      <c r="CV178" s="3" t="n"/>
      <c r="CW178" s="3" t="n"/>
      <c r="CX178" s="3" t="n"/>
      <c r="CY178" s="3" t="n"/>
    </row>
    <row r="179" hidden="1" outlineLevel="1">
      <c r="C179" s="34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  <c r="CU179" s="3" t="n"/>
      <c r="CV179" s="3" t="n"/>
      <c r="CW179" s="3" t="n"/>
      <c r="CX179" s="3" t="n"/>
      <c r="CY179" s="3" t="n"/>
    </row>
    <row r="180" hidden="1" outlineLevel="1">
      <c r="C180" s="34" t="inlineStr">
        <is>
          <t>Cash and equivalents (inc. investment securities)</t>
        </is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</row>
    <row r="181" hidden="1" outlineLevel="1">
      <c r="C181" s="34" t="inlineStr">
        <is>
          <t>Interest on cash</t>
        </is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  <c r="CU181" s="3" t="n"/>
      <c r="CV181" s="3" t="n"/>
      <c r="CW181" s="3" t="n"/>
      <c r="CX181" s="3" t="n"/>
      <c r="CY181" s="3" t="n"/>
    </row>
    <row r="182" hidden="1" outlineLevel="1">
      <c r="C182" s="34" t="inlineStr">
        <is>
          <t>Average interest rate</t>
        </is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hidden="1" outlineLevel="1">
      <c r="C183" s="34" t="inlineStr">
        <is>
          <t>% CDI</t>
        </is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hidden="1" outlineLevel="1">
      <c r="C185" s="34" t="inlineStr">
        <is>
          <t>Current portion of long-term debt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  <c r="CU185" s="3" t="n"/>
      <c r="CV185" s="3" t="n"/>
      <c r="CW185" s="3" t="n"/>
      <c r="CX185" s="3" t="n"/>
      <c r="CY185" s="3" t="n"/>
    </row>
    <row r="186" hidden="1" outlineLevel="1">
      <c r="C186" s="34" t="inlineStr">
        <is>
          <t>Short term debt (Revolving credit facility)</t>
        </is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34" t="inlineStr">
        <is>
          <t>Long term debt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hidden="1" outlineLevel="1">
      <c r="C188" s="34" t="inlineStr">
        <is>
          <t>Convertible debt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hidden="1" outlineLevel="1">
      <c r="C189" s="34" t="inlineStr">
        <is>
          <t>Total debt</t>
        </is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  <c r="CU189" s="3" t="n"/>
      <c r="CV189" s="3" t="n"/>
      <c r="CW189" s="3" t="n"/>
      <c r="CX189" s="3" t="n"/>
      <c r="CY189" s="3" t="n"/>
    </row>
    <row r="190" hidden="1" outlineLevel="1">
      <c r="C190" s="34" t="inlineStr">
        <is>
          <t>Interest expense</t>
        </is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hidden="1" outlineLevel="1">
      <c r="C191" s="34" t="inlineStr">
        <is>
          <t>Average interest rate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  <c r="CU191" s="3" t="n"/>
      <c r="CV191" s="3" t="n"/>
      <c r="CW191" s="3" t="n"/>
      <c r="CX191" s="3" t="n"/>
      <c r="CY191" s="3" t="n"/>
    </row>
    <row r="192" hidden="1" outlineLevel="1">
      <c r="C192" s="34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  <c r="CU192" s="3" t="n"/>
      <c r="CV192" s="3" t="n"/>
      <c r="CW192" s="3" t="n"/>
      <c r="CX192" s="3" t="n"/>
      <c r="CY192" s="3" t="n"/>
    </row>
    <row r="193" hidden="1" outlineLevel="1">
      <c r="C193" s="34" t="inlineStr">
        <is>
          <t>Stake</t>
        </is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  <c r="CU193" s="3" t="n"/>
      <c r="CV193" s="3" t="n"/>
      <c r="CW193" s="3" t="n"/>
      <c r="CX193" s="3" t="n"/>
      <c r="CY193" s="3" t="n"/>
    </row>
    <row r="194" hidden="1" outlineLevel="1">
      <c r="C194" s="34" t="inlineStr">
        <is>
          <t>PRE</t>
        </is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34" t="inlineStr">
        <is>
          <t>CDI+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hidden="1" outlineLevel="1">
      <c r="C196" s="34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  <c r="CU196" s="3" t="n"/>
      <c r="CV196" s="3" t="n"/>
      <c r="CW196" s="3" t="n"/>
      <c r="CX196" s="3" t="n"/>
      <c r="CY196" s="3" t="n"/>
    </row>
    <row r="197" hidden="1" outlineLevel="1">
      <c r="C197" s="34" t="inlineStr">
        <is>
          <t>Spread</t>
        </is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  <c r="CU197" s="3" t="n"/>
      <c r="CV197" s="3" t="n"/>
      <c r="CW197" s="3" t="n"/>
      <c r="CX197" s="3" t="n"/>
      <c r="CY197" s="3" t="n"/>
    </row>
    <row r="198" hidden="1" outlineLevel="1">
      <c r="C198" s="34" t="inlineStr">
        <is>
          <t>PRE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  <c r="CU198" s="3" t="n"/>
      <c r="CV198" s="3" t="n"/>
      <c r="CW198" s="3" t="n"/>
      <c r="CX198" s="3" t="n"/>
      <c r="CY198" s="3" t="n"/>
    </row>
    <row r="199" hidden="1" outlineLevel="1">
      <c r="C199" s="34" t="inlineStr">
        <is>
          <t>CDI+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  <c r="CU199" s="3" t="n"/>
      <c r="CV199" s="3" t="n"/>
      <c r="CW199" s="3" t="n"/>
      <c r="CX199" s="3" t="n"/>
      <c r="CY199" s="3" t="n"/>
    </row>
    <row r="200" hidden="1" outlineLevel="1">
      <c r="C200" s="34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  <c r="CU200" s="3" t="n"/>
      <c r="CV200" s="3" t="n"/>
      <c r="CW200" s="3" t="n"/>
      <c r="CX200" s="3" t="n"/>
      <c r="CY200" s="3" t="n"/>
    </row>
    <row r="201" hidden="1" outlineLevel="1">
      <c r="C201" s="34" t="inlineStr">
        <is>
          <t>RECEITAS FINANCEIRAS - Rendimentos de aplicações financeiras</t>
        </is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  <c r="CU201" s="3" t="n"/>
      <c r="CV201" s="3" t="n"/>
      <c r="CW201" s="3" t="n"/>
      <c r="CX201" s="3" t="n"/>
      <c r="CY201" s="3" t="n"/>
    </row>
    <row r="202" hidden="1" outlineLevel="1">
      <c r="C202" s="34" t="inlineStr">
        <is>
          <t>RECEITAS FINANCEIRAS - Variação cambial ativa</t>
        </is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</row>
    <row r="203" hidden="1" outlineLevel="1">
      <c r="C203" s="34" t="inlineStr">
        <is>
          <t>RECEITAS FINANCEIRAS - Atualização de contas a pagar por aquisição de empresas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hidden="1" outlineLevel="1">
      <c r="C204" s="34" t="inlineStr">
        <is>
          <t>RECEITAS FINANCEIRAS - Resultado positivo com instrumentos derivativos</t>
        </is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  <c r="CU204" s="3" t="n"/>
      <c r="CV204" s="3" t="n"/>
      <c r="CW204" s="3" t="n"/>
      <c r="CX204" s="3" t="n"/>
      <c r="CY204" s="3" t="n"/>
    </row>
    <row r="205" hidden="1" outlineLevel="1">
      <c r="C205" s="34" t="inlineStr">
        <is>
          <t>RECEITAS FINANCEIRAS - Descontos obtidos de fornecedores por antecipação</t>
        </is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  <c r="CU205" s="3" t="n"/>
      <c r="CV205" s="3" t="n"/>
      <c r="CW205" s="3" t="n"/>
      <c r="CX205" s="3" t="n"/>
      <c r="CY205" s="3" t="n"/>
    </row>
    <row r="206" hidden="1" outlineLevel="1">
      <c r="C206" s="34" t="inlineStr">
        <is>
          <t>RECEITAS FINANCEIRAS - Atualização monetária sobre Exclusão ICMS da base de PIS/COFINS (nota explicativa nº 7)</t>
        </is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  <c r="CU206" s="3" t="n"/>
      <c r="CV206" s="3" t="n"/>
      <c r="CW206" s="3" t="n"/>
      <c r="CX206" s="3" t="n"/>
      <c r="CY206" s="3" t="n"/>
    </row>
    <row r="207" hidden="1" outlineLevel="1">
      <c r="C207" s="34" t="inlineStr">
        <is>
          <t>RECEITAS FINANCEIRAS - Outras</t>
        </is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hidden="1" outlineLevel="1">
      <c r="C208" s="34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  <c r="BQ208" s="3" t="n"/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n"/>
      <c r="CC208" s="3" t="n"/>
      <c r="CD208" s="3" t="n"/>
      <c r="CE208" s="3" t="n"/>
      <c r="CF208" s="3" t="n"/>
      <c r="CG208" s="3" t="n"/>
      <c r="CH208" s="3" t="n"/>
      <c r="CI208" s="3" t="n"/>
      <c r="CJ208" s="3" t="n"/>
      <c r="CK208" s="3" t="n"/>
      <c r="CL208" s="3" t="n"/>
      <c r="CM208" s="3" t="n"/>
      <c r="CN208" s="3" t="n"/>
      <c r="CO208" s="3" t="n"/>
      <c r="CP208" s="3" t="n"/>
      <c r="CQ208" s="3" t="n"/>
      <c r="CR208" s="3" t="n"/>
      <c r="CS208" s="3" t="n"/>
      <c r="CT208" s="3" t="n"/>
      <c r="CU208" s="3" t="n"/>
      <c r="CV208" s="3" t="n"/>
      <c r="CW208" s="3" t="n"/>
      <c r="CX208" s="3" t="n"/>
      <c r="CY208" s="3" t="n"/>
    </row>
    <row r="209" hidden="1" outlineLevel="1">
      <c r="C209" s="34" t="inlineStr">
        <is>
          <t>DESPESAS FINANCEIRAS - Encargos sobre empréstimos, financiamentos e debêntures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  <c r="CT209" s="3" t="n"/>
      <c r="CU209" s="3" t="n"/>
      <c r="CV209" s="3" t="n"/>
      <c r="CW209" s="3" t="n"/>
      <c r="CX209" s="3" t="n"/>
      <c r="CY209" s="3" t="n"/>
    </row>
    <row r="210" hidden="1" outlineLevel="1">
      <c r="C210" s="34" t="inlineStr">
        <is>
          <t>DESPESAS FINANCEIRAS - Variação cambial passiva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3" t="n"/>
      <c r="CY210" s="3" t="n"/>
    </row>
    <row r="211" hidden="1" outlineLevel="1">
      <c r="C211" s="34" t="inlineStr">
        <is>
          <t>DESPESAS FINANCEIRAS - Resultado negativo com instrumentos derivativos</t>
        </is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hidden="1" outlineLevel="1">
      <c r="C212" s="34" t="inlineStr">
        <is>
          <t>DESPESAS FINANCEIRAS - Juros sobre arrendamento - IFRS16</t>
        </is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  <c r="CU212" s="3" t="n"/>
      <c r="CV212" s="3" t="n"/>
      <c r="CW212" s="3" t="n"/>
      <c r="CX212" s="3" t="n"/>
      <c r="CY212" s="3" t="n"/>
    </row>
    <row r="213" hidden="1" outlineLevel="1">
      <c r="C213" s="34" t="inlineStr">
        <is>
          <t>DESPESAS FINANCEIRAS - Despesas bancárias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  <c r="CU213" s="3" t="n"/>
      <c r="CV213" s="3" t="n"/>
      <c r="CW213" s="3" t="n"/>
      <c r="CX213" s="3" t="n"/>
      <c r="CY213" s="3" t="n"/>
    </row>
    <row r="214" hidden="1" outlineLevel="1">
      <c r="C214" s="34" t="inlineStr">
        <is>
          <t>DESPESAS FINANCEIRAS - Despesas com obtenção de empréstimos e financiamentos</t>
        </is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  <c r="CU214" s="3" t="n"/>
      <c r="CV214" s="3" t="n"/>
      <c r="CW214" s="3" t="n"/>
      <c r="CX214" s="3" t="n"/>
      <c r="CY214" s="3" t="n"/>
    </row>
    <row r="215" hidden="1" outlineLevel="1">
      <c r="C215" s="34" t="inlineStr">
        <is>
          <t>DESPESAS FINANCEIRAS - Atualização de contas a pagar por aquisição de empresas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</row>
    <row r="216" hidden="1" outlineLevel="1">
      <c r="C216" s="34" t="inlineStr">
        <is>
          <t>DESPESAS FINANCEIRAS - Outras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  <c r="CU216" s="3" t="n"/>
      <c r="CV216" s="3" t="n"/>
      <c r="CW216" s="3" t="n"/>
      <c r="CX216" s="3" t="n"/>
      <c r="CY216" s="3" t="n"/>
    </row>
    <row r="217" hidden="1" outlineLevel="1">
      <c r="C217" s="34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  <c r="CU217" s="3" t="n"/>
      <c r="CV217" s="3" t="n"/>
      <c r="CW217" s="3" t="n"/>
      <c r="CX217" s="3" t="n"/>
      <c r="CY217" s="3" t="n"/>
    </row>
    <row r="218" hidden="1" outlineLevel="1">
      <c r="C218" s="34" t="inlineStr">
        <is>
          <t>CHECK [EX IFRS-16]</t>
        </is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  <c r="CU218" s="3" t="n"/>
      <c r="CV218" s="3" t="n"/>
      <c r="CW218" s="3" t="n"/>
      <c r="CX218" s="3" t="n"/>
      <c r="CY218" s="3" t="n"/>
    </row>
    <row r="219" hidden="1" outlineLevel="1">
      <c r="C219" s="34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  <c r="CU219" s="3" t="n"/>
      <c r="CV219" s="3" t="n"/>
      <c r="CW219" s="3" t="n"/>
      <c r="CX219" s="3" t="n"/>
      <c r="CY219" s="3" t="n"/>
    </row>
    <row r="220" collapsed="1">
      <c r="C220" s="26" t="inlineStr">
        <is>
          <t>Nonoperating Income / (Loss)</t>
        </is>
      </c>
      <c r="D220" s="25">
        <f>INDEX('Inputs (2)'!$D$9:$AL$9,MATCH(D$7,'Inputs (2)'!$D$2:$AL$2,0))</f>
        <v>-5.969</v>
      </c>
      <c r="E220" s="25">
        <f>INDEX('Inputs (2)'!$D$9:$AL$9,MATCH(E$7,'Inputs (2)'!$D$2:$AL$2,0))</f>
        <v>-11.079</v>
      </c>
      <c r="F220" s="25">
        <f>INDEX('Inputs (2)'!$D$9:$AL$9,MATCH(F$7,'Inputs (2)'!$D$2:$AL$2,0))</f>
        <v>-15.618</v>
      </c>
      <c r="G220" s="25">
        <f>INDEX('Inputs (2)'!$D$9:$AL$9,MATCH(G$7,'Inputs (2)'!$D$2:$AL$2,0))</f>
        <v>-36.642</v>
      </c>
      <c r="H220" s="3">
        <f>SUM(D220:G220)</f>
        <v>-69.308</v>
      </c>
      <c r="I220" s="25">
        <f>INDEX('Inputs (2)'!$D$9:$AL$9,MATCH(I$7,'Inputs (2)'!$D$2:$AL$2,0))</f>
        <v>-28.134</v>
      </c>
      <c r="J220" s="25">
        <f>INDEX('Inputs (2)'!$D$9:$AL$9,MATCH(J$7,'Inputs (2)'!$D$2:$AL$2,0))</f>
        <v>-14.504</v>
      </c>
      <c r="K220" s="25">
        <f>INDEX('Inputs (2)'!$D$9:$AL$9,MATCH(K$7,'Inputs (2)'!$D$2:$AL$2,0))</f>
        <v>-49.987</v>
      </c>
      <c r="L220" s="25">
        <f>INDEX('Inputs (2)'!$D$9:$AL$9,MATCH(L$7,'Inputs (2)'!$D$2:$AL$2,0))</f>
        <v>61.804</v>
      </c>
      <c r="M220" s="3">
        <f>SUM(I220:L220)</f>
        <v>-30.821</v>
      </c>
      <c r="N220" s="25">
        <f>INDEX('Inputs (2)'!$D$9:$AL$9,MATCH(N$7,'Inputs (2)'!$D$2:$AL$2,0))</f>
        <v>105.333</v>
      </c>
      <c r="O220" s="25">
        <f>INDEX('Inputs (2)'!$D$9:$AL$9,MATCH(O$7,'Inputs (2)'!$D$2:$AL$2,0))</f>
        <v>29.885</v>
      </c>
      <c r="P220" s="25">
        <f>INDEX('Inputs (2)'!$D$9:$AL$9,MATCH(P$7,'Inputs (2)'!$D$2:$AL$2,0))</f>
        <v>9.146</v>
      </c>
      <c r="Q220" s="25">
        <f>INDEX('Inputs (2)'!$D$9:$AL$9,MATCH(Q$7,'Inputs (2)'!$D$2:$AL$2,0))</f>
        <v>70.34</v>
      </c>
      <c r="R220" s="3">
        <f>SUM(N220:Q220)</f>
        <v>214.704</v>
      </c>
      <c r="S220" s="25">
        <f>INDEX('Inputs (2)'!$D$9:$AL$9,MATCH(S$7,'Inputs (2)'!$D$2:$AL$2,0))</f>
        <v>72.297</v>
      </c>
      <c r="T220" s="25">
        <f>INDEX('Inputs (2)'!$D$9:$AL$9,MATCH(T$7,'Inputs (2)'!$D$2:$AL$2,0))</f>
        <v>90.615</v>
      </c>
      <c r="U220" s="25">
        <f>INDEX('Inputs (2)'!$D$9:$AL$9,MATCH(U$7,'Inputs (2)'!$D$2:$AL$2,0))</f>
        <v>46.426</v>
      </c>
      <c r="V220" s="25">
        <f>INDEX('Inputs (2)'!$D$9:$AL$9,MATCH(V$7,'Inputs (2)'!$D$2:$AL$2,0))</f>
        <v>79.443</v>
      </c>
      <c r="W220" s="3">
        <f>SUM(S220:V220)</f>
        <v>288.781</v>
      </c>
      <c r="X220" s="25">
        <f>INDEX('Inputs (2)'!$D$9:$AL$9,MATCH(X$7,'Inputs (2)'!$D$2:$AL$2,0))</f>
        <v>68.858</v>
      </c>
      <c r="Y220" s="25">
        <f>INDEX('Inputs (2)'!$D$9:$AL$9,MATCH(Y$7,'Inputs (2)'!$D$2:$AL$2,0))</f>
        <v>51.672</v>
      </c>
      <c r="Z220" s="25">
        <f>INDEX('Inputs (2)'!$D$9:$AL$9,MATCH(Z$7,'Inputs (2)'!$D$2:$AL$2,0))</f>
        <v>91.093</v>
      </c>
      <c r="AA220" s="25">
        <f>INDEX('Inputs (2)'!$D$9:$AL$9,MATCH(AA$7,'Inputs (2)'!$D$2:$AL$2,0))</f>
        <v>59.663</v>
      </c>
      <c r="AB220" s="3">
        <f>SUM(X220:AA220)</f>
        <v>271.286</v>
      </c>
      <c r="AC220" s="25">
        <f>INDEX('Inputs (2)'!$D$9:$AL$9,MATCH(AC$7,'Inputs (2)'!$D$2:$AL$2,0))</f>
        <v>111.171</v>
      </c>
      <c r="AD220" s="25">
        <f>INDEX('Inputs (2)'!$D$9:$AL$9,MATCH(AD$7,'Inputs (2)'!$D$2:$AL$2,0))</f>
        <v>100.653</v>
      </c>
      <c r="AE220" s="25">
        <f>INDEX('Inputs (2)'!$D$9:$AL$9,MATCH(AE$7,'Inputs (2)'!$D$2:$AL$2,0))</f>
        <v>98.845</v>
      </c>
      <c r="AF220" s="25">
        <f>INDEX('Inputs (2)'!$D$9:$AL$9,MATCH(AF$7,'Inputs (2)'!$D$2:$AL$2,0))</f>
        <v>141.855</v>
      </c>
      <c r="AG220" s="3">
        <f>SUM(AC220:AF220)</f>
        <v>452.524</v>
      </c>
      <c r="AH220" s="3">
        <f>INDEX('Inputs (2)'!$D$9:$AL$9,MATCH(AH$7,'Inputs (2)'!$D$2:$AL$2,0))</f>
        <v>60.684</v>
      </c>
      <c r="AI220" s="3">
        <f>INDEX('Inputs (2)'!$D$9:$AL$9,MATCH(AI$7,'Inputs (2)'!$D$2:$AL$2,0))</f>
        <v>151.17</v>
      </c>
      <c r="AJ220" s="3">
        <f>AH220</f>
        <v>60.684</v>
      </c>
      <c r="AK220" s="3">
        <f>AI220</f>
        <v>151.17</v>
      </c>
      <c r="AL220" s="3">
        <f>SUM(AH220:AK220)</f>
        <v>423.708</v>
      </c>
      <c r="AM220" s="3">
        <f>AK220</f>
        <v>151.17</v>
      </c>
      <c r="AN220" s="3">
        <f>AL220</f>
        <v>423.708</v>
      </c>
      <c r="AO220" s="3">
        <f>AM220</f>
        <v>151.17</v>
      </c>
      <c r="AP220" s="3">
        <f>AN220</f>
        <v>423.708</v>
      </c>
      <c r="AQ220" s="3">
        <f>SUM(AM220:AP220)</f>
        <v>1149.756</v>
      </c>
      <c r="AR220" s="3">
        <f>AP220</f>
        <v>423.708</v>
      </c>
      <c r="AS220" s="3">
        <f>AQ220</f>
        <v>1149.756</v>
      </c>
      <c r="AT220" s="3">
        <f>AR220</f>
        <v>423.708</v>
      </c>
      <c r="AU220" s="3">
        <f>AS220</f>
        <v>1149.756</v>
      </c>
      <c r="AV220" s="3">
        <f>SUM(AR220:AU220)</f>
        <v>3146.928</v>
      </c>
      <c r="AW220" s="3">
        <f>AU220</f>
        <v>1149.756</v>
      </c>
      <c r="AX220" s="3">
        <f>AV220</f>
        <v>3146.928</v>
      </c>
      <c r="AY220" s="3">
        <f>AW220</f>
        <v>1149.756</v>
      </c>
      <c r="AZ220" s="3">
        <f>AX220</f>
        <v>3146.928</v>
      </c>
      <c r="BA220" s="3">
        <f>SUM(AW220:AZ220)</f>
        <v>8593.368</v>
      </c>
      <c r="BB220" s="3">
        <f>AZ220</f>
        <v>3146.928</v>
      </c>
      <c r="BC220" s="3">
        <f>BA220</f>
        <v>8593.368</v>
      </c>
      <c r="BD220" s="3">
        <f>BB220</f>
        <v>3146.928</v>
      </c>
      <c r="BE220" s="3">
        <f>BC220</f>
        <v>8593.368</v>
      </c>
      <c r="BF220" s="3">
        <f>SUM(BB220:BE220)</f>
        <v>23480.592</v>
      </c>
      <c r="BG220" s="3">
        <f>BE220</f>
        <v>8593.368</v>
      </c>
      <c r="BH220" s="3">
        <f>BF220</f>
        <v>23480.592</v>
      </c>
      <c r="BI220" s="3">
        <f>BG220</f>
        <v>8593.368</v>
      </c>
      <c r="BJ220" s="3">
        <f>BH220</f>
        <v>23480.592</v>
      </c>
      <c r="BK220" s="3">
        <f>SUM(BG220:BJ220)</f>
        <v>64147.92</v>
      </c>
      <c r="BL220" s="3">
        <f>BJ220</f>
        <v>23480.592</v>
      </c>
      <c r="BM220" s="3">
        <f>BK220</f>
        <v>64147.92</v>
      </c>
      <c r="BN220" s="3">
        <f>BL220</f>
        <v>23480.592</v>
      </c>
      <c r="BO220" s="3">
        <f>BM220</f>
        <v>64147.92</v>
      </c>
      <c r="BP220" s="3">
        <f>SUM(BL220:BO220)</f>
        <v>175257.024</v>
      </c>
      <c r="BQ220" s="3">
        <f>BO220</f>
        <v>64147.92</v>
      </c>
      <c r="BR220" s="3">
        <f>BP220</f>
        <v>175257.024</v>
      </c>
      <c r="BS220" s="3">
        <f>BQ220</f>
        <v>64147.92</v>
      </c>
      <c r="BT220" s="3">
        <f>BR220</f>
        <v>175257.024</v>
      </c>
      <c r="BU220" s="3">
        <f>SUM(BQ220:BT220)</f>
        <v>478809.888</v>
      </c>
      <c r="BV220" s="3">
        <f>BT220</f>
        <v>175257.024</v>
      </c>
      <c r="BW220" s="3">
        <f>BU220</f>
        <v>478809.888</v>
      </c>
      <c r="BX220" s="3">
        <f>BV220</f>
        <v>175257.024</v>
      </c>
      <c r="BY220" s="3">
        <f>BW220</f>
        <v>478809.888</v>
      </c>
      <c r="BZ220" s="3">
        <f>SUM(BV220:BY220)</f>
        <v>1308133.824</v>
      </c>
      <c r="CA220" s="3">
        <f>BY220</f>
        <v>478809.888</v>
      </c>
      <c r="CB220" s="3">
        <f>BZ220</f>
        <v>1308133.824</v>
      </c>
      <c r="CC220" s="3">
        <f>CA220</f>
        <v>478809.888</v>
      </c>
      <c r="CD220" s="3">
        <f>CB220</f>
        <v>1308133.824</v>
      </c>
      <c r="CE220" s="3">
        <f>SUM(CA220:CD220)</f>
        <v>3573887.424</v>
      </c>
      <c r="CF220" s="3">
        <f>CD220</f>
        <v>1308133.824</v>
      </c>
      <c r="CG220" s="3">
        <f>CE220</f>
        <v>3573887.424</v>
      </c>
      <c r="CH220" s="3">
        <f>CF220</f>
        <v>1308133.824</v>
      </c>
      <c r="CI220" s="3">
        <f>CG220</f>
        <v>3573887.424</v>
      </c>
      <c r="CJ220" s="3">
        <f>SUM(CF220:CI220)</f>
        <v>9764042.496</v>
      </c>
      <c r="CK220" s="3">
        <f>CI220</f>
        <v>3573887.424</v>
      </c>
      <c r="CL220" s="3">
        <f>CJ220</f>
        <v>9764042.496</v>
      </c>
      <c r="CM220" s="3">
        <f>CK220</f>
        <v>3573887.424</v>
      </c>
      <c r="CN220" s="3">
        <f>CL220</f>
        <v>9764042.496</v>
      </c>
      <c r="CO220" s="3">
        <f>SUM(CK220:CN220)</f>
        <v>26675859.84</v>
      </c>
      <c r="CP220" s="3">
        <f>CN220</f>
        <v>9764042.496</v>
      </c>
      <c r="CQ220" s="3">
        <f>CO220</f>
        <v>26675859.84</v>
      </c>
      <c r="CR220" s="3">
        <f>CP220</f>
        <v>9764042.496</v>
      </c>
      <c r="CS220" s="3">
        <f>CQ220</f>
        <v>26675859.84</v>
      </c>
      <c r="CT220" s="3">
        <f>SUM(CP220:CS220)</f>
        <v>72879804.672</v>
      </c>
      <c r="CU220" s="3">
        <f>CS220</f>
        <v>26675859.84</v>
      </c>
      <c r="CV220" s="3">
        <f>CT220</f>
        <v>72879804.672</v>
      </c>
      <c r="CW220" s="3">
        <f>CU220</f>
        <v>26675859.84</v>
      </c>
      <c r="CX220" s="3">
        <f>CV220</f>
        <v>72879804.672</v>
      </c>
      <c r="CY220" s="3">
        <f>SUM(CU220:CX220)</f>
        <v>199111329.024</v>
      </c>
    </row>
    <row r="221" hidden="1" outlineLevel="1">
      <c r="C221" s="34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  <c r="CU221" s="3" t="n"/>
      <c r="CV221" s="3" t="n"/>
      <c r="CW221" s="3" t="n"/>
      <c r="CX221" s="3" t="n"/>
      <c r="CY221" s="3" t="n"/>
    </row>
    <row r="222" hidden="1" outlineLevel="1">
      <c r="C222" s="32" t="inlineStr">
        <is>
          <t>Resultado Não Recorrente</t>
        </is>
      </c>
      <c r="D222" s="6" t="n"/>
      <c r="E222" s="6" t="n"/>
      <c r="F222" s="6" t="n"/>
      <c r="G222" s="6" t="n"/>
      <c r="H222" s="3" t="n"/>
      <c r="I222" s="6" t="n"/>
      <c r="J222" s="6" t="n"/>
      <c r="K222" s="6" t="n"/>
      <c r="L222" s="6" t="n"/>
      <c r="M222" s="3" t="n"/>
      <c r="N222" s="6" t="n"/>
      <c r="O222" s="6" t="n"/>
      <c r="P222" s="6" t="n"/>
      <c r="Q222" s="6" t="n"/>
      <c r="R222" s="3" t="n"/>
      <c r="S222" s="6" t="n"/>
      <c r="T222" s="6" t="n"/>
      <c r="U222" s="6" t="n"/>
      <c r="V222" s="6" t="n"/>
      <c r="W222" s="3" t="n"/>
      <c r="X222" s="6" t="n"/>
      <c r="Y222" s="6" t="n"/>
      <c r="Z222" s="6" t="n"/>
      <c r="AA222" s="6" t="n"/>
      <c r="AB222" s="3" t="n"/>
      <c r="AC222" s="6" t="n"/>
      <c r="AD222" s="6" t="n"/>
      <c r="AE222" s="6" t="n"/>
      <c r="AF222" s="6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  <c r="CU222" s="3" t="n"/>
      <c r="CV222" s="3" t="n"/>
      <c r="CW222" s="3" t="n"/>
      <c r="CX222" s="3" t="n"/>
      <c r="CY222" s="3" t="n"/>
    </row>
    <row r="223" hidden="1" outlineLevel="1">
      <c r="C223" s="32" t="inlineStr">
        <is>
          <t>Plano de Opção de Compra de Ações</t>
        </is>
      </c>
      <c r="D223" s="6" t="n"/>
      <c r="E223" s="6" t="n"/>
      <c r="F223" s="6" t="n"/>
      <c r="G223" s="6" t="n"/>
      <c r="H223" s="3" t="n"/>
      <c r="I223" s="6" t="n"/>
      <c r="J223" s="6" t="n"/>
      <c r="K223" s="6" t="n"/>
      <c r="L223" s="6" t="n"/>
      <c r="M223" s="3" t="n"/>
      <c r="N223" s="6" t="n"/>
      <c r="O223" s="6" t="n"/>
      <c r="P223" s="6" t="n"/>
      <c r="Q223" s="6" t="n"/>
      <c r="R223" s="3" t="n"/>
      <c r="S223" s="6" t="n"/>
      <c r="T223" s="6" t="n"/>
      <c r="U223" s="6" t="n"/>
      <c r="V223" s="6" t="n"/>
      <c r="W223" s="3" t="n"/>
      <c r="X223" s="6" t="n"/>
      <c r="Y223" s="6" t="n"/>
      <c r="Z223" s="6" t="n"/>
      <c r="AA223" s="6" t="n"/>
      <c r="AB223" s="3" t="n"/>
      <c r="AC223" s="6" t="n"/>
      <c r="AD223" s="6" t="n"/>
      <c r="AE223" s="6" t="n"/>
      <c r="AF223" s="6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  <c r="CU223" s="3" t="n"/>
      <c r="CV223" s="3" t="n"/>
      <c r="CW223" s="3" t="n"/>
      <c r="CX223" s="3" t="n"/>
      <c r="CY223" s="3" t="n"/>
    </row>
    <row r="224" hidden="1" outlineLevel="1">
      <c r="C224" s="32" t="inlineStr">
        <is>
          <t>Baixa Imobilizado</t>
        </is>
      </c>
      <c r="D224" s="6" t="n"/>
      <c r="E224" s="6" t="n"/>
      <c r="F224" s="6" t="n"/>
      <c r="G224" s="6" t="n"/>
      <c r="H224" s="3" t="n"/>
      <c r="I224" s="6" t="n"/>
      <c r="J224" s="6" t="n"/>
      <c r="K224" s="6" t="n"/>
      <c r="L224" s="6" t="n"/>
      <c r="M224" s="3" t="n"/>
      <c r="N224" s="6" t="n"/>
      <c r="O224" s="6" t="n"/>
      <c r="P224" s="6" t="n"/>
      <c r="Q224" s="6" t="n"/>
      <c r="R224" s="3" t="n"/>
      <c r="S224" s="6" t="n"/>
      <c r="T224" s="6" t="n"/>
      <c r="U224" s="6" t="n"/>
      <c r="V224" s="6" t="n"/>
      <c r="W224" s="3" t="n"/>
      <c r="X224" s="6" t="n"/>
      <c r="Y224" s="6" t="n"/>
      <c r="Z224" s="6" t="n"/>
      <c r="AA224" s="6" t="n"/>
      <c r="AB224" s="3" t="n"/>
      <c r="AC224" s="6" t="n"/>
      <c r="AD224" s="6" t="n"/>
      <c r="AE224" s="6" t="n"/>
      <c r="AF224" s="6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  <c r="CU224" s="3" t="n"/>
      <c r="CV224" s="3" t="n"/>
      <c r="CW224" s="3" t="n"/>
      <c r="CX224" s="3" t="n"/>
      <c r="CY224" s="3" t="n"/>
    </row>
    <row r="225" hidden="1" outlineLevel="1">
      <c r="C225" s="34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  <c r="CU225" s="3" t="n"/>
      <c r="CV225" s="3" t="n"/>
      <c r="CW225" s="3" t="n"/>
      <c r="CX225" s="3" t="n"/>
      <c r="CY225" s="3" t="n"/>
    </row>
    <row r="226" hidden="1" outlineLevel="1">
      <c r="C226" s="34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  <c r="CU226" s="3" t="n"/>
      <c r="CV226" s="3" t="n"/>
      <c r="CW226" s="3" t="n"/>
      <c r="CX226" s="3" t="n"/>
      <c r="CY226" s="3" t="n"/>
    </row>
    <row r="227" collapsed="1" customFormat="1" s="17">
      <c r="A227" s="13" t="n"/>
      <c r="B227" s="1" t="n"/>
      <c r="C227" s="14" t="inlineStr">
        <is>
          <t>Pretax Income - EBT</t>
        </is>
      </c>
      <c r="D227" s="16">
        <f>SUM(D170,D171,D220)</f>
        <v>490.981</v>
      </c>
      <c r="E227" s="16">
        <f>SUM(E170,E171,E220)</f>
        <v>302.124</v>
      </c>
      <c r="F227" s="16">
        <f>SUM(F170,F171,F220)</f>
        <v>602.409</v>
      </c>
      <c r="G227" s="16">
        <f>SUM(G170,G171,G220)</f>
        <v>1470.525</v>
      </c>
      <c r="H227" s="16">
        <f>SUM(D227:G227)</f>
        <v>2866.039</v>
      </c>
      <c r="I227" s="16">
        <f>SUM(I170,I171,I220)</f>
        <v>867.109</v>
      </c>
      <c r="J227" s="16">
        <f>SUM(J170,J171,J220)</f>
        <v>896.889</v>
      </c>
      <c r="K227" s="16">
        <f>SUM(K170,K171,K220)</f>
        <v>569.488</v>
      </c>
      <c r="L227" s="16">
        <f>SUM(L170,L171,L220)</f>
        <v>525.726</v>
      </c>
      <c r="M227" s="16">
        <f>SUM(I227:L227)</f>
        <v>2859.212</v>
      </c>
      <c r="N227" s="16">
        <f>SUM(N170,N171,N220)</f>
        <v>867.842</v>
      </c>
      <c r="O227" s="16">
        <f>SUM(O170,O171,O220)</f>
        <v>493.188</v>
      </c>
      <c r="P227" s="16">
        <f>SUM(P170,P171,P220)</f>
        <v>265.758</v>
      </c>
      <c r="Q227" s="16">
        <f>SUM(Q170,Q171,Q220)</f>
        <v>267.075</v>
      </c>
      <c r="R227" s="16">
        <f>SUM(N227:Q227)</f>
        <v>1893.863</v>
      </c>
      <c r="S227" s="16">
        <f>SUM(S170,S171,S220)</f>
        <v>491.266</v>
      </c>
      <c r="T227" s="16">
        <f>SUM(T170,T171,T220)</f>
        <v>384.866</v>
      </c>
      <c r="U227" s="16">
        <f>SUM(U170,U171,U220)</f>
        <v>193.73</v>
      </c>
      <c r="V227" s="16">
        <f>SUM(V170,V171,V220)</f>
        <v>369.233</v>
      </c>
      <c r="W227" s="16">
        <f>SUM(S227:V227)</f>
        <v>1439.095</v>
      </c>
      <c r="X227" s="16">
        <f>SUM(X170,X171,X220)</f>
        <v>498.866</v>
      </c>
      <c r="Y227" s="16">
        <f>SUM(Y170,Y171,Y220)</f>
        <v>476.8</v>
      </c>
      <c r="Z227" s="16">
        <f>SUM(Z170,Z171,Z220)</f>
        <v>407.081</v>
      </c>
      <c r="AA227" s="16">
        <f>SUM(AA170,AA171,AA220)</f>
        <v>409.767</v>
      </c>
      <c r="AB227" s="16">
        <f>SUM(X227:AA227)</f>
        <v>1792.514</v>
      </c>
      <c r="AC227" s="16">
        <f>SUM(AC170,AC171,AC220)</f>
        <v>566.99</v>
      </c>
      <c r="AD227" s="16">
        <f>SUM(AD170,AD171,AD220)</f>
        <v>428.966</v>
      </c>
      <c r="AE227" s="16">
        <f>SUM(AE170,AE171,AE220)</f>
        <v>403.132</v>
      </c>
      <c r="AF227" s="16">
        <f>SUM(AF170,AF171,AF220)</f>
        <v>542.401</v>
      </c>
      <c r="AG227" s="16">
        <f>SUM(AC227:AF227)</f>
        <v>1941.489</v>
      </c>
      <c r="AH227" s="16">
        <f>SUM(AH170,AH171,AH220)</f>
        <v>428.888</v>
      </c>
      <c r="AI227" s="16">
        <f>SUM(AI170,AI171,AI220)</f>
        <v>737.532</v>
      </c>
      <c r="AJ227" s="16">
        <f>SUM(AJ170,AJ171,AJ220)</f>
        <v>60.684</v>
      </c>
      <c r="AK227" s="16">
        <f>SUM(AK170,AK171,AK220)</f>
        <v>151.17</v>
      </c>
      <c r="AL227" s="16">
        <f>SUM(AH227:AK227)</f>
        <v>1378.274</v>
      </c>
      <c r="AM227" s="16">
        <f>SUM(AM170,AM171,AM220)</f>
        <v>151.17</v>
      </c>
      <c r="AN227" s="16">
        <f>SUM(AN170,AN171,AN220)</f>
        <v>423.708</v>
      </c>
      <c r="AO227" s="16">
        <f>SUM(AO170,AO171,AO220)</f>
        <v>151.17</v>
      </c>
      <c r="AP227" s="16">
        <f>SUM(AP170,AP171,AP220)</f>
        <v>423.708</v>
      </c>
      <c r="AQ227" s="16">
        <f>SUM(AM227:AP227)</f>
        <v>1149.756</v>
      </c>
      <c r="AR227" s="16">
        <f>SUM(AR170,AR171,AR220)</f>
        <v>423.708</v>
      </c>
      <c r="AS227" s="16">
        <f>SUM(AS170,AS171,AS220)</f>
        <v>1149.756</v>
      </c>
      <c r="AT227" s="16">
        <f>SUM(AT170,AT171,AT220)</f>
        <v>423.708</v>
      </c>
      <c r="AU227" s="16">
        <f>SUM(AU170,AU171,AU220)</f>
        <v>1149.756</v>
      </c>
      <c r="AV227" s="16">
        <f>SUM(AR227:AU227)</f>
        <v>3146.928</v>
      </c>
      <c r="AW227" s="16">
        <f>SUM(AW170,AW171,AW220)</f>
        <v>1149.756</v>
      </c>
      <c r="AX227" s="16">
        <f>SUM(AX170,AX171,AX220)</f>
        <v>3146.928</v>
      </c>
      <c r="AY227" s="16">
        <f>SUM(AY170,AY171,AY220)</f>
        <v>1149.756</v>
      </c>
      <c r="AZ227" s="16">
        <f>SUM(AZ170,AZ171,AZ220)</f>
        <v>3146.928</v>
      </c>
      <c r="BA227" s="16">
        <f>SUM(AW227:AZ227)</f>
        <v>8593.368</v>
      </c>
      <c r="BB227" s="16">
        <f>SUM(BB170,BB171,BB220)</f>
        <v>3146.928</v>
      </c>
      <c r="BC227" s="16">
        <f>SUM(BC170,BC171,BC220)</f>
        <v>8593.368</v>
      </c>
      <c r="BD227" s="16">
        <f>SUM(BD170,BD171,BD220)</f>
        <v>3146.928</v>
      </c>
      <c r="BE227" s="16">
        <f>SUM(BE170,BE171,BE220)</f>
        <v>8593.368</v>
      </c>
      <c r="BF227" s="16">
        <f>SUM(BB227:BE227)</f>
        <v>23480.592</v>
      </c>
      <c r="BG227" s="16">
        <f>SUM(BG170,BG171,BG220)</f>
        <v>8593.368</v>
      </c>
      <c r="BH227" s="16">
        <f>SUM(BH170,BH171,BH220)</f>
        <v>23480.592</v>
      </c>
      <c r="BI227" s="16">
        <f>SUM(BI170,BI171,BI220)</f>
        <v>8593.368</v>
      </c>
      <c r="BJ227" s="16">
        <f>SUM(BJ170,BJ171,BJ220)</f>
        <v>23480.592</v>
      </c>
      <c r="BK227" s="16">
        <f>SUM(BG227:BJ227)</f>
        <v>64147.92</v>
      </c>
      <c r="BL227" s="16">
        <f>SUM(BL170,BL171,BL220)</f>
        <v>23480.592</v>
      </c>
      <c r="BM227" s="16">
        <f>SUM(BM170,BM171,BM220)</f>
        <v>64147.92</v>
      </c>
      <c r="BN227" s="16">
        <f>SUM(BN170,BN171,BN220)</f>
        <v>23480.592</v>
      </c>
      <c r="BO227" s="16">
        <f>SUM(BO170,BO171,BO220)</f>
        <v>64147.92</v>
      </c>
      <c r="BP227" s="16">
        <f>SUM(BL227:BO227)</f>
        <v>175257.024</v>
      </c>
      <c r="BQ227" s="16">
        <f>SUM(BQ170,BQ171,BQ220)</f>
        <v>64147.92</v>
      </c>
      <c r="BR227" s="16">
        <f>SUM(BR170,BR171,BR220)</f>
        <v>175257.024</v>
      </c>
      <c r="BS227" s="16">
        <f>SUM(BS170,BS171,BS220)</f>
        <v>64147.92</v>
      </c>
      <c r="BT227" s="16">
        <f>SUM(BT170,BT171,BT220)</f>
        <v>175257.024</v>
      </c>
      <c r="BU227" s="16">
        <f>SUM(BQ227:BT227)</f>
        <v>478809.888</v>
      </c>
      <c r="BV227" s="16">
        <f>SUM(BV170,BV171,BV220)</f>
        <v>175257.024</v>
      </c>
      <c r="BW227" s="16">
        <f>SUM(BW170,BW171,BW220)</f>
        <v>478809.888</v>
      </c>
      <c r="BX227" s="16">
        <f>SUM(BX170,BX171,BX220)</f>
        <v>175257.024</v>
      </c>
      <c r="BY227" s="16">
        <f>SUM(BY170,BY171,BY220)</f>
        <v>478809.888</v>
      </c>
      <c r="BZ227" s="16">
        <f>SUM(BV227:BY227)</f>
        <v>1308133.824</v>
      </c>
      <c r="CA227" s="16">
        <f>SUM(CA170,CA171,CA220)</f>
        <v>478809.888</v>
      </c>
      <c r="CB227" s="16">
        <f>SUM(CB170,CB171,CB220)</f>
        <v>1308133.824</v>
      </c>
      <c r="CC227" s="16">
        <f>SUM(CC170,CC171,CC220)</f>
        <v>478809.888</v>
      </c>
      <c r="CD227" s="16">
        <f>SUM(CD170,CD171,CD220)</f>
        <v>1308133.824</v>
      </c>
      <c r="CE227" s="16">
        <f>SUM(CA227:CD227)</f>
        <v>3573887.424</v>
      </c>
      <c r="CF227" s="16">
        <f>SUM(CF170,CF171,CF220)</f>
        <v>1308133.824</v>
      </c>
      <c r="CG227" s="16">
        <f>SUM(CG170,CG171,CG220)</f>
        <v>3573887.424</v>
      </c>
      <c r="CH227" s="16">
        <f>SUM(CH170,CH171,CH220)</f>
        <v>1308133.824</v>
      </c>
      <c r="CI227" s="16">
        <f>SUM(CI170,CI171,CI220)</f>
        <v>3573887.424</v>
      </c>
      <c r="CJ227" s="16">
        <f>SUM(CF227:CI227)</f>
        <v>9764042.496</v>
      </c>
      <c r="CK227" s="16">
        <f>SUM(CK170,CK171,CK220)</f>
        <v>3573887.424</v>
      </c>
      <c r="CL227" s="16">
        <f>SUM(CL170,CL171,CL220)</f>
        <v>9764042.496</v>
      </c>
      <c r="CM227" s="16">
        <f>SUM(CM170,CM171,CM220)</f>
        <v>3573887.424</v>
      </c>
      <c r="CN227" s="16">
        <f>SUM(CN170,CN171,CN220)</f>
        <v>9764042.496</v>
      </c>
      <c r="CO227" s="16">
        <f>SUM(CK227:CN227)</f>
        <v>26675859.84</v>
      </c>
      <c r="CP227" s="16">
        <f>SUM(CP170,CP171,CP220)</f>
        <v>9764042.496</v>
      </c>
      <c r="CQ227" s="16">
        <f>SUM(CQ170,CQ171,CQ220)</f>
        <v>26675859.84</v>
      </c>
      <c r="CR227" s="16">
        <f>SUM(CR170,CR171,CR220)</f>
        <v>9764042.496</v>
      </c>
      <c r="CS227" s="16">
        <f>SUM(CS170,CS171,CS220)</f>
        <v>26675859.84</v>
      </c>
      <c r="CT227" s="16">
        <f>SUM(CP227:CS227)</f>
        <v>72879804.672</v>
      </c>
      <c r="CU227" s="16">
        <f>SUM(CU170,CU171,CU220)</f>
        <v>26675859.84</v>
      </c>
      <c r="CV227" s="16">
        <f>SUM(CV170,CV171,CV220)</f>
        <v>72879804.672</v>
      </c>
      <c r="CW227" s="16">
        <f>SUM(CW170,CW171,CW220)</f>
        <v>26675859.84</v>
      </c>
      <c r="CX227" s="16">
        <f>SUM(CX170,CX171,CX220)</f>
        <v>72879804.672</v>
      </c>
      <c r="CY227" s="16">
        <f>SUM(CU227:CX227)</f>
        <v>199111329.024</v>
      </c>
    </row>
    <row r="228">
      <c r="C228" s="26" t="inlineStr">
        <is>
          <t>Taxes</t>
        </is>
      </c>
      <c r="D228" s="25">
        <f>INDEX('Inputs (2)'!$D$10:$AL$10,MATCH(D$7,'Inputs (2)'!$D$2:$AL$2,0))</f>
        <v>-111.997</v>
      </c>
      <c r="E228" s="25">
        <f>INDEX('Inputs (2)'!$D$10:$AL$10,MATCH(E$7,'Inputs (2)'!$D$2:$AL$2,0))</f>
        <v>-105.085</v>
      </c>
      <c r="F228" s="25">
        <f>INDEX('Inputs (2)'!$D$10:$AL$10,MATCH(F$7,'Inputs (2)'!$D$2:$AL$2,0))</f>
        <v>-155.754</v>
      </c>
      <c r="G228" s="25">
        <f>INDEX('Inputs (2)'!$D$10:$AL$10,MATCH(G$7,'Inputs (2)'!$D$2:$AL$2,0))</f>
        <v>-428.474</v>
      </c>
      <c r="H228" s="3">
        <f>SUM(D228:G228)</f>
        <v>-801.31</v>
      </c>
      <c r="I228" s="25">
        <f>INDEX('Inputs (2)'!$D$10:$AL$10,MATCH(I$7,'Inputs (2)'!$D$2:$AL$2,0))</f>
        <v>-207.688</v>
      </c>
      <c r="J228" s="25">
        <f>INDEX('Inputs (2)'!$D$10:$AL$10,MATCH(J$7,'Inputs (2)'!$D$2:$AL$2,0))</f>
        <v>-222.51</v>
      </c>
      <c r="K228" s="25">
        <f>INDEX('Inputs (2)'!$D$10:$AL$10,MATCH(K$7,'Inputs (2)'!$D$2:$AL$2,0))</f>
        <v>-141.599</v>
      </c>
      <c r="L228" s="25">
        <f>INDEX('Inputs (2)'!$D$10:$AL$10,MATCH(L$7,'Inputs (2)'!$D$2:$AL$2,0))</f>
        <v>-169.854</v>
      </c>
      <c r="M228" s="3">
        <f>SUM(I228:L228)</f>
        <v>-741.651</v>
      </c>
      <c r="N228" s="25">
        <f>INDEX('Inputs (2)'!$D$10:$AL$10,MATCH(N$7,'Inputs (2)'!$D$2:$AL$2,0))</f>
        <v>-128.849</v>
      </c>
      <c r="O228" s="25">
        <f>INDEX('Inputs (2)'!$D$10:$AL$10,MATCH(O$7,'Inputs (2)'!$D$2:$AL$2,0))</f>
        <v>-127.79</v>
      </c>
      <c r="P228" s="25">
        <f>INDEX('Inputs (2)'!$D$10:$AL$10,MATCH(P$7,'Inputs (2)'!$D$2:$AL$2,0))</f>
        <v>-17.437</v>
      </c>
      <c r="Q228" s="25">
        <f>INDEX('Inputs (2)'!$D$10:$AL$10,MATCH(Q$7,'Inputs (2)'!$D$2:$AL$2,0))</f>
        <v>38.12</v>
      </c>
      <c r="R228" s="3">
        <f>SUM(N228:Q228)</f>
        <v>-235.956</v>
      </c>
      <c r="S228" s="25">
        <f>INDEX('Inputs (2)'!$D$10:$AL$10,MATCH(S$7,'Inputs (2)'!$D$2:$AL$2,0))</f>
        <v>-104.797</v>
      </c>
      <c r="T228" s="25">
        <f>INDEX('Inputs (2)'!$D$10:$AL$10,MATCH(T$7,'Inputs (2)'!$D$2:$AL$2,0))</f>
        <v>-65.437</v>
      </c>
      <c r="U228" s="25">
        <f>INDEX('Inputs (2)'!$D$10:$AL$10,MATCH(U$7,'Inputs (2)'!$D$2:$AL$2,0))</f>
        <v>-32.784</v>
      </c>
      <c r="V228" s="25">
        <f>INDEX('Inputs (2)'!$D$10:$AL$10,MATCH(V$7,'Inputs (2)'!$D$2:$AL$2,0))</f>
        <v>-126.259</v>
      </c>
      <c r="W228" s="3">
        <f>SUM(S228:V228)</f>
        <v>-329.277</v>
      </c>
      <c r="X228" s="25">
        <f>INDEX('Inputs (2)'!$D$10:$AL$10,MATCH(X$7,'Inputs (2)'!$D$2:$AL$2,0))</f>
        <v>-112.21</v>
      </c>
      <c r="Y228" s="25">
        <f>INDEX('Inputs (2)'!$D$10:$AL$10,MATCH(Y$7,'Inputs (2)'!$D$2:$AL$2,0))</f>
        <v>-114.191</v>
      </c>
      <c r="Z228" s="25">
        <f>INDEX('Inputs (2)'!$D$10:$AL$10,MATCH(Z$7,'Inputs (2)'!$D$2:$AL$2,0))</f>
        <v>189.882</v>
      </c>
      <c r="AA228" s="25">
        <f>INDEX('Inputs (2)'!$D$10:$AL$10,MATCH(AA$7,'Inputs (2)'!$D$2:$AL$2,0))</f>
        <v>-45.092</v>
      </c>
      <c r="AB228" s="3">
        <f>SUM(X228:AA228)</f>
        <v>-81.611</v>
      </c>
      <c r="AC228" s="25">
        <f>INDEX('Inputs (2)'!$D$10:$AL$10,MATCH(AC$7,'Inputs (2)'!$D$2:$AL$2,0))</f>
        <v>-131.237</v>
      </c>
      <c r="AD228" s="25">
        <f>INDEX('Inputs (2)'!$D$10:$AL$10,MATCH(AD$7,'Inputs (2)'!$D$2:$AL$2,0))</f>
        <v>-65.277</v>
      </c>
      <c r="AE228" s="25">
        <f>INDEX('Inputs (2)'!$D$10:$AL$10,MATCH(AE$7,'Inputs (2)'!$D$2:$AL$2,0))</f>
        <v>-191.825</v>
      </c>
      <c r="AF228" s="25">
        <f>INDEX('Inputs (2)'!$D$10:$AL$10,MATCH(AF$7,'Inputs (2)'!$D$2:$AL$2,0))</f>
        <v>-121.15</v>
      </c>
      <c r="AG228" s="3">
        <f>SUM(AC228:AF228)</f>
        <v>-509.489</v>
      </c>
      <c r="AH228" s="3">
        <f>INDEX('Inputs (2)'!$D$10:$AL$10,MATCH(AH$7,'Inputs (2)'!$D$2:$AL$2,0))</f>
        <v>-116.027</v>
      </c>
      <c r="AI228" s="3">
        <f>INDEX('Inputs (2)'!$D$10:$AL$10,MATCH(AI$7,'Inputs (2)'!$D$2:$AL$2,0))</f>
        <v>-54.921</v>
      </c>
      <c r="AJ228" s="3">
        <f>AJ229*-AJ227</f>
        <v>0</v>
      </c>
      <c r="AK228" s="3">
        <f>AK229*-AK227</f>
        <v>0</v>
      </c>
      <c r="AL228" s="3">
        <f>SUM(AH228:AK228)</f>
        <v>-170.948</v>
      </c>
      <c r="AM228" s="3">
        <f>AM229*-AM227</f>
        <v>0</v>
      </c>
      <c r="AN228" s="3">
        <f>AN229*-AN227</f>
        <v>0</v>
      </c>
      <c r="AO228" s="3">
        <f>AO229*-AO227</f>
        <v>0</v>
      </c>
      <c r="AP228" s="3">
        <f>AP229*-AP227</f>
        <v>0</v>
      </c>
      <c r="AQ228" s="3">
        <f>SUM(AM228:AP228)</f>
        <v>0</v>
      </c>
      <c r="AR228" s="3">
        <f>AR229*-AR227</f>
        <v>0</v>
      </c>
      <c r="AS228" s="3">
        <f>AS229*-AS227</f>
        <v>0</v>
      </c>
      <c r="AT228" s="3">
        <f>AT229*-AT227</f>
        <v>0</v>
      </c>
      <c r="AU228" s="3">
        <f>AU229*-AU227</f>
        <v>0</v>
      </c>
      <c r="AV228" s="3">
        <f>SUM(AR228:AU228)</f>
        <v>0</v>
      </c>
      <c r="AW228" s="3">
        <f>AW229*-AW227</f>
        <v>0</v>
      </c>
      <c r="AX228" s="3">
        <f>AX229*-AX227</f>
        <v>0</v>
      </c>
      <c r="AY228" s="3">
        <f>AY229*-AY227</f>
        <v>0</v>
      </c>
      <c r="AZ228" s="3">
        <f>AZ229*-AZ227</f>
        <v>0</v>
      </c>
      <c r="BA228" s="3">
        <f>SUM(AW228:AZ228)</f>
        <v>0</v>
      </c>
      <c r="BB228" s="3">
        <f>BB229*-BB227</f>
        <v>0</v>
      </c>
      <c r="BC228" s="3">
        <f>BC229*-BC227</f>
        <v>0</v>
      </c>
      <c r="BD228" s="3">
        <f>BD229*-BD227</f>
        <v>0</v>
      </c>
      <c r="BE228" s="3">
        <f>BE229*-BE227</f>
        <v>0</v>
      </c>
      <c r="BF228" s="3">
        <f>SUM(BB228:BE228)</f>
        <v>0</v>
      </c>
      <c r="BG228" s="3">
        <f>BG229*-BG227</f>
        <v>0</v>
      </c>
      <c r="BH228" s="3">
        <f>BH229*-BH227</f>
        <v>0</v>
      </c>
      <c r="BI228" s="3">
        <f>BI229*-BI227</f>
        <v>0</v>
      </c>
      <c r="BJ228" s="3">
        <f>BJ229*-BJ227</f>
        <v>0</v>
      </c>
      <c r="BK228" s="3">
        <f>SUM(BG228:BJ228)</f>
        <v>0</v>
      </c>
      <c r="BL228" s="3">
        <f>BL229*-BL227</f>
        <v>0</v>
      </c>
      <c r="BM228" s="3">
        <f>BM229*-BM227</f>
        <v>0</v>
      </c>
      <c r="BN228" s="3">
        <f>BN229*-BN227</f>
        <v>0</v>
      </c>
      <c r="BO228" s="3">
        <f>BO229*-BO227</f>
        <v>0</v>
      </c>
      <c r="BP228" s="3">
        <f>SUM(BL228:BO228)</f>
        <v>0</v>
      </c>
      <c r="BQ228" s="3">
        <f>BQ229*-BQ227</f>
        <v>0</v>
      </c>
      <c r="BR228" s="3">
        <f>BR229*-BR227</f>
        <v>0</v>
      </c>
      <c r="BS228" s="3">
        <f>BS229*-BS227</f>
        <v>0</v>
      </c>
      <c r="BT228" s="3">
        <f>BT229*-BT227</f>
        <v>0</v>
      </c>
      <c r="BU228" s="3">
        <f>SUM(BQ228:BT228)</f>
        <v>0</v>
      </c>
      <c r="BV228" s="3">
        <f>BV229*-BV227</f>
        <v>0</v>
      </c>
      <c r="BW228" s="3">
        <f>BW229*-BW227</f>
        <v>0</v>
      </c>
      <c r="BX228" s="3">
        <f>BX229*-BX227</f>
        <v>0</v>
      </c>
      <c r="BY228" s="3">
        <f>BY229*-BY227</f>
        <v>0</v>
      </c>
      <c r="BZ228" s="3">
        <f>SUM(BV228:BY228)</f>
        <v>0</v>
      </c>
      <c r="CA228" s="3">
        <f>CA229*-CA227</f>
        <v>0</v>
      </c>
      <c r="CB228" s="3">
        <f>CB229*-CB227</f>
        <v>0</v>
      </c>
      <c r="CC228" s="3">
        <f>CC229*-CC227</f>
        <v>0</v>
      </c>
      <c r="CD228" s="3">
        <f>CD229*-CD227</f>
        <v>0</v>
      </c>
      <c r="CE228" s="3">
        <f>SUM(CA228:CD228)</f>
        <v>0</v>
      </c>
      <c r="CF228" s="3">
        <f>CF229*-CF227</f>
        <v>0</v>
      </c>
      <c r="CG228" s="3">
        <f>CG229*-CG227</f>
        <v>0</v>
      </c>
      <c r="CH228" s="3">
        <f>CH229*-CH227</f>
        <v>0</v>
      </c>
      <c r="CI228" s="3">
        <f>CI229*-CI227</f>
        <v>0</v>
      </c>
      <c r="CJ228" s="3">
        <f>SUM(CF228:CI228)</f>
        <v>0</v>
      </c>
      <c r="CK228" s="3">
        <f>CK229*-CK227</f>
        <v>0</v>
      </c>
      <c r="CL228" s="3">
        <f>CL229*-CL227</f>
        <v>0</v>
      </c>
      <c r="CM228" s="3">
        <f>CM229*-CM227</f>
        <v>0</v>
      </c>
      <c r="CN228" s="3">
        <f>CN229*-CN227</f>
        <v>0</v>
      </c>
      <c r="CO228" s="3">
        <f>SUM(CK228:CN228)</f>
        <v>0</v>
      </c>
      <c r="CP228" s="3">
        <f>CP229*-CP227</f>
        <v>0</v>
      </c>
      <c r="CQ228" s="3">
        <f>CQ229*-CQ227</f>
        <v>0</v>
      </c>
      <c r="CR228" s="3">
        <f>CR229*-CR227</f>
        <v>0</v>
      </c>
      <c r="CS228" s="3">
        <f>CS229*-CS227</f>
        <v>0</v>
      </c>
      <c r="CT228" s="3">
        <f>SUM(CP228:CS228)</f>
        <v>0</v>
      </c>
      <c r="CU228" s="3">
        <f>CU229*-CU227</f>
        <v>0</v>
      </c>
      <c r="CV228" s="3">
        <f>CV229*-CV227</f>
        <v>0</v>
      </c>
      <c r="CW228" s="3">
        <f>CW229*-CW227</f>
        <v>0</v>
      </c>
      <c r="CX228" s="3">
        <f>CX229*-CX227</f>
        <v>0</v>
      </c>
      <c r="CY228" s="3">
        <f>SUM(CU228:CX228)</f>
        <v>0</v>
      </c>
    </row>
    <row r="229" hidden="1" outlineLevel="1">
      <c r="C229" s="34" t="inlineStr">
        <is>
          <t>% ETR</t>
        </is>
      </c>
      <c r="D229" s="48">
        <f>-D228/D227</f>
        <v>0.22810862334795</v>
      </c>
      <c r="E229" s="48">
        <f>-E228/E227</f>
        <v>0.347820762335995</v>
      </c>
      <c r="F229" s="48">
        <f>-F228/F227</f>
        <v>0.258551914065029</v>
      </c>
      <c r="G229" s="48">
        <f>-G228/G227</f>
        <v>0.291374849118512</v>
      </c>
      <c r="H229" s="48">
        <f>-H228/H227</f>
        <v>0.279587960945402</v>
      </c>
      <c r="I229" s="48">
        <f>-I228/I227</f>
        <v>0.239517753823337</v>
      </c>
      <c r="J229" s="48">
        <f>-J228/J227</f>
        <v>0.248090900880711</v>
      </c>
      <c r="K229" s="48">
        <f>-K228/K227</f>
        <v>0.248642640406822</v>
      </c>
      <c r="L229" s="48">
        <f>-L228/L227</f>
        <v>0.323084648657285</v>
      </c>
      <c r="M229" s="48">
        <f>-M228/M227</f>
        <v>0.259389999762172</v>
      </c>
      <c r="N229" s="48">
        <f>-N228/N227</f>
        <v>0.148470574136767</v>
      </c>
      <c r="O229" s="48">
        <f>-O228/O227</f>
        <v>0.259110116223428</v>
      </c>
      <c r="P229" s="48">
        <f>-P228/P227</f>
        <v>0.0656123239940096</v>
      </c>
      <c r="Q229" s="48">
        <f>-Q228/Q227</f>
        <v>-0.142731442478705</v>
      </c>
      <c r="R229" s="48">
        <f>-R228/R227</f>
        <v>0.124589793453909</v>
      </c>
      <c r="S229" s="48">
        <f>-S228/S227</f>
        <v>0.213320278627057</v>
      </c>
      <c r="T229" s="48">
        <f>-T228/T227</f>
        <v>0.170025411441904</v>
      </c>
      <c r="U229" s="48">
        <f>-U228/U227</f>
        <v>0.169225210344294</v>
      </c>
      <c r="V229" s="48">
        <f>-V228/V227</f>
        <v>0.341949392389088</v>
      </c>
      <c r="W229" s="48">
        <f>-W228/W227</f>
        <v>0.22880838304629</v>
      </c>
      <c r="X229" s="48">
        <f>-X228/X227</f>
        <v>0.22493014156106</v>
      </c>
      <c r="Y229" s="48">
        <f>-Y228/Y227</f>
        <v>0.239494546979866</v>
      </c>
      <c r="Z229" s="48">
        <f>-Z228/Z227</f>
        <v>-0.466447709423923</v>
      </c>
      <c r="AA229" s="48">
        <f>-AA228/AA227</f>
        <v>0.11004302445048</v>
      </c>
      <c r="AB229" s="48">
        <f>-AB228/AB227</f>
        <v>0.0455287936384318</v>
      </c>
      <c r="AC229" s="48">
        <f>-AC228/AC227</f>
        <v>0.231462636025327</v>
      </c>
      <c r="AD229" s="48">
        <f>-AD228/AD227</f>
        <v>0.152172899483875</v>
      </c>
      <c r="AE229" s="48">
        <f>-AE228/AE227</f>
        <v>0.475836698649574</v>
      </c>
      <c r="AF229" s="44">
        <f>-AF228/AF227</f>
        <v>0.223358732745699</v>
      </c>
      <c r="AG229" s="48">
        <f>-AG228/AG227</f>
        <v>0.262421780396386</v>
      </c>
      <c r="AH229" s="44">
        <f>-AH228/AH227</f>
        <v>0.270529835294995</v>
      </c>
      <c r="AI229" s="44">
        <f>-AI228/AI227</f>
        <v>0.0744659214786613</v>
      </c>
      <c r="AJ229" s="44" t="n"/>
      <c r="AK229" s="44" t="n"/>
      <c r="AL229" s="48">
        <f>-AL228/AL227</f>
        <v>0.124030490308894</v>
      </c>
      <c r="AM229" s="44" t="n"/>
      <c r="AN229" s="44" t="n"/>
      <c r="AO229" s="44" t="n"/>
      <c r="AP229" s="44" t="n"/>
      <c r="AQ229" s="48">
        <f>-AQ228/AQ227</f>
        <v>0</v>
      </c>
      <c r="AR229" s="44" t="n"/>
      <c r="AS229" s="44" t="n"/>
      <c r="AT229" s="44" t="n"/>
      <c r="AU229" s="44" t="n"/>
      <c r="AV229" s="48">
        <f>-AV228/AV227</f>
        <v>0</v>
      </c>
      <c r="AW229" s="44" t="n"/>
      <c r="AX229" s="44" t="n"/>
      <c r="AY229" s="44" t="n"/>
      <c r="AZ229" s="44" t="n"/>
      <c r="BA229" s="48">
        <f>-BA228/BA227</f>
        <v>0</v>
      </c>
      <c r="BB229" s="44" t="n"/>
      <c r="BC229" s="44" t="n"/>
      <c r="BD229" s="44" t="n"/>
      <c r="BE229" s="44" t="n"/>
      <c r="BF229" s="48">
        <f>-BF228/BF227</f>
        <v>0</v>
      </c>
      <c r="BG229" s="44" t="n"/>
      <c r="BH229" s="44" t="n"/>
      <c r="BI229" s="44" t="n"/>
      <c r="BJ229" s="44" t="n"/>
      <c r="BK229" s="48">
        <f>-BK228/BK227</f>
        <v>0</v>
      </c>
      <c r="BL229" s="44" t="n"/>
      <c r="BM229" s="44" t="n"/>
      <c r="BN229" s="44" t="n"/>
      <c r="BO229" s="44" t="n"/>
      <c r="BP229" s="48">
        <f>-BP228/BP227</f>
        <v>0</v>
      </c>
      <c r="BQ229" s="44" t="n"/>
      <c r="BR229" s="44" t="n"/>
      <c r="BS229" s="44" t="n"/>
      <c r="BT229" s="44" t="n"/>
      <c r="BU229" s="48">
        <f>-BU228/BU227</f>
        <v>0</v>
      </c>
      <c r="BV229" s="44" t="n"/>
      <c r="BW229" s="44" t="n"/>
      <c r="BX229" s="44" t="n"/>
      <c r="BY229" s="44" t="n"/>
      <c r="BZ229" s="48">
        <f>-BZ228/BZ227</f>
        <v>0</v>
      </c>
      <c r="CA229" s="44" t="n"/>
      <c r="CB229" s="44" t="n"/>
      <c r="CC229" s="44" t="n"/>
      <c r="CD229" s="44" t="n"/>
      <c r="CE229" s="48">
        <f>-CE228/CE227</f>
        <v>0</v>
      </c>
      <c r="CF229" s="44" t="n"/>
      <c r="CG229" s="44" t="n"/>
      <c r="CH229" s="44" t="n"/>
      <c r="CI229" s="44" t="n"/>
      <c r="CJ229" s="48">
        <f>-CJ228/CJ227</f>
        <v>0</v>
      </c>
      <c r="CK229" s="44" t="n"/>
      <c r="CL229" s="44" t="n"/>
      <c r="CM229" s="44" t="n"/>
      <c r="CN229" s="44" t="n"/>
      <c r="CO229" s="48">
        <f>-CO228/CO227</f>
        <v>0</v>
      </c>
      <c r="CP229" s="44" t="n"/>
      <c r="CQ229" s="44" t="n"/>
      <c r="CR229" s="44" t="n"/>
      <c r="CS229" s="44" t="n"/>
      <c r="CT229" s="48">
        <f>-CT228/CT227</f>
        <v>0</v>
      </c>
      <c r="CU229" s="44" t="n"/>
      <c r="CV229" s="44" t="n"/>
      <c r="CW229" s="44" t="n"/>
      <c r="CX229" s="44" t="n"/>
      <c r="CY229" s="48">
        <f>-CY228/CY227</f>
        <v>0</v>
      </c>
    </row>
    <row r="230" hidden="1" outlineLevel="1">
      <c r="C230" s="34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</row>
    <row r="231" hidden="1" outlineLevel="1">
      <c r="C231" s="34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  <c r="CU231" s="3" t="n"/>
      <c r="CV231" s="3" t="n"/>
      <c r="CW231" s="3" t="n"/>
      <c r="CX231" s="3" t="n"/>
      <c r="CY231" s="3" t="n"/>
    </row>
    <row r="232" collapsed="1">
      <c r="C232" s="26" t="inlineStr">
        <is>
          <t>Equity in Income of Affiliates, after tax (enter as +)</t>
        </is>
      </c>
      <c r="D232" s="25">
        <f>INDEX('Inputs (2)'!$D$11:$AL$11,MATCH(D$7,'Inputs (2)'!$D$2:$AL$2,0))</f>
        <v>-1.451</v>
      </c>
      <c r="E232" s="25">
        <f>INDEX('Inputs (2)'!$D$11:$AL$11,MATCH(E$7,'Inputs (2)'!$D$2:$AL$2,0))</f>
        <v>0.938000000000029</v>
      </c>
      <c r="F232" s="25">
        <f>INDEX('Inputs (2)'!$D$11:$AL$11,MATCH(F$7,'Inputs (2)'!$D$2:$AL$2,0))</f>
        <v>0.426999999999971</v>
      </c>
      <c r="G232" s="25">
        <f>INDEX('Inputs (2)'!$D$11:$AL$11,MATCH(G$7,'Inputs (2)'!$D$2:$AL$2,0))</f>
        <v>-9.138</v>
      </c>
      <c r="H232" s="3">
        <f>SUM(D232:G232)</f>
        <v>-9.224</v>
      </c>
      <c r="I232" s="25">
        <f>INDEX('Inputs (2)'!$D$11:$AL$11,MATCH(I$7,'Inputs (2)'!$D$2:$AL$2,0))</f>
        <v>1.466</v>
      </c>
      <c r="J232" s="25">
        <f>INDEX('Inputs (2)'!$D$11:$AL$11,MATCH(J$7,'Inputs (2)'!$D$2:$AL$2,0))</f>
        <v>2.109</v>
      </c>
      <c r="K232" s="25">
        <f>INDEX('Inputs (2)'!$D$11:$AL$11,MATCH(K$7,'Inputs (2)'!$D$2:$AL$2,0))</f>
        <v>1.143</v>
      </c>
      <c r="L232" s="25">
        <f>INDEX('Inputs (2)'!$D$11:$AL$11,MATCH(L$7,'Inputs (2)'!$D$2:$AL$2,0))</f>
        <v>0.537</v>
      </c>
      <c r="M232" s="3">
        <f>SUM(I232:L232)</f>
        <v>5.255</v>
      </c>
      <c r="N232" s="25">
        <f>INDEX('Inputs (2)'!$D$11:$AL$11,MATCH(N$7,'Inputs (2)'!$D$2:$AL$2,0))</f>
        <v>-0.114</v>
      </c>
      <c r="O232" s="25">
        <f>INDEX('Inputs (2)'!$D$11:$AL$11,MATCH(O$7,'Inputs (2)'!$D$2:$AL$2,0))</f>
        <v>2.533</v>
      </c>
      <c r="P232" s="25">
        <f>INDEX('Inputs (2)'!$D$11:$AL$11,MATCH(P$7,'Inputs (2)'!$D$2:$AL$2,0))</f>
        <v>1.949</v>
      </c>
      <c r="Q232" s="25">
        <f>INDEX('Inputs (2)'!$D$11:$AL$11,MATCH(Q$7,'Inputs (2)'!$D$2:$AL$2,0))</f>
        <v>1.598</v>
      </c>
      <c r="R232" s="3">
        <f>SUM(N232:Q232)</f>
        <v>5.966</v>
      </c>
      <c r="S232" s="25">
        <f>INDEX('Inputs (2)'!$D$11:$AL$11,MATCH(S$7,'Inputs (2)'!$D$2:$AL$2,0))</f>
        <v>0.859</v>
      </c>
      <c r="T232" s="25">
        <f>INDEX('Inputs (2)'!$D$11:$AL$11,MATCH(T$7,'Inputs (2)'!$D$2:$AL$2,0))</f>
        <v>20.152</v>
      </c>
      <c r="U232" s="25">
        <f>INDEX('Inputs (2)'!$D$11:$AL$11,MATCH(U$7,'Inputs (2)'!$D$2:$AL$2,0))</f>
        <v>6.246</v>
      </c>
      <c r="V232" s="25">
        <f>INDEX('Inputs (2)'!$D$11:$AL$11,MATCH(V$7,'Inputs (2)'!$D$2:$AL$2,0))</f>
        <v>13.911</v>
      </c>
      <c r="W232" s="3">
        <f>SUM(S232:V232)</f>
        <v>41.168</v>
      </c>
      <c r="X232" s="25">
        <f>INDEX('Inputs (2)'!$D$11:$AL$11,MATCH(X$7,'Inputs (2)'!$D$2:$AL$2,0))</f>
        <v>16.182</v>
      </c>
      <c r="Y232" s="25">
        <f>INDEX('Inputs (2)'!$D$11:$AL$11,MATCH(Y$7,'Inputs (2)'!$D$2:$AL$2,0))</f>
        <v>30.808</v>
      </c>
      <c r="Z232" s="25">
        <f>INDEX('Inputs (2)'!$D$11:$AL$11,MATCH(Z$7,'Inputs (2)'!$D$2:$AL$2,0))</f>
        <v>48.416</v>
      </c>
      <c r="AA232" s="25">
        <f>INDEX('Inputs (2)'!$D$11:$AL$11,MATCH(AA$7,'Inputs (2)'!$D$2:$AL$2,0))</f>
        <v>53.597</v>
      </c>
      <c r="AB232" s="3">
        <f>SUM(X232:AA232)</f>
        <v>149.003</v>
      </c>
      <c r="AC232" s="25">
        <f>INDEX('Inputs (2)'!$D$11:$AL$11,MATCH(AC$7,'Inputs (2)'!$D$2:$AL$2,0))</f>
        <v>49.547</v>
      </c>
      <c r="AD232" s="25">
        <f>INDEX('Inputs (2)'!$D$11:$AL$11,MATCH(AD$7,'Inputs (2)'!$D$2:$AL$2,0))</f>
        <v>-79.856</v>
      </c>
      <c r="AE232" s="25">
        <f>INDEX('Inputs (2)'!$D$11:$AL$11,MATCH(AE$7,'Inputs (2)'!$D$2:$AL$2,0))</f>
        <v>321.289</v>
      </c>
      <c r="AF232" s="25">
        <f>INDEX('Inputs (2)'!$D$11:$AL$11,MATCH(AF$7,'Inputs (2)'!$D$2:$AL$2,0))</f>
        <v>10.213</v>
      </c>
      <c r="AG232" s="3">
        <f>SUM(AC232:AF232)</f>
        <v>301.193</v>
      </c>
      <c r="AH232" s="3">
        <f>INDEX('Inputs (2)'!$D$11:$AL$11,MATCH(AH$7,'Inputs (2)'!$D$2:$AL$2,0))</f>
        <v>24.985</v>
      </c>
      <c r="AI232" s="3">
        <f>INDEX('Inputs (2)'!$D$11:$AL$11,MATCH(AI$7,'Inputs (2)'!$D$2:$AL$2,0))</f>
        <v>29.861</v>
      </c>
      <c r="AJ232" s="3">
        <f>AE232*(1+AJ260)</f>
        <v>321.289</v>
      </c>
      <c r="AK232" s="3">
        <f>AF232*(1+AK260)</f>
        <v>10.213</v>
      </c>
      <c r="AL232" s="3">
        <f>SUM(AH232:AK232)</f>
        <v>386.348</v>
      </c>
      <c r="AM232" s="3">
        <f>AH232*(1+AM260)</f>
        <v>24.985</v>
      </c>
      <c r="AN232" s="3">
        <f>AI232*(1+AN260)</f>
        <v>29.861</v>
      </c>
      <c r="AO232" s="3">
        <f>AJ232*(1+AO260)</f>
        <v>321.289</v>
      </c>
      <c r="AP232" s="3">
        <f>AK232*(1+AP260)</f>
        <v>10.213</v>
      </c>
      <c r="AQ232" s="3">
        <f>SUM(AM232:AP232)</f>
        <v>386.348</v>
      </c>
      <c r="AR232" s="3">
        <f>AM232*(1+AR260)</f>
        <v>24.985</v>
      </c>
      <c r="AS232" s="3">
        <f>AN232*(1+AS260)</f>
        <v>29.861</v>
      </c>
      <c r="AT232" s="3">
        <f>AO232*(1+AT260)</f>
        <v>321.289</v>
      </c>
      <c r="AU232" s="3">
        <f>AP232*(1+AU260)</f>
        <v>10.213</v>
      </c>
      <c r="AV232" s="3">
        <f>SUM(AR232:AU232)</f>
        <v>386.348</v>
      </c>
      <c r="AW232" s="3">
        <f>AR232*(1+AW260)</f>
        <v>24.985</v>
      </c>
      <c r="AX232" s="3">
        <f>AS232*(1+AX260)</f>
        <v>29.861</v>
      </c>
      <c r="AY232" s="3">
        <f>AT232*(1+AY260)</f>
        <v>321.289</v>
      </c>
      <c r="AZ232" s="3">
        <f>AU232*(1+AZ260)</f>
        <v>10.213</v>
      </c>
      <c r="BA232" s="3">
        <f>SUM(AW232:AZ232)</f>
        <v>386.348</v>
      </c>
      <c r="BB232" s="3">
        <f>AW232*(1+BB260)</f>
        <v>24.985</v>
      </c>
      <c r="BC232" s="3">
        <f>AX232*(1+BC260)</f>
        <v>29.861</v>
      </c>
      <c r="BD232" s="3">
        <f>AY232*(1+BD260)</f>
        <v>321.289</v>
      </c>
      <c r="BE232" s="3">
        <f>AZ232*(1+BE260)</f>
        <v>10.213</v>
      </c>
      <c r="BF232" s="3">
        <f>SUM(BB232:BE232)</f>
        <v>386.348</v>
      </c>
      <c r="BG232" s="3">
        <f>BB232*(1+BG260)</f>
        <v>24.985</v>
      </c>
      <c r="BH232" s="3">
        <f>BC232*(1+BH260)</f>
        <v>29.861</v>
      </c>
      <c r="BI232" s="3">
        <f>BD232*(1+BI260)</f>
        <v>321.289</v>
      </c>
      <c r="BJ232" s="3">
        <f>BE232*(1+BJ260)</f>
        <v>10.213</v>
      </c>
      <c r="BK232" s="3">
        <f>SUM(BG232:BJ232)</f>
        <v>386.348</v>
      </c>
      <c r="BL232" s="3">
        <f>BG232*(1+BL260)</f>
        <v>24.985</v>
      </c>
      <c r="BM232" s="3">
        <f>BH232*(1+BM260)</f>
        <v>29.861</v>
      </c>
      <c r="BN232" s="3">
        <f>BI232*(1+BN260)</f>
        <v>321.289</v>
      </c>
      <c r="BO232" s="3">
        <f>BJ232*(1+BO260)</f>
        <v>10.213</v>
      </c>
      <c r="BP232" s="3">
        <f>SUM(BL232:BO232)</f>
        <v>386.348</v>
      </c>
      <c r="BQ232" s="3">
        <f>BL232*(1+BQ260)</f>
        <v>24.985</v>
      </c>
      <c r="BR232" s="3">
        <f>BM232*(1+BR260)</f>
        <v>29.861</v>
      </c>
      <c r="BS232" s="3">
        <f>BN232*(1+BS260)</f>
        <v>321.289</v>
      </c>
      <c r="BT232" s="3">
        <f>BO232*(1+BT260)</f>
        <v>10.213</v>
      </c>
      <c r="BU232" s="3">
        <f>SUM(BQ232:BT232)</f>
        <v>386.348</v>
      </c>
      <c r="BV232" s="3">
        <f>BQ232*(1+BV260)</f>
        <v>24.985</v>
      </c>
      <c r="BW232" s="3">
        <f>BR232*(1+BW260)</f>
        <v>29.861</v>
      </c>
      <c r="BX232" s="3">
        <f>BS232*(1+BX260)</f>
        <v>321.289</v>
      </c>
      <c r="BY232" s="3">
        <f>BT232*(1+BY260)</f>
        <v>10.213</v>
      </c>
      <c r="BZ232" s="3">
        <f>SUM(BV232:BY232)</f>
        <v>386.348</v>
      </c>
      <c r="CA232" s="3">
        <f>BV232*(1+CA260)</f>
        <v>24.985</v>
      </c>
      <c r="CB232" s="3">
        <f>BW232*(1+CB260)</f>
        <v>29.861</v>
      </c>
      <c r="CC232" s="3">
        <f>BX232*(1+CC260)</f>
        <v>321.289</v>
      </c>
      <c r="CD232" s="3">
        <f>BY232*(1+CD260)</f>
        <v>10.213</v>
      </c>
      <c r="CE232" s="3">
        <f>SUM(CA232:CD232)</f>
        <v>386.348</v>
      </c>
      <c r="CF232" s="3">
        <f>CA232*(1+CF260)</f>
        <v>24.985</v>
      </c>
      <c r="CG232" s="3">
        <f>CB232*(1+CG260)</f>
        <v>29.861</v>
      </c>
      <c r="CH232" s="3">
        <f>CC232*(1+CH260)</f>
        <v>321.289</v>
      </c>
      <c r="CI232" s="3">
        <f>CD232*(1+CI260)</f>
        <v>10.213</v>
      </c>
      <c r="CJ232" s="3">
        <f>SUM(CF232:CI232)</f>
        <v>386.348</v>
      </c>
      <c r="CK232" s="3">
        <f>CF232*(1+CK260)</f>
        <v>24.985</v>
      </c>
      <c r="CL232" s="3">
        <f>CG232*(1+CL260)</f>
        <v>29.861</v>
      </c>
      <c r="CM232" s="3">
        <f>CH232*(1+CM260)</f>
        <v>321.289</v>
      </c>
      <c r="CN232" s="3">
        <f>CI232*(1+CN260)</f>
        <v>10.213</v>
      </c>
      <c r="CO232" s="3">
        <f>SUM(CK232:CN232)</f>
        <v>386.348</v>
      </c>
      <c r="CP232" s="3">
        <f>CK232*(1+CP260)</f>
        <v>24.985</v>
      </c>
      <c r="CQ232" s="3">
        <f>CL232*(1+CQ260)</f>
        <v>29.861</v>
      </c>
      <c r="CR232" s="3">
        <f>CM232*(1+CR260)</f>
        <v>321.289</v>
      </c>
      <c r="CS232" s="3">
        <f>CN232*(1+CS260)</f>
        <v>10.213</v>
      </c>
      <c r="CT232" s="3">
        <f>SUM(CP232:CS232)</f>
        <v>386.348</v>
      </c>
      <c r="CU232" s="3">
        <f>CP232*(1+CU260)</f>
        <v>24.985</v>
      </c>
      <c r="CV232" s="3">
        <f>CQ232*(1+CV260)</f>
        <v>29.861</v>
      </c>
      <c r="CW232" s="3">
        <f>CR232*(1+CW260)</f>
        <v>321.289</v>
      </c>
      <c r="CX232" s="3">
        <f>CS232*(1+CX260)</f>
        <v>10.213</v>
      </c>
      <c r="CY232" s="3">
        <f>SUM(CU232:CX232)</f>
        <v>386.348</v>
      </c>
    </row>
    <row r="233">
      <c r="C233" s="26" t="inlineStr">
        <is>
          <t>Minority Interest Expense, after tax (enter as - )</t>
        </is>
      </c>
      <c r="D233" s="25">
        <f>INDEX('Inputs (2)'!$D$12:$AL$12,MATCH(D$7,'Inputs (2)'!$D$2:$AL$2,0))</f>
        <v>-198.384</v>
      </c>
      <c r="E233" s="25">
        <f>INDEX('Inputs (2)'!$D$12:$AL$12,MATCH(E$7,'Inputs (2)'!$D$2:$AL$2,0))</f>
        <v>-125.868</v>
      </c>
      <c r="F233" s="25">
        <f>INDEX('Inputs (2)'!$D$12:$AL$12,MATCH(F$7,'Inputs (2)'!$D$2:$AL$2,0))</f>
        <v>-265.868</v>
      </c>
      <c r="G233" s="25">
        <f>INDEX('Inputs (2)'!$D$12:$AL$12,MATCH(G$7,'Inputs (2)'!$D$2:$AL$2,0))</f>
        <v>-523.297</v>
      </c>
      <c r="H233" s="3">
        <f>SUM(D233:G233)</f>
        <v>-1113.417</v>
      </c>
      <c r="I233" s="25">
        <f>INDEX('Inputs (2)'!$D$12:$AL$12,MATCH(I$7,'Inputs (2)'!$D$2:$AL$2,0))</f>
        <v>-337.471</v>
      </c>
      <c r="J233" s="25">
        <f>INDEX('Inputs (2)'!$D$12:$AL$12,MATCH(J$7,'Inputs (2)'!$D$2:$AL$2,0))</f>
        <v>-344.143</v>
      </c>
      <c r="K233" s="25">
        <f>INDEX('Inputs (2)'!$D$12:$AL$12,MATCH(K$7,'Inputs (2)'!$D$2:$AL$2,0))</f>
        <v>-188.716</v>
      </c>
      <c r="L233" s="25">
        <f>INDEX('Inputs (2)'!$D$12:$AL$12,MATCH(L$7,'Inputs (2)'!$D$2:$AL$2,0))</f>
        <v>-137.085</v>
      </c>
      <c r="M233" s="3">
        <f>SUM(I233:L233)</f>
        <v>-1007.415</v>
      </c>
      <c r="N233" s="25">
        <f>INDEX('Inputs (2)'!$D$12:$AL$12,MATCH(N$7,'Inputs (2)'!$D$2:$AL$2,0))</f>
        <v>-307.9</v>
      </c>
      <c r="O233" s="25">
        <f>INDEX('Inputs (2)'!$D$12:$AL$12,MATCH(O$7,'Inputs (2)'!$D$2:$AL$2,0))</f>
        <v>-187.923</v>
      </c>
      <c r="P233" s="25">
        <f>INDEX('Inputs (2)'!$D$12:$AL$12,MATCH(P$7,'Inputs (2)'!$D$2:$AL$2,0))</f>
        <v>-134.594</v>
      </c>
      <c r="Q233" s="25">
        <f>INDEX('Inputs (2)'!$D$12:$AL$12,MATCH(Q$7,'Inputs (2)'!$D$2:$AL$2,0))</f>
        <v>-114.99</v>
      </c>
      <c r="R233" s="3">
        <f>SUM(N233:Q233)</f>
        <v>-745.407</v>
      </c>
      <c r="S233" s="25">
        <f>INDEX('Inputs (2)'!$D$12:$AL$12,MATCH(S$7,'Inputs (2)'!$D$2:$AL$2,0))</f>
        <v>-156.618</v>
      </c>
      <c r="T233" s="25">
        <f>INDEX('Inputs (2)'!$D$12:$AL$12,MATCH(T$7,'Inputs (2)'!$D$2:$AL$2,0))</f>
        <v>-117.395</v>
      </c>
      <c r="U233" s="25">
        <f>INDEX('Inputs (2)'!$D$12:$AL$12,MATCH(U$7,'Inputs (2)'!$D$2:$AL$2,0))</f>
        <v>-67.187</v>
      </c>
      <c r="V233" s="25">
        <f>INDEX('Inputs (2)'!$D$12:$AL$12,MATCH(V$7,'Inputs (2)'!$D$2:$AL$2,0))</f>
        <v>-115.723</v>
      </c>
      <c r="W233" s="3">
        <f>SUM(S233:V233)</f>
        <v>-456.923</v>
      </c>
      <c r="X233" s="25">
        <f>INDEX('Inputs (2)'!$D$12:$AL$12,MATCH(X$7,'Inputs (2)'!$D$2:$AL$2,0))</f>
        <v>-147.894</v>
      </c>
      <c r="Y233" s="25">
        <f>INDEX('Inputs (2)'!$D$12:$AL$12,MATCH(Y$7,'Inputs (2)'!$D$2:$AL$2,0))</f>
        <v>-156.347</v>
      </c>
      <c r="Z233" s="25">
        <f>INDEX('Inputs (2)'!$D$12:$AL$12,MATCH(Z$7,'Inputs (2)'!$D$2:$AL$2,0))</f>
        <v>-281.625</v>
      </c>
      <c r="AA233" s="25">
        <f>INDEX('Inputs (2)'!$D$12:$AL$12,MATCH(AA$7,'Inputs (2)'!$D$2:$AL$2,0))</f>
        <v>-187.95</v>
      </c>
      <c r="AB233" s="3">
        <f>SUM(X233:AA233)</f>
        <v>-773.816</v>
      </c>
      <c r="AC233" s="25">
        <f>INDEX('Inputs (2)'!$D$12:$AL$12,MATCH(AC$7,'Inputs (2)'!$D$2:$AL$2,0))</f>
        <v>-186.523</v>
      </c>
      <c r="AD233" s="25">
        <f>INDEX('Inputs (2)'!$D$12:$AL$12,MATCH(AD$7,'Inputs (2)'!$D$2:$AL$2,0))</f>
        <v>-138.966</v>
      </c>
      <c r="AE233" s="25">
        <f>INDEX('Inputs (2)'!$D$12:$AL$12,MATCH(AE$7,'Inputs (2)'!$D$2:$AL$2,0))</f>
        <v>-43.206</v>
      </c>
      <c r="AF233" s="25">
        <f>INDEX('Inputs (2)'!$D$12:$AL$12,MATCH(AF$7,'Inputs (2)'!$D$2:$AL$2,0))</f>
        <v>-148.939</v>
      </c>
      <c r="AG233" s="3">
        <f>SUM(AC233:AF233)</f>
        <v>-517.634</v>
      </c>
      <c r="AH233" s="3">
        <f>INDEX('Inputs (2)'!$D$12:$AL$12,MATCH(AH$7,'Inputs (2)'!$D$2:$AL$2,0))</f>
        <v>-139.779</v>
      </c>
      <c r="AI233" s="3">
        <f>INDEX('Inputs (2)'!$D$12:$AL$12,MATCH(AI$7,'Inputs (2)'!$D$2:$AL$2,0))</f>
        <v>-295.846</v>
      </c>
      <c r="AJ233" s="3">
        <f>AE233*(1+AJ347)</f>
        <v>-43.206</v>
      </c>
      <c r="AK233" s="3">
        <f>AF233*(1+AK347)</f>
        <v>-148.939</v>
      </c>
      <c r="AL233" s="3">
        <f>SUM(AH233:AK233)</f>
        <v>-627.77</v>
      </c>
      <c r="AM233" s="3">
        <f>AH233*(1+AM347)</f>
        <v>-139.779</v>
      </c>
      <c r="AN233" s="3">
        <f>AI233*(1+AN347)</f>
        <v>-295.846</v>
      </c>
      <c r="AO233" s="3">
        <f>AJ233*(1+AO347)</f>
        <v>-43.206</v>
      </c>
      <c r="AP233" s="3">
        <f>AK233*(1+AP347)</f>
        <v>-148.939</v>
      </c>
      <c r="AQ233" s="3">
        <f>SUM(AM233:AP233)</f>
        <v>-627.77</v>
      </c>
      <c r="AR233" s="3">
        <f>AM233*(1+AR347)</f>
        <v>-139.779</v>
      </c>
      <c r="AS233" s="3">
        <f>AN233*(1+AS347)</f>
        <v>-295.846</v>
      </c>
      <c r="AT233" s="3">
        <f>AO233*(1+AT347)</f>
        <v>-43.206</v>
      </c>
      <c r="AU233" s="3">
        <f>AP233*(1+AU347)</f>
        <v>-148.939</v>
      </c>
      <c r="AV233" s="3">
        <f>SUM(AR233:AU233)</f>
        <v>-627.77</v>
      </c>
      <c r="AW233" s="3">
        <f>AR233*(1+AW347)</f>
        <v>-139.779</v>
      </c>
      <c r="AX233" s="3">
        <f>AS233*(1+AX347)</f>
        <v>-295.846</v>
      </c>
      <c r="AY233" s="3">
        <f>AT233*(1+AY347)</f>
        <v>-43.206</v>
      </c>
      <c r="AZ233" s="3">
        <f>AU233*(1+AZ347)</f>
        <v>-148.939</v>
      </c>
      <c r="BA233" s="3">
        <f>SUM(AW233:AZ233)</f>
        <v>-627.77</v>
      </c>
      <c r="BB233" s="3">
        <f>AW233*(1+BB347)</f>
        <v>-139.779</v>
      </c>
      <c r="BC233" s="3">
        <f>AX233*(1+BC347)</f>
        <v>-295.846</v>
      </c>
      <c r="BD233" s="3">
        <f>AY233*(1+BD347)</f>
        <v>-43.206</v>
      </c>
      <c r="BE233" s="3">
        <f>AZ233*(1+BE347)</f>
        <v>-148.939</v>
      </c>
      <c r="BF233" s="3">
        <f>SUM(BB233:BE233)</f>
        <v>-627.77</v>
      </c>
      <c r="BG233" s="3">
        <f>BB233*(1+BG347)</f>
        <v>-139.779</v>
      </c>
      <c r="BH233" s="3">
        <f>BC233*(1+BH347)</f>
        <v>-295.846</v>
      </c>
      <c r="BI233" s="3">
        <f>BD233*(1+BI347)</f>
        <v>-43.206</v>
      </c>
      <c r="BJ233" s="3">
        <f>BE233*(1+BJ347)</f>
        <v>-148.939</v>
      </c>
      <c r="BK233" s="3">
        <f>SUM(BG233:BJ233)</f>
        <v>-627.77</v>
      </c>
      <c r="BL233" s="3">
        <f>BG233*(1+BL347)</f>
        <v>-139.779</v>
      </c>
      <c r="BM233" s="3">
        <f>BH233*(1+BM347)</f>
        <v>-295.846</v>
      </c>
      <c r="BN233" s="3">
        <f>BI233*(1+BN347)</f>
        <v>-43.206</v>
      </c>
      <c r="BO233" s="3">
        <f>BJ233*(1+BO347)</f>
        <v>-148.939</v>
      </c>
      <c r="BP233" s="3">
        <f>SUM(BL233:BO233)</f>
        <v>-627.77</v>
      </c>
      <c r="BQ233" s="3">
        <f>BL233*(1+BQ347)</f>
        <v>-139.779</v>
      </c>
      <c r="BR233" s="3">
        <f>BM233*(1+BR347)</f>
        <v>-295.846</v>
      </c>
      <c r="BS233" s="3">
        <f>BN233*(1+BS347)</f>
        <v>-43.206</v>
      </c>
      <c r="BT233" s="3">
        <f>BO233*(1+BT347)</f>
        <v>-148.939</v>
      </c>
      <c r="BU233" s="3">
        <f>SUM(BQ233:BT233)</f>
        <v>-627.77</v>
      </c>
      <c r="BV233" s="3">
        <f>BQ233*(1+BV347)</f>
        <v>-139.779</v>
      </c>
      <c r="BW233" s="3">
        <f>BR233*(1+BW347)</f>
        <v>-295.846</v>
      </c>
      <c r="BX233" s="3">
        <f>BS233*(1+BX347)</f>
        <v>-43.206</v>
      </c>
      <c r="BY233" s="3">
        <f>BT233*(1+BY347)</f>
        <v>-148.939</v>
      </c>
      <c r="BZ233" s="3">
        <f>SUM(BV233:BY233)</f>
        <v>-627.77</v>
      </c>
      <c r="CA233" s="3">
        <f>BV233*(1+CA347)</f>
        <v>-139.779</v>
      </c>
      <c r="CB233" s="3">
        <f>BW233*(1+CB347)</f>
        <v>-295.846</v>
      </c>
      <c r="CC233" s="3">
        <f>BX233*(1+CC347)</f>
        <v>-43.206</v>
      </c>
      <c r="CD233" s="3">
        <f>BY233*(1+CD347)</f>
        <v>-148.939</v>
      </c>
      <c r="CE233" s="3">
        <f>SUM(CA233:CD233)</f>
        <v>-627.77</v>
      </c>
      <c r="CF233" s="3">
        <f>CA233*(1+CF347)</f>
        <v>-139.779</v>
      </c>
      <c r="CG233" s="3">
        <f>CB233*(1+CG347)</f>
        <v>-295.846</v>
      </c>
      <c r="CH233" s="3">
        <f>CC233*(1+CH347)</f>
        <v>-43.206</v>
      </c>
      <c r="CI233" s="3">
        <f>CD233*(1+CI347)</f>
        <v>-148.939</v>
      </c>
      <c r="CJ233" s="3">
        <f>SUM(CF233:CI233)</f>
        <v>-627.77</v>
      </c>
      <c r="CK233" s="3">
        <f>CF233*(1+CK347)</f>
        <v>-139.779</v>
      </c>
      <c r="CL233" s="3">
        <f>CG233*(1+CL347)</f>
        <v>-295.846</v>
      </c>
      <c r="CM233" s="3">
        <f>CH233*(1+CM347)</f>
        <v>-43.206</v>
      </c>
      <c r="CN233" s="3">
        <f>CI233*(1+CN347)</f>
        <v>-148.939</v>
      </c>
      <c r="CO233" s="3">
        <f>SUM(CK233:CN233)</f>
        <v>-627.77</v>
      </c>
      <c r="CP233" s="3">
        <f>CK233*(1+CP347)</f>
        <v>-139.779</v>
      </c>
      <c r="CQ233" s="3">
        <f>CL233*(1+CQ347)</f>
        <v>-295.846</v>
      </c>
      <c r="CR233" s="3">
        <f>CM233*(1+CR347)</f>
        <v>-43.206</v>
      </c>
      <c r="CS233" s="3">
        <f>CN233*(1+CS347)</f>
        <v>-148.939</v>
      </c>
      <c r="CT233" s="3">
        <f>SUM(CP233:CS233)</f>
        <v>-627.77</v>
      </c>
      <c r="CU233" s="3">
        <f>CP233*(1+CU347)</f>
        <v>-139.779</v>
      </c>
      <c r="CV233" s="3">
        <f>CQ233*(1+CV347)</f>
        <v>-295.846</v>
      </c>
      <c r="CW233" s="3">
        <f>CR233*(1+CW347)</f>
        <v>-43.206</v>
      </c>
      <c r="CX233" s="3">
        <f>CS233*(1+CX347)</f>
        <v>-148.939</v>
      </c>
      <c r="CY233" s="3">
        <f>SUM(CU233:CX233)</f>
        <v>-627.77</v>
      </c>
    </row>
    <row r="234" customFormat="1" s="17">
      <c r="A234" s="13" t="n"/>
      <c r="B234" s="1" t="n"/>
      <c r="C234" s="14" t="inlineStr">
        <is>
          <t>Net Income</t>
        </is>
      </c>
      <c r="D234" s="16">
        <f>SUM(D227,D228,D232,D233)</f>
        <v>179.149</v>
      </c>
      <c r="E234" s="16">
        <f>SUM(E227,E228,E232,E233)</f>
        <v>72.109</v>
      </c>
      <c r="F234" s="16">
        <f>SUM(F227,F228,F232,F233)</f>
        <v>181.214</v>
      </c>
      <c r="G234" s="16">
        <f>SUM(G227,G228,G232,G233)</f>
        <v>509.616</v>
      </c>
      <c r="H234" s="16">
        <f>SUM(D234:G234)</f>
        <v>942.088</v>
      </c>
      <c r="I234" s="16">
        <f>SUM(I227,I228,I232,I233)</f>
        <v>323.416</v>
      </c>
      <c r="J234" s="16">
        <f>SUM(J227,J228,J232,J233)</f>
        <v>332.345</v>
      </c>
      <c r="K234" s="16">
        <f>SUM(K227,K228,K232,K233)</f>
        <v>240.316</v>
      </c>
      <c r="L234" s="16">
        <f>SUM(L227,L228,L232,L233)</f>
        <v>219.324</v>
      </c>
      <c r="M234" s="16">
        <f>SUM(I234:L234)</f>
        <v>1115.401</v>
      </c>
      <c r="N234" s="16">
        <f>SUM(N227,N228,N232,N233)</f>
        <v>430.979</v>
      </c>
      <c r="O234" s="16">
        <f>SUM(O227,O228,O232,O233)</f>
        <v>180.008</v>
      </c>
      <c r="P234" s="16">
        <f>SUM(P227,P228,P232,P233)</f>
        <v>115.676</v>
      </c>
      <c r="Q234" s="16">
        <f>SUM(Q227,Q228,Q232,Q233)</f>
        <v>191.803</v>
      </c>
      <c r="R234" s="16">
        <f>SUM(N234:Q234)</f>
        <v>918.466</v>
      </c>
      <c r="S234" s="16">
        <f>SUM(S227,S228,S232,S233)</f>
        <v>230.71</v>
      </c>
      <c r="T234" s="16">
        <f>SUM(T227,T228,T232,T233)</f>
        <v>222.186</v>
      </c>
      <c r="U234" s="16">
        <f>SUM(U227,U228,U232,U233)</f>
        <v>100.005</v>
      </c>
      <c r="V234" s="16">
        <f>SUM(V227,V228,V232,V233)</f>
        <v>141.162</v>
      </c>
      <c r="W234" s="16">
        <f>SUM(S234:V234)</f>
        <v>694.063</v>
      </c>
      <c r="X234" s="16">
        <f>SUM(X227,X228,X232,X233)</f>
        <v>254.944</v>
      </c>
      <c r="Y234" s="16">
        <f>SUM(Y227,Y228,Y232,Y233)</f>
        <v>237.07</v>
      </c>
      <c r="Z234" s="16">
        <f>SUM(Z227,Z228,Z232,Z233)</f>
        <v>363.754</v>
      </c>
      <c r="AA234" s="16">
        <f>SUM(AA227,AA228,AA232,AA233)</f>
        <v>230.322</v>
      </c>
      <c r="AB234" s="16">
        <f>SUM(X234:AA234)</f>
        <v>1086.09</v>
      </c>
      <c r="AC234" s="16">
        <f>SUM(AC227,AC228,AC232,AC233)</f>
        <v>298.777</v>
      </c>
      <c r="AD234" s="16">
        <f>SUM(AD227,AD228,AD232,AD233)</f>
        <v>144.867</v>
      </c>
      <c r="AE234" s="16">
        <f>SUM(AE227,AE228,AE232,AE233)</f>
        <v>489.39</v>
      </c>
      <c r="AF234" s="16">
        <f>SUM(AF227,AF228,AF232,AF233)</f>
        <v>282.525</v>
      </c>
      <c r="AG234" s="16">
        <f>SUM(AC234:AF234)</f>
        <v>1215.559</v>
      </c>
      <c r="AH234" s="16">
        <f>SUM(AH227,AH228,AH232,AH233)</f>
        <v>198.067</v>
      </c>
      <c r="AI234" s="16">
        <f>SUM(AI227,AI228,AI232,AI233)</f>
        <v>416.626</v>
      </c>
      <c r="AJ234" s="16">
        <f>SUM(AJ227,AJ228,AJ232,AJ233)</f>
        <v>338.767</v>
      </c>
      <c r="AK234" s="16">
        <f>SUM(AK227,AK228,AK232,AK233)</f>
        <v>12.444</v>
      </c>
      <c r="AL234" s="16">
        <f>SUM(AH234:AK234)</f>
        <v>965.904</v>
      </c>
      <c r="AM234" s="16">
        <f>SUM(AM227,AM228,AM232,AM233)</f>
        <v>36.376</v>
      </c>
      <c r="AN234" s="16">
        <f>SUM(AN227,AN228,AN232,AN233)</f>
        <v>157.723</v>
      </c>
      <c r="AO234" s="16">
        <f>SUM(AO227,AO228,AO232,AO233)</f>
        <v>429.253</v>
      </c>
      <c r="AP234" s="16">
        <f>SUM(AP227,AP228,AP232,AP233)</f>
        <v>284.982</v>
      </c>
      <c r="AQ234" s="16">
        <f>SUM(AM234:AP234)</f>
        <v>908.334</v>
      </c>
      <c r="AR234" s="16">
        <f>SUM(AR227,AR228,AR232,AR233)</f>
        <v>308.914</v>
      </c>
      <c r="AS234" s="16">
        <f>SUM(AS227,AS228,AS232,AS233)</f>
        <v>883.771</v>
      </c>
      <c r="AT234" s="16">
        <f>SUM(AT227,AT228,AT232,AT233)</f>
        <v>701.791</v>
      </c>
      <c r="AU234" s="16">
        <f>SUM(AU227,AU228,AU232,AU233)</f>
        <v>1011.03</v>
      </c>
      <c r="AV234" s="16">
        <f>SUM(AR234:AU234)</f>
        <v>2905.506</v>
      </c>
      <c r="AW234" s="16">
        <f>SUM(AW227,AW228,AW232,AW233)</f>
        <v>1034.962</v>
      </c>
      <c r="AX234" s="16">
        <f>SUM(AX227,AX228,AX232,AX233)</f>
        <v>2880.943</v>
      </c>
      <c r="AY234" s="16">
        <f>SUM(AY227,AY228,AY232,AY233)</f>
        <v>1427.839</v>
      </c>
      <c r="AZ234" s="16">
        <f>SUM(AZ227,AZ228,AZ232,AZ233)</f>
        <v>3008.202</v>
      </c>
      <c r="BA234" s="16">
        <f>SUM(AW234:AZ234)</f>
        <v>8351.946</v>
      </c>
      <c r="BB234" s="16">
        <f>SUM(BB227,BB228,BB232,BB233)</f>
        <v>3032.134</v>
      </c>
      <c r="BC234" s="16">
        <f>SUM(BC227,BC228,BC232,BC233)</f>
        <v>8327.383</v>
      </c>
      <c r="BD234" s="16">
        <f>SUM(BD227,BD228,BD232,BD233)</f>
        <v>3425.011</v>
      </c>
      <c r="BE234" s="16">
        <f>SUM(BE227,BE228,BE232,BE233)</f>
        <v>8454.642</v>
      </c>
      <c r="BF234" s="16">
        <f>SUM(BB234:BE234)</f>
        <v>23239.17</v>
      </c>
      <c r="BG234" s="16">
        <f>SUM(BG227,BG228,BG232,BG233)</f>
        <v>8478.574</v>
      </c>
      <c r="BH234" s="16">
        <f>SUM(BH227,BH228,BH232,BH233)</f>
        <v>23214.607</v>
      </c>
      <c r="BI234" s="16">
        <f>SUM(BI227,BI228,BI232,BI233)</f>
        <v>8871.451</v>
      </c>
      <c r="BJ234" s="16">
        <f>SUM(BJ227,BJ228,BJ232,BJ233)</f>
        <v>23341.866</v>
      </c>
      <c r="BK234" s="16">
        <f>SUM(BG234:BJ234)</f>
        <v>63906.498</v>
      </c>
      <c r="BL234" s="16">
        <f>SUM(BL227,BL228,BL232,BL233)</f>
        <v>23365.798</v>
      </c>
      <c r="BM234" s="16">
        <f>SUM(BM227,BM228,BM232,BM233)</f>
        <v>63881.935</v>
      </c>
      <c r="BN234" s="16">
        <f>SUM(BN227,BN228,BN232,BN233)</f>
        <v>23758.675</v>
      </c>
      <c r="BO234" s="16">
        <f>SUM(BO227,BO228,BO232,BO233)</f>
        <v>64009.194</v>
      </c>
      <c r="BP234" s="16">
        <f>SUM(BL234:BO234)</f>
        <v>175015.602</v>
      </c>
      <c r="BQ234" s="16">
        <f>SUM(BQ227,BQ228,BQ232,BQ233)</f>
        <v>64033.126</v>
      </c>
      <c r="BR234" s="16">
        <f>SUM(BR227,BR228,BR232,BR233)</f>
        <v>174991.039</v>
      </c>
      <c r="BS234" s="16">
        <f>SUM(BS227,BS228,BS232,BS233)</f>
        <v>64426.003</v>
      </c>
      <c r="BT234" s="16">
        <f>SUM(BT227,BT228,BT232,BT233)</f>
        <v>175118.298</v>
      </c>
      <c r="BU234" s="16">
        <f>SUM(BQ234:BT234)</f>
        <v>478568.466</v>
      </c>
      <c r="BV234" s="16">
        <f>SUM(BV227,BV228,BV232,BV233)</f>
        <v>175142.23</v>
      </c>
      <c r="BW234" s="16">
        <f>SUM(BW227,BW228,BW232,BW233)</f>
        <v>478543.903</v>
      </c>
      <c r="BX234" s="16">
        <f>SUM(BX227,BX228,BX232,BX233)</f>
        <v>175535.107</v>
      </c>
      <c r="BY234" s="16">
        <f>SUM(BY227,BY228,BY232,BY233)</f>
        <v>478671.162</v>
      </c>
      <c r="BZ234" s="16">
        <f>SUM(BV234:BY234)</f>
        <v>1307892.402</v>
      </c>
      <c r="CA234" s="16">
        <f>SUM(CA227,CA228,CA232,CA233)</f>
        <v>478695.094</v>
      </c>
      <c r="CB234" s="16">
        <f>SUM(CB227,CB228,CB232,CB233)</f>
        <v>1307867.839</v>
      </c>
      <c r="CC234" s="16">
        <f>SUM(CC227,CC228,CC232,CC233)</f>
        <v>479087.971</v>
      </c>
      <c r="CD234" s="16">
        <f>SUM(CD227,CD228,CD232,CD233)</f>
        <v>1307995.098</v>
      </c>
      <c r="CE234" s="16">
        <f>SUM(CA234:CD234)</f>
        <v>3573646.002</v>
      </c>
      <c r="CF234" s="16">
        <f>SUM(CF227,CF228,CF232,CF233)</f>
        <v>1308019.03</v>
      </c>
      <c r="CG234" s="16">
        <f>SUM(CG227,CG228,CG232,CG233)</f>
        <v>3573621.439</v>
      </c>
      <c r="CH234" s="16">
        <f>SUM(CH227,CH228,CH232,CH233)</f>
        <v>1308411.907</v>
      </c>
      <c r="CI234" s="16">
        <f>SUM(CI227,CI228,CI232,CI233)</f>
        <v>3573748.698</v>
      </c>
      <c r="CJ234" s="16">
        <f>SUM(CF234:CI234)</f>
        <v>9763801.074</v>
      </c>
      <c r="CK234" s="16">
        <f>SUM(CK227,CK228,CK232,CK233)</f>
        <v>3573772.63</v>
      </c>
      <c r="CL234" s="16">
        <f>SUM(CL227,CL228,CL232,CL233)</f>
        <v>9763776.511</v>
      </c>
      <c r="CM234" s="16">
        <f>SUM(CM227,CM228,CM232,CM233)</f>
        <v>3574165.507</v>
      </c>
      <c r="CN234" s="16">
        <f>SUM(CN227,CN228,CN232,CN233)</f>
        <v>9763903.77</v>
      </c>
      <c r="CO234" s="16">
        <f>SUM(CK234:CN234)</f>
        <v>26675618.418</v>
      </c>
      <c r="CP234" s="16">
        <f>SUM(CP227,CP228,CP232,CP233)</f>
        <v>9763927.702</v>
      </c>
      <c r="CQ234" s="16">
        <f>SUM(CQ227,CQ228,CQ232,CQ233)</f>
        <v>26675593.855</v>
      </c>
      <c r="CR234" s="16">
        <f>SUM(CR227,CR228,CR232,CR233)</f>
        <v>9764320.579</v>
      </c>
      <c r="CS234" s="16">
        <f>SUM(CS227,CS228,CS232,CS233)</f>
        <v>26675721.114</v>
      </c>
      <c r="CT234" s="16">
        <f>SUM(CP234:CS234)</f>
        <v>72879563.25</v>
      </c>
      <c r="CU234" s="16">
        <f>SUM(CU227,CU228,CU232,CU233)</f>
        <v>26675745.046</v>
      </c>
      <c r="CV234" s="16">
        <f>SUM(CV227,CV228,CV232,CV233)</f>
        <v>72879538.687</v>
      </c>
      <c r="CW234" s="16">
        <f>SUM(CW227,CW228,CW232,CW233)</f>
        <v>26676137.923</v>
      </c>
      <c r="CX234" s="16">
        <f>SUM(CX227,CX228,CX232,CX233)</f>
        <v>72879665.946</v>
      </c>
      <c r="CY234" s="16">
        <f>SUM(CU234:CX234)</f>
        <v>199111087.602</v>
      </c>
    </row>
    <row r="235">
      <c r="C235" s="24" t="inlineStr">
        <is>
          <t>Common Dividends</t>
        </is>
      </c>
      <c r="D235" s="25" t="n"/>
      <c r="E235" s="25" t="n"/>
      <c r="F235" s="25" t="n"/>
      <c r="G235" s="25" t="n"/>
      <c r="H235" s="3">
        <f>SUM(D235:G235)</f>
        <v>0</v>
      </c>
      <c r="I235" s="25" t="n"/>
      <c r="J235" s="25" t="n"/>
      <c r="K235" s="25" t="n"/>
      <c r="L235" s="25" t="n"/>
      <c r="M235" s="3">
        <f>SUM(I235:L235)</f>
        <v>0</v>
      </c>
      <c r="N235" s="25" t="n"/>
      <c r="O235" s="25" t="n"/>
      <c r="P235" s="25" t="n"/>
      <c r="Q235" s="25" t="n"/>
      <c r="R235" s="3">
        <f>SUM(N235:Q235)</f>
        <v>0</v>
      </c>
      <c r="S235" s="25" t="n"/>
      <c r="T235" s="25" t="n"/>
      <c r="U235" s="25" t="n"/>
      <c r="V235" s="25" t="n"/>
      <c r="W235" s="3">
        <f>SUM(S235:V235)</f>
        <v>0</v>
      </c>
      <c r="X235" s="25" t="n"/>
      <c r="Y235" s="25" t="n"/>
      <c r="Z235" s="25" t="n"/>
      <c r="AA235" s="25" t="n"/>
      <c r="AB235" s="3">
        <f>SUM(X235:AA235)</f>
        <v>0</v>
      </c>
      <c r="AC235" s="25" t="n"/>
      <c r="AD235" s="25" t="n"/>
      <c r="AE235" s="25" t="n"/>
      <c r="AF235" s="25" t="n"/>
      <c r="AG235" s="3">
        <f>SUM(AC235:AF235)</f>
        <v>0</v>
      </c>
      <c r="AH235" s="3" t="n"/>
      <c r="AI235" s="3" t="n"/>
      <c r="AJ235" s="3" t="n"/>
      <c r="AK235" s="3" t="n"/>
      <c r="AL235" s="3">
        <f>SUM(AH235:AK235)</f>
        <v>0</v>
      </c>
      <c r="AM235" s="3" t="n"/>
      <c r="AN235" s="3" t="n"/>
      <c r="AO235" s="3" t="n"/>
      <c r="AP235" s="3" t="n"/>
      <c r="AQ235" s="3">
        <f>SUM(AM235:AP235)</f>
        <v>0</v>
      </c>
      <c r="AR235" s="3" t="n"/>
      <c r="AS235" s="3" t="n"/>
      <c r="AT235" s="3" t="n"/>
      <c r="AU235" s="3" t="n"/>
      <c r="AV235" s="3">
        <f>SUM(AR235:AU235)</f>
        <v>0</v>
      </c>
      <c r="AW235" s="3" t="n"/>
      <c r="AX235" s="3" t="n"/>
      <c r="AY235" s="3" t="n"/>
      <c r="AZ235" s="3" t="n"/>
      <c r="BA235" s="3">
        <f>SUM(AW235:AZ235)</f>
        <v>0</v>
      </c>
      <c r="BB235" s="3" t="n"/>
      <c r="BC235" s="3" t="n"/>
      <c r="BD235" s="3" t="n"/>
      <c r="BE235" s="3" t="n"/>
      <c r="BF235" s="3">
        <f>SUM(BB235:BE235)</f>
        <v>0</v>
      </c>
      <c r="BG235" s="3" t="n"/>
      <c r="BH235" s="3" t="n"/>
      <c r="BI235" s="3" t="n"/>
      <c r="BJ235" s="3" t="n"/>
      <c r="BK235" s="3">
        <f>SUM(BG235:BJ235)</f>
        <v>0</v>
      </c>
      <c r="BL235" s="3" t="n"/>
      <c r="BM235" s="3" t="n"/>
      <c r="BN235" s="3" t="n"/>
      <c r="BO235" s="3" t="n"/>
      <c r="BP235" s="3">
        <f>SUM(BL235:BO235)</f>
        <v>0</v>
      </c>
      <c r="BQ235" s="3" t="n"/>
      <c r="BR235" s="3" t="n"/>
      <c r="BS235" s="3" t="n"/>
      <c r="BT235" s="3" t="n"/>
      <c r="BU235" s="3">
        <f>SUM(BQ235:BT235)</f>
        <v>0</v>
      </c>
      <c r="BV235" s="3" t="n"/>
      <c r="BW235" s="3" t="n"/>
      <c r="BX235" s="3" t="n"/>
      <c r="BY235" s="3" t="n"/>
      <c r="BZ235" s="3">
        <f>SUM(BV235:BY235)</f>
        <v>0</v>
      </c>
      <c r="CA235" s="3" t="n"/>
      <c r="CB235" s="3" t="n"/>
      <c r="CC235" s="3" t="n"/>
      <c r="CD235" s="3" t="n"/>
      <c r="CE235" s="3">
        <f>SUM(CA235:CD235)</f>
        <v>0</v>
      </c>
      <c r="CF235" s="3" t="n"/>
      <c r="CG235" s="3" t="n"/>
      <c r="CH235" s="3" t="n"/>
      <c r="CI235" s="3" t="n"/>
      <c r="CJ235" s="3">
        <f>SUM(CF235:CI235)</f>
        <v>0</v>
      </c>
      <c r="CK235" s="3" t="n"/>
      <c r="CL235" s="3" t="n"/>
      <c r="CM235" s="3" t="n"/>
      <c r="CN235" s="3" t="n"/>
      <c r="CO235" s="3">
        <f>SUM(CK235:CN235)</f>
        <v>0</v>
      </c>
      <c r="CP235" s="3" t="n"/>
      <c r="CQ235" s="3" t="n"/>
      <c r="CR235" s="3" t="n"/>
      <c r="CS235" s="3" t="n"/>
      <c r="CT235" s="3">
        <f>SUM(CP235:CS235)</f>
        <v>0</v>
      </c>
      <c r="CU235" s="3" t="n"/>
      <c r="CV235" s="3" t="n"/>
      <c r="CW235" s="3" t="n"/>
      <c r="CX235" s="3" t="n"/>
      <c r="CY235" s="3">
        <f>SUM(CU235:CX235)</f>
        <v>0</v>
      </c>
    </row>
    <row r="236" hidden="1" outlineLevel="1">
      <c r="C236" s="32" t="inlineStr">
        <is>
          <t>% DVD Payout</t>
        </is>
      </c>
      <c r="D236" s="40">
        <f>-D235/D234</f>
        <v>0</v>
      </c>
      <c r="E236" s="40">
        <f>-E235/E234</f>
        <v>0</v>
      </c>
      <c r="F236" s="40">
        <f>-F235/F234</f>
        <v>0</v>
      </c>
      <c r="G236" s="40">
        <f>-G235/G234</f>
        <v>0</v>
      </c>
      <c r="H236" s="40">
        <f>-H235/H234</f>
        <v>0</v>
      </c>
      <c r="I236" s="40">
        <f>-I235/I234</f>
        <v>0</v>
      </c>
      <c r="J236" s="40">
        <f>-J235/J234</f>
        <v>0</v>
      </c>
      <c r="K236" s="40">
        <f>-K235/K234</f>
        <v>0</v>
      </c>
      <c r="L236" s="40">
        <f>-L235/L234</f>
        <v>0</v>
      </c>
      <c r="M236" s="40">
        <f>-M235/M234</f>
        <v>0</v>
      </c>
      <c r="N236" s="40">
        <f>-N235/N234</f>
        <v>0</v>
      </c>
      <c r="O236" s="40">
        <f>-O235/O234</f>
        <v>0</v>
      </c>
      <c r="P236" s="40">
        <f>-P235/P234</f>
        <v>0</v>
      </c>
      <c r="Q236" s="40">
        <f>-Q235/Q234</f>
        <v>0</v>
      </c>
      <c r="R236" s="40">
        <f>-R235/R234</f>
        <v>0</v>
      </c>
      <c r="S236" s="40">
        <f>-S235/S234</f>
        <v>0</v>
      </c>
      <c r="T236" s="40">
        <f>-T235/T234</f>
        <v>0</v>
      </c>
      <c r="U236" s="40">
        <f>-U235/U234</f>
        <v>0</v>
      </c>
      <c r="V236" s="40">
        <f>-V235/V234</f>
        <v>0</v>
      </c>
      <c r="W236" s="40">
        <f>-W235/W234</f>
        <v>0</v>
      </c>
      <c r="X236" s="40">
        <f>-X235/X234</f>
        <v>0</v>
      </c>
      <c r="Y236" s="40">
        <f>-Y235/Y234</f>
        <v>0</v>
      </c>
      <c r="Z236" s="40">
        <f>-Z235/Z234</f>
        <v>0</v>
      </c>
      <c r="AA236" s="40">
        <f>-AA235/AA234</f>
        <v>0</v>
      </c>
      <c r="AB236" s="40">
        <f>-AB235/AB234</f>
        <v>0</v>
      </c>
      <c r="AC236" s="40">
        <f>-AC235/AC234</f>
        <v>0</v>
      </c>
      <c r="AD236" s="40">
        <f>-AD235/AD234</f>
        <v>0</v>
      </c>
      <c r="AE236" s="40">
        <f>-AE235/AE234</f>
        <v>0</v>
      </c>
      <c r="AF236" s="44">
        <f>-AF235/AF234</f>
        <v>0</v>
      </c>
      <c r="AG236" s="3" t="n"/>
      <c r="AH236" s="44">
        <f>-AH235/AH234</f>
        <v>0</v>
      </c>
      <c r="AI236" s="44">
        <f>-AI235/AI234</f>
        <v>0</v>
      </c>
      <c r="AJ236" s="44" t="n"/>
      <c r="AK236" s="44" t="n"/>
      <c r="AL236" s="3">
        <f>-AL235/AL234</f>
        <v>0</v>
      </c>
      <c r="AM236" s="44" t="n"/>
      <c r="AN236" s="44" t="n"/>
      <c r="AO236" s="44" t="n"/>
      <c r="AP236" s="44" t="n"/>
      <c r="AQ236" s="3">
        <f>-AQ235/AQ234</f>
        <v>0</v>
      </c>
      <c r="AR236" s="44" t="n"/>
      <c r="AS236" s="44" t="n"/>
      <c r="AT236" s="44" t="n"/>
      <c r="AU236" s="44" t="n"/>
      <c r="AV236" s="3">
        <f>-AV235/AV234</f>
        <v>0</v>
      </c>
      <c r="AW236" s="44" t="n"/>
      <c r="AX236" s="44" t="n"/>
      <c r="AY236" s="44" t="n"/>
      <c r="AZ236" s="44" t="n"/>
      <c r="BA236" s="3">
        <f>-BA235/BA234</f>
        <v>0</v>
      </c>
      <c r="BB236" s="44" t="n"/>
      <c r="BC236" s="44" t="n"/>
      <c r="BD236" s="44" t="n"/>
      <c r="BE236" s="44" t="n"/>
      <c r="BF236" s="3">
        <f>-BF235/BF234</f>
        <v>0</v>
      </c>
      <c r="BG236" s="44" t="n"/>
      <c r="BH236" s="44" t="n"/>
      <c r="BI236" s="44" t="n"/>
      <c r="BJ236" s="44" t="n"/>
      <c r="BK236" s="3">
        <f>-BK235/BK234</f>
        <v>0</v>
      </c>
      <c r="BL236" s="44" t="n"/>
      <c r="BM236" s="44" t="n"/>
      <c r="BN236" s="44" t="n"/>
      <c r="BO236" s="44" t="n"/>
      <c r="BP236" s="3">
        <f>-BP235/BP234</f>
        <v>0</v>
      </c>
      <c r="BQ236" s="44" t="n"/>
      <c r="BR236" s="44" t="n"/>
      <c r="BS236" s="44" t="n"/>
      <c r="BT236" s="44" t="n"/>
      <c r="BU236" s="3">
        <f>-BU235/BU234</f>
        <v>0</v>
      </c>
      <c r="BV236" s="44" t="n"/>
      <c r="BW236" s="44" t="n"/>
      <c r="BX236" s="44" t="n"/>
      <c r="BY236" s="44" t="n"/>
      <c r="BZ236" s="3">
        <f>-BZ235/BZ234</f>
        <v>0</v>
      </c>
      <c r="CA236" s="44" t="n"/>
      <c r="CB236" s="44" t="n"/>
      <c r="CC236" s="44" t="n"/>
      <c r="CD236" s="44" t="n"/>
      <c r="CE236" s="3">
        <f>-CE235/CE234</f>
        <v>0</v>
      </c>
      <c r="CF236" s="44" t="n"/>
      <c r="CG236" s="44" t="n"/>
      <c r="CH236" s="44" t="n"/>
      <c r="CI236" s="44" t="n"/>
      <c r="CJ236" s="3">
        <f>-CJ235/CJ234</f>
        <v>0</v>
      </c>
      <c r="CK236" s="44" t="n"/>
      <c r="CL236" s="44" t="n"/>
      <c r="CM236" s="44" t="n"/>
      <c r="CN236" s="44" t="n"/>
      <c r="CO236" s="3">
        <f>-CO235/CO234</f>
        <v>0</v>
      </c>
      <c r="CP236" s="44" t="n"/>
      <c r="CQ236" s="44" t="n"/>
      <c r="CR236" s="44" t="n"/>
      <c r="CS236" s="44" t="n"/>
      <c r="CT236" s="3">
        <f>-CT235/CT234</f>
        <v>0</v>
      </c>
      <c r="CU236" s="44" t="n"/>
      <c r="CV236" s="44" t="n"/>
      <c r="CW236" s="44" t="n"/>
      <c r="CX236" s="44" t="n"/>
      <c r="CY236" s="3">
        <f>-CY235/CY234</f>
        <v>0</v>
      </c>
    </row>
    <row r="237" hidden="1" outlineLevel="1">
      <c r="C237" s="5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  <c r="BJ237" s="1" t="n"/>
      <c r="BK237" s="1" t="n"/>
      <c r="BL237" s="1" t="n"/>
      <c r="BM237" s="1" t="n"/>
      <c r="BN237" s="1" t="n"/>
      <c r="BO237" s="1" t="n"/>
      <c r="BP237" s="1" t="n"/>
      <c r="BQ237" s="1" t="n"/>
      <c r="BR237" s="1" t="n"/>
      <c r="BS237" s="1" t="n"/>
      <c r="BT237" s="1" t="n"/>
      <c r="BU237" s="1" t="n"/>
      <c r="BV237" s="1" t="n"/>
      <c r="BW237" s="1" t="n"/>
      <c r="BX237" s="1" t="n"/>
      <c r="BY237" s="1" t="n"/>
      <c r="BZ237" s="1" t="n"/>
      <c r="CA237" s="1" t="n"/>
      <c r="CB237" s="1" t="n"/>
      <c r="CC237" s="1" t="n"/>
      <c r="CD237" s="1" t="n"/>
      <c r="CE237" s="1" t="n"/>
      <c r="CF237" s="1" t="n"/>
      <c r="CG237" s="1" t="n"/>
      <c r="CH237" s="1" t="n"/>
      <c r="CI237" s="1" t="n"/>
      <c r="CJ237" s="1" t="n"/>
      <c r="CK237" s="1" t="n"/>
      <c r="CL237" s="1" t="n"/>
      <c r="CM237" s="1" t="n"/>
      <c r="CN237" s="1" t="n"/>
      <c r="CO237" s="1" t="n"/>
      <c r="CP237" s="1" t="n"/>
      <c r="CQ237" s="1" t="n"/>
      <c r="CR237" s="1" t="n"/>
      <c r="CS237" s="1" t="n"/>
      <c r="CT237" s="1" t="n"/>
      <c r="CU237" s="1" t="n"/>
      <c r="CV237" s="1" t="n"/>
      <c r="CW237" s="1" t="n"/>
      <c r="CX237" s="1" t="n"/>
      <c r="CY237" s="1" t="n"/>
    </row>
    <row r="238" hidden="1" outlineLevel="1">
      <c r="C238" s="5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  <c r="BJ238" s="1" t="n"/>
      <c r="BK238" s="1" t="n"/>
      <c r="BL238" s="1" t="n"/>
      <c r="BM238" s="1" t="n"/>
      <c r="BN238" s="1" t="n"/>
      <c r="BO238" s="1" t="n"/>
      <c r="BP238" s="1" t="n"/>
      <c r="BQ238" s="1" t="n"/>
      <c r="BR238" s="1" t="n"/>
      <c r="BS238" s="1" t="n"/>
      <c r="BT238" s="1" t="n"/>
      <c r="BU238" s="1" t="n"/>
      <c r="BV238" s="1" t="n"/>
      <c r="BW238" s="1" t="n"/>
      <c r="BX238" s="1" t="n"/>
      <c r="BY238" s="1" t="n"/>
      <c r="BZ238" s="1" t="n"/>
      <c r="CA238" s="1" t="n"/>
      <c r="CB238" s="1" t="n"/>
      <c r="CC238" s="1" t="n"/>
      <c r="CD238" s="1" t="n"/>
      <c r="CE238" s="1" t="n"/>
      <c r="CF238" s="1" t="n"/>
      <c r="CG238" s="1" t="n"/>
      <c r="CH238" s="1" t="n"/>
      <c r="CI238" s="1" t="n"/>
      <c r="CJ238" s="1" t="n"/>
      <c r="CK238" s="1" t="n"/>
      <c r="CL238" s="1" t="n"/>
      <c r="CM238" s="1" t="n"/>
      <c r="CN238" s="1" t="n"/>
      <c r="CO238" s="1" t="n"/>
      <c r="CP238" s="1" t="n"/>
      <c r="CQ238" s="1" t="n"/>
      <c r="CR238" s="1" t="n"/>
      <c r="CS238" s="1" t="n"/>
      <c r="CT238" s="1" t="n"/>
      <c r="CU238" s="1" t="n"/>
      <c r="CV238" s="1" t="n"/>
      <c r="CW238" s="1" t="n"/>
      <c r="CX238" s="1" t="n"/>
      <c r="CY238" s="1" t="n"/>
    </row>
    <row r="239" collapsed="1" ht="11.25" customHeight="1">
      <c r="C239" s="12" t="inlineStr">
        <is>
          <t>Balance Sheet</t>
        </is>
      </c>
      <c r="D239" s="12" t="str">
        <f>D13</f>
        <v>1Q20</v>
      </c>
      <c r="E239" s="12" t="str">
        <f>E13</f>
        <v>2Q20</v>
      </c>
      <c r="F239" s="12" t="str">
        <f>F13</f>
        <v>3Q20</v>
      </c>
      <c r="G239" s="12" t="str">
        <f>G13</f>
        <v>4Q20</v>
      </c>
      <c r="H239" s="12">
        <f>H13</f>
        <v>2020</v>
      </c>
      <c r="I239" s="12" t="str">
        <f>I13</f>
        <v>1Q21</v>
      </c>
      <c r="J239" s="12" t="str">
        <f>J13</f>
        <v>2Q21</v>
      </c>
      <c r="K239" s="12" t="str">
        <f>K13</f>
        <v>3Q21</v>
      </c>
      <c r="L239" s="12" t="str">
        <f>L13</f>
        <v>4Q21</v>
      </c>
      <c r="M239" s="12">
        <f>M13</f>
        <v>2021</v>
      </c>
      <c r="N239" s="12" t="str">
        <f>N13</f>
        <v>1Q22</v>
      </c>
      <c r="O239" s="12" t="str">
        <f>O13</f>
        <v>2Q22</v>
      </c>
      <c r="P239" s="12" t="str">
        <f>P13</f>
        <v>3Q22</v>
      </c>
      <c r="Q239" s="12" t="str">
        <f>Q13</f>
        <v>4Q22</v>
      </c>
      <c r="R239" s="12">
        <f>R13</f>
        <v>2022</v>
      </c>
      <c r="S239" s="12" t="str">
        <f>S13</f>
        <v>1Q23</v>
      </c>
      <c r="T239" s="12" t="str">
        <f>T13</f>
        <v>2Q23</v>
      </c>
      <c r="U239" s="12" t="str">
        <f>U13</f>
        <v>3Q23</v>
      </c>
      <c r="V239" s="12" t="str">
        <f>V13</f>
        <v>4Q23</v>
      </c>
      <c r="W239" s="12">
        <f>W13</f>
        <v>2023</v>
      </c>
      <c r="X239" s="12" t="str">
        <f>X13</f>
        <v>1Q24</v>
      </c>
      <c r="Y239" s="12" t="str">
        <f>Y13</f>
        <v>2Q24</v>
      </c>
      <c r="Z239" s="12" t="str">
        <f>Z13</f>
        <v>3Q24</v>
      </c>
      <c r="AA239" s="12" t="str">
        <f>AA13</f>
        <v>4Q24</v>
      </c>
      <c r="AB239" s="12">
        <f>AB13</f>
        <v>2024</v>
      </c>
      <c r="AC239" s="12" t="str">
        <f>AC13</f>
        <v>1Q25</v>
      </c>
      <c r="AD239" s="12" t="str">
        <f>AD13</f>
        <v>2Q25</v>
      </c>
      <c r="AE239" s="12" t="str">
        <f>AE13</f>
        <v>3Q25</v>
      </c>
      <c r="AF239" s="12" t="str">
        <f>AF13</f>
        <v>4Q25</v>
      </c>
      <c r="AG239" s="12">
        <f>AG13</f>
        <v>2025</v>
      </c>
      <c r="AH239" s="12" t="str">
        <f>AH13</f>
        <v>1Q26</v>
      </c>
      <c r="AI239" s="12" t="str">
        <f>AI13</f>
        <v>2Q26</v>
      </c>
      <c r="AJ239" s="12" t="str">
        <f>AJ13</f>
        <v>3Q26</v>
      </c>
      <c r="AK239" s="12" t="str">
        <f>AK13</f>
        <v>4Q26</v>
      </c>
      <c r="AL239" s="12">
        <f>AL13</f>
        <v>2026</v>
      </c>
      <c r="AM239" s="12" t="str">
        <f>AM13</f>
        <v>1Q27</v>
      </c>
      <c r="AN239" s="12" t="str">
        <f>AN13</f>
        <v>2Q27</v>
      </c>
      <c r="AO239" s="12" t="str">
        <f>AO13</f>
        <v>3Q27</v>
      </c>
      <c r="AP239" s="12" t="str">
        <f>AP13</f>
        <v>4Q27</v>
      </c>
      <c r="AQ239" s="12">
        <f>AQ13</f>
        <v>2027</v>
      </c>
      <c r="AR239" s="12" t="str">
        <f>AR13</f>
        <v>1Q28</v>
      </c>
      <c r="AS239" s="12" t="str">
        <f>AS13</f>
        <v>2Q28</v>
      </c>
      <c r="AT239" s="12" t="str">
        <f>AT13</f>
        <v>3Q28</v>
      </c>
      <c r="AU239" s="12" t="str">
        <f>AU13</f>
        <v>4Q28</v>
      </c>
      <c r="AV239" s="12">
        <f>AV13</f>
        <v>2028</v>
      </c>
      <c r="AW239" s="12" t="str">
        <f>AW13</f>
        <v>1Q29</v>
      </c>
      <c r="AX239" s="12" t="str">
        <f>AX13</f>
        <v>2Q29</v>
      </c>
      <c r="AY239" s="12" t="str">
        <f>AY13</f>
        <v>3Q29</v>
      </c>
      <c r="AZ239" s="12" t="str">
        <f>AZ13</f>
        <v>4Q29</v>
      </c>
      <c r="BA239" s="12">
        <f>BA13</f>
        <v>2029</v>
      </c>
      <c r="BB239" s="12" t="str">
        <f>BB13</f>
        <v>1Q30</v>
      </c>
      <c r="BC239" s="12" t="str">
        <f>BC13</f>
        <v>2Q30</v>
      </c>
      <c r="BD239" s="12" t="str">
        <f>BD13</f>
        <v>3Q30</v>
      </c>
      <c r="BE239" s="12" t="str">
        <f>BE13</f>
        <v>4Q30</v>
      </c>
      <c r="BF239" s="12">
        <f>BF13</f>
        <v>2030</v>
      </c>
      <c r="BG239" s="12" t="str">
        <f>BG13</f>
        <v>1Q31</v>
      </c>
      <c r="BH239" s="12" t="str">
        <f>BH13</f>
        <v>2Q31</v>
      </c>
      <c r="BI239" s="12" t="str">
        <f>BI13</f>
        <v>3Q31</v>
      </c>
      <c r="BJ239" s="12" t="str">
        <f>BJ13</f>
        <v>4Q31</v>
      </c>
      <c r="BK239" s="12">
        <f>BK13</f>
        <v>2031</v>
      </c>
      <c r="BL239" s="12" t="str">
        <f>BL13</f>
        <v>1Q32</v>
      </c>
      <c r="BM239" s="12" t="str">
        <f>BM13</f>
        <v>2Q32</v>
      </c>
      <c r="BN239" s="12" t="str">
        <f>BN13</f>
        <v>3Q32</v>
      </c>
      <c r="BO239" s="12" t="str">
        <f>BO13</f>
        <v>4Q32</v>
      </c>
      <c r="BP239" s="12">
        <f>BP13</f>
        <v>2032</v>
      </c>
      <c r="BQ239" s="12" t="str">
        <f>BQ13</f>
        <v>1Q33</v>
      </c>
      <c r="BR239" s="12" t="str">
        <f>BR13</f>
        <v>2Q33</v>
      </c>
      <c r="BS239" s="12" t="str">
        <f>BS13</f>
        <v>3Q33</v>
      </c>
      <c r="BT239" s="12" t="str">
        <f>BT13</f>
        <v>4Q33</v>
      </c>
      <c r="BU239" s="12">
        <f>BU13</f>
        <v>2033</v>
      </c>
      <c r="BV239" s="12" t="str">
        <f>BV13</f>
        <v>1Q34</v>
      </c>
      <c r="BW239" s="12" t="str">
        <f>BW13</f>
        <v>2Q34</v>
      </c>
      <c r="BX239" s="12" t="str">
        <f>BX13</f>
        <v>3Q34</v>
      </c>
      <c r="BY239" s="12" t="str">
        <f>BY13</f>
        <v>4Q34</v>
      </c>
      <c r="BZ239" s="12">
        <f>BZ13</f>
        <v>2034</v>
      </c>
      <c r="CA239" s="12" t="str">
        <f>CA13</f>
        <v>1Q35</v>
      </c>
      <c r="CB239" s="12" t="str">
        <f>CB13</f>
        <v>2Q35</v>
      </c>
      <c r="CC239" s="12" t="str">
        <f>CC13</f>
        <v>3Q35</v>
      </c>
      <c r="CD239" s="12" t="str">
        <f>CD13</f>
        <v>4Q35</v>
      </c>
      <c r="CE239" s="12">
        <f>CE13</f>
        <v>2035</v>
      </c>
      <c r="CF239" s="12" t="str">
        <f>CF13</f>
        <v>1Q36</v>
      </c>
      <c r="CG239" s="12" t="str">
        <f>CG13</f>
        <v>2Q36</v>
      </c>
      <c r="CH239" s="12" t="str">
        <f>CH13</f>
        <v>3Q36</v>
      </c>
      <c r="CI239" s="12" t="str">
        <f>CI13</f>
        <v>4Q36</v>
      </c>
      <c r="CJ239" s="12">
        <f>CJ13</f>
        <v>2036</v>
      </c>
      <c r="CK239" s="12" t="str">
        <f>CK13</f>
        <v>1Q37</v>
      </c>
      <c r="CL239" s="12" t="str">
        <f>CL13</f>
        <v>2Q37</v>
      </c>
      <c r="CM239" s="12" t="str">
        <f>CM13</f>
        <v>3Q37</v>
      </c>
      <c r="CN239" s="12" t="str">
        <f>CN13</f>
        <v>4Q37</v>
      </c>
      <c r="CO239" s="12">
        <f>CO13</f>
        <v>2037</v>
      </c>
      <c r="CP239" s="12" t="str">
        <f>CP13</f>
        <v>1Q38</v>
      </c>
      <c r="CQ239" s="12" t="str">
        <f>CQ13</f>
        <v>2Q38</v>
      </c>
      <c r="CR239" s="12" t="str">
        <f>CR13</f>
        <v>3Q38</v>
      </c>
      <c r="CS239" s="12" t="str">
        <f>CS13</f>
        <v>4Q38</v>
      </c>
      <c r="CT239" s="12">
        <f>CT13</f>
        <v>2038</v>
      </c>
      <c r="CU239" s="12" t="str">
        <f>CU13</f>
        <v>1Q39</v>
      </c>
      <c r="CV239" s="12" t="str">
        <f>CV13</f>
        <v>2Q39</v>
      </c>
      <c r="CW239" s="12" t="str">
        <f>CW13</f>
        <v>3Q39</v>
      </c>
      <c r="CX239" s="12" t="str">
        <f>CX13</f>
        <v>4Q39</v>
      </c>
      <c r="CY239" s="12">
        <f>CY13</f>
        <v>2039</v>
      </c>
    </row>
    <row r="240">
      <c r="C240" s="5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  <c r="BO240" s="1" t="n"/>
      <c r="BP240" s="1" t="n"/>
      <c r="BQ240" s="1" t="n"/>
      <c r="BR240" s="1" t="n"/>
      <c r="BS240" s="1" t="n"/>
      <c r="BT240" s="1" t="n"/>
      <c r="BU240" s="1" t="n"/>
      <c r="BV240" s="1" t="n"/>
      <c r="BW240" s="1" t="n"/>
      <c r="BX240" s="1" t="n"/>
      <c r="BY240" s="1" t="n"/>
      <c r="BZ240" s="1" t="n"/>
      <c r="CA240" s="1" t="n"/>
      <c r="CB240" s="1" t="n"/>
      <c r="CC240" s="1" t="n"/>
      <c r="CD240" s="1" t="n"/>
      <c r="CE240" s="1" t="n"/>
      <c r="CF240" s="1" t="n"/>
      <c r="CG240" s="1" t="n"/>
      <c r="CH240" s="1" t="n"/>
      <c r="CI240" s="1" t="n"/>
      <c r="CJ240" s="1" t="n"/>
      <c r="CK240" s="1" t="n"/>
      <c r="CL240" s="1" t="n"/>
      <c r="CM240" s="1" t="n"/>
      <c r="CN240" s="1" t="n"/>
      <c r="CO240" s="1" t="n"/>
      <c r="CP240" s="1" t="n"/>
      <c r="CQ240" s="1" t="n"/>
      <c r="CR240" s="1" t="n"/>
      <c r="CS240" s="1" t="n"/>
      <c r="CT240" s="1" t="n"/>
      <c r="CU240" s="1" t="n"/>
      <c r="CV240" s="1" t="n"/>
      <c r="CW240" s="1" t="n"/>
      <c r="CX240" s="1" t="n"/>
      <c r="CY240" s="1" t="n"/>
    </row>
    <row r="241">
      <c r="C241" s="24" t="inlineStr">
        <is>
          <t>Cash and equivalents (inc. investment securities)</t>
        </is>
      </c>
      <c r="D241" s="25">
        <f>INDEX('Inputs (2)'!$D$15:$AL$15,MATCH(D$7,'Inputs (2)'!$D$2:$AL$2,0))</f>
        <v>3421.848</v>
      </c>
      <c r="E241" s="25">
        <f>INDEX('Inputs (2)'!$D$15:$AL$15,MATCH(E$7,'Inputs (2)'!$D$2:$AL$2,0))</f>
        <v>2762.007</v>
      </c>
      <c r="F241" s="25">
        <f>INDEX('Inputs (2)'!$D$15:$AL$15,MATCH(F$7,'Inputs (2)'!$D$2:$AL$2,0))</f>
        <v>2362.287</v>
      </c>
      <c r="G241" s="25">
        <f>INDEX('Inputs (2)'!$D$15:$AL$15,MATCH(G$7,'Inputs (2)'!$D$2:$AL$2,0))</f>
        <v>2080.882</v>
      </c>
      <c r="H241" s="3">
        <f>G241</f>
        <v>2080.882</v>
      </c>
      <c r="I241" s="25">
        <f>INDEX('Inputs (2)'!$D$15:$AL$15,MATCH(I$7,'Inputs (2)'!$D$2:$AL$2,0))</f>
        <v>1891.378</v>
      </c>
      <c r="J241" s="25">
        <f>INDEX('Inputs (2)'!$D$15:$AL$15,MATCH(J$7,'Inputs (2)'!$D$2:$AL$2,0))</f>
        <v>1687.324</v>
      </c>
      <c r="K241" s="25">
        <f>INDEX('Inputs (2)'!$D$15:$AL$15,MATCH(K$7,'Inputs (2)'!$D$2:$AL$2,0))</f>
        <v>1494.615</v>
      </c>
      <c r="L241" s="25">
        <f>INDEX('Inputs (2)'!$D$15:$AL$15,MATCH(L$7,'Inputs (2)'!$D$2:$AL$2,0))</f>
        <v>1931.593</v>
      </c>
      <c r="M241" s="3">
        <f>L241</f>
        <v>1931.593</v>
      </c>
      <c r="N241" s="25">
        <f>INDEX('Inputs (2)'!$D$15:$AL$15,MATCH(N$7,'Inputs (2)'!$D$2:$AL$2,0))</f>
        <v>2000.181</v>
      </c>
      <c r="O241" s="25">
        <f>INDEX('Inputs (2)'!$D$15:$AL$15,MATCH(O$7,'Inputs (2)'!$D$2:$AL$2,0))</f>
        <v>2305.417</v>
      </c>
      <c r="P241" s="25">
        <f>INDEX('Inputs (2)'!$D$15:$AL$15,MATCH(P$7,'Inputs (2)'!$D$2:$AL$2,0))</f>
        <v>2424.969</v>
      </c>
      <c r="Q241" s="25">
        <f>INDEX('Inputs (2)'!$D$15:$AL$15,MATCH(Q$7,'Inputs (2)'!$D$2:$AL$2,0))</f>
        <v>2688.392</v>
      </c>
      <c r="R241" s="3">
        <f>Q241</f>
        <v>2688.392</v>
      </c>
      <c r="S241" s="25">
        <f>INDEX('Inputs (2)'!$D$15:$AL$15,MATCH(S$7,'Inputs (2)'!$D$2:$AL$2,0))</f>
        <v>2843.349</v>
      </c>
      <c r="T241" s="25">
        <f>INDEX('Inputs (2)'!$D$15:$AL$15,MATCH(T$7,'Inputs (2)'!$D$2:$AL$2,0))</f>
        <v>2595.83</v>
      </c>
      <c r="U241" s="25">
        <f>INDEX('Inputs (2)'!$D$15:$AL$15,MATCH(U$7,'Inputs (2)'!$D$2:$AL$2,0))</f>
        <v>2716.198</v>
      </c>
      <c r="V241" s="25">
        <f>INDEX('Inputs (2)'!$D$15:$AL$15,MATCH(V$7,'Inputs (2)'!$D$2:$AL$2,0))</f>
        <v>2831.551</v>
      </c>
      <c r="W241" s="3">
        <f>V241</f>
        <v>2831.551</v>
      </c>
      <c r="X241" s="25">
        <f>INDEX('Inputs (2)'!$D$15:$AL$15,MATCH(X$7,'Inputs (2)'!$D$2:$AL$2,0))</f>
        <v>2990.387</v>
      </c>
      <c r="Y241" s="25">
        <f>INDEX('Inputs (2)'!$D$15:$AL$15,MATCH(Y$7,'Inputs (2)'!$D$2:$AL$2,0))</f>
        <v>3757.01</v>
      </c>
      <c r="Z241" s="25">
        <f>INDEX('Inputs (2)'!$D$15:$AL$15,MATCH(Z$7,'Inputs (2)'!$D$2:$AL$2,0))</f>
        <v>3509.1</v>
      </c>
      <c r="AA241" s="25">
        <f>INDEX('Inputs (2)'!$D$15:$AL$15,MATCH(AA$7,'Inputs (2)'!$D$2:$AL$2,0))</f>
        <v>3544.259</v>
      </c>
      <c r="AB241" s="3">
        <f>AA241</f>
        <v>3544.259</v>
      </c>
      <c r="AC241" s="25">
        <f>INDEX('Inputs (2)'!$D$15:$AL$15,MATCH(AC$7,'Inputs (2)'!$D$2:$AL$2,0))</f>
        <v>3678.198</v>
      </c>
      <c r="AD241" s="25">
        <f>INDEX('Inputs (2)'!$D$15:$AL$15,MATCH(AD$7,'Inputs (2)'!$D$2:$AL$2,0))</f>
        <v>3696.42</v>
      </c>
      <c r="AE241" s="25">
        <f>INDEX('Inputs (2)'!$D$15:$AL$15,MATCH(AE$7,'Inputs (2)'!$D$2:$AL$2,0))</f>
        <v>3224.187</v>
      </c>
      <c r="AF241" s="25">
        <f>INDEX('Inputs (2)'!$D$15:$AL$15,MATCH(AF$7,'Inputs (2)'!$D$2:$AL$2,0))</f>
        <v>3228.621</v>
      </c>
      <c r="AG241" s="3">
        <f>AF241</f>
        <v>3228.621</v>
      </c>
      <c r="AH241" s="3">
        <f>INDEX('Inputs (2)'!$D$15:$AL$15,MATCH(AH$7,'Inputs (2)'!$D$2:$AL$2,0))</f>
        <v>5246.157</v>
      </c>
      <c r="AI241" s="3">
        <f>INDEX('Inputs (2)'!$D$15:$AL$15,MATCH(AI$7,'Inputs (2)'!$D$2:$AL$2,0))</f>
        <v>5371.921</v>
      </c>
      <c r="AJ241" s="3">
        <f>AI241+AJ411</f>
        <v>5824.22</v>
      </c>
      <c r="AK241" s="3">
        <f>AJ241+AK411</f>
        <v>5975.39</v>
      </c>
      <c r="AL241" s="3">
        <f>AK241</f>
        <v>5975.39</v>
      </c>
      <c r="AM241" s="3" t="e">
        <f>AL241+AM411</f>
        <v>#DIV/0!</v>
      </c>
      <c r="AN241" s="3" t="e">
        <f>AM241+AN411</f>
        <v>#DIV/0!</v>
      </c>
      <c r="AO241" s="3" t="e">
        <f>AN241+AO411</f>
        <v>#DIV/0!</v>
      </c>
      <c r="AP241" s="3" t="e">
        <f>AO241+AP411</f>
        <v>#DIV/0!</v>
      </c>
      <c r="AQ241" s="3" t="e">
        <f>AP241</f>
        <v>#DIV/0!</v>
      </c>
      <c r="AR241" s="3" t="e">
        <f>AQ241+AR411</f>
        <v>#DIV/0!</v>
      </c>
      <c r="AS241" s="3" t="e">
        <f>AR241+AS411</f>
        <v>#DIV/0!</v>
      </c>
      <c r="AT241" s="3" t="e">
        <f>AS241+AT411</f>
        <v>#DIV/0!</v>
      </c>
      <c r="AU241" s="3" t="e">
        <f>AT241+AU411</f>
        <v>#DIV/0!</v>
      </c>
      <c r="AV241" s="3" t="e">
        <f>AU241</f>
        <v>#DIV/0!</v>
      </c>
      <c r="AW241" s="3" t="e">
        <f>AV241+AW411</f>
        <v>#DIV/0!</v>
      </c>
      <c r="AX241" s="3" t="e">
        <f>AW241+AX411</f>
        <v>#DIV/0!</v>
      </c>
      <c r="AY241" s="3" t="e">
        <f>AX241+AY411</f>
        <v>#DIV/0!</v>
      </c>
      <c r="AZ241" s="3" t="e">
        <f>AY241+AZ411</f>
        <v>#DIV/0!</v>
      </c>
      <c r="BA241" s="3" t="e">
        <f>AZ241</f>
        <v>#DIV/0!</v>
      </c>
      <c r="BB241" s="3" t="e">
        <f>BA241+BB411</f>
        <v>#DIV/0!</v>
      </c>
      <c r="BC241" s="3" t="e">
        <f>BB241+BC411</f>
        <v>#DIV/0!</v>
      </c>
      <c r="BD241" s="3" t="e">
        <f>BC241+BD411</f>
        <v>#DIV/0!</v>
      </c>
      <c r="BE241" s="3" t="e">
        <f>BD241+BE411</f>
        <v>#DIV/0!</v>
      </c>
      <c r="BF241" s="3" t="e">
        <f>BE241</f>
        <v>#DIV/0!</v>
      </c>
      <c r="BG241" s="3" t="e">
        <f>BF241+BG411</f>
        <v>#DIV/0!</v>
      </c>
      <c r="BH241" s="3" t="e">
        <f>BG241+BH411</f>
        <v>#DIV/0!</v>
      </c>
      <c r="BI241" s="3" t="e">
        <f>BH241+BI411</f>
        <v>#DIV/0!</v>
      </c>
      <c r="BJ241" s="3" t="e">
        <f>BI241+BJ411</f>
        <v>#DIV/0!</v>
      </c>
      <c r="BK241" s="3" t="e">
        <f>BJ241</f>
        <v>#DIV/0!</v>
      </c>
      <c r="BL241" s="3" t="e">
        <f>BK241+BL411</f>
        <v>#DIV/0!</v>
      </c>
      <c r="BM241" s="3" t="e">
        <f>BL241+BM411</f>
        <v>#DIV/0!</v>
      </c>
      <c r="BN241" s="3" t="e">
        <f>BM241+BN411</f>
        <v>#DIV/0!</v>
      </c>
      <c r="BO241" s="3" t="e">
        <f>BN241+BO411</f>
        <v>#DIV/0!</v>
      </c>
      <c r="BP241" s="3" t="e">
        <f>BO241</f>
        <v>#DIV/0!</v>
      </c>
      <c r="BQ241" s="3" t="e">
        <f>BP241+BQ411</f>
        <v>#DIV/0!</v>
      </c>
      <c r="BR241" s="3" t="e">
        <f>BQ241+BR411</f>
        <v>#DIV/0!</v>
      </c>
      <c r="BS241" s="3" t="e">
        <f>BR241+BS411</f>
        <v>#DIV/0!</v>
      </c>
      <c r="BT241" s="3" t="e">
        <f>BS241+BT411</f>
        <v>#DIV/0!</v>
      </c>
      <c r="BU241" s="3" t="e">
        <f>BT241</f>
        <v>#DIV/0!</v>
      </c>
      <c r="BV241" s="3" t="e">
        <f>BU241+BV411</f>
        <v>#DIV/0!</v>
      </c>
      <c r="BW241" s="3" t="e">
        <f>BV241+BW411</f>
        <v>#DIV/0!</v>
      </c>
      <c r="BX241" s="3" t="e">
        <f>BW241+BX411</f>
        <v>#DIV/0!</v>
      </c>
      <c r="BY241" s="3" t="e">
        <f>BX241+BY411</f>
        <v>#DIV/0!</v>
      </c>
      <c r="BZ241" s="3" t="e">
        <f>BY241</f>
        <v>#DIV/0!</v>
      </c>
      <c r="CA241" s="3" t="e">
        <f>BZ241+CA411</f>
        <v>#DIV/0!</v>
      </c>
      <c r="CB241" s="3" t="e">
        <f>CA241+CB411</f>
        <v>#DIV/0!</v>
      </c>
      <c r="CC241" s="3" t="e">
        <f>CB241+CC411</f>
        <v>#DIV/0!</v>
      </c>
      <c r="CD241" s="3" t="e">
        <f>CC241+CD411</f>
        <v>#DIV/0!</v>
      </c>
      <c r="CE241" s="3" t="e">
        <f>CD241</f>
        <v>#DIV/0!</v>
      </c>
      <c r="CF241" s="3" t="e">
        <f>CE241+CF411</f>
        <v>#DIV/0!</v>
      </c>
      <c r="CG241" s="3" t="e">
        <f>CF241+CG411</f>
        <v>#DIV/0!</v>
      </c>
      <c r="CH241" s="3" t="e">
        <f>CG241+CH411</f>
        <v>#DIV/0!</v>
      </c>
      <c r="CI241" s="3" t="e">
        <f>CH241+CI411</f>
        <v>#DIV/0!</v>
      </c>
      <c r="CJ241" s="3" t="e">
        <f>CI241</f>
        <v>#DIV/0!</v>
      </c>
      <c r="CK241" s="3" t="e">
        <f>CJ241+CK411</f>
        <v>#DIV/0!</v>
      </c>
      <c r="CL241" s="3" t="e">
        <f>CK241+CL411</f>
        <v>#DIV/0!</v>
      </c>
      <c r="CM241" s="3" t="e">
        <f>CL241+CM411</f>
        <v>#DIV/0!</v>
      </c>
      <c r="CN241" s="3" t="e">
        <f>CM241+CN411</f>
        <v>#DIV/0!</v>
      </c>
      <c r="CO241" s="3" t="e">
        <f>CN241</f>
        <v>#DIV/0!</v>
      </c>
      <c r="CP241" s="3" t="e">
        <f>CO241+CP411</f>
        <v>#DIV/0!</v>
      </c>
      <c r="CQ241" s="3" t="e">
        <f>CP241+CQ411</f>
        <v>#DIV/0!</v>
      </c>
      <c r="CR241" s="3" t="e">
        <f>CQ241+CR411</f>
        <v>#DIV/0!</v>
      </c>
      <c r="CS241" s="3" t="e">
        <f>CR241+CS411</f>
        <v>#DIV/0!</v>
      </c>
      <c r="CT241" s="3" t="e">
        <f>CS241</f>
        <v>#DIV/0!</v>
      </c>
      <c r="CU241" s="3" t="e">
        <f>CT241+CU411</f>
        <v>#DIV/0!</v>
      </c>
      <c r="CV241" s="3" t="e">
        <f>CU241+CV411</f>
        <v>#DIV/0!</v>
      </c>
      <c r="CW241" s="3" t="e">
        <f>CV241+CW411</f>
        <v>#DIV/0!</v>
      </c>
      <c r="CX241" s="3" t="e">
        <f>CW241+CX411</f>
        <v>#DIV/0!</v>
      </c>
      <c r="CY241" s="3" t="e">
        <f>CX241</f>
        <v>#DIV/0!</v>
      </c>
    </row>
    <row r="242">
      <c r="C242" s="26" t="inlineStr">
        <is>
          <t>Accounts receivable</t>
        </is>
      </c>
      <c r="D242" s="25">
        <f>INDEX('Inputs (2)'!$D$16:$AL$16,MATCH(D$7,'Inputs (2)'!$D$2:$AL$2,0))</f>
        <v>330.399</v>
      </c>
      <c r="E242" s="25">
        <f>INDEX('Inputs (2)'!$D$16:$AL$16,MATCH(E$7,'Inputs (2)'!$D$2:$AL$2,0))</f>
        <v>328.061</v>
      </c>
      <c r="F242" s="25">
        <f>INDEX('Inputs (2)'!$D$16:$AL$16,MATCH(F$7,'Inputs (2)'!$D$2:$AL$2,0))</f>
        <v>365.38</v>
      </c>
      <c r="G242" s="25">
        <f>INDEX('Inputs (2)'!$D$16:$AL$16,MATCH(G$7,'Inputs (2)'!$D$2:$AL$2,0))</f>
        <v>415.353</v>
      </c>
      <c r="H242" s="3">
        <f>G242</f>
        <v>415.353</v>
      </c>
      <c r="I242" s="25">
        <f>INDEX('Inputs (2)'!$D$16:$AL$16,MATCH(I$7,'Inputs (2)'!$D$2:$AL$2,0))</f>
        <v>338.682</v>
      </c>
      <c r="J242" s="25">
        <f>INDEX('Inputs (2)'!$D$16:$AL$16,MATCH(J$7,'Inputs (2)'!$D$2:$AL$2,0))</f>
        <v>345.885</v>
      </c>
      <c r="K242" s="25">
        <f>INDEX('Inputs (2)'!$D$16:$AL$16,MATCH(K$7,'Inputs (2)'!$D$2:$AL$2,0))</f>
        <v>378.626</v>
      </c>
      <c r="L242" s="25">
        <f>INDEX('Inputs (2)'!$D$16:$AL$16,MATCH(L$7,'Inputs (2)'!$D$2:$AL$2,0))</f>
        <v>391.698</v>
      </c>
      <c r="M242" s="3">
        <f>L242</f>
        <v>391.698</v>
      </c>
      <c r="N242" s="25">
        <f>INDEX('Inputs (2)'!$D$16:$AL$16,MATCH(N$7,'Inputs (2)'!$D$2:$AL$2,0))</f>
        <v>363.277</v>
      </c>
      <c r="O242" s="25">
        <f>INDEX('Inputs (2)'!$D$16:$AL$16,MATCH(O$7,'Inputs (2)'!$D$2:$AL$2,0))</f>
        <v>377.686</v>
      </c>
      <c r="P242" s="25">
        <f>INDEX('Inputs (2)'!$D$16:$AL$16,MATCH(P$7,'Inputs (2)'!$D$2:$AL$2,0))</f>
        <v>412.736</v>
      </c>
      <c r="Q242" s="25">
        <f>INDEX('Inputs (2)'!$D$16:$AL$16,MATCH(Q$7,'Inputs (2)'!$D$2:$AL$2,0))</f>
        <v>448.279</v>
      </c>
      <c r="R242" s="3">
        <f>Q242</f>
        <v>448.279</v>
      </c>
      <c r="S242" s="25">
        <f>INDEX('Inputs (2)'!$D$16:$AL$16,MATCH(S$7,'Inputs (2)'!$D$2:$AL$2,0))</f>
        <v>476.539</v>
      </c>
      <c r="T242" s="25">
        <f>INDEX('Inputs (2)'!$D$16:$AL$16,MATCH(T$7,'Inputs (2)'!$D$2:$AL$2,0))</f>
        <v>292.699</v>
      </c>
      <c r="U242" s="25">
        <f>INDEX('Inputs (2)'!$D$16:$AL$16,MATCH(U$7,'Inputs (2)'!$D$2:$AL$2,0))</f>
        <v>338.637</v>
      </c>
      <c r="V242" s="25">
        <f>INDEX('Inputs (2)'!$D$16:$AL$16,MATCH(V$7,'Inputs (2)'!$D$2:$AL$2,0))</f>
        <v>288.702</v>
      </c>
      <c r="W242" s="3">
        <f>V242</f>
        <v>288.702</v>
      </c>
      <c r="X242" s="25">
        <f>INDEX('Inputs (2)'!$D$16:$AL$16,MATCH(X$7,'Inputs (2)'!$D$2:$AL$2,0))</f>
        <v>262.889</v>
      </c>
      <c r="Y242" s="25">
        <f>INDEX('Inputs (2)'!$D$16:$AL$16,MATCH(Y$7,'Inputs (2)'!$D$2:$AL$2,0))</f>
        <v>270.403</v>
      </c>
      <c r="Z242" s="25">
        <f>INDEX('Inputs (2)'!$D$16:$AL$16,MATCH(Z$7,'Inputs (2)'!$D$2:$AL$2,0))</f>
        <v>274.293</v>
      </c>
      <c r="AA242" s="25">
        <f>INDEX('Inputs (2)'!$D$16:$AL$16,MATCH(AA$7,'Inputs (2)'!$D$2:$AL$2,0))</f>
        <v>283.923</v>
      </c>
      <c r="AB242" s="3">
        <f>AA242</f>
        <v>283.923</v>
      </c>
      <c r="AC242" s="25">
        <f>INDEX('Inputs (2)'!$D$16:$AL$16,MATCH(AC$7,'Inputs (2)'!$D$2:$AL$2,0))</f>
        <v>259.685</v>
      </c>
      <c r="AD242" s="25">
        <f>INDEX('Inputs (2)'!$D$16:$AL$16,MATCH(AD$7,'Inputs (2)'!$D$2:$AL$2,0))</f>
        <v>247.846</v>
      </c>
      <c r="AE242" s="25">
        <f>INDEX('Inputs (2)'!$D$16:$AL$16,MATCH(AE$7,'Inputs (2)'!$D$2:$AL$2,0))</f>
        <v>212.361</v>
      </c>
      <c r="AF242" s="25">
        <f>INDEX('Inputs (2)'!$D$16:$AL$16,MATCH(AF$7,'Inputs (2)'!$D$2:$AL$2,0))</f>
        <v>186.798</v>
      </c>
      <c r="AG242" s="3">
        <f>AF242</f>
        <v>186.798</v>
      </c>
      <c r="AH242" s="3">
        <f>INDEX('Inputs (2)'!$D$16:$AL$16,MATCH(AH$7,'Inputs (2)'!$D$2:$AL$2,0))</f>
        <v>191.285</v>
      </c>
      <c r="AI242" s="3">
        <f>INDEX('Inputs (2)'!$D$16:$AL$16,MATCH(AI$7,'Inputs (2)'!$D$2:$AL$2,0))</f>
        <v>349.127</v>
      </c>
      <c r="AJ242" s="3">
        <f>(AJ243/(AJ$5-AI$5))*AJ$15</f>
        <v>0</v>
      </c>
      <c r="AK242" s="3">
        <f>(AK243/(AK$5-AJ$5))*AK$15</f>
        <v>0</v>
      </c>
      <c r="AL242" s="3">
        <f>AK242</f>
        <v>0</v>
      </c>
      <c r="AM242" s="3">
        <f>(AM243/(AM$5-AL$5))*AM$15</f>
        <v>0</v>
      </c>
      <c r="AN242" s="3">
        <f>(AN243/(AN$5-AM$5))*AN$15</f>
        <v>0</v>
      </c>
      <c r="AO242" s="3">
        <f>(AO243/(AO$5-AN$5))*AO$15</f>
        <v>0</v>
      </c>
      <c r="AP242" s="3">
        <f>(AP243/(AP$5-AO$5))*AP$15</f>
        <v>0</v>
      </c>
      <c r="AQ242" s="3">
        <f>AP242</f>
        <v>0</v>
      </c>
      <c r="AR242" s="3">
        <f>(AR243/(AR$5-AQ$5))*AR$15</f>
        <v>0</v>
      </c>
      <c r="AS242" s="3">
        <f>(AS243/(AS$5-AR$5))*AS$15</f>
        <v>0</v>
      </c>
      <c r="AT242" s="3">
        <f>(AT243/(AT$5-AS$5))*AT$15</f>
        <v>0</v>
      </c>
      <c r="AU242" s="3">
        <f>(AU243/(AU$5-AT$5))*AU$15</f>
        <v>0</v>
      </c>
      <c r="AV242" s="3">
        <f>AU242</f>
        <v>0</v>
      </c>
      <c r="AW242" s="3">
        <f>(AW243/(AW$5-AV$5))*AW$15</f>
        <v>0</v>
      </c>
      <c r="AX242" s="3">
        <f>(AX243/(AX$5-AW$5))*AX$15</f>
        <v>0</v>
      </c>
      <c r="AY242" s="3">
        <f>(AY243/(AY$5-AX$5))*AY$15</f>
        <v>0</v>
      </c>
      <c r="AZ242" s="3">
        <f>(AZ243/(AZ$5-AY$5))*AZ$15</f>
        <v>0</v>
      </c>
      <c r="BA242" s="3">
        <f>AZ242</f>
        <v>0</v>
      </c>
      <c r="BB242" s="3">
        <f>(BB243/(BB$5-BA$5))*BB$15</f>
        <v>0</v>
      </c>
      <c r="BC242" s="3">
        <f>(BC243/(BC$5-BB$5))*BC$15</f>
        <v>0</v>
      </c>
      <c r="BD242" s="3">
        <f>(BD243/(BD$5-BC$5))*BD$15</f>
        <v>0</v>
      </c>
      <c r="BE242" s="3">
        <f>(BE243/(BE$5-BD$5))*BE$15</f>
        <v>0</v>
      </c>
      <c r="BF242" s="3">
        <f>BE242</f>
        <v>0</v>
      </c>
      <c r="BG242" s="3">
        <f>(BG243/(BG$5-BF$5))*BG$15</f>
        <v>0</v>
      </c>
      <c r="BH242" s="3">
        <f>(BH243/(BH$5-BG$5))*BH$15</f>
        <v>0</v>
      </c>
      <c r="BI242" s="3">
        <f>(BI243/(BI$5-BH$5))*BI$15</f>
        <v>0</v>
      </c>
      <c r="BJ242" s="3">
        <f>(BJ243/(BJ$5-BI$5))*BJ$15</f>
        <v>0</v>
      </c>
      <c r="BK242" s="3">
        <f>BJ242</f>
        <v>0</v>
      </c>
      <c r="BL242" s="3">
        <f>(BL243/(BL$5-BK$5))*BL$15</f>
        <v>0</v>
      </c>
      <c r="BM242" s="3">
        <f>(BM243/(BM$5-BL$5))*BM$15</f>
        <v>0</v>
      </c>
      <c r="BN242" s="3">
        <f>(BN243/(BN$5-BM$5))*BN$15</f>
        <v>0</v>
      </c>
      <c r="BO242" s="3">
        <f>(BO243/(BO$5-BN$5))*BO$15</f>
        <v>0</v>
      </c>
      <c r="BP242" s="3">
        <f>BO242</f>
        <v>0</v>
      </c>
      <c r="BQ242" s="3">
        <f>(BQ243/(BQ$5-BP$5))*BQ$15</f>
        <v>0</v>
      </c>
      <c r="BR242" s="3">
        <f>(BR243/(BR$5-BQ$5))*BR$15</f>
        <v>0</v>
      </c>
      <c r="BS242" s="3">
        <f>(BS243/(BS$5-BR$5))*BS$15</f>
        <v>0</v>
      </c>
      <c r="BT242" s="3">
        <f>(BT243/(BT$5-BS$5))*BT$15</f>
        <v>0</v>
      </c>
      <c r="BU242" s="3">
        <f>BT242</f>
        <v>0</v>
      </c>
      <c r="BV242" s="3">
        <f>(BV243/(BV$5-BU$5))*BV$15</f>
        <v>0</v>
      </c>
      <c r="BW242" s="3">
        <f>(BW243/(BW$5-BV$5))*BW$15</f>
        <v>0</v>
      </c>
      <c r="BX242" s="3">
        <f>(BX243/(BX$5-BW$5))*BX$15</f>
        <v>0</v>
      </c>
      <c r="BY242" s="3">
        <f>(BY243/(BY$5-BX$5))*BY$15</f>
        <v>0</v>
      </c>
      <c r="BZ242" s="3">
        <f>BY242</f>
        <v>0</v>
      </c>
      <c r="CA242" s="3">
        <f>(CA243/(CA$5-BZ$5))*CA$15</f>
        <v>0</v>
      </c>
      <c r="CB242" s="3">
        <f>(CB243/(CB$5-CA$5))*CB$15</f>
        <v>0</v>
      </c>
      <c r="CC242" s="3">
        <f>(CC243/(CC$5-CB$5))*CC$15</f>
        <v>0</v>
      </c>
      <c r="CD242" s="3">
        <f>(CD243/(CD$5-CC$5))*CD$15</f>
        <v>0</v>
      </c>
      <c r="CE242" s="3">
        <f>CD242</f>
        <v>0</v>
      </c>
      <c r="CF242" s="3">
        <f>(CF243/(CF$5-CE$5))*CF$15</f>
        <v>0</v>
      </c>
      <c r="CG242" s="3">
        <f>(CG243/(CG$5-CF$5))*CG$15</f>
        <v>0</v>
      </c>
      <c r="CH242" s="3">
        <f>(CH243/(CH$5-CG$5))*CH$15</f>
        <v>0</v>
      </c>
      <c r="CI242" s="3">
        <f>(CI243/(CI$5-CH$5))*CI$15</f>
        <v>0</v>
      </c>
      <c r="CJ242" s="3">
        <f>CI242</f>
        <v>0</v>
      </c>
      <c r="CK242" s="3">
        <f>(CK243/(CK$5-CJ$5))*CK$15</f>
        <v>0</v>
      </c>
      <c r="CL242" s="3">
        <f>(CL243/(CL$5-CK$5))*CL$15</f>
        <v>0</v>
      </c>
      <c r="CM242" s="3">
        <f>(CM243/(CM$5-CL$5))*CM$15</f>
        <v>0</v>
      </c>
      <c r="CN242" s="3">
        <f>(CN243/(CN$5-CM$5))*CN$15</f>
        <v>0</v>
      </c>
      <c r="CO242" s="3">
        <f>CN242</f>
        <v>0</v>
      </c>
      <c r="CP242" s="3">
        <f>(CP243/(CP$5-CO$5))*CP$15</f>
        <v>0</v>
      </c>
      <c r="CQ242" s="3">
        <f>(CQ243/(CQ$5-CP$5))*CQ$15</f>
        <v>0</v>
      </c>
      <c r="CR242" s="3">
        <f>(CR243/(CR$5-CQ$5))*CR$15</f>
        <v>0</v>
      </c>
      <c r="CS242" s="3">
        <f>(CS243/(CS$5-CR$5))*CS$15</f>
        <v>0</v>
      </c>
      <c r="CT242" s="3">
        <f>CS242</f>
        <v>0</v>
      </c>
      <c r="CU242" s="3">
        <f>(CU243/(CU$5-CT$5))*CU$15</f>
        <v>0</v>
      </c>
      <c r="CV242" s="3">
        <f>(CV243/(CV$5-CU$5))*CV$15</f>
        <v>0</v>
      </c>
      <c r="CW242" s="3">
        <f>(CW243/(CW$5-CV$5))*CW$15</f>
        <v>0</v>
      </c>
      <c r="CX242" s="3">
        <f>(CX243/(CX$5-CW$5))*CX$15</f>
        <v>0</v>
      </c>
      <c r="CY242" s="3">
        <f>CX242</f>
        <v>0</v>
      </c>
    </row>
    <row r="243" hidden="1" outlineLevel="1">
      <c r="C243" s="34" t="inlineStr">
        <is>
          <t>DSO</t>
        </is>
      </c>
      <c r="D243" s="3" t="n"/>
      <c r="E243" s="3">
        <f>(E242/E$15)*(E$5-D$5)</f>
        <v>29.0693755258156</v>
      </c>
      <c r="F243" s="3">
        <f>(F242/F$15)*(F$5-E$5)</f>
        <v>22.5403618129674</v>
      </c>
      <c r="G243" s="3">
        <f>(G242/G$15)*(G$5-F$5)</f>
        <v>15.8853353475903</v>
      </c>
      <c r="H243" s="3" t="n"/>
      <c r="I243" s="3">
        <f>(I242/I$15)*(I$5-H$5)</f>
        <v>19.0333280465371</v>
      </c>
      <c r="J243" s="3">
        <f>(J242/J$15)*(J$5-I$5)</f>
        <v>23.5394285269841</v>
      </c>
      <c r="K243" s="3">
        <f>(K242/K$15)*(K$5-J$5)</f>
        <v>29.8321691736922</v>
      </c>
      <c r="L243" s="3">
        <f>(L242/L$15)*(L$5-K$5)</f>
        <v>31.9486710741076</v>
      </c>
      <c r="M243" s="3" t="n"/>
      <c r="N243" s="3">
        <f>(N242/N$15)*(N$5-M$5)</f>
        <v>25.5325414675288</v>
      </c>
      <c r="O243" s="3">
        <f>(O242/O$15)*(O$5-N$5)</f>
        <v>29.4197577045187</v>
      </c>
      <c r="P243" s="3">
        <f>(P242/P$15)*(P$5-O$5)</f>
        <v>58.1800174363642</v>
      </c>
      <c r="Q243" s="3">
        <f>(Q242/Q$15)*(Q$5-P$5)</f>
        <v>56.3190720565462</v>
      </c>
      <c r="R243" s="3" t="n"/>
      <c r="S243" s="3">
        <f>(S242/S$15)*(S$5-R$5)</f>
        <v>42.7177670849614</v>
      </c>
      <c r="T243" s="3">
        <f>(T242/T$15)*(T$5-S$5)</f>
        <v>34.1413883889889</v>
      </c>
      <c r="U243" s="3">
        <f>(U242/U$15)*(U$5-T$5)</f>
        <v>48.0071930805893</v>
      </c>
      <c r="V243" s="3">
        <f>(V242/V$15)*(V$5-U$5)</f>
        <v>30.241900279071</v>
      </c>
      <c r="W243" s="3" t="n"/>
      <c r="X243" s="3">
        <f>(X242/X$15)*(X$5-W$5)</f>
        <v>24.0060800674337</v>
      </c>
      <c r="Y243" s="3">
        <f>(Y242/Y$15)*(Y$5-X$5)</f>
        <v>25.8014883211771</v>
      </c>
      <c r="Z243" s="3">
        <f>(Z242/Z$15)*(Z$5-Y$5)</f>
        <v>27.1762360712797</v>
      </c>
      <c r="AA243" s="3">
        <f>(AA242/AA$15)*(AA$5-Z$5)</f>
        <v>23.2535239604383</v>
      </c>
      <c r="AB243" s="3" t="n"/>
      <c r="AC243" s="3">
        <f>(AC242/AC$15)*(AC$5-AB$5)</f>
        <v>19.0986826353177</v>
      </c>
      <c r="AD243" s="3">
        <f>(AD242/AD$15)*(AD$5-AC$5)</f>
        <v>21.5386538571729</v>
      </c>
      <c r="AE243" s="3">
        <f>(AE242/AE$15)*(AE$5-AD$5)</f>
        <v>20.2804288770575</v>
      </c>
      <c r="AF243" s="6">
        <f>(AF242/AF$15)*(AF$5-AE$5)</f>
        <v>14.7684295828933</v>
      </c>
      <c r="AG243" s="3" t="n"/>
      <c r="AH243" s="6">
        <f>(AH242/AH$15)*(AH$5-AG$5)</f>
        <v>13.710712109809</v>
      </c>
      <c r="AI243" s="6">
        <f>(AI242/AI$15)*(AI$5-AH$5)</f>
        <v>19.5236587321827</v>
      </c>
      <c r="AJ243" s="6" t="n"/>
      <c r="AK243" s="6" t="n"/>
      <c r="AL243" s="3" t="n"/>
      <c r="AM243" s="6" t="n"/>
      <c r="AN243" s="6" t="n"/>
      <c r="AO243" s="6" t="n"/>
      <c r="AP243" s="6" t="n"/>
      <c r="AQ243" s="3" t="n"/>
      <c r="AR243" s="6" t="n"/>
      <c r="AS243" s="6" t="n"/>
      <c r="AT243" s="6" t="n"/>
      <c r="AU243" s="6" t="n"/>
      <c r="AV243" s="3" t="n"/>
      <c r="AW243" s="6" t="n"/>
      <c r="AX243" s="6" t="n"/>
      <c r="AY243" s="6" t="n"/>
      <c r="AZ243" s="6" t="n"/>
      <c r="BA243" s="3" t="n"/>
      <c r="BB243" s="6" t="n"/>
      <c r="BC243" s="6" t="n"/>
      <c r="BD243" s="6" t="n"/>
      <c r="BE243" s="6" t="n"/>
      <c r="BF243" s="3" t="n"/>
      <c r="BG243" s="6" t="n"/>
      <c r="BH243" s="6" t="n"/>
      <c r="BI243" s="6" t="n"/>
      <c r="BJ243" s="6" t="n"/>
      <c r="BK243" s="3" t="n"/>
      <c r="BL243" s="6" t="n"/>
      <c r="BM243" s="6" t="n"/>
      <c r="BN243" s="6" t="n"/>
      <c r="BO243" s="6" t="n"/>
      <c r="BP243" s="3" t="n"/>
      <c r="BQ243" s="6" t="n"/>
      <c r="BR243" s="6" t="n"/>
      <c r="BS243" s="6" t="n"/>
      <c r="BT243" s="6" t="n"/>
      <c r="BU243" s="3" t="n"/>
      <c r="BV243" s="6" t="n"/>
      <c r="BW243" s="6" t="n"/>
      <c r="BX243" s="6" t="n"/>
      <c r="BY243" s="6" t="n"/>
      <c r="BZ243" s="3" t="n"/>
      <c r="CA243" s="6" t="n"/>
      <c r="CB243" s="6" t="n"/>
      <c r="CC243" s="6" t="n"/>
      <c r="CD243" s="6" t="n"/>
      <c r="CE243" s="3" t="n"/>
      <c r="CF243" s="6" t="n"/>
      <c r="CG243" s="6" t="n"/>
      <c r="CH243" s="6" t="n"/>
      <c r="CI243" s="6" t="n"/>
      <c r="CJ243" s="3" t="n"/>
      <c r="CK243" s="6" t="n"/>
      <c r="CL243" s="6" t="n"/>
      <c r="CM243" s="6" t="n"/>
      <c r="CN243" s="6" t="n"/>
      <c r="CO243" s="3" t="n"/>
      <c r="CP243" s="6" t="n"/>
      <c r="CQ243" s="6" t="n"/>
      <c r="CR243" s="6" t="n"/>
      <c r="CS243" s="6" t="n"/>
      <c r="CT243" s="3" t="n"/>
      <c r="CU243" s="6" t="n"/>
      <c r="CV243" s="6" t="n"/>
      <c r="CW243" s="6" t="n"/>
      <c r="CX243" s="6" t="n"/>
      <c r="CY243" s="3" t="n"/>
    </row>
    <row r="244" hidden="1" outlineLevel="1">
      <c r="C244" s="34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  <c r="CU244" s="3" t="n"/>
      <c r="CV244" s="3" t="n"/>
      <c r="CW244" s="3" t="n"/>
      <c r="CX244" s="3" t="n"/>
      <c r="CY244" s="3" t="n"/>
    </row>
    <row r="245" hidden="1" outlineLevel="1">
      <c r="C245" s="34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  <c r="CU245" s="3" t="n"/>
      <c r="CV245" s="3" t="n"/>
      <c r="CW245" s="3" t="n"/>
      <c r="CX245" s="3" t="n"/>
      <c r="CY245" s="3" t="n"/>
    </row>
    <row r="246" collapsed="1">
      <c r="C246" s="26" t="inlineStr">
        <is>
          <t>Inventories</t>
        </is>
      </c>
      <c r="D246" s="25">
        <f>INDEX('Inputs (2)'!$D$17:$AL$17,MATCH(D$7,'Inputs (2)'!$D$2:$AL$2,0))</f>
        <v>9.723</v>
      </c>
      <c r="E246" s="25">
        <f>INDEX('Inputs (2)'!$D$17:$AL$17,MATCH(E$7,'Inputs (2)'!$D$2:$AL$2,0))</f>
        <v>8.082</v>
      </c>
      <c r="F246" s="25">
        <f>INDEX('Inputs (2)'!$D$17:$AL$17,MATCH(F$7,'Inputs (2)'!$D$2:$AL$2,0))</f>
        <v>8.244</v>
      </c>
      <c r="G246" s="25">
        <f>INDEX('Inputs (2)'!$D$17:$AL$17,MATCH(G$7,'Inputs (2)'!$D$2:$AL$2,0))</f>
        <v>7.856</v>
      </c>
      <c r="H246" s="3">
        <f>G246</f>
        <v>7.856</v>
      </c>
      <c r="I246" s="25">
        <f>INDEX('Inputs (2)'!$D$17:$AL$17,MATCH(I$7,'Inputs (2)'!$D$2:$AL$2,0))</f>
        <v>7.969</v>
      </c>
      <c r="J246" s="25">
        <f>INDEX('Inputs (2)'!$D$17:$AL$17,MATCH(J$7,'Inputs (2)'!$D$2:$AL$2,0))</f>
        <v>8.386</v>
      </c>
      <c r="K246" s="25">
        <f>INDEX('Inputs (2)'!$D$17:$AL$17,MATCH(K$7,'Inputs (2)'!$D$2:$AL$2,0))</f>
        <v>8.389</v>
      </c>
      <c r="L246" s="25">
        <f>INDEX('Inputs (2)'!$D$17:$AL$17,MATCH(L$7,'Inputs (2)'!$D$2:$AL$2,0))</f>
        <v>8.245</v>
      </c>
      <c r="M246" s="3">
        <f>L246</f>
        <v>8.245</v>
      </c>
      <c r="N246" s="25">
        <f>INDEX('Inputs (2)'!$D$17:$AL$17,MATCH(N$7,'Inputs (2)'!$D$2:$AL$2,0))</f>
        <v>8.368</v>
      </c>
      <c r="O246" s="25">
        <f>INDEX('Inputs (2)'!$D$17:$AL$17,MATCH(O$7,'Inputs (2)'!$D$2:$AL$2,0))</f>
        <v>8.455</v>
      </c>
      <c r="P246" s="25">
        <f>INDEX('Inputs (2)'!$D$17:$AL$17,MATCH(P$7,'Inputs (2)'!$D$2:$AL$2,0))</f>
        <v>8.952</v>
      </c>
      <c r="Q246" s="25">
        <f>INDEX('Inputs (2)'!$D$17:$AL$17,MATCH(Q$7,'Inputs (2)'!$D$2:$AL$2,0))</f>
        <v>9.201</v>
      </c>
      <c r="R246" s="3">
        <f>Q246</f>
        <v>9.201</v>
      </c>
      <c r="S246" s="25">
        <f>INDEX('Inputs (2)'!$D$17:$AL$17,MATCH(S$7,'Inputs (2)'!$D$2:$AL$2,0))</f>
        <v>9.061</v>
      </c>
      <c r="T246" s="25">
        <f>INDEX('Inputs (2)'!$D$17:$AL$17,MATCH(T$7,'Inputs (2)'!$D$2:$AL$2,0))</f>
        <v>9.397</v>
      </c>
      <c r="U246" s="25">
        <f>INDEX('Inputs (2)'!$D$17:$AL$17,MATCH(U$7,'Inputs (2)'!$D$2:$AL$2,0))</f>
        <v>17.446</v>
      </c>
      <c r="V246" s="25">
        <f>INDEX('Inputs (2)'!$D$17:$AL$17,MATCH(V$7,'Inputs (2)'!$D$2:$AL$2,0))</f>
        <v>10.278</v>
      </c>
      <c r="W246" s="3">
        <f>V246</f>
        <v>10.278</v>
      </c>
      <c r="X246" s="25">
        <f>INDEX('Inputs (2)'!$D$17:$AL$17,MATCH(X$7,'Inputs (2)'!$D$2:$AL$2,0))</f>
        <v>9.874</v>
      </c>
      <c r="Y246" s="25">
        <f>INDEX('Inputs (2)'!$D$17:$AL$17,MATCH(Y$7,'Inputs (2)'!$D$2:$AL$2,0))</f>
        <v>9.229</v>
      </c>
      <c r="Z246" s="25">
        <f>INDEX('Inputs (2)'!$D$17:$AL$17,MATCH(Z$7,'Inputs (2)'!$D$2:$AL$2,0))</f>
        <v>9.486</v>
      </c>
      <c r="AA246" s="25">
        <f>INDEX('Inputs (2)'!$D$17:$AL$17,MATCH(AA$7,'Inputs (2)'!$D$2:$AL$2,0))</f>
        <v>9.766</v>
      </c>
      <c r="AB246" s="3">
        <f>AA246</f>
        <v>9.766</v>
      </c>
      <c r="AC246" s="25">
        <f>INDEX('Inputs (2)'!$D$17:$AL$17,MATCH(AC$7,'Inputs (2)'!$D$2:$AL$2,0))</f>
        <v>10.107</v>
      </c>
      <c r="AD246" s="25">
        <f>INDEX('Inputs (2)'!$D$17:$AL$17,MATCH(AD$7,'Inputs (2)'!$D$2:$AL$2,0))</f>
        <v>9.833</v>
      </c>
      <c r="AE246" s="25">
        <f>INDEX('Inputs (2)'!$D$17:$AL$17,MATCH(AE$7,'Inputs (2)'!$D$2:$AL$2,0))</f>
        <v>9.692</v>
      </c>
      <c r="AF246" s="25">
        <f>INDEX('Inputs (2)'!$D$17:$AL$17,MATCH(AF$7,'Inputs (2)'!$D$2:$AL$2,0))</f>
        <v>10.472</v>
      </c>
      <c r="AG246" s="3">
        <f>AF246</f>
        <v>10.472</v>
      </c>
      <c r="AH246" s="3">
        <f>INDEX('Inputs (2)'!$D$17:$AL$17,MATCH(AH$7,'Inputs (2)'!$D$2:$AL$2,0))</f>
        <v>10.78</v>
      </c>
      <c r="AI246" s="3">
        <f>INDEX('Inputs (2)'!$D$17:$AL$17,MATCH(AI$7,'Inputs (2)'!$D$2:$AL$2,0))</f>
        <v>11.141</v>
      </c>
      <c r="AJ246" s="3">
        <f>(AJ247/(AJ$5-AI$5))*-AJ$151</f>
        <v>0</v>
      </c>
      <c r="AK246" s="3">
        <f>(AK247/(AK$5-AJ$5))*-AK$151</f>
        <v>0</v>
      </c>
      <c r="AL246" s="3">
        <f>AK246</f>
        <v>0</v>
      </c>
      <c r="AM246" s="3">
        <f>(AM247/(AM$5-AL$5))*-AM$151</f>
        <v>0</v>
      </c>
      <c r="AN246" s="3">
        <f>(AN247/(AN$5-AM$5))*-AN$151</f>
        <v>0</v>
      </c>
      <c r="AO246" s="3">
        <f>(AO247/(AO$5-AN$5))*-AO$151</f>
        <v>0</v>
      </c>
      <c r="AP246" s="3">
        <f>(AP247/(AP$5-AO$5))*-AP$151</f>
        <v>0</v>
      </c>
      <c r="AQ246" s="3">
        <f>AP246</f>
        <v>0</v>
      </c>
      <c r="AR246" s="3">
        <f>(AR247/(AR$5-AQ$5))*-AR$151</f>
        <v>0</v>
      </c>
      <c r="AS246" s="3">
        <f>(AS247/(AS$5-AR$5))*-AS$151</f>
        <v>0</v>
      </c>
      <c r="AT246" s="3">
        <f>(AT247/(AT$5-AS$5))*-AT$151</f>
        <v>0</v>
      </c>
      <c r="AU246" s="3">
        <f>(AU247/(AU$5-AT$5))*-AU$151</f>
        <v>0</v>
      </c>
      <c r="AV246" s="3">
        <f>AU246</f>
        <v>0</v>
      </c>
      <c r="AW246" s="3">
        <f>(AW247/(AW$5-AV$5))*-AW$151</f>
        <v>0</v>
      </c>
      <c r="AX246" s="3">
        <f>(AX247/(AX$5-AW$5))*-AX$151</f>
        <v>0</v>
      </c>
      <c r="AY246" s="3">
        <f>(AY247/(AY$5-AX$5))*-AY$151</f>
        <v>0</v>
      </c>
      <c r="AZ246" s="3">
        <f>(AZ247/(AZ$5-AY$5))*-AZ$151</f>
        <v>0</v>
      </c>
      <c r="BA246" s="3">
        <f>AZ246</f>
        <v>0</v>
      </c>
      <c r="BB246" s="3">
        <f>(BB247/(BB$5-BA$5))*-BB$151</f>
        <v>0</v>
      </c>
      <c r="BC246" s="3">
        <f>(BC247/(BC$5-BB$5))*-BC$151</f>
        <v>0</v>
      </c>
      <c r="BD246" s="3">
        <f>(BD247/(BD$5-BC$5))*-BD$151</f>
        <v>0</v>
      </c>
      <c r="BE246" s="3">
        <f>(BE247/(BE$5-BD$5))*-BE$151</f>
        <v>0</v>
      </c>
      <c r="BF246" s="3">
        <f>BE246</f>
        <v>0</v>
      </c>
      <c r="BG246" s="3">
        <f>(BG247/(BG$5-BF$5))*-BG$151</f>
        <v>0</v>
      </c>
      <c r="BH246" s="3">
        <f>(BH247/(BH$5-BG$5))*-BH$151</f>
        <v>0</v>
      </c>
      <c r="BI246" s="3">
        <f>(BI247/(BI$5-BH$5))*-BI$151</f>
        <v>0</v>
      </c>
      <c r="BJ246" s="3">
        <f>(BJ247/(BJ$5-BI$5))*-BJ$151</f>
        <v>0</v>
      </c>
      <c r="BK246" s="3">
        <f>BJ246</f>
        <v>0</v>
      </c>
      <c r="BL246" s="3">
        <f>(BL247/(BL$5-BK$5))*-BL$151</f>
        <v>0</v>
      </c>
      <c r="BM246" s="3">
        <f>(BM247/(BM$5-BL$5))*-BM$151</f>
        <v>0</v>
      </c>
      <c r="BN246" s="3">
        <f>(BN247/(BN$5-BM$5))*-BN$151</f>
        <v>0</v>
      </c>
      <c r="BO246" s="3">
        <f>(BO247/(BO$5-BN$5))*-BO$151</f>
        <v>0</v>
      </c>
      <c r="BP246" s="3">
        <f>BO246</f>
        <v>0</v>
      </c>
      <c r="BQ246" s="3">
        <f>(BQ247/(BQ$5-BP$5))*-BQ$151</f>
        <v>0</v>
      </c>
      <c r="BR246" s="3">
        <f>(BR247/(BR$5-BQ$5))*-BR$151</f>
        <v>0</v>
      </c>
      <c r="BS246" s="3">
        <f>(BS247/(BS$5-BR$5))*-BS$151</f>
        <v>0</v>
      </c>
      <c r="BT246" s="3">
        <f>(BT247/(BT$5-BS$5))*-BT$151</f>
        <v>0</v>
      </c>
      <c r="BU246" s="3">
        <f>BT246</f>
        <v>0</v>
      </c>
      <c r="BV246" s="3">
        <f>(BV247/(BV$5-BU$5))*-BV$151</f>
        <v>0</v>
      </c>
      <c r="BW246" s="3">
        <f>(BW247/(BW$5-BV$5))*-BW$151</f>
        <v>0</v>
      </c>
      <c r="BX246" s="3">
        <f>(BX247/(BX$5-BW$5))*-BX$151</f>
        <v>0</v>
      </c>
      <c r="BY246" s="3">
        <f>(BY247/(BY$5-BX$5))*-BY$151</f>
        <v>0</v>
      </c>
      <c r="BZ246" s="3">
        <f>BY246</f>
        <v>0</v>
      </c>
      <c r="CA246" s="3">
        <f>(CA247/(CA$5-BZ$5))*-CA$151</f>
        <v>0</v>
      </c>
      <c r="CB246" s="3">
        <f>(CB247/(CB$5-CA$5))*-CB$151</f>
        <v>0</v>
      </c>
      <c r="CC246" s="3">
        <f>(CC247/(CC$5-CB$5))*-CC$151</f>
        <v>0</v>
      </c>
      <c r="CD246" s="3">
        <f>(CD247/(CD$5-CC$5))*-CD$151</f>
        <v>0</v>
      </c>
      <c r="CE246" s="3">
        <f>CD246</f>
        <v>0</v>
      </c>
      <c r="CF246" s="3">
        <f>(CF247/(CF$5-CE$5))*-CF$151</f>
        <v>0</v>
      </c>
      <c r="CG246" s="3">
        <f>(CG247/(CG$5-CF$5))*-CG$151</f>
        <v>0</v>
      </c>
      <c r="CH246" s="3">
        <f>(CH247/(CH$5-CG$5))*-CH$151</f>
        <v>0</v>
      </c>
      <c r="CI246" s="3">
        <f>(CI247/(CI$5-CH$5))*-CI$151</f>
        <v>0</v>
      </c>
      <c r="CJ246" s="3">
        <f>CI246</f>
        <v>0</v>
      </c>
      <c r="CK246" s="3">
        <f>(CK247/(CK$5-CJ$5))*-CK$151</f>
        <v>0</v>
      </c>
      <c r="CL246" s="3">
        <f>(CL247/(CL$5-CK$5))*-CL$151</f>
        <v>0</v>
      </c>
      <c r="CM246" s="3">
        <f>(CM247/(CM$5-CL$5))*-CM$151</f>
        <v>0</v>
      </c>
      <c r="CN246" s="3">
        <f>(CN247/(CN$5-CM$5))*-CN$151</f>
        <v>0</v>
      </c>
      <c r="CO246" s="3">
        <f>CN246</f>
        <v>0</v>
      </c>
      <c r="CP246" s="3">
        <f>(CP247/(CP$5-CO$5))*-CP$151</f>
        <v>0</v>
      </c>
      <c r="CQ246" s="3">
        <f>(CQ247/(CQ$5-CP$5))*-CQ$151</f>
        <v>0</v>
      </c>
      <c r="CR246" s="3">
        <f>(CR247/(CR$5-CQ$5))*-CR$151</f>
        <v>0</v>
      </c>
      <c r="CS246" s="3">
        <f>(CS247/(CS$5-CR$5))*-CS$151</f>
        <v>0</v>
      </c>
      <c r="CT246" s="3">
        <f>CS246</f>
        <v>0</v>
      </c>
      <c r="CU246" s="3">
        <f>(CU247/(CU$5-CT$5))*-CU$151</f>
        <v>0</v>
      </c>
      <c r="CV246" s="3">
        <f>(CV247/(CV$5-CU$5))*-CV$151</f>
        <v>0</v>
      </c>
      <c r="CW246" s="3">
        <f>(CW247/(CW$5-CV$5))*-CW$151</f>
        <v>0</v>
      </c>
      <c r="CX246" s="3">
        <f>(CX247/(CX$5-CW$5))*-CX$151</f>
        <v>0</v>
      </c>
      <c r="CY246" s="3">
        <f>CX246</f>
        <v>0</v>
      </c>
    </row>
    <row r="247" hidden="1" outlineLevel="1">
      <c r="C247" s="34" t="inlineStr">
        <is>
          <t>DIO</t>
        </is>
      </c>
      <c r="D247" s="3" t="n"/>
      <c r="E247" s="3">
        <f>((E246/E$151)*(E$5-D$5))*-1</f>
        <v>1.2763562528201</v>
      </c>
      <c r="F247" s="3">
        <f>((F246/F$151)*(F$5-E$5))*-1</f>
        <v>1.02178291451058</v>
      </c>
      <c r="G247" s="3">
        <f>((G246/G$151)*(G$5-F$5))*-1</f>
        <v>1.06982128002226</v>
      </c>
      <c r="H247" s="3" t="n"/>
      <c r="I247" s="3">
        <f>((I246/I$151)*(I$5-H$5))*-1</f>
        <v>1.52263217226819</v>
      </c>
      <c r="J247" s="3">
        <f>((J246/J$151)*(J$5-I$5))*-1</f>
        <v>3.79185506871913</v>
      </c>
      <c r="K247" s="3">
        <f>((K246/K$151)*(K$5-J$5))*-1</f>
        <v>2.68871648196985</v>
      </c>
      <c r="L247" s="3">
        <f>((L246/L$151)*(L$5-K$5))*-1</f>
        <v>2.48054258394485</v>
      </c>
      <c r="M247" s="3" t="n"/>
      <c r="N247" s="3">
        <f>((N246/N$151)*(N$5-M$5))*-1</f>
        <v>5.58739956524642</v>
      </c>
      <c r="O247" s="3">
        <f>((O246/O$151)*(O$5-N$5))*-1</f>
        <v>6.2233483240585</v>
      </c>
      <c r="P247" s="3">
        <f>((P246/P$151)*(P$5-O$5))*-1</f>
        <v>6.26690407706707</v>
      </c>
      <c r="Q247" s="3">
        <f>((Q246/Q$151)*(Q$5-P$5))*-1</f>
        <v>5.25529880675963</v>
      </c>
      <c r="R247" s="3" t="n"/>
      <c r="S247" s="3">
        <f>((S246/S$151)*(S$5-R$5))*-1</f>
        <v>5.04266686454198</v>
      </c>
      <c r="T247" s="3">
        <f>((T246/T$151)*(T$5-S$5))*-1</f>
        <v>6.25376267021603</v>
      </c>
      <c r="U247" s="3">
        <f>((U246/U$151)*(U$5-T$5))*-1</f>
        <v>9.92365430511074</v>
      </c>
      <c r="V247" s="3">
        <f>((V246/V$151)*(V$5-U$5))*-1</f>
        <v>4.98471757294605</v>
      </c>
      <c r="W247" s="3" t="n"/>
      <c r="X247" s="3">
        <f>((X246/X$151)*(X$5-W$5))*-1</f>
        <v>5.34301004935482</v>
      </c>
      <c r="Y247" s="3">
        <f>((Y246/Y$151)*(Y$5-X$5))*-1</f>
        <v>4.65444640264246</v>
      </c>
      <c r="Z247" s="3">
        <f>((Z246/Z$151)*(Z$5-Y$5))*-1</f>
        <v>3.53383355131824</v>
      </c>
      <c r="AA247" s="3">
        <f>((AA246/AA$151)*(AA$5-Z$5))*-1</f>
        <v>2.74468306094394</v>
      </c>
      <c r="AB247" s="3" t="n"/>
      <c r="AC247" s="3">
        <f>((AC246/AC$151)*(AC$5-AB$5))*-1</f>
        <v>3.08142331587612</v>
      </c>
      <c r="AD247" s="3">
        <f>((AD246/AD$151)*(AD$5-AC$5))*-1</f>
        <v>3.166256201213</v>
      </c>
      <c r="AE247" s="3">
        <f>((AE246/AE$151)*(AE$5-AD$5))*-1</f>
        <v>3.62733404388613</v>
      </c>
      <c r="AF247" s="6">
        <f>((AF246/AF$151)*(AF$5-AE$5))*-1</f>
        <v>2.86783691183869</v>
      </c>
      <c r="AG247" s="3" t="n"/>
      <c r="AH247" s="6">
        <f>((AH246/AH$151)*(AH$5-AG$5))*-1</f>
        <v>2.37143716131492</v>
      </c>
      <c r="AI247" s="6">
        <f>((AI246/AI$151)*(AI$5-AH$5))*-1</f>
        <v>1.93414234913464</v>
      </c>
      <c r="AJ247" s="6" t="n"/>
      <c r="AK247" s="6" t="n"/>
      <c r="AL247" s="3" t="n"/>
      <c r="AM247" s="6" t="n"/>
      <c r="AN247" s="6" t="n"/>
      <c r="AO247" s="6" t="n"/>
      <c r="AP247" s="6" t="n"/>
      <c r="AQ247" s="3" t="n"/>
      <c r="AR247" s="6" t="n"/>
      <c r="AS247" s="6" t="n"/>
      <c r="AT247" s="6" t="n"/>
      <c r="AU247" s="6" t="n"/>
      <c r="AV247" s="3" t="n"/>
      <c r="AW247" s="6" t="n"/>
      <c r="AX247" s="6" t="n"/>
      <c r="AY247" s="6" t="n"/>
      <c r="AZ247" s="6" t="n"/>
      <c r="BA247" s="3" t="n"/>
      <c r="BB247" s="6" t="n"/>
      <c r="BC247" s="6" t="n"/>
      <c r="BD247" s="6" t="n"/>
      <c r="BE247" s="6" t="n"/>
      <c r="BF247" s="3" t="n"/>
      <c r="BG247" s="6" t="n"/>
      <c r="BH247" s="6" t="n"/>
      <c r="BI247" s="6" t="n"/>
      <c r="BJ247" s="6" t="n"/>
      <c r="BK247" s="3" t="n"/>
      <c r="BL247" s="6" t="n"/>
      <c r="BM247" s="6" t="n"/>
      <c r="BN247" s="6" t="n"/>
      <c r="BO247" s="6" t="n"/>
      <c r="BP247" s="3" t="n"/>
      <c r="BQ247" s="6" t="n"/>
      <c r="BR247" s="6" t="n"/>
      <c r="BS247" s="6" t="n"/>
      <c r="BT247" s="6" t="n"/>
      <c r="BU247" s="3" t="n"/>
      <c r="BV247" s="6" t="n"/>
      <c r="BW247" s="6" t="n"/>
      <c r="BX247" s="6" t="n"/>
      <c r="BY247" s="6" t="n"/>
      <c r="BZ247" s="3" t="n"/>
      <c r="CA247" s="6" t="n"/>
      <c r="CB247" s="6" t="n"/>
      <c r="CC247" s="6" t="n"/>
      <c r="CD247" s="6" t="n"/>
      <c r="CE247" s="3" t="n"/>
      <c r="CF247" s="6" t="n"/>
      <c r="CG247" s="6" t="n"/>
      <c r="CH247" s="6" t="n"/>
      <c r="CI247" s="6" t="n"/>
      <c r="CJ247" s="3" t="n"/>
      <c r="CK247" s="6" t="n"/>
      <c r="CL247" s="6" t="n"/>
      <c r="CM247" s="6" t="n"/>
      <c r="CN247" s="6" t="n"/>
      <c r="CO247" s="3" t="n"/>
      <c r="CP247" s="6" t="n"/>
      <c r="CQ247" s="6" t="n"/>
      <c r="CR247" s="6" t="n"/>
      <c r="CS247" s="6" t="n"/>
      <c r="CT247" s="3" t="n"/>
      <c r="CU247" s="6" t="n"/>
      <c r="CV247" s="6" t="n"/>
      <c r="CW247" s="6" t="n"/>
      <c r="CX247" s="6" t="n"/>
      <c r="CY247" s="3" t="n"/>
    </row>
    <row r="248" hidden="1" outlineLevel="1">
      <c r="C248" s="34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  <c r="CU248" s="3" t="n"/>
      <c r="CV248" s="3" t="n"/>
      <c r="CW248" s="3" t="n"/>
      <c r="CX248" s="3" t="n"/>
      <c r="CY248" s="3" t="n"/>
    </row>
    <row r="249" hidden="1" outlineLevel="1">
      <c r="C249" s="34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n"/>
      <c r="CF249" s="3" t="n"/>
      <c r="CG249" s="3" t="n"/>
      <c r="CH249" s="3" t="n"/>
      <c r="CI249" s="3" t="n"/>
      <c r="CJ249" s="3" t="n"/>
      <c r="CK249" s="3" t="n"/>
      <c r="CL249" s="3" t="n"/>
      <c r="CM249" s="3" t="n"/>
      <c r="CN249" s="3" t="n"/>
      <c r="CO249" s="3" t="n"/>
      <c r="CP249" s="3" t="n"/>
      <c r="CQ249" s="3" t="n"/>
      <c r="CR249" s="3" t="n"/>
      <c r="CS249" s="3" t="n"/>
      <c r="CT249" s="3" t="n"/>
      <c r="CU249" s="3" t="n"/>
      <c r="CV249" s="3" t="n"/>
      <c r="CW249" s="3" t="n"/>
      <c r="CX249" s="3" t="n"/>
      <c r="CY249" s="3" t="n"/>
    </row>
    <row r="250" collapsed="1">
      <c r="C250" s="26" t="inlineStr">
        <is>
          <t>Deferred income taxes</t>
        </is>
      </c>
      <c r="D250" s="25">
        <f>INDEX('Inputs (2)'!$D$18:$AL$18,MATCH(D$7,'Inputs (2)'!$D$2:$AL$2,0))</f>
        <v>6.169</v>
      </c>
      <c r="E250" s="25">
        <f>INDEX('Inputs (2)'!$D$18:$AL$18,MATCH(E$7,'Inputs (2)'!$D$2:$AL$2,0))</f>
        <v>6.154</v>
      </c>
      <c r="F250" s="25">
        <f>INDEX('Inputs (2)'!$D$18:$AL$18,MATCH(F$7,'Inputs (2)'!$D$2:$AL$2,0))</f>
        <v>7.832</v>
      </c>
      <c r="G250" s="25">
        <f>INDEX('Inputs (2)'!$D$18:$AL$18,MATCH(G$7,'Inputs (2)'!$D$2:$AL$2,0))</f>
        <v>6.688</v>
      </c>
      <c r="H250" s="3">
        <f>G250</f>
        <v>6.688</v>
      </c>
      <c r="I250" s="25">
        <f>INDEX('Inputs (2)'!$D$18:$AL$18,MATCH(I$7,'Inputs (2)'!$D$2:$AL$2,0))</f>
        <v>10.135</v>
      </c>
      <c r="J250" s="25">
        <f>INDEX('Inputs (2)'!$D$18:$AL$18,MATCH(J$7,'Inputs (2)'!$D$2:$AL$2,0))</f>
        <v>12.177</v>
      </c>
      <c r="K250" s="25">
        <f>INDEX('Inputs (2)'!$D$18:$AL$18,MATCH(K$7,'Inputs (2)'!$D$2:$AL$2,0))</f>
        <v>15.428</v>
      </c>
      <c r="L250" s="25">
        <f>INDEX('Inputs (2)'!$D$18:$AL$18,MATCH(L$7,'Inputs (2)'!$D$2:$AL$2,0))</f>
        <v>20.207</v>
      </c>
      <c r="M250" s="3">
        <f>L250</f>
        <v>20.207</v>
      </c>
      <c r="N250" s="25">
        <f>INDEX('Inputs (2)'!$D$18:$AL$18,MATCH(N$7,'Inputs (2)'!$D$2:$AL$2,0))</f>
        <v>19.288</v>
      </c>
      <c r="O250" s="25">
        <f>INDEX('Inputs (2)'!$D$18:$AL$18,MATCH(O$7,'Inputs (2)'!$D$2:$AL$2,0))</f>
        <v>27.136</v>
      </c>
      <c r="P250" s="25">
        <f>INDEX('Inputs (2)'!$D$18:$AL$18,MATCH(P$7,'Inputs (2)'!$D$2:$AL$2,0))</f>
        <v>34.574</v>
      </c>
      <c r="Q250" s="25">
        <f>INDEX('Inputs (2)'!$D$18:$AL$18,MATCH(Q$7,'Inputs (2)'!$D$2:$AL$2,0))</f>
        <v>53.272</v>
      </c>
      <c r="R250" s="3">
        <f>Q250</f>
        <v>53.272</v>
      </c>
      <c r="S250" s="25">
        <f>INDEX('Inputs (2)'!$D$18:$AL$18,MATCH(S$7,'Inputs (2)'!$D$2:$AL$2,0))</f>
        <v>61.005</v>
      </c>
      <c r="T250" s="25">
        <f>INDEX('Inputs (2)'!$D$18:$AL$18,MATCH(T$7,'Inputs (2)'!$D$2:$AL$2,0))</f>
        <v>58.623</v>
      </c>
      <c r="U250" s="25">
        <f>INDEX('Inputs (2)'!$D$18:$AL$18,MATCH(U$7,'Inputs (2)'!$D$2:$AL$2,0))</f>
        <v>56.088</v>
      </c>
      <c r="V250" s="25">
        <f>INDEX('Inputs (2)'!$D$18:$AL$18,MATCH(V$7,'Inputs (2)'!$D$2:$AL$2,0))</f>
        <v>58.8</v>
      </c>
      <c r="W250" s="3">
        <f>V250</f>
        <v>58.8</v>
      </c>
      <c r="X250" s="25">
        <f>INDEX('Inputs (2)'!$D$18:$AL$18,MATCH(X$7,'Inputs (2)'!$D$2:$AL$2,0))</f>
        <v>68.294</v>
      </c>
      <c r="Y250" s="25">
        <f>INDEX('Inputs (2)'!$D$18:$AL$18,MATCH(Y$7,'Inputs (2)'!$D$2:$AL$2,0))</f>
        <v>78.767</v>
      </c>
      <c r="Z250" s="25">
        <f>INDEX('Inputs (2)'!$D$18:$AL$18,MATCH(Z$7,'Inputs (2)'!$D$2:$AL$2,0))</f>
        <v>86.458</v>
      </c>
      <c r="AA250" s="25">
        <f>INDEX('Inputs (2)'!$D$18:$AL$18,MATCH(AA$7,'Inputs (2)'!$D$2:$AL$2,0))</f>
        <v>110.608</v>
      </c>
      <c r="AB250" s="3">
        <f>AA250</f>
        <v>110.608</v>
      </c>
      <c r="AC250" s="25">
        <f>INDEX('Inputs (2)'!$D$18:$AL$18,MATCH(AC$7,'Inputs (2)'!$D$2:$AL$2,0))</f>
        <v>180.122</v>
      </c>
      <c r="AD250" s="25">
        <f>INDEX('Inputs (2)'!$D$18:$AL$18,MATCH(AD$7,'Inputs (2)'!$D$2:$AL$2,0))</f>
        <v>174.995</v>
      </c>
      <c r="AE250" s="25">
        <f>INDEX('Inputs (2)'!$D$18:$AL$18,MATCH(AE$7,'Inputs (2)'!$D$2:$AL$2,0))</f>
        <v>177.276</v>
      </c>
      <c r="AF250" s="25">
        <f>INDEX('Inputs (2)'!$D$18:$AL$18,MATCH(AF$7,'Inputs (2)'!$D$2:$AL$2,0))</f>
        <v>173.786</v>
      </c>
      <c r="AG250" s="3">
        <f>AF250</f>
        <v>173.786</v>
      </c>
      <c r="AH250" s="3">
        <f>INDEX('Inputs (2)'!$D$18:$AL$18,MATCH(AH$7,'Inputs (2)'!$D$2:$AL$2,0))</f>
        <v>175.309</v>
      </c>
      <c r="AI250" s="3">
        <f>INDEX('Inputs (2)'!$D$18:$AL$18,MATCH(AI$7,'Inputs (2)'!$D$2:$AL$2,0))</f>
        <v>173.589</v>
      </c>
      <c r="AJ250" s="3">
        <f>AI250</f>
        <v>173.589</v>
      </c>
      <c r="AK250" s="3">
        <f>AJ250</f>
        <v>173.589</v>
      </c>
      <c r="AL250" s="3">
        <f>AK250</f>
        <v>173.589</v>
      </c>
      <c r="AM250" s="3">
        <f>AL250</f>
        <v>173.589</v>
      </c>
      <c r="AN250" s="3">
        <f>AM250</f>
        <v>173.589</v>
      </c>
      <c r="AO250" s="3">
        <f>AN250</f>
        <v>173.589</v>
      </c>
      <c r="AP250" s="3">
        <f>AO250</f>
        <v>173.589</v>
      </c>
      <c r="AQ250" s="3">
        <f>AP250</f>
        <v>173.589</v>
      </c>
      <c r="AR250" s="3">
        <f>AQ250</f>
        <v>173.589</v>
      </c>
      <c r="AS250" s="3">
        <f>AR250</f>
        <v>173.589</v>
      </c>
      <c r="AT250" s="3">
        <f>AS250</f>
        <v>173.589</v>
      </c>
      <c r="AU250" s="3">
        <f>AT250</f>
        <v>173.589</v>
      </c>
      <c r="AV250" s="3">
        <f>AU250</f>
        <v>173.589</v>
      </c>
      <c r="AW250" s="3">
        <f>AV250</f>
        <v>173.589</v>
      </c>
      <c r="AX250" s="3">
        <f>AW250</f>
        <v>173.589</v>
      </c>
      <c r="AY250" s="3">
        <f>AX250</f>
        <v>173.589</v>
      </c>
      <c r="AZ250" s="3">
        <f>AY250</f>
        <v>173.589</v>
      </c>
      <c r="BA250" s="3">
        <f>AZ250</f>
        <v>173.589</v>
      </c>
      <c r="BB250" s="3">
        <f>BA250</f>
        <v>173.589</v>
      </c>
      <c r="BC250" s="3">
        <f>BB250</f>
        <v>173.589</v>
      </c>
      <c r="BD250" s="3">
        <f>BC250</f>
        <v>173.589</v>
      </c>
      <c r="BE250" s="3">
        <f>BD250</f>
        <v>173.589</v>
      </c>
      <c r="BF250" s="3">
        <f>BE250</f>
        <v>173.589</v>
      </c>
      <c r="BG250" s="3">
        <f>BF250</f>
        <v>173.589</v>
      </c>
      <c r="BH250" s="3">
        <f>BG250</f>
        <v>173.589</v>
      </c>
      <c r="BI250" s="3">
        <f>BH250</f>
        <v>173.589</v>
      </c>
      <c r="BJ250" s="3">
        <f>BI250</f>
        <v>173.589</v>
      </c>
      <c r="BK250" s="3">
        <f>BJ250</f>
        <v>173.589</v>
      </c>
      <c r="BL250" s="3">
        <f>BK250</f>
        <v>173.589</v>
      </c>
      <c r="BM250" s="3">
        <f>BL250</f>
        <v>173.589</v>
      </c>
      <c r="BN250" s="3">
        <f>BM250</f>
        <v>173.589</v>
      </c>
      <c r="BO250" s="3">
        <f>BN250</f>
        <v>173.589</v>
      </c>
      <c r="BP250" s="3">
        <f>BO250</f>
        <v>173.589</v>
      </c>
      <c r="BQ250" s="3">
        <f>BP250</f>
        <v>173.589</v>
      </c>
      <c r="BR250" s="3">
        <f>BQ250</f>
        <v>173.589</v>
      </c>
      <c r="BS250" s="3">
        <f>BR250</f>
        <v>173.589</v>
      </c>
      <c r="BT250" s="3">
        <f>BS250</f>
        <v>173.589</v>
      </c>
      <c r="BU250" s="3">
        <f>BT250</f>
        <v>173.589</v>
      </c>
      <c r="BV250" s="3">
        <f>BU250</f>
        <v>173.589</v>
      </c>
      <c r="BW250" s="3">
        <f>BV250</f>
        <v>173.589</v>
      </c>
      <c r="BX250" s="3">
        <f>BW250</f>
        <v>173.589</v>
      </c>
      <c r="BY250" s="3">
        <f>BX250</f>
        <v>173.589</v>
      </c>
      <c r="BZ250" s="3">
        <f>BY250</f>
        <v>173.589</v>
      </c>
      <c r="CA250" s="3">
        <f>BZ250</f>
        <v>173.589</v>
      </c>
      <c r="CB250" s="3">
        <f>CA250</f>
        <v>173.589</v>
      </c>
      <c r="CC250" s="3">
        <f>CB250</f>
        <v>173.589</v>
      </c>
      <c r="CD250" s="3">
        <f>CC250</f>
        <v>173.589</v>
      </c>
      <c r="CE250" s="3">
        <f>CD250</f>
        <v>173.589</v>
      </c>
      <c r="CF250" s="3">
        <f>CE250</f>
        <v>173.589</v>
      </c>
      <c r="CG250" s="3">
        <f>CF250</f>
        <v>173.589</v>
      </c>
      <c r="CH250" s="3">
        <f>CG250</f>
        <v>173.589</v>
      </c>
      <c r="CI250" s="3">
        <f>CH250</f>
        <v>173.589</v>
      </c>
      <c r="CJ250" s="3">
        <f>CI250</f>
        <v>173.589</v>
      </c>
      <c r="CK250" s="3">
        <f>CJ250</f>
        <v>173.589</v>
      </c>
      <c r="CL250" s="3">
        <f>CK250</f>
        <v>173.589</v>
      </c>
      <c r="CM250" s="3">
        <f>CL250</f>
        <v>173.589</v>
      </c>
      <c r="CN250" s="3">
        <f>CM250</f>
        <v>173.589</v>
      </c>
      <c r="CO250" s="3">
        <f>CN250</f>
        <v>173.589</v>
      </c>
      <c r="CP250" s="3">
        <f>CO250</f>
        <v>173.589</v>
      </c>
      <c r="CQ250" s="3">
        <f>CP250</f>
        <v>173.589</v>
      </c>
      <c r="CR250" s="3">
        <f>CQ250</f>
        <v>173.589</v>
      </c>
      <c r="CS250" s="3">
        <f>CR250</f>
        <v>173.589</v>
      </c>
      <c r="CT250" s="3">
        <f>CS250</f>
        <v>173.589</v>
      </c>
      <c r="CU250" s="3">
        <f>CT250</f>
        <v>173.589</v>
      </c>
      <c r="CV250" s="3">
        <f>CU250</f>
        <v>173.589</v>
      </c>
      <c r="CW250" s="3">
        <f>CV250</f>
        <v>173.589</v>
      </c>
      <c r="CX250" s="3">
        <f>CW250</f>
        <v>173.589</v>
      </c>
      <c r="CY250" s="3">
        <f>CX250</f>
        <v>173.589</v>
      </c>
    </row>
    <row r="251">
      <c r="C251" s="26" t="inlineStr">
        <is>
          <t>Prepaid expenses</t>
        </is>
      </c>
      <c r="D251" s="25">
        <f>INDEX('Inputs (2)'!$D$19:$AL$19,MATCH(D$7,'Inputs (2)'!$D$2:$AL$2,0))</f>
        <v>3.616</v>
      </c>
      <c r="E251" s="25">
        <f>INDEX('Inputs (2)'!$D$19:$AL$19,MATCH(E$7,'Inputs (2)'!$D$2:$AL$2,0))</f>
        <v>1.454</v>
      </c>
      <c r="F251" s="25">
        <f>INDEX('Inputs (2)'!$D$19:$AL$19,MATCH(F$7,'Inputs (2)'!$D$2:$AL$2,0))</f>
        <v>6.391</v>
      </c>
      <c r="G251" s="25">
        <f>INDEX('Inputs (2)'!$D$19:$AL$19,MATCH(G$7,'Inputs (2)'!$D$2:$AL$2,0))</f>
        <v>5.828</v>
      </c>
      <c r="H251" s="3">
        <f>G251</f>
        <v>5.828</v>
      </c>
      <c r="I251" s="25">
        <f>INDEX('Inputs (2)'!$D$19:$AL$19,MATCH(I$7,'Inputs (2)'!$D$2:$AL$2,0))</f>
        <v>4.979</v>
      </c>
      <c r="J251" s="25">
        <f>INDEX('Inputs (2)'!$D$19:$AL$19,MATCH(J$7,'Inputs (2)'!$D$2:$AL$2,0))</f>
        <v>10.437</v>
      </c>
      <c r="K251" s="25">
        <f>INDEX('Inputs (2)'!$D$19:$AL$19,MATCH(K$7,'Inputs (2)'!$D$2:$AL$2,0))</f>
        <v>9.944</v>
      </c>
      <c r="L251" s="25">
        <f>INDEX('Inputs (2)'!$D$19:$AL$19,MATCH(L$7,'Inputs (2)'!$D$2:$AL$2,0))</f>
        <v>8.251</v>
      </c>
      <c r="M251" s="3">
        <f>L251</f>
        <v>8.251</v>
      </c>
      <c r="N251" s="25">
        <f>INDEX('Inputs (2)'!$D$19:$AL$19,MATCH(N$7,'Inputs (2)'!$D$2:$AL$2,0))</f>
        <v>7.11</v>
      </c>
      <c r="O251" s="25">
        <f>INDEX('Inputs (2)'!$D$19:$AL$19,MATCH(O$7,'Inputs (2)'!$D$2:$AL$2,0))</f>
        <v>11.678</v>
      </c>
      <c r="P251" s="25">
        <f>INDEX('Inputs (2)'!$D$19:$AL$19,MATCH(P$7,'Inputs (2)'!$D$2:$AL$2,0))</f>
        <v>13.12</v>
      </c>
      <c r="Q251" s="25">
        <f>INDEX('Inputs (2)'!$D$19:$AL$19,MATCH(Q$7,'Inputs (2)'!$D$2:$AL$2,0))</f>
        <v>13.602</v>
      </c>
      <c r="R251" s="3">
        <f>Q251</f>
        <v>13.602</v>
      </c>
      <c r="S251" s="25">
        <f>INDEX('Inputs (2)'!$D$19:$AL$19,MATCH(S$7,'Inputs (2)'!$D$2:$AL$2,0))</f>
        <v>7.204</v>
      </c>
      <c r="T251" s="25">
        <f>INDEX('Inputs (2)'!$D$19:$AL$19,MATCH(T$7,'Inputs (2)'!$D$2:$AL$2,0))</f>
        <v>9.983</v>
      </c>
      <c r="U251" s="25">
        <f>INDEX('Inputs (2)'!$D$19:$AL$19,MATCH(U$7,'Inputs (2)'!$D$2:$AL$2,0))</f>
        <v>9.189</v>
      </c>
      <c r="V251" s="25">
        <f>INDEX('Inputs (2)'!$D$19:$AL$19,MATCH(V$7,'Inputs (2)'!$D$2:$AL$2,0))</f>
        <v>12.141</v>
      </c>
      <c r="W251" s="3">
        <f>V251</f>
        <v>12.141</v>
      </c>
      <c r="X251" s="25">
        <f>INDEX('Inputs (2)'!$D$19:$AL$19,MATCH(X$7,'Inputs (2)'!$D$2:$AL$2,0))</f>
        <v>7.964</v>
      </c>
      <c r="Y251" s="25">
        <f>INDEX('Inputs (2)'!$D$19:$AL$19,MATCH(Y$7,'Inputs (2)'!$D$2:$AL$2,0))</f>
        <v>11.09</v>
      </c>
      <c r="Z251" s="25">
        <f>INDEX('Inputs (2)'!$D$19:$AL$19,MATCH(Z$7,'Inputs (2)'!$D$2:$AL$2,0))</f>
        <v>10.329</v>
      </c>
      <c r="AA251" s="25">
        <f>INDEX('Inputs (2)'!$D$19:$AL$19,MATCH(AA$7,'Inputs (2)'!$D$2:$AL$2,0))</f>
        <v>9.961</v>
      </c>
      <c r="AB251" s="3">
        <f>AA251</f>
        <v>9.961</v>
      </c>
      <c r="AC251" s="25">
        <f>INDEX('Inputs (2)'!$D$19:$AL$19,MATCH(AC$7,'Inputs (2)'!$D$2:$AL$2,0))</f>
        <v>8.499</v>
      </c>
      <c r="AD251" s="25">
        <f>INDEX('Inputs (2)'!$D$19:$AL$19,MATCH(AD$7,'Inputs (2)'!$D$2:$AL$2,0))</f>
        <v>9.341</v>
      </c>
      <c r="AE251" s="25">
        <f>INDEX('Inputs (2)'!$D$19:$AL$19,MATCH(AE$7,'Inputs (2)'!$D$2:$AL$2,0))</f>
        <v>12.455</v>
      </c>
      <c r="AF251" s="25">
        <f>INDEX('Inputs (2)'!$D$19:$AL$19,MATCH(AF$7,'Inputs (2)'!$D$2:$AL$2,0))</f>
        <v>10.9</v>
      </c>
      <c r="AG251" s="3">
        <f>AF251</f>
        <v>10.9</v>
      </c>
      <c r="AH251" s="3">
        <f>INDEX('Inputs (2)'!$D$19:$AL$19,MATCH(AH$7,'Inputs (2)'!$D$2:$AL$2,0))</f>
        <v>11.131</v>
      </c>
      <c r="AI251" s="3">
        <f>INDEX('Inputs (2)'!$D$19:$AL$19,MATCH(AI$7,'Inputs (2)'!$D$2:$AL$2,0))</f>
        <v>12.761</v>
      </c>
      <c r="AJ251" s="3">
        <f>AI251</f>
        <v>12.761</v>
      </c>
      <c r="AK251" s="3">
        <f>AJ251</f>
        <v>12.761</v>
      </c>
      <c r="AL251" s="3">
        <f>AK251</f>
        <v>12.761</v>
      </c>
      <c r="AM251" s="3">
        <f>AL251</f>
        <v>12.761</v>
      </c>
      <c r="AN251" s="3">
        <f>AM251</f>
        <v>12.761</v>
      </c>
      <c r="AO251" s="3">
        <f>AN251</f>
        <v>12.761</v>
      </c>
      <c r="AP251" s="3">
        <f>AO251</f>
        <v>12.761</v>
      </c>
      <c r="AQ251" s="3">
        <f>AP251</f>
        <v>12.761</v>
      </c>
      <c r="AR251" s="3">
        <f>AQ251</f>
        <v>12.761</v>
      </c>
      <c r="AS251" s="3">
        <f>AR251</f>
        <v>12.761</v>
      </c>
      <c r="AT251" s="3">
        <f>AS251</f>
        <v>12.761</v>
      </c>
      <c r="AU251" s="3">
        <f>AT251</f>
        <v>12.761</v>
      </c>
      <c r="AV251" s="3">
        <f>AU251</f>
        <v>12.761</v>
      </c>
      <c r="AW251" s="3">
        <f>AV251</f>
        <v>12.761</v>
      </c>
      <c r="AX251" s="3">
        <f>AW251</f>
        <v>12.761</v>
      </c>
      <c r="AY251" s="3">
        <f>AX251</f>
        <v>12.761</v>
      </c>
      <c r="AZ251" s="3">
        <f>AY251</f>
        <v>12.761</v>
      </c>
      <c r="BA251" s="3">
        <f>AZ251</f>
        <v>12.761</v>
      </c>
      <c r="BB251" s="3">
        <f>BA251</f>
        <v>12.761</v>
      </c>
      <c r="BC251" s="3">
        <f>BB251</f>
        <v>12.761</v>
      </c>
      <c r="BD251" s="3">
        <f>BC251</f>
        <v>12.761</v>
      </c>
      <c r="BE251" s="3">
        <f>BD251</f>
        <v>12.761</v>
      </c>
      <c r="BF251" s="3">
        <f>BE251</f>
        <v>12.761</v>
      </c>
      <c r="BG251" s="3">
        <f>BF251</f>
        <v>12.761</v>
      </c>
      <c r="BH251" s="3">
        <f>BG251</f>
        <v>12.761</v>
      </c>
      <c r="BI251" s="3">
        <f>BH251</f>
        <v>12.761</v>
      </c>
      <c r="BJ251" s="3">
        <f>BI251</f>
        <v>12.761</v>
      </c>
      <c r="BK251" s="3">
        <f>BJ251</f>
        <v>12.761</v>
      </c>
      <c r="BL251" s="3">
        <f>BK251</f>
        <v>12.761</v>
      </c>
      <c r="BM251" s="3">
        <f>BL251</f>
        <v>12.761</v>
      </c>
      <c r="BN251" s="3">
        <f>BM251</f>
        <v>12.761</v>
      </c>
      <c r="BO251" s="3">
        <f>BN251</f>
        <v>12.761</v>
      </c>
      <c r="BP251" s="3">
        <f>BO251</f>
        <v>12.761</v>
      </c>
      <c r="BQ251" s="3">
        <f>BP251</f>
        <v>12.761</v>
      </c>
      <c r="BR251" s="3">
        <f>BQ251</f>
        <v>12.761</v>
      </c>
      <c r="BS251" s="3">
        <f>BR251</f>
        <v>12.761</v>
      </c>
      <c r="BT251" s="3">
        <f>BS251</f>
        <v>12.761</v>
      </c>
      <c r="BU251" s="3">
        <f>BT251</f>
        <v>12.761</v>
      </c>
      <c r="BV251" s="3">
        <f>BU251</f>
        <v>12.761</v>
      </c>
      <c r="BW251" s="3">
        <f>BV251</f>
        <v>12.761</v>
      </c>
      <c r="BX251" s="3">
        <f>BW251</f>
        <v>12.761</v>
      </c>
      <c r="BY251" s="3">
        <f>BX251</f>
        <v>12.761</v>
      </c>
      <c r="BZ251" s="3">
        <f>BY251</f>
        <v>12.761</v>
      </c>
      <c r="CA251" s="3">
        <f>BZ251</f>
        <v>12.761</v>
      </c>
      <c r="CB251" s="3">
        <f>CA251</f>
        <v>12.761</v>
      </c>
      <c r="CC251" s="3">
        <f>CB251</f>
        <v>12.761</v>
      </c>
      <c r="CD251" s="3">
        <f>CC251</f>
        <v>12.761</v>
      </c>
      <c r="CE251" s="3">
        <f>CD251</f>
        <v>12.761</v>
      </c>
      <c r="CF251" s="3">
        <f>CE251</f>
        <v>12.761</v>
      </c>
      <c r="CG251" s="3">
        <f>CF251</f>
        <v>12.761</v>
      </c>
      <c r="CH251" s="3">
        <f>CG251</f>
        <v>12.761</v>
      </c>
      <c r="CI251" s="3">
        <f>CH251</f>
        <v>12.761</v>
      </c>
      <c r="CJ251" s="3">
        <f>CI251</f>
        <v>12.761</v>
      </c>
      <c r="CK251" s="3">
        <f>CJ251</f>
        <v>12.761</v>
      </c>
      <c r="CL251" s="3">
        <f>CK251</f>
        <v>12.761</v>
      </c>
      <c r="CM251" s="3">
        <f>CL251</f>
        <v>12.761</v>
      </c>
      <c r="CN251" s="3">
        <f>CM251</f>
        <v>12.761</v>
      </c>
      <c r="CO251" s="3">
        <f>CN251</f>
        <v>12.761</v>
      </c>
      <c r="CP251" s="3">
        <f>CO251</f>
        <v>12.761</v>
      </c>
      <c r="CQ251" s="3">
        <f>CP251</f>
        <v>12.761</v>
      </c>
      <c r="CR251" s="3">
        <f>CQ251</f>
        <v>12.761</v>
      </c>
      <c r="CS251" s="3">
        <f>CR251</f>
        <v>12.761</v>
      </c>
      <c r="CT251" s="3">
        <f>CS251</f>
        <v>12.761</v>
      </c>
      <c r="CU251" s="3">
        <f>CT251</f>
        <v>12.761</v>
      </c>
      <c r="CV251" s="3">
        <f>CU251</f>
        <v>12.761</v>
      </c>
      <c r="CW251" s="3">
        <f>CV251</f>
        <v>12.761</v>
      </c>
      <c r="CX251" s="3">
        <f>CW251</f>
        <v>12.761</v>
      </c>
      <c r="CY251" s="3">
        <f>CX251</f>
        <v>12.761</v>
      </c>
    </row>
    <row r="252">
      <c r="C252" s="26" t="inlineStr">
        <is>
          <t>Other current assets</t>
        </is>
      </c>
      <c r="D252" s="25">
        <f>INDEX('Inputs (2)'!$D$20:$AL$20,MATCH(D$7,'Inputs (2)'!$D$2:$AL$2,0))</f>
        <v>1202.379</v>
      </c>
      <c r="E252" s="25">
        <f>INDEX('Inputs (2)'!$D$20:$AL$20,MATCH(E$7,'Inputs (2)'!$D$2:$AL$2,0))</f>
        <v>1188.871</v>
      </c>
      <c r="F252" s="25">
        <f>INDEX('Inputs (2)'!$D$20:$AL$20,MATCH(F$7,'Inputs (2)'!$D$2:$AL$2,0))</f>
        <v>1317.714</v>
      </c>
      <c r="G252" s="25">
        <f>INDEX('Inputs (2)'!$D$20:$AL$20,MATCH(G$7,'Inputs (2)'!$D$2:$AL$2,0))</f>
        <v>1574.475</v>
      </c>
      <c r="H252" s="3">
        <f>G252</f>
        <v>1574.475</v>
      </c>
      <c r="I252" s="25">
        <f>INDEX('Inputs (2)'!$D$20:$AL$20,MATCH(I$7,'Inputs (2)'!$D$2:$AL$2,0))</f>
        <v>1781.288</v>
      </c>
      <c r="J252" s="25">
        <f>INDEX('Inputs (2)'!$D$20:$AL$20,MATCH(J$7,'Inputs (2)'!$D$2:$AL$2,0))</f>
        <v>1857.665</v>
      </c>
      <c r="K252" s="25">
        <f>INDEX('Inputs (2)'!$D$20:$AL$20,MATCH(K$7,'Inputs (2)'!$D$2:$AL$2,0))</f>
        <v>1882.265</v>
      </c>
      <c r="L252" s="25">
        <f>INDEX('Inputs (2)'!$D$20:$AL$20,MATCH(L$7,'Inputs (2)'!$D$2:$AL$2,0))</f>
        <v>2060.89</v>
      </c>
      <c r="M252" s="3">
        <f>L252</f>
        <v>2060.89</v>
      </c>
      <c r="N252" s="25">
        <f>INDEX('Inputs (2)'!$D$20:$AL$20,MATCH(N$7,'Inputs (2)'!$D$2:$AL$2,0))</f>
        <v>2121.591</v>
      </c>
      <c r="O252" s="25">
        <f>INDEX('Inputs (2)'!$D$20:$AL$20,MATCH(O$7,'Inputs (2)'!$D$2:$AL$2,0))</f>
        <v>2203.378</v>
      </c>
      <c r="P252" s="25">
        <f>INDEX('Inputs (2)'!$D$20:$AL$20,MATCH(P$7,'Inputs (2)'!$D$2:$AL$2,0))</f>
        <v>2164.519</v>
      </c>
      <c r="Q252" s="25">
        <f>INDEX('Inputs (2)'!$D$20:$AL$20,MATCH(Q$7,'Inputs (2)'!$D$2:$AL$2,0))</f>
        <v>2213.971</v>
      </c>
      <c r="R252" s="3">
        <f>Q252</f>
        <v>2213.971</v>
      </c>
      <c r="S252" s="25">
        <f>INDEX('Inputs (2)'!$D$20:$AL$20,MATCH(S$7,'Inputs (2)'!$D$2:$AL$2,0))</f>
        <v>2263.795</v>
      </c>
      <c r="T252" s="25">
        <f>INDEX('Inputs (2)'!$D$20:$AL$20,MATCH(T$7,'Inputs (2)'!$D$2:$AL$2,0))</f>
        <v>2322.041</v>
      </c>
      <c r="U252" s="25">
        <f>INDEX('Inputs (2)'!$D$20:$AL$20,MATCH(U$7,'Inputs (2)'!$D$2:$AL$2,0))</f>
        <v>2300.812</v>
      </c>
      <c r="V252" s="25">
        <f>INDEX('Inputs (2)'!$D$20:$AL$20,MATCH(V$7,'Inputs (2)'!$D$2:$AL$2,0))</f>
        <v>2276.969</v>
      </c>
      <c r="W252" s="3">
        <f>V252</f>
        <v>2276.969</v>
      </c>
      <c r="X252" s="25">
        <f>INDEX('Inputs (2)'!$D$20:$AL$20,MATCH(X$7,'Inputs (2)'!$D$2:$AL$2,0))</f>
        <v>2318.041</v>
      </c>
      <c r="Y252" s="25">
        <f>INDEX('Inputs (2)'!$D$20:$AL$20,MATCH(Y$7,'Inputs (2)'!$D$2:$AL$2,0))</f>
        <v>2353.538</v>
      </c>
      <c r="Z252" s="25">
        <f>INDEX('Inputs (2)'!$D$20:$AL$20,MATCH(Z$7,'Inputs (2)'!$D$2:$AL$2,0))</f>
        <v>2372.45</v>
      </c>
      <c r="AA252" s="25">
        <f>INDEX('Inputs (2)'!$D$20:$AL$20,MATCH(AA$7,'Inputs (2)'!$D$2:$AL$2,0))</f>
        <v>2396.23</v>
      </c>
      <c r="AB252" s="3">
        <f>AA252</f>
        <v>2396.23</v>
      </c>
      <c r="AC252" s="25">
        <f>INDEX('Inputs (2)'!$D$20:$AL$20,MATCH(AC$7,'Inputs (2)'!$D$2:$AL$2,0))</f>
        <v>2456.996</v>
      </c>
      <c r="AD252" s="25">
        <f>INDEX('Inputs (2)'!$D$20:$AL$20,MATCH(AD$7,'Inputs (2)'!$D$2:$AL$2,0))</f>
        <v>2593.108</v>
      </c>
      <c r="AE252" s="25">
        <f>INDEX('Inputs (2)'!$D$20:$AL$20,MATCH(AE$7,'Inputs (2)'!$D$2:$AL$2,0))</f>
        <v>2628.473</v>
      </c>
      <c r="AF252" s="25">
        <f>INDEX('Inputs (2)'!$D$20:$AL$20,MATCH(AF$7,'Inputs (2)'!$D$2:$AL$2,0))</f>
        <v>2789.043</v>
      </c>
      <c r="AG252" s="3">
        <f>AF252</f>
        <v>2789.043</v>
      </c>
      <c r="AH252" s="3">
        <f>INDEX('Inputs (2)'!$D$20:$AL$20,MATCH(AH$7,'Inputs (2)'!$D$2:$AL$2,0))</f>
        <v>2838.566</v>
      </c>
      <c r="AI252" s="3">
        <f>INDEX('Inputs (2)'!$D$20:$AL$20,MATCH(AI$7,'Inputs (2)'!$D$2:$AL$2,0))</f>
        <v>3062.425</v>
      </c>
      <c r="AJ252" s="3">
        <f>AI252</f>
        <v>3062.425</v>
      </c>
      <c r="AK252" s="3">
        <f>AJ252</f>
        <v>3062.425</v>
      </c>
      <c r="AL252" s="3">
        <f>AK252</f>
        <v>3062.425</v>
      </c>
      <c r="AM252" s="3">
        <f>AL252</f>
        <v>3062.425</v>
      </c>
      <c r="AN252" s="3">
        <f>AM252</f>
        <v>3062.425</v>
      </c>
      <c r="AO252" s="3">
        <f>AN252</f>
        <v>3062.425</v>
      </c>
      <c r="AP252" s="3">
        <f>AO252</f>
        <v>3062.425</v>
      </c>
      <c r="AQ252" s="3">
        <f>AP252</f>
        <v>3062.425</v>
      </c>
      <c r="AR252" s="3">
        <f>AQ252</f>
        <v>3062.425</v>
      </c>
      <c r="AS252" s="3">
        <f>AR252</f>
        <v>3062.425</v>
      </c>
      <c r="AT252" s="3">
        <f>AS252</f>
        <v>3062.425</v>
      </c>
      <c r="AU252" s="3">
        <f>AT252</f>
        <v>3062.425</v>
      </c>
      <c r="AV252" s="3">
        <f>AU252</f>
        <v>3062.425</v>
      </c>
      <c r="AW252" s="3">
        <f>AV252</f>
        <v>3062.425</v>
      </c>
      <c r="AX252" s="3">
        <f>AW252</f>
        <v>3062.425</v>
      </c>
      <c r="AY252" s="3">
        <f>AX252</f>
        <v>3062.425</v>
      </c>
      <c r="AZ252" s="3">
        <f>AY252</f>
        <v>3062.425</v>
      </c>
      <c r="BA252" s="3">
        <f>AZ252</f>
        <v>3062.425</v>
      </c>
      <c r="BB252" s="3">
        <f>BA252</f>
        <v>3062.425</v>
      </c>
      <c r="BC252" s="3">
        <f>BB252</f>
        <v>3062.425</v>
      </c>
      <c r="BD252" s="3">
        <f>BC252</f>
        <v>3062.425</v>
      </c>
      <c r="BE252" s="3">
        <f>BD252</f>
        <v>3062.425</v>
      </c>
      <c r="BF252" s="3">
        <f>BE252</f>
        <v>3062.425</v>
      </c>
      <c r="BG252" s="3">
        <f>BF252</f>
        <v>3062.425</v>
      </c>
      <c r="BH252" s="3">
        <f>BG252</f>
        <v>3062.425</v>
      </c>
      <c r="BI252" s="3">
        <f>BH252</f>
        <v>3062.425</v>
      </c>
      <c r="BJ252" s="3">
        <f>BI252</f>
        <v>3062.425</v>
      </c>
      <c r="BK252" s="3">
        <f>BJ252</f>
        <v>3062.425</v>
      </c>
      <c r="BL252" s="3">
        <f>BK252</f>
        <v>3062.425</v>
      </c>
      <c r="BM252" s="3">
        <f>BL252</f>
        <v>3062.425</v>
      </c>
      <c r="BN252" s="3">
        <f>BM252</f>
        <v>3062.425</v>
      </c>
      <c r="BO252" s="3">
        <f>BN252</f>
        <v>3062.425</v>
      </c>
      <c r="BP252" s="3">
        <f>BO252</f>
        <v>3062.425</v>
      </c>
      <c r="BQ252" s="3">
        <f>BP252</f>
        <v>3062.425</v>
      </c>
      <c r="BR252" s="3">
        <f>BQ252</f>
        <v>3062.425</v>
      </c>
      <c r="BS252" s="3">
        <f>BR252</f>
        <v>3062.425</v>
      </c>
      <c r="BT252" s="3">
        <f>BS252</f>
        <v>3062.425</v>
      </c>
      <c r="BU252" s="3">
        <f>BT252</f>
        <v>3062.425</v>
      </c>
      <c r="BV252" s="3">
        <f>BU252</f>
        <v>3062.425</v>
      </c>
      <c r="BW252" s="3">
        <f>BV252</f>
        <v>3062.425</v>
      </c>
      <c r="BX252" s="3">
        <f>BW252</f>
        <v>3062.425</v>
      </c>
      <c r="BY252" s="3">
        <f>BX252</f>
        <v>3062.425</v>
      </c>
      <c r="BZ252" s="3">
        <f>BY252</f>
        <v>3062.425</v>
      </c>
      <c r="CA252" s="3">
        <f>BZ252</f>
        <v>3062.425</v>
      </c>
      <c r="CB252" s="3">
        <f>CA252</f>
        <v>3062.425</v>
      </c>
      <c r="CC252" s="3">
        <f>CB252</f>
        <v>3062.425</v>
      </c>
      <c r="CD252" s="3">
        <f>CC252</f>
        <v>3062.425</v>
      </c>
      <c r="CE252" s="3">
        <f>CD252</f>
        <v>3062.425</v>
      </c>
      <c r="CF252" s="3">
        <f>CE252</f>
        <v>3062.425</v>
      </c>
      <c r="CG252" s="3">
        <f>CF252</f>
        <v>3062.425</v>
      </c>
      <c r="CH252" s="3">
        <f>CG252</f>
        <v>3062.425</v>
      </c>
      <c r="CI252" s="3">
        <f>CH252</f>
        <v>3062.425</v>
      </c>
      <c r="CJ252" s="3">
        <f>CI252</f>
        <v>3062.425</v>
      </c>
      <c r="CK252" s="3">
        <f>CJ252</f>
        <v>3062.425</v>
      </c>
      <c r="CL252" s="3">
        <f>CK252</f>
        <v>3062.425</v>
      </c>
      <c r="CM252" s="3">
        <f>CL252</f>
        <v>3062.425</v>
      </c>
      <c r="CN252" s="3">
        <f>CM252</f>
        <v>3062.425</v>
      </c>
      <c r="CO252" s="3">
        <f>CN252</f>
        <v>3062.425</v>
      </c>
      <c r="CP252" s="3">
        <f>CO252</f>
        <v>3062.425</v>
      </c>
      <c r="CQ252" s="3">
        <f>CP252</f>
        <v>3062.425</v>
      </c>
      <c r="CR252" s="3">
        <f>CQ252</f>
        <v>3062.425</v>
      </c>
      <c r="CS252" s="3">
        <f>CR252</f>
        <v>3062.425</v>
      </c>
      <c r="CT252" s="3">
        <f>CS252</f>
        <v>3062.425</v>
      </c>
      <c r="CU252" s="3">
        <f>CT252</f>
        <v>3062.425</v>
      </c>
      <c r="CV252" s="3">
        <f>CU252</f>
        <v>3062.425</v>
      </c>
      <c r="CW252" s="3">
        <f>CV252</f>
        <v>3062.425</v>
      </c>
      <c r="CX252" s="3">
        <f>CW252</f>
        <v>3062.425</v>
      </c>
      <c r="CY252" s="3">
        <f>CX252</f>
        <v>3062.425</v>
      </c>
    </row>
    <row r="253" hidden="1" outlineLevel="1">
      <c r="C253" s="38" t="inlineStr">
        <is>
          <t>%(Var.)</t>
        </is>
      </c>
      <c r="D253" s="3" t="n"/>
      <c r="E253" s="47">
        <f>(E252-D252)/D252</f>
        <v>-0.0112343944796109</v>
      </c>
      <c r="F253" s="47">
        <f>(F252-E252)/E252</f>
        <v>0.10837424750036</v>
      </c>
      <c r="G253" s="47">
        <f>(G252-F252)/F252</f>
        <v>0.194853359681995</v>
      </c>
      <c r="H253" s="3" t="n"/>
      <c r="I253" s="47">
        <f>(I252-H252)/H252</f>
        <v>0.131353625811778</v>
      </c>
      <c r="J253" s="47">
        <f>(J252-I252)/I252</f>
        <v>0.0428774010715841</v>
      </c>
      <c r="K253" s="47">
        <f>(K252-J252)/J252</f>
        <v>0.0132424306858342</v>
      </c>
      <c r="L253" s="47">
        <f>(L252-K252)/K252</f>
        <v>0.0948989648110124</v>
      </c>
      <c r="M253" s="3" t="n"/>
      <c r="N253" s="47">
        <f>(N252-M252)/M252</f>
        <v>0.0294537796777118</v>
      </c>
      <c r="O253" s="47">
        <f>(O252-N252)/N252</f>
        <v>0.0385498430187535</v>
      </c>
      <c r="P253" s="47">
        <f>(P252-O252)/O252</f>
        <v>-0.0176361023846112</v>
      </c>
      <c r="Q253" s="47">
        <f>(Q252-P252)/P252</f>
        <v>0.022846646298785</v>
      </c>
      <c r="R253" s="3" t="n"/>
      <c r="S253" s="47">
        <f>(S252-R252)/R252</f>
        <v>0.0225043598132045</v>
      </c>
      <c r="T253" s="47">
        <f>(T252-S252)/S252</f>
        <v>0.0257293615367116</v>
      </c>
      <c r="U253" s="47">
        <f>(U252-T252)/T252</f>
        <v>-0.00914238809736791</v>
      </c>
      <c r="V253" s="47">
        <f>(V252-U252)/U252</f>
        <v>-0.0103628631978623</v>
      </c>
      <c r="W253" s="3" t="n"/>
      <c r="X253" s="47">
        <f>(X252-W252)/W252</f>
        <v>0.0180380145711251</v>
      </c>
      <c r="Y253" s="47">
        <f>(Y252-X252)/X252</f>
        <v>0.0153133615841997</v>
      </c>
      <c r="Z253" s="47">
        <f>(Z252-Y252)/Y252</f>
        <v>0.00803556177975468</v>
      </c>
      <c r="AA253" s="47">
        <f>(AA252-Z252)/Z252</f>
        <v>0.0100233935383253</v>
      </c>
      <c r="AB253" s="3" t="n"/>
      <c r="AC253" s="47">
        <f>(AC252-AB252)/AB252</f>
        <v>0.0253590014314152</v>
      </c>
      <c r="AD253" s="47">
        <f>(AD252-AC252)/AC252</f>
        <v>0.0553977295852334</v>
      </c>
      <c r="AE253" s="47">
        <f>(AE252-AD252)/AD252</f>
        <v>0.013638074465082</v>
      </c>
      <c r="AF253" s="218">
        <f>(AF252-AE252)/AE252</f>
        <v>0.0610887005497109</v>
      </c>
      <c r="AG253" s="3" t="n"/>
      <c r="AH253" s="3">
        <f>(AH252-AG252)/AG252</f>
        <v>0.0177562698029395</v>
      </c>
      <c r="AI253" s="3">
        <f>(AI252-AH252)/AH252</f>
        <v>0.0788634120186039</v>
      </c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  <c r="CU253" s="3" t="n"/>
      <c r="CV253" s="3" t="n"/>
      <c r="CW253" s="3" t="n"/>
      <c r="CX253" s="3" t="n"/>
      <c r="CY253" s="3" t="n"/>
    </row>
    <row r="254" hidden="1" outlineLevel="1">
      <c r="C254" s="34" t="n"/>
      <c r="D254" s="3" t="n"/>
      <c r="E254" s="47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n"/>
      <c r="CC254" s="3" t="n"/>
      <c r="CD254" s="3" t="n"/>
      <c r="CE254" s="3" t="n"/>
      <c r="CF254" s="3" t="n"/>
      <c r="CG254" s="3" t="n"/>
      <c r="CH254" s="3" t="n"/>
      <c r="CI254" s="3" t="n"/>
      <c r="CJ254" s="3" t="n"/>
      <c r="CK254" s="3" t="n"/>
      <c r="CL254" s="3" t="n"/>
      <c r="CM254" s="3" t="n"/>
      <c r="CN254" s="3" t="n"/>
      <c r="CO254" s="3" t="n"/>
      <c r="CP254" s="3" t="n"/>
      <c r="CQ254" s="3" t="n"/>
      <c r="CR254" s="3" t="n"/>
      <c r="CS254" s="3" t="n"/>
      <c r="CT254" s="3" t="n"/>
      <c r="CU254" s="3" t="n"/>
      <c r="CV254" s="3" t="n"/>
      <c r="CW254" s="3" t="n"/>
      <c r="CX254" s="3" t="n"/>
      <c r="CY254" s="3" t="n"/>
    </row>
    <row r="255" hidden="1" outlineLevel="1">
      <c r="C255" s="52" t="inlineStr">
        <is>
          <t xml:space="preserve">Impostos e Contribuições a Recuperar </t>
        </is>
      </c>
      <c r="D255" s="6" t="n"/>
      <c r="E255" s="6" t="n"/>
      <c r="F255" s="6" t="n"/>
      <c r="G255" s="6" t="n"/>
      <c r="H255" s="3" t="n"/>
      <c r="I255" s="6" t="n"/>
      <c r="J255" s="6" t="n"/>
      <c r="K255" s="6" t="n"/>
      <c r="L255" s="6" t="n"/>
      <c r="M255" s="3" t="n"/>
      <c r="N255" s="6" t="n"/>
      <c r="O255" s="6" t="n"/>
      <c r="P255" s="6" t="n"/>
      <c r="Q255" s="6" t="n"/>
      <c r="R255" s="3" t="n"/>
      <c r="S255" s="6" t="n"/>
      <c r="T255" s="6" t="n"/>
      <c r="U255" s="6" t="n"/>
      <c r="V255" s="6" t="n"/>
      <c r="W255" s="3" t="n"/>
      <c r="X255" s="6" t="n"/>
      <c r="Y255" s="6" t="n"/>
      <c r="Z255" s="6" t="n"/>
      <c r="AA255" s="6" t="n"/>
      <c r="AB255" s="3" t="n"/>
      <c r="AC255" s="6" t="n"/>
      <c r="AD255" s="6" t="n"/>
      <c r="AE255" s="6" t="n"/>
      <c r="AF255" s="6" t="n"/>
      <c r="AG255" s="3">
        <f>AF255</f>
        <v>0</v>
      </c>
      <c r="AH255" s="216">
        <f>AG255*AH15/AG15</f>
        <v>0</v>
      </c>
      <c r="AI255" s="216">
        <f>AH255*AI15/AH15</f>
        <v>0</v>
      </c>
      <c r="AJ255" s="216">
        <f>AI255*AJ15/AI15</f>
        <v>0</v>
      </c>
      <c r="AK255" s="216">
        <f>AJ255*AK15/AJ15</f>
        <v>0</v>
      </c>
      <c r="AL255" s="3">
        <f>AK255</f>
        <v>0</v>
      </c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n"/>
      <c r="CF255" s="3" t="n"/>
      <c r="CG255" s="3" t="n"/>
      <c r="CH255" s="3" t="n"/>
      <c r="CI255" s="3" t="n"/>
      <c r="CJ255" s="3" t="n"/>
      <c r="CK255" s="3" t="n"/>
      <c r="CL255" s="3" t="n"/>
      <c r="CM255" s="3" t="n"/>
      <c r="CN255" s="3" t="n"/>
      <c r="CO255" s="3" t="n"/>
      <c r="CP255" s="3" t="n"/>
      <c r="CQ255" s="3" t="n"/>
      <c r="CR255" s="3" t="n"/>
      <c r="CS255" s="3" t="n"/>
      <c r="CT255" s="3" t="n"/>
      <c r="CU255" s="3" t="n"/>
      <c r="CV255" s="3" t="n"/>
      <c r="CW255" s="3" t="n"/>
      <c r="CX255" s="3" t="n"/>
      <c r="CY255" s="3" t="n"/>
    </row>
    <row r="256" hidden="1" outlineLevel="1">
      <c r="C256" s="52" t="inlineStr">
        <is>
          <t>Outros Créditos</t>
        </is>
      </c>
      <c r="D256" s="6" t="n"/>
      <c r="E256" s="6" t="n"/>
      <c r="F256" s="6" t="n"/>
      <c r="G256" s="6" t="n"/>
      <c r="H256" s="3" t="n"/>
      <c r="I256" s="6" t="n"/>
      <c r="J256" s="6" t="n"/>
      <c r="K256" s="6" t="n"/>
      <c r="L256" s="6" t="n"/>
      <c r="M256" s="3" t="n"/>
      <c r="N256" s="6" t="n"/>
      <c r="O256" s="6" t="n"/>
      <c r="P256" s="6" t="n"/>
      <c r="Q256" s="6" t="n"/>
      <c r="R256" s="3" t="n"/>
      <c r="S256" s="6" t="n"/>
      <c r="T256" s="6" t="n"/>
      <c r="U256" s="6" t="n"/>
      <c r="V256" s="6" t="n"/>
      <c r="W256" s="3" t="n"/>
      <c r="X256" s="6" t="n"/>
      <c r="Y256" s="6" t="n"/>
      <c r="Z256" s="6" t="n"/>
      <c r="AA256" s="6" t="n"/>
      <c r="AB256" s="3" t="n"/>
      <c r="AC256" s="6" t="n"/>
      <c r="AD256" s="6" t="n"/>
      <c r="AE256" s="6" t="n"/>
      <c r="AF256" s="6" t="n"/>
      <c r="AG256" s="3">
        <f>AF256</f>
        <v>0</v>
      </c>
      <c r="AH256" s="3">
        <f>AG256</f>
        <v>0</v>
      </c>
      <c r="AI256" s="3">
        <f>AH256</f>
        <v>0</v>
      </c>
      <c r="AJ256" s="3">
        <f>AI256</f>
        <v>0</v>
      </c>
      <c r="AK256" s="3">
        <f>AJ256</f>
        <v>0</v>
      </c>
      <c r="AL256" s="3">
        <f>AK256</f>
        <v>0</v>
      </c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n"/>
      <c r="CF256" s="3" t="n"/>
      <c r="CG256" s="3" t="n"/>
      <c r="CH256" s="3" t="n"/>
      <c r="CI256" s="3" t="n"/>
      <c r="CJ256" s="3" t="n"/>
      <c r="CK256" s="3" t="n"/>
      <c r="CL256" s="3" t="n"/>
      <c r="CM256" s="3" t="n"/>
      <c r="CN256" s="3" t="n"/>
      <c r="CO256" s="3" t="n"/>
      <c r="CP256" s="3" t="n"/>
      <c r="CQ256" s="3" t="n"/>
      <c r="CR256" s="3" t="n"/>
      <c r="CS256" s="3" t="n"/>
      <c r="CT256" s="3" t="n"/>
      <c r="CU256" s="3" t="n"/>
      <c r="CV256" s="3" t="n"/>
      <c r="CW256" s="3" t="n"/>
      <c r="CX256" s="3" t="n"/>
      <c r="CY256" s="3" t="n"/>
    </row>
    <row r="257" hidden="1" outlineLevel="1">
      <c r="C257" s="34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n"/>
      <c r="CF257" s="3" t="n"/>
      <c r="CG257" s="3" t="n"/>
      <c r="CH257" s="3" t="n"/>
      <c r="CI257" s="3" t="n"/>
      <c r="CJ257" s="3" t="n"/>
      <c r="CK257" s="3" t="n"/>
      <c r="CL257" s="3" t="n"/>
      <c r="CM257" s="3" t="n"/>
      <c r="CN257" s="3" t="n"/>
      <c r="CO257" s="3" t="n"/>
      <c r="CP257" s="3" t="n"/>
      <c r="CQ257" s="3" t="n"/>
      <c r="CR257" s="3" t="n"/>
      <c r="CS257" s="3" t="n"/>
      <c r="CT257" s="3" t="n"/>
      <c r="CU257" s="3" t="n"/>
      <c r="CV257" s="3" t="n"/>
      <c r="CW257" s="3" t="n"/>
      <c r="CX257" s="3" t="n"/>
      <c r="CY257" s="3" t="n"/>
    </row>
    <row r="258" collapsed="1">
      <c r="C258" s="26" t="inlineStr">
        <is>
          <t>Equity in affiliates</t>
        </is>
      </c>
      <c r="D258" s="25">
        <f>INDEX('Inputs (2)'!$D$21:$AL$21,MATCH(D$7,'Inputs (2)'!$D$2:$AL$2,0))</f>
        <v>143.332</v>
      </c>
      <c r="E258" s="25">
        <f>INDEX('Inputs (2)'!$D$21:$AL$21,MATCH(E$7,'Inputs (2)'!$D$2:$AL$2,0))</f>
        <v>144.271</v>
      </c>
      <c r="F258" s="25">
        <f>INDEX('Inputs (2)'!$D$21:$AL$21,MATCH(F$7,'Inputs (2)'!$D$2:$AL$2,0))</f>
        <v>144.602</v>
      </c>
      <c r="G258" s="25">
        <f>INDEX('Inputs (2)'!$D$21:$AL$21,MATCH(G$7,'Inputs (2)'!$D$2:$AL$2,0))</f>
        <v>135.464</v>
      </c>
      <c r="H258" s="3">
        <f>G258</f>
        <v>135.464</v>
      </c>
      <c r="I258" s="25">
        <f>INDEX('Inputs (2)'!$D$21:$AL$21,MATCH(I$7,'Inputs (2)'!$D$2:$AL$2,0))</f>
        <v>136.93</v>
      </c>
      <c r="J258" s="25">
        <f>INDEX('Inputs (2)'!$D$21:$AL$21,MATCH(J$7,'Inputs (2)'!$D$2:$AL$2,0))</f>
        <v>139.039</v>
      </c>
      <c r="K258" s="25">
        <f>INDEX('Inputs (2)'!$D$21:$AL$21,MATCH(K$7,'Inputs (2)'!$D$2:$AL$2,0))</f>
        <v>140.182</v>
      </c>
      <c r="L258" s="25">
        <f>INDEX('Inputs (2)'!$D$21:$AL$21,MATCH(L$7,'Inputs (2)'!$D$2:$AL$2,0))</f>
        <v>150.92</v>
      </c>
      <c r="M258" s="3">
        <f>L258</f>
        <v>150.92</v>
      </c>
      <c r="N258" s="25">
        <f>INDEX('Inputs (2)'!$D$21:$AL$21,MATCH(N$7,'Inputs (2)'!$D$2:$AL$2,0))</f>
        <v>150.555</v>
      </c>
      <c r="O258" s="25">
        <f>INDEX('Inputs (2)'!$D$21:$AL$21,MATCH(O$7,'Inputs (2)'!$D$2:$AL$2,0))</f>
        <v>153.088</v>
      </c>
      <c r="P258" s="25">
        <f>INDEX('Inputs (2)'!$D$21:$AL$21,MATCH(P$7,'Inputs (2)'!$D$2:$AL$2,0))</f>
        <v>168.252</v>
      </c>
      <c r="Q258" s="25">
        <f>INDEX('Inputs (2)'!$D$21:$AL$21,MATCH(Q$7,'Inputs (2)'!$D$2:$AL$2,0))</f>
        <v>176.062</v>
      </c>
      <c r="R258" s="3">
        <f>Q258</f>
        <v>176.062</v>
      </c>
      <c r="S258" s="25">
        <f>INDEX('Inputs (2)'!$D$21:$AL$21,MATCH(S$7,'Inputs (2)'!$D$2:$AL$2,0))</f>
        <v>186.664</v>
      </c>
      <c r="T258" s="25">
        <f>INDEX('Inputs (2)'!$D$21:$AL$21,MATCH(T$7,'Inputs (2)'!$D$2:$AL$2,0))</f>
        <v>212.488</v>
      </c>
      <c r="U258" s="25">
        <f>INDEX('Inputs (2)'!$D$21:$AL$21,MATCH(U$7,'Inputs (2)'!$D$2:$AL$2,0))</f>
        <v>218.734</v>
      </c>
      <c r="V258" s="25">
        <f>INDEX('Inputs (2)'!$D$21:$AL$21,MATCH(V$7,'Inputs (2)'!$D$2:$AL$2,0))</f>
        <v>232.644</v>
      </c>
      <c r="W258" s="3">
        <f>V258</f>
        <v>232.644</v>
      </c>
      <c r="X258" s="25">
        <f>INDEX('Inputs (2)'!$D$21:$AL$21,MATCH(X$7,'Inputs (2)'!$D$2:$AL$2,0))</f>
        <v>248.826</v>
      </c>
      <c r="Y258" s="25">
        <f>INDEX('Inputs (2)'!$D$21:$AL$21,MATCH(Y$7,'Inputs (2)'!$D$2:$AL$2,0))</f>
        <v>279.634</v>
      </c>
      <c r="Z258" s="25">
        <f>INDEX('Inputs (2)'!$D$21:$AL$21,MATCH(Z$7,'Inputs (2)'!$D$2:$AL$2,0))</f>
        <v>328.05</v>
      </c>
      <c r="AA258" s="25">
        <f>INDEX('Inputs (2)'!$D$21:$AL$21,MATCH(AA$7,'Inputs (2)'!$D$2:$AL$2,0))</f>
        <v>381.647</v>
      </c>
      <c r="AB258" s="3">
        <f>AA258</f>
        <v>381.647</v>
      </c>
      <c r="AC258" s="25">
        <f>INDEX('Inputs (2)'!$D$21:$AL$21,MATCH(AC$7,'Inputs (2)'!$D$2:$AL$2,0))</f>
        <v>431.194</v>
      </c>
      <c r="AD258" s="25">
        <f>INDEX('Inputs (2)'!$D$21:$AL$21,MATCH(AD$7,'Inputs (2)'!$D$2:$AL$2,0))</f>
        <v>324.079</v>
      </c>
      <c r="AE258" s="25">
        <f>INDEX('Inputs (2)'!$D$21:$AL$21,MATCH(AE$7,'Inputs (2)'!$D$2:$AL$2,0))</f>
        <v>807.382</v>
      </c>
      <c r="AF258" s="25">
        <f>INDEX('Inputs (2)'!$D$21:$AL$21,MATCH(AF$7,'Inputs (2)'!$D$2:$AL$2,0))</f>
        <v>817.595</v>
      </c>
      <c r="AG258" s="3">
        <f>AF258</f>
        <v>817.595</v>
      </c>
      <c r="AH258" s="3">
        <f>INDEX('Inputs (2)'!$D$21:$AL$21,MATCH(AH$7,'Inputs (2)'!$D$2:$AL$2,0))</f>
        <v>842.58</v>
      </c>
      <c r="AI258" s="3">
        <f>INDEX('Inputs (2)'!$D$21:$AL$21,MATCH(AI$7,'Inputs (2)'!$D$2:$AL$2,0))</f>
        <v>872.439</v>
      </c>
      <c r="AJ258" s="3">
        <f>AI258+AJ232+AJ261</f>
        <v>1193.728</v>
      </c>
      <c r="AK258" s="3">
        <f>AJ258+AK232+AK261</f>
        <v>1203.941</v>
      </c>
      <c r="AL258" s="3">
        <f>AK258</f>
        <v>1203.941</v>
      </c>
      <c r="AM258" s="3">
        <f>AL258+AM232+AM261</f>
        <v>1228.926</v>
      </c>
      <c r="AN258" s="3">
        <f>AM258+AN232+AN261</f>
        <v>1258.787</v>
      </c>
      <c r="AO258" s="3">
        <f>AN258+AO232+AO261</f>
        <v>1580.076</v>
      </c>
      <c r="AP258" s="3">
        <f>AO258+AP232+AP261</f>
        <v>1590.289</v>
      </c>
      <c r="AQ258" s="3">
        <f>AP258</f>
        <v>1590.289</v>
      </c>
      <c r="AR258" s="3">
        <f>AQ258+AR232+AR261</f>
        <v>1615.274</v>
      </c>
      <c r="AS258" s="3">
        <f>AR258+AS232+AS261</f>
        <v>1645.135</v>
      </c>
      <c r="AT258" s="3">
        <f>AS258+AT232+AT261</f>
        <v>1966.424</v>
      </c>
      <c r="AU258" s="3">
        <f>AT258+AU232+AU261</f>
        <v>1976.637</v>
      </c>
      <c r="AV258" s="3">
        <f>AU258</f>
        <v>1976.637</v>
      </c>
      <c r="AW258" s="3">
        <f>AV258+AW232+AW261</f>
        <v>2001.622</v>
      </c>
      <c r="AX258" s="3">
        <f>AW258+AX232+AX261</f>
        <v>2031.483</v>
      </c>
      <c r="AY258" s="3">
        <f>AX258+AY232+AY261</f>
        <v>2352.772</v>
      </c>
      <c r="AZ258" s="3">
        <f>AY258+AZ232+AZ261</f>
        <v>2362.985</v>
      </c>
      <c r="BA258" s="3">
        <f>AZ258</f>
        <v>2362.985</v>
      </c>
      <c r="BB258" s="3">
        <f>BA258+BB232+BB261</f>
        <v>2387.97</v>
      </c>
      <c r="BC258" s="3">
        <f>BB258+BC232+BC261</f>
        <v>2417.831</v>
      </c>
      <c r="BD258" s="3">
        <f>BC258+BD232+BD261</f>
        <v>2739.12</v>
      </c>
      <c r="BE258" s="3">
        <f>BD258+BE232+BE261</f>
        <v>2749.333</v>
      </c>
      <c r="BF258" s="3">
        <f>BE258</f>
        <v>2749.333</v>
      </c>
      <c r="BG258" s="3">
        <f>BF258+BG232+BG261</f>
        <v>2774.318</v>
      </c>
      <c r="BH258" s="3">
        <f>BG258+BH232+BH261</f>
        <v>2804.179</v>
      </c>
      <c r="BI258" s="3">
        <f>BH258+BI232+BI261</f>
        <v>3125.468</v>
      </c>
      <c r="BJ258" s="3">
        <f>BI258+BJ232+BJ261</f>
        <v>3135.681</v>
      </c>
      <c r="BK258" s="3">
        <f>BJ258</f>
        <v>3135.681</v>
      </c>
      <c r="BL258" s="3">
        <f>BK258+BL232+BL261</f>
        <v>3160.666</v>
      </c>
      <c r="BM258" s="3">
        <f>BL258+BM232+BM261</f>
        <v>3190.527</v>
      </c>
      <c r="BN258" s="3">
        <f>BM258+BN232+BN261</f>
        <v>3511.816</v>
      </c>
      <c r="BO258" s="3">
        <f>BN258+BO232+BO261</f>
        <v>3522.029</v>
      </c>
      <c r="BP258" s="3">
        <f>BO258</f>
        <v>3522.029</v>
      </c>
      <c r="BQ258" s="3">
        <f>BP258+BQ232+BQ261</f>
        <v>3547.014</v>
      </c>
      <c r="BR258" s="3">
        <f>BQ258+BR232+BR261</f>
        <v>3576.875</v>
      </c>
      <c r="BS258" s="3">
        <f>BR258+BS232+BS261</f>
        <v>3898.164</v>
      </c>
      <c r="BT258" s="3">
        <f>BS258+BT232+BT261</f>
        <v>3908.377</v>
      </c>
      <c r="BU258" s="3">
        <f>BT258</f>
        <v>3908.377</v>
      </c>
      <c r="BV258" s="3">
        <f>BU258+BV232+BV261</f>
        <v>3933.362</v>
      </c>
      <c r="BW258" s="3">
        <f>BV258+BW232+BW261</f>
        <v>3963.223</v>
      </c>
      <c r="BX258" s="3">
        <f>BW258+BX232+BX261</f>
        <v>4284.512</v>
      </c>
      <c r="BY258" s="3">
        <f>BX258+BY232+BY261</f>
        <v>4294.725</v>
      </c>
      <c r="BZ258" s="3">
        <f>BY258</f>
        <v>4294.725</v>
      </c>
      <c r="CA258" s="3">
        <f>BZ258+CA232+CA261</f>
        <v>4319.71</v>
      </c>
      <c r="CB258" s="3">
        <f>CA258+CB232+CB261</f>
        <v>4349.571</v>
      </c>
      <c r="CC258" s="3">
        <f>CB258+CC232+CC261</f>
        <v>4670.86</v>
      </c>
      <c r="CD258" s="3">
        <f>CC258+CD232+CD261</f>
        <v>4681.073</v>
      </c>
      <c r="CE258" s="3">
        <f>CD258</f>
        <v>4681.073</v>
      </c>
      <c r="CF258" s="3">
        <f>CE258+CF232+CF261</f>
        <v>4706.058</v>
      </c>
      <c r="CG258" s="3">
        <f>CF258+CG232+CG261</f>
        <v>4735.919</v>
      </c>
      <c r="CH258" s="3">
        <f>CG258+CH232+CH261</f>
        <v>5057.208</v>
      </c>
      <c r="CI258" s="3">
        <f>CH258+CI232+CI261</f>
        <v>5067.421</v>
      </c>
      <c r="CJ258" s="3">
        <f>CI258</f>
        <v>5067.421</v>
      </c>
      <c r="CK258" s="3">
        <f>CJ258+CK232+CK261</f>
        <v>5092.406</v>
      </c>
      <c r="CL258" s="3">
        <f>CK258+CL232+CL261</f>
        <v>5122.267</v>
      </c>
      <c r="CM258" s="3">
        <f>CL258+CM232+CM261</f>
        <v>5443.556</v>
      </c>
      <c r="CN258" s="3">
        <f>CM258+CN232+CN261</f>
        <v>5453.769</v>
      </c>
      <c r="CO258" s="3">
        <f>CN258</f>
        <v>5453.769</v>
      </c>
      <c r="CP258" s="3">
        <f>CO258+CP232+CP261</f>
        <v>5478.754</v>
      </c>
      <c r="CQ258" s="3">
        <f>CP258+CQ232+CQ261</f>
        <v>5508.615</v>
      </c>
      <c r="CR258" s="3">
        <f>CQ258+CR232+CR261</f>
        <v>5829.904</v>
      </c>
      <c r="CS258" s="3">
        <f>CR258+CS232+CS261</f>
        <v>5840.117</v>
      </c>
      <c r="CT258" s="3">
        <f>CS258</f>
        <v>5840.117</v>
      </c>
      <c r="CU258" s="3">
        <f>CT258+CU232+CU261</f>
        <v>5865.102</v>
      </c>
      <c r="CV258" s="3">
        <f>CU258+CV232+CV261</f>
        <v>5894.963</v>
      </c>
      <c r="CW258" s="3">
        <f>CV258+CW232+CW261</f>
        <v>6216.252</v>
      </c>
      <c r="CX258" s="3">
        <f>CW258+CX232+CX261</f>
        <v>6226.465</v>
      </c>
      <c r="CY258" s="3">
        <f>CX258</f>
        <v>6226.465</v>
      </c>
    </row>
    <row r="259" hidden="1" outlineLevel="1">
      <c r="C259" s="34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  <c r="CU259" s="3" t="n"/>
      <c r="CV259" s="3" t="n"/>
      <c r="CW259" s="3" t="n"/>
      <c r="CX259" s="3" t="n"/>
      <c r="CY259" s="3" t="n"/>
    </row>
    <row r="260" hidden="1" outlineLevel="1">
      <c r="C260" s="34" t="inlineStr">
        <is>
          <t>Equity in Income - % YoY</t>
        </is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>
        <f>IF(I232=0,0,N232/I232-1)</f>
        <v>-1.07776261937244</v>
      </c>
      <c r="O260" s="3">
        <f>IF(J232=0,0,O232/J232-1)</f>
        <v>0.201043148411569</v>
      </c>
      <c r="P260" s="3">
        <f>IF(K232=0,0,P232/K232-1)</f>
        <v>0.705161854768154</v>
      </c>
      <c r="Q260" s="3">
        <f>IF(L232=0,0,Q232/L232-1)</f>
        <v>1.97579143389199</v>
      </c>
      <c r="R260" s="3" t="n"/>
      <c r="S260" s="3">
        <f>IF(N232=0,0,S232/N232-1)</f>
        <v>-8.53508771929825</v>
      </c>
      <c r="T260" s="3">
        <f>IF(O232=0,0,T232/O232-1)</f>
        <v>6.95578365574418</v>
      </c>
      <c r="U260" s="3">
        <f>IF(P232=0,0,U232/P232-1)</f>
        <v>2.20472036942022</v>
      </c>
      <c r="V260" s="3">
        <f>IF(Q232=0,0,V232/Q232-1)</f>
        <v>7.70525657071339</v>
      </c>
      <c r="W260" s="3" t="n"/>
      <c r="X260" s="3">
        <f>IF(S232=0,0,X232/S232-1)</f>
        <v>17.8381839348079</v>
      </c>
      <c r="Y260" s="3">
        <f>IF(T232=0,0,Y232/T232-1)</f>
        <v>0.528781262405716</v>
      </c>
      <c r="Z260" s="3">
        <f>IF(U232=0,0,Z232/U232-1)</f>
        <v>6.75152097342299</v>
      </c>
      <c r="AA260" s="3">
        <f>IF(V232=0,0,AA232/V232-1)</f>
        <v>2.85285026238229</v>
      </c>
      <c r="AB260" s="3" t="n"/>
      <c r="AC260" s="3">
        <f>IF(X232=0,0,AC232/X232-1)</f>
        <v>2.06185885551848</v>
      </c>
      <c r="AD260" s="3">
        <f>IF(Y232=0,0,AD232/Y232-1)</f>
        <v>-3.59205401194495</v>
      </c>
      <c r="AE260" s="3">
        <f>IF(Z232=0,0,AE232/Z232-1)</f>
        <v>5.63600875743556</v>
      </c>
      <c r="AF260" s="3">
        <f>IF(AA232=0,0,AF232/AA232-1)</f>
        <v>-0.809448290016232</v>
      </c>
      <c r="AG260" s="3" t="n"/>
      <c r="AH260" s="6">
        <f>IF(AC232=0,0,AH232/AC232-1)</f>
        <v>-0.495731325811855</v>
      </c>
      <c r="AI260" s="6">
        <f>IF(AD232=0,0,AI232/AD232-1)</f>
        <v>-1.37393558405129</v>
      </c>
      <c r="AJ260" s="6" t="n"/>
      <c r="AK260" s="6" t="n"/>
      <c r="AL260" s="3" t="n"/>
      <c r="AM260" s="6" t="n"/>
      <c r="AN260" s="6" t="n"/>
      <c r="AO260" s="6" t="n"/>
      <c r="AP260" s="6" t="n"/>
      <c r="AQ260" s="3" t="n"/>
      <c r="AR260" s="6" t="n"/>
      <c r="AS260" s="6" t="n"/>
      <c r="AT260" s="6" t="n"/>
      <c r="AU260" s="6" t="n"/>
      <c r="AV260" s="3" t="n"/>
      <c r="AW260" s="6" t="n"/>
      <c r="AX260" s="6" t="n"/>
      <c r="AY260" s="6" t="n"/>
      <c r="AZ260" s="6" t="n"/>
      <c r="BA260" s="3" t="n"/>
      <c r="BB260" s="6" t="n"/>
      <c r="BC260" s="6" t="n"/>
      <c r="BD260" s="6" t="n"/>
      <c r="BE260" s="6" t="n"/>
      <c r="BF260" s="3" t="n"/>
      <c r="BG260" s="6" t="n"/>
      <c r="BH260" s="6" t="n"/>
      <c r="BI260" s="6" t="n"/>
      <c r="BJ260" s="6" t="n"/>
      <c r="BK260" s="3" t="n"/>
      <c r="BL260" s="6" t="n"/>
      <c r="BM260" s="6" t="n"/>
      <c r="BN260" s="6" t="n"/>
      <c r="BO260" s="6" t="n"/>
      <c r="BP260" s="3" t="n"/>
      <c r="BQ260" s="6" t="n"/>
      <c r="BR260" s="6" t="n"/>
      <c r="BS260" s="6" t="n"/>
      <c r="BT260" s="6" t="n"/>
      <c r="BU260" s="3" t="n"/>
      <c r="BV260" s="6" t="n"/>
      <c r="BW260" s="6" t="n"/>
      <c r="BX260" s="6" t="n"/>
      <c r="BY260" s="6" t="n"/>
      <c r="BZ260" s="3" t="n"/>
      <c r="CA260" s="6" t="n"/>
      <c r="CB260" s="6" t="n"/>
      <c r="CC260" s="6" t="n"/>
      <c r="CD260" s="6" t="n"/>
      <c r="CE260" s="3" t="n"/>
      <c r="CF260" s="6" t="n"/>
      <c r="CG260" s="6" t="n"/>
      <c r="CH260" s="6" t="n"/>
      <c r="CI260" s="6" t="n"/>
      <c r="CJ260" s="3" t="n"/>
      <c r="CK260" s="6" t="n"/>
      <c r="CL260" s="6" t="n"/>
      <c r="CM260" s="6" t="n"/>
      <c r="CN260" s="6" t="n"/>
      <c r="CO260" s="3" t="n"/>
      <c r="CP260" s="6" t="n"/>
      <c r="CQ260" s="6" t="n"/>
      <c r="CR260" s="6" t="n"/>
      <c r="CS260" s="6" t="n"/>
      <c r="CT260" s="3" t="n"/>
      <c r="CU260" s="6" t="n"/>
      <c r="CV260" s="6" t="n"/>
      <c r="CW260" s="6" t="n"/>
      <c r="CX260" s="6" t="n"/>
      <c r="CY260" s="3" t="n"/>
    </row>
    <row r="261" hidden="1" outlineLevel="1">
      <c r="C261" s="34" t="inlineStr">
        <is>
          <t>Dividends (enter as -)</t>
        </is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6" t="n"/>
      <c r="AI261" s="6" t="n"/>
      <c r="AJ261" s="6" t="n"/>
      <c r="AK261" s="6" t="n"/>
      <c r="AL261" s="3" t="n"/>
      <c r="AM261" s="6" t="n"/>
      <c r="AN261" s="6" t="n"/>
      <c r="AO261" s="6" t="n"/>
      <c r="AP261" s="6" t="n"/>
      <c r="AQ261" s="3" t="n"/>
      <c r="AR261" s="6" t="n"/>
      <c r="AS261" s="6" t="n"/>
      <c r="AT261" s="6" t="n"/>
      <c r="AU261" s="6" t="n"/>
      <c r="AV261" s="3" t="n"/>
      <c r="AW261" s="6" t="n"/>
      <c r="AX261" s="6" t="n"/>
      <c r="AY261" s="6" t="n"/>
      <c r="AZ261" s="6" t="n"/>
      <c r="BA261" s="3" t="n"/>
      <c r="BB261" s="6" t="n"/>
      <c r="BC261" s="6" t="n"/>
      <c r="BD261" s="6" t="n"/>
      <c r="BE261" s="6" t="n"/>
      <c r="BF261" s="3" t="n"/>
      <c r="BG261" s="6" t="n"/>
      <c r="BH261" s="6" t="n"/>
      <c r="BI261" s="6" t="n"/>
      <c r="BJ261" s="6" t="n"/>
      <c r="BK261" s="3" t="n"/>
      <c r="BL261" s="6" t="n"/>
      <c r="BM261" s="6" t="n"/>
      <c r="BN261" s="6" t="n"/>
      <c r="BO261" s="6" t="n"/>
      <c r="BP261" s="3" t="n"/>
      <c r="BQ261" s="6" t="n"/>
      <c r="BR261" s="6" t="n"/>
      <c r="BS261" s="6" t="n"/>
      <c r="BT261" s="6" t="n"/>
      <c r="BU261" s="3" t="n"/>
      <c r="BV261" s="6" t="n"/>
      <c r="BW261" s="6" t="n"/>
      <c r="BX261" s="6" t="n"/>
      <c r="BY261" s="6" t="n"/>
      <c r="BZ261" s="3" t="n"/>
      <c r="CA261" s="6" t="n"/>
      <c r="CB261" s="6" t="n"/>
      <c r="CC261" s="6" t="n"/>
      <c r="CD261" s="6" t="n"/>
      <c r="CE261" s="3" t="n"/>
      <c r="CF261" s="6" t="n"/>
      <c r="CG261" s="6" t="n"/>
      <c r="CH261" s="6" t="n"/>
      <c r="CI261" s="6" t="n"/>
      <c r="CJ261" s="3" t="n"/>
      <c r="CK261" s="6" t="n"/>
      <c r="CL261" s="6" t="n"/>
      <c r="CM261" s="6" t="n"/>
      <c r="CN261" s="6" t="n"/>
      <c r="CO261" s="3" t="n"/>
      <c r="CP261" s="6" t="n"/>
      <c r="CQ261" s="6" t="n"/>
      <c r="CR261" s="6" t="n"/>
      <c r="CS261" s="6" t="n"/>
      <c r="CT261" s="3" t="n"/>
      <c r="CU261" s="6" t="n"/>
      <c r="CV261" s="6" t="n"/>
      <c r="CW261" s="6" t="n"/>
      <c r="CX261" s="6" t="n"/>
      <c r="CY261" s="3" t="n"/>
    </row>
    <row r="262" hidden="1" outlineLevel="1">
      <c r="C262" s="34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  <c r="CU262" s="3" t="n"/>
      <c r="CV262" s="3" t="n"/>
      <c r="CW262" s="3" t="n"/>
      <c r="CX262" s="3" t="n"/>
      <c r="CY262" s="3" t="n"/>
    </row>
    <row r="263" collapsed="1">
      <c r="C263" s="26" t="inlineStr">
        <is>
          <t>PP&amp;E</t>
        </is>
      </c>
      <c r="D263" s="25">
        <f>INDEX('Inputs (2)'!$D$22:$AL$22,MATCH(D$7,'Inputs (2)'!$D$2:$AL$2,0))</f>
        <v>4652.854</v>
      </c>
      <c r="E263" s="25">
        <f>INDEX('Inputs (2)'!$D$22:$AL$22,MATCH(E$7,'Inputs (2)'!$D$2:$AL$2,0))</f>
        <v>4689.746</v>
      </c>
      <c r="F263" s="25">
        <f>INDEX('Inputs (2)'!$D$22:$AL$22,MATCH(F$7,'Inputs (2)'!$D$2:$AL$2,0))</f>
        <v>4712.887</v>
      </c>
      <c r="G263" s="25">
        <f>INDEX('Inputs (2)'!$D$22:$AL$22,MATCH(G$7,'Inputs (2)'!$D$2:$AL$2,0))</f>
        <v>4672.156</v>
      </c>
      <c r="H263" s="3">
        <f>G263</f>
        <v>4672.156</v>
      </c>
      <c r="I263" s="25">
        <f>INDEX('Inputs (2)'!$D$22:$AL$22,MATCH(I$7,'Inputs (2)'!$D$2:$AL$2,0))</f>
        <v>4756.788</v>
      </c>
      <c r="J263" s="25">
        <f>INDEX('Inputs (2)'!$D$22:$AL$22,MATCH(J$7,'Inputs (2)'!$D$2:$AL$2,0))</f>
        <v>4610.024</v>
      </c>
      <c r="K263" s="25">
        <f>INDEX('Inputs (2)'!$D$22:$AL$22,MATCH(K$7,'Inputs (2)'!$D$2:$AL$2,0))</f>
        <v>4624.455</v>
      </c>
      <c r="L263" s="25">
        <f>INDEX('Inputs (2)'!$D$22:$AL$22,MATCH(L$7,'Inputs (2)'!$D$2:$AL$2,0))</f>
        <v>4710.238</v>
      </c>
      <c r="M263" s="3">
        <f>L263</f>
        <v>4710.238</v>
      </c>
      <c r="N263" s="25">
        <f>INDEX('Inputs (2)'!$D$22:$AL$22,MATCH(N$7,'Inputs (2)'!$D$2:$AL$2,0))</f>
        <v>5013.953</v>
      </c>
      <c r="O263" s="25">
        <f>INDEX('Inputs (2)'!$D$22:$AL$22,MATCH(O$7,'Inputs (2)'!$D$2:$AL$2,0))</f>
        <v>4946.807</v>
      </c>
      <c r="P263" s="25">
        <f>INDEX('Inputs (2)'!$D$22:$AL$22,MATCH(P$7,'Inputs (2)'!$D$2:$AL$2,0))</f>
        <v>5109.731</v>
      </c>
      <c r="Q263" s="25">
        <f>INDEX('Inputs (2)'!$D$22:$AL$22,MATCH(Q$7,'Inputs (2)'!$D$2:$AL$2,0))</f>
        <v>5324.416</v>
      </c>
      <c r="R263" s="3">
        <f>Q263</f>
        <v>5324.416</v>
      </c>
      <c r="S263" s="25">
        <f>INDEX('Inputs (2)'!$D$22:$AL$22,MATCH(S$7,'Inputs (2)'!$D$2:$AL$2,0))</f>
        <v>5372.552</v>
      </c>
      <c r="T263" s="25">
        <f>INDEX('Inputs (2)'!$D$22:$AL$22,MATCH(T$7,'Inputs (2)'!$D$2:$AL$2,0))</f>
        <v>5408.683</v>
      </c>
      <c r="U263" s="25">
        <f>INDEX('Inputs (2)'!$D$22:$AL$22,MATCH(U$7,'Inputs (2)'!$D$2:$AL$2,0))</f>
        <v>5530.079</v>
      </c>
      <c r="V263" s="25">
        <f>INDEX('Inputs (2)'!$D$22:$AL$22,MATCH(V$7,'Inputs (2)'!$D$2:$AL$2,0))</f>
        <v>5589.542</v>
      </c>
      <c r="W263" s="3">
        <f>V263</f>
        <v>5589.542</v>
      </c>
      <c r="X263" s="25">
        <f>INDEX('Inputs (2)'!$D$22:$AL$22,MATCH(X$7,'Inputs (2)'!$D$2:$AL$2,0))</f>
        <v>5635.29</v>
      </c>
      <c r="Y263" s="25">
        <f>INDEX('Inputs (2)'!$D$22:$AL$22,MATCH(Y$7,'Inputs (2)'!$D$2:$AL$2,0))</f>
        <v>5779.312</v>
      </c>
      <c r="Z263" s="25">
        <f>INDEX('Inputs (2)'!$D$22:$AL$22,MATCH(Z$7,'Inputs (2)'!$D$2:$AL$2,0))</f>
        <v>5746.537</v>
      </c>
      <c r="AA263" s="25">
        <f>INDEX('Inputs (2)'!$D$22:$AL$22,MATCH(AA$7,'Inputs (2)'!$D$2:$AL$2,0))</f>
        <v>5996.226</v>
      </c>
      <c r="AB263" s="3">
        <f>AA263</f>
        <v>5996.226</v>
      </c>
      <c r="AC263" s="25">
        <f>INDEX('Inputs (2)'!$D$22:$AL$22,MATCH(AC$7,'Inputs (2)'!$D$2:$AL$2,0))</f>
        <v>5831.673</v>
      </c>
      <c r="AD263" s="25">
        <f>INDEX('Inputs (2)'!$D$22:$AL$22,MATCH(AD$7,'Inputs (2)'!$D$2:$AL$2,0))</f>
        <v>5764.356</v>
      </c>
      <c r="AE263" s="25">
        <f>INDEX('Inputs (2)'!$D$22:$AL$22,MATCH(AE$7,'Inputs (2)'!$D$2:$AL$2,0))</f>
        <v>5730.09</v>
      </c>
      <c r="AF263" s="25">
        <f>INDEX('Inputs (2)'!$D$22:$AL$22,MATCH(AF$7,'Inputs (2)'!$D$2:$AL$2,0))</f>
        <v>5878.065</v>
      </c>
      <c r="AG263" s="3">
        <f>AF263</f>
        <v>5878.065</v>
      </c>
      <c r="AH263" s="3">
        <f>INDEX('Inputs (2)'!$D$22:$AL$22,MATCH(AH$7,'Inputs (2)'!$D$2:$AL$2,0))</f>
        <v>5718.153</v>
      </c>
      <c r="AI263" s="3">
        <f>INDEX('Inputs (2)'!$D$22:$AL$22,MATCH(AI$7,'Inputs (2)'!$D$2:$AL$2,0))</f>
        <v>5795.449</v>
      </c>
      <c r="AJ263" s="3">
        <f>AJ268</f>
        <v>5795.449</v>
      </c>
      <c r="AK263" s="3">
        <f>AK268</f>
        <v>5795.449</v>
      </c>
      <c r="AL263" s="3">
        <f>AK263</f>
        <v>5795.449</v>
      </c>
      <c r="AM263" s="3">
        <f>AM268</f>
        <v>5795.449</v>
      </c>
      <c r="AN263" s="3">
        <f>AN268</f>
        <v>5795.449</v>
      </c>
      <c r="AO263" s="3">
        <f>AO268</f>
        <v>5795.449</v>
      </c>
      <c r="AP263" s="3">
        <f>AP268</f>
        <v>5795.449</v>
      </c>
      <c r="AQ263" s="3">
        <f>AP263</f>
        <v>5795.449</v>
      </c>
      <c r="AR263" s="3">
        <f>AR268</f>
        <v>5795.449</v>
      </c>
      <c r="AS263" s="3">
        <f>AS268</f>
        <v>5795.449</v>
      </c>
      <c r="AT263" s="3">
        <f>AT268</f>
        <v>5795.449</v>
      </c>
      <c r="AU263" s="3">
        <f>AU268</f>
        <v>5795.449</v>
      </c>
      <c r="AV263" s="3">
        <f>AU263</f>
        <v>5795.449</v>
      </c>
      <c r="AW263" s="3">
        <f>AW268</f>
        <v>5795.449</v>
      </c>
      <c r="AX263" s="3">
        <f>AX268</f>
        <v>5795.449</v>
      </c>
      <c r="AY263" s="3">
        <f>AY268</f>
        <v>5795.449</v>
      </c>
      <c r="AZ263" s="3">
        <f>AZ268</f>
        <v>5795.449</v>
      </c>
      <c r="BA263" s="3">
        <f>AZ263</f>
        <v>5795.449</v>
      </c>
      <c r="BB263" s="3">
        <f>BB268</f>
        <v>5795.449</v>
      </c>
      <c r="BC263" s="3">
        <f>BC268</f>
        <v>5795.449</v>
      </c>
      <c r="BD263" s="3">
        <f>BD268</f>
        <v>5795.449</v>
      </c>
      <c r="BE263" s="3">
        <f>BE268</f>
        <v>5795.449</v>
      </c>
      <c r="BF263" s="3">
        <f>BE263</f>
        <v>5795.449</v>
      </c>
      <c r="BG263" s="3">
        <f>BG268</f>
        <v>5795.449</v>
      </c>
      <c r="BH263" s="3">
        <f>BH268</f>
        <v>5795.449</v>
      </c>
      <c r="BI263" s="3">
        <f>BI268</f>
        <v>5795.449</v>
      </c>
      <c r="BJ263" s="3">
        <f>BJ268</f>
        <v>5795.449</v>
      </c>
      <c r="BK263" s="3">
        <f>BJ263</f>
        <v>5795.449</v>
      </c>
      <c r="BL263" s="3">
        <f>BL268</f>
        <v>5795.449</v>
      </c>
      <c r="BM263" s="3">
        <f>BM268</f>
        <v>5795.449</v>
      </c>
      <c r="BN263" s="3">
        <f>BN268</f>
        <v>5795.449</v>
      </c>
      <c r="BO263" s="3">
        <f>BO268</f>
        <v>5795.449</v>
      </c>
      <c r="BP263" s="3">
        <f>BO263</f>
        <v>5795.449</v>
      </c>
      <c r="BQ263" s="3">
        <f>BQ268</f>
        <v>5795.449</v>
      </c>
      <c r="BR263" s="3">
        <f>BR268</f>
        <v>5795.449</v>
      </c>
      <c r="BS263" s="3">
        <f>BS268</f>
        <v>5795.449</v>
      </c>
      <c r="BT263" s="3">
        <f>BT268</f>
        <v>5795.449</v>
      </c>
      <c r="BU263" s="3">
        <f>BT263</f>
        <v>5795.449</v>
      </c>
      <c r="BV263" s="3">
        <f>BV268</f>
        <v>5795.449</v>
      </c>
      <c r="BW263" s="3">
        <f>BW268</f>
        <v>5795.449</v>
      </c>
      <c r="BX263" s="3">
        <f>BX268</f>
        <v>5795.449</v>
      </c>
      <c r="BY263" s="3">
        <f>BY268</f>
        <v>5795.449</v>
      </c>
      <c r="BZ263" s="3">
        <f>BY263</f>
        <v>5795.449</v>
      </c>
      <c r="CA263" s="3">
        <f>CA268</f>
        <v>5795.449</v>
      </c>
      <c r="CB263" s="3">
        <f>CB268</f>
        <v>5795.449</v>
      </c>
      <c r="CC263" s="3">
        <f>CC268</f>
        <v>5795.449</v>
      </c>
      <c r="CD263" s="3">
        <f>CD268</f>
        <v>5795.449</v>
      </c>
      <c r="CE263" s="3">
        <f>CD263</f>
        <v>5795.449</v>
      </c>
      <c r="CF263" s="3">
        <f>CF268</f>
        <v>5795.449</v>
      </c>
      <c r="CG263" s="3">
        <f>CG268</f>
        <v>5795.449</v>
      </c>
      <c r="CH263" s="3">
        <f>CH268</f>
        <v>5795.449</v>
      </c>
      <c r="CI263" s="3">
        <f>CI268</f>
        <v>5795.449</v>
      </c>
      <c r="CJ263" s="3">
        <f>CI263</f>
        <v>5795.449</v>
      </c>
      <c r="CK263" s="3">
        <f>CK268</f>
        <v>5795.449</v>
      </c>
      <c r="CL263" s="3">
        <f>CL268</f>
        <v>5795.449</v>
      </c>
      <c r="CM263" s="3">
        <f>CM268</f>
        <v>5795.449</v>
      </c>
      <c r="CN263" s="3">
        <f>CN268</f>
        <v>5795.449</v>
      </c>
      <c r="CO263" s="3">
        <f>CN263</f>
        <v>5795.449</v>
      </c>
      <c r="CP263" s="3">
        <f>CP268</f>
        <v>5795.449</v>
      </c>
      <c r="CQ263" s="3">
        <f>CQ268</f>
        <v>5795.449</v>
      </c>
      <c r="CR263" s="3">
        <f>CR268</f>
        <v>5795.449</v>
      </c>
      <c r="CS263" s="3">
        <f>CS268</f>
        <v>5795.449</v>
      </c>
      <c r="CT263" s="3">
        <f>CS263</f>
        <v>5795.449</v>
      </c>
      <c r="CU263" s="3">
        <f>CU268</f>
        <v>5795.449</v>
      </c>
      <c r="CV263" s="3">
        <f>CV268</f>
        <v>5795.449</v>
      </c>
      <c r="CW263" s="3">
        <f>CW268</f>
        <v>5795.449</v>
      </c>
      <c r="CX263" s="3">
        <f>CX268</f>
        <v>5795.449</v>
      </c>
      <c r="CY263" s="3">
        <f>CX263</f>
        <v>5795.449</v>
      </c>
    </row>
    <row r="264" hidden="1" outlineLevel="1">
      <c r="C264" s="34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  <c r="CU264" s="3" t="n"/>
      <c r="CV264" s="3" t="n"/>
      <c r="CW264" s="3" t="n"/>
      <c r="CX264" s="3" t="n"/>
      <c r="CY264" s="3" t="n"/>
    </row>
    <row r="265" hidden="1" outlineLevel="1">
      <c r="C265" s="34" t="inlineStr">
        <is>
          <t>Capital expenditures</t>
        </is>
      </c>
      <c r="D265" s="3" t="n"/>
      <c r="E265" s="3">
        <f>E263-D263-E167</f>
        <v>86.8789999999998</v>
      </c>
      <c r="F265" s="3">
        <f>F263-E263-F167</f>
        <v>51.5959999999996</v>
      </c>
      <c r="G265" s="3">
        <f>G263-F263-G167</f>
        <v>-11.9519999999998</v>
      </c>
      <c r="H265" s="3" t="n"/>
      <c r="I265" s="3">
        <f>I263-H263-I167</f>
        <v>114.068000000001</v>
      </c>
      <c r="J265" s="3">
        <f>J263-I263-J167</f>
        <v>-116.907</v>
      </c>
      <c r="K265" s="3">
        <f>K263-J263-K167</f>
        <v>58.8319999999996</v>
      </c>
      <c r="L265" s="3">
        <f>L263-K263-L167</f>
        <v>121.652</v>
      </c>
      <c r="M265" s="3" t="n"/>
      <c r="N265" s="3">
        <f>N263-M263-N167</f>
        <v>342.222</v>
      </c>
      <c r="O265" s="3">
        <f>O263-N263-O167</f>
        <v>-30.6900000000006</v>
      </c>
      <c r="P265" s="3">
        <f>P263-O263-P167</f>
        <v>199.664</v>
      </c>
      <c r="Q265" s="3">
        <f>Q263-P263-Q167</f>
        <v>252.564</v>
      </c>
      <c r="R265" s="3" t="n"/>
      <c r="S265" s="3">
        <f>S263-R263-S167</f>
        <v>82.9219999999995</v>
      </c>
      <c r="T265" s="3">
        <f>T263-S263-T167</f>
        <v>72.4770000000003</v>
      </c>
      <c r="U265" s="3">
        <f>U263-T263-U167</f>
        <v>162.309</v>
      </c>
      <c r="V265" s="3">
        <f>V263-U263-V167</f>
        <v>101.330000000001</v>
      </c>
      <c r="W265" s="3" t="n"/>
      <c r="X265" s="3">
        <f>X263-W263-X167</f>
        <v>88.6359999999996</v>
      </c>
      <c r="Y265" s="3">
        <f>Y263-X263-Y167</f>
        <v>188.007</v>
      </c>
      <c r="Z265" s="3">
        <f>Z263-Y263-Z167</f>
        <v>13.0840000000004</v>
      </c>
      <c r="AA265" s="3">
        <f>AA263-Z263-AA167</f>
        <v>295.112</v>
      </c>
      <c r="AB265" s="3" t="n"/>
      <c r="AC265" s="3">
        <f>AC263-AB263-AC167</f>
        <v>-123.290000000001</v>
      </c>
      <c r="AD265" s="3">
        <f>AD263-AC263-AD167</f>
        <v>-21.899</v>
      </c>
      <c r="AE265" s="3">
        <f>AE263-AD263-AE167</f>
        <v>13.3850000000004</v>
      </c>
      <c r="AF265" s="6">
        <f>AF263-AE263-AF167</f>
        <v>199.435</v>
      </c>
      <c r="AG265" s="3">
        <f>SUM(AC265:AF265)</f>
        <v>67.631</v>
      </c>
      <c r="AH265" s="6">
        <f>AH263-AG263-AH167</f>
        <v>-103.798</v>
      </c>
      <c r="AI265" s="6">
        <f>AI263-AH263-AI167</f>
        <v>128.885</v>
      </c>
      <c r="AJ265" s="6" t="n"/>
      <c r="AK265" s="6" t="n"/>
      <c r="AL265" s="3" t="n"/>
      <c r="AM265" s="6" t="n"/>
      <c r="AN265" s="6" t="n"/>
      <c r="AO265" s="6" t="n"/>
      <c r="AP265" s="6" t="n"/>
      <c r="AQ265" s="3" t="n"/>
      <c r="AR265" s="6" t="n"/>
      <c r="AS265" s="6" t="n"/>
      <c r="AT265" s="6" t="n"/>
      <c r="AU265" s="6" t="n"/>
      <c r="AV265" s="3" t="n"/>
      <c r="AW265" s="6" t="n"/>
      <c r="AX265" s="6" t="n"/>
      <c r="AY265" s="6" t="n"/>
      <c r="AZ265" s="6" t="n"/>
      <c r="BA265" s="3" t="n"/>
      <c r="BB265" s="6" t="n"/>
      <c r="BC265" s="6" t="n"/>
      <c r="BD265" s="6" t="n"/>
      <c r="BE265" s="6" t="n"/>
      <c r="BF265" s="3" t="n"/>
      <c r="BG265" s="6" t="n"/>
      <c r="BH265" s="6" t="n"/>
      <c r="BI265" s="6" t="n"/>
      <c r="BJ265" s="6" t="n"/>
      <c r="BK265" s="3" t="n"/>
      <c r="BL265" s="6" t="n"/>
      <c r="BM265" s="6" t="n"/>
      <c r="BN265" s="6" t="n"/>
      <c r="BO265" s="6" t="n"/>
      <c r="BP265" s="3" t="n"/>
      <c r="BQ265" s="6" t="n"/>
      <c r="BR265" s="6" t="n"/>
      <c r="BS265" s="6" t="n"/>
      <c r="BT265" s="6" t="n"/>
      <c r="BU265" s="3" t="n"/>
      <c r="BV265" s="6" t="n"/>
      <c r="BW265" s="6" t="n"/>
      <c r="BX265" s="6" t="n"/>
      <c r="BY265" s="6" t="n"/>
      <c r="BZ265" s="3" t="n"/>
      <c r="CA265" s="6" t="n"/>
      <c r="CB265" s="6" t="n"/>
      <c r="CC265" s="6" t="n"/>
      <c r="CD265" s="6" t="n"/>
      <c r="CE265" s="3" t="n"/>
      <c r="CF265" s="6" t="n"/>
      <c r="CG265" s="6" t="n"/>
      <c r="CH265" s="6" t="n"/>
      <c r="CI265" s="6" t="n"/>
      <c r="CJ265" s="3" t="n"/>
      <c r="CK265" s="6" t="n"/>
      <c r="CL265" s="6" t="n"/>
      <c r="CM265" s="6" t="n"/>
      <c r="CN265" s="6" t="n"/>
      <c r="CO265" s="3" t="n"/>
      <c r="CP265" s="6" t="n"/>
      <c r="CQ265" s="6" t="n"/>
      <c r="CR265" s="6" t="n"/>
      <c r="CS265" s="6" t="n"/>
      <c r="CT265" s="3" t="n"/>
      <c r="CU265" s="6" t="n"/>
      <c r="CV265" s="6" t="n"/>
      <c r="CW265" s="6" t="n"/>
      <c r="CX265" s="6" t="n"/>
      <c r="CY265" s="3" t="n"/>
    </row>
    <row r="266" hidden="1" outlineLevel="1">
      <c r="C266" s="34" t="inlineStr">
        <is>
          <t>Recurring asset sales (enter as -)</t>
        </is>
      </c>
      <c r="D266" s="3" t="n"/>
      <c r="E266" s="3" t="n"/>
      <c r="F266" s="3" t="n"/>
      <c r="G266" s="3" t="n"/>
      <c r="H266" s="3">
        <f>SUM(D266:G266)</f>
        <v>0</v>
      </c>
      <c r="I266" s="3" t="n"/>
      <c r="J266" s="3" t="n"/>
      <c r="K266" s="3" t="n"/>
      <c r="L266" s="3" t="n"/>
      <c r="M266" s="3">
        <f>SUM(I266:L266)</f>
        <v>0</v>
      </c>
      <c r="N266" s="3" t="n"/>
      <c r="O266" s="3" t="n"/>
      <c r="P266" s="3" t="n"/>
      <c r="Q266" s="3" t="n"/>
      <c r="R266" s="3">
        <f>SUM(N266:Q266)</f>
        <v>0</v>
      </c>
      <c r="S266" s="3" t="n"/>
      <c r="T266" s="3" t="n"/>
      <c r="U266" s="3" t="n"/>
      <c r="V266" s="3" t="n"/>
      <c r="W266" s="3">
        <f>SUM(S266:V266)</f>
        <v>0</v>
      </c>
      <c r="X266" s="3" t="n"/>
      <c r="Y266" s="3" t="n"/>
      <c r="Z266" s="3" t="n"/>
      <c r="AA266" s="3" t="n"/>
      <c r="AB266" s="3">
        <f>SUM(X266:AA266)</f>
        <v>0</v>
      </c>
      <c r="AC266" s="3" t="n"/>
      <c r="AD266" s="3" t="n"/>
      <c r="AE266" s="3" t="n"/>
      <c r="AF266" s="6" t="n"/>
      <c r="AG266" s="3" t="n"/>
      <c r="AH266" s="6" t="n"/>
      <c r="AI266" s="6" t="n"/>
      <c r="AJ266" s="6" t="n"/>
      <c r="AK266" s="6" t="n"/>
      <c r="AL266" s="3" t="n"/>
      <c r="AM266" s="6" t="n"/>
      <c r="AN266" s="6" t="n"/>
      <c r="AO266" s="6" t="n"/>
      <c r="AP266" s="6" t="n"/>
      <c r="AQ266" s="3" t="n"/>
      <c r="AR266" s="6" t="n"/>
      <c r="AS266" s="6" t="n"/>
      <c r="AT266" s="6" t="n"/>
      <c r="AU266" s="6" t="n"/>
      <c r="AV266" s="3" t="n"/>
      <c r="AW266" s="6" t="n"/>
      <c r="AX266" s="6" t="n"/>
      <c r="AY266" s="6" t="n"/>
      <c r="AZ266" s="6" t="n"/>
      <c r="BA266" s="3" t="n"/>
      <c r="BB266" s="6" t="n"/>
      <c r="BC266" s="6" t="n"/>
      <c r="BD266" s="6" t="n"/>
      <c r="BE266" s="6" t="n"/>
      <c r="BF266" s="3" t="n"/>
      <c r="BG266" s="6" t="n"/>
      <c r="BH266" s="6" t="n"/>
      <c r="BI266" s="6" t="n"/>
      <c r="BJ266" s="6" t="n"/>
      <c r="BK266" s="3" t="n"/>
      <c r="BL266" s="6" t="n"/>
      <c r="BM266" s="6" t="n"/>
      <c r="BN266" s="6" t="n"/>
      <c r="BO266" s="6" t="n"/>
      <c r="BP266" s="3" t="n"/>
      <c r="BQ266" s="6" t="n"/>
      <c r="BR266" s="6" t="n"/>
      <c r="BS266" s="6" t="n"/>
      <c r="BT266" s="6" t="n"/>
      <c r="BU266" s="3" t="n"/>
      <c r="BV266" s="6" t="n"/>
      <c r="BW266" s="6" t="n"/>
      <c r="BX266" s="6" t="n"/>
      <c r="BY266" s="6" t="n"/>
      <c r="BZ266" s="3" t="n"/>
      <c r="CA266" s="6" t="n"/>
      <c r="CB266" s="6" t="n"/>
      <c r="CC266" s="6" t="n"/>
      <c r="CD266" s="6" t="n"/>
      <c r="CE266" s="3" t="n"/>
      <c r="CF266" s="6" t="n"/>
      <c r="CG266" s="6" t="n"/>
      <c r="CH266" s="6" t="n"/>
      <c r="CI266" s="6" t="n"/>
      <c r="CJ266" s="3" t="n"/>
      <c r="CK266" s="6" t="n"/>
      <c r="CL266" s="6" t="n"/>
      <c r="CM266" s="6" t="n"/>
      <c r="CN266" s="6" t="n"/>
      <c r="CO266" s="3" t="n"/>
      <c r="CP266" s="6" t="n"/>
      <c r="CQ266" s="6" t="n"/>
      <c r="CR266" s="6" t="n"/>
      <c r="CS266" s="6" t="n"/>
      <c r="CT266" s="3" t="n"/>
      <c r="CU266" s="6" t="n"/>
      <c r="CV266" s="6" t="n"/>
      <c r="CW266" s="6" t="n"/>
      <c r="CX266" s="6" t="n"/>
      <c r="CY266" s="3" t="n"/>
    </row>
    <row r="267" hidden="1" outlineLevel="1">
      <c r="C267" s="34" t="inlineStr">
        <is>
          <t>Depreciation</t>
        </is>
      </c>
      <c r="D267" s="3">
        <f>D167</f>
        <v>-27.964</v>
      </c>
      <c r="E267" s="3">
        <f>E167</f>
        <v>-49.987</v>
      </c>
      <c r="F267" s="3">
        <f>F167</f>
        <v>-28.455</v>
      </c>
      <c r="G267" s="3">
        <f>G167</f>
        <v>-28.779</v>
      </c>
      <c r="H267" s="3" t="n"/>
      <c r="I267" s="3">
        <f>I167</f>
        <v>-29.436</v>
      </c>
      <c r="J267" s="3">
        <f>J167</f>
        <v>-29.857</v>
      </c>
      <c r="K267" s="3">
        <f>K167</f>
        <v>-44.401</v>
      </c>
      <c r="L267" s="3">
        <f>L167</f>
        <v>-35.869</v>
      </c>
      <c r="M267" s="3" t="n"/>
      <c r="N267" s="3">
        <f>N167</f>
        <v>-38.507</v>
      </c>
      <c r="O267" s="3">
        <f>O167</f>
        <v>-36.456</v>
      </c>
      <c r="P267" s="3">
        <f>P167</f>
        <v>-36.74</v>
      </c>
      <c r="Q267" s="3">
        <f>Q167</f>
        <v>-37.879</v>
      </c>
      <c r="R267" s="3" t="n"/>
      <c r="S267" s="3">
        <f>S167</f>
        <v>-34.786</v>
      </c>
      <c r="T267" s="3">
        <f>T167</f>
        <v>-36.346</v>
      </c>
      <c r="U267" s="3">
        <f>U167</f>
        <v>-40.913</v>
      </c>
      <c r="V267" s="3">
        <f>V167</f>
        <v>-41.867</v>
      </c>
      <c r="W267" s="3" t="n"/>
      <c r="X267" s="3">
        <f>X167</f>
        <v>-42.888</v>
      </c>
      <c r="Y267" s="3">
        <f>Y167</f>
        <v>-43.985</v>
      </c>
      <c r="Z267" s="3">
        <f>Z167</f>
        <v>-45.859</v>
      </c>
      <c r="AA267" s="3">
        <f>AA167</f>
        <v>-45.423</v>
      </c>
      <c r="AB267" s="3" t="n"/>
      <c r="AC267" s="3">
        <f>AC167</f>
        <v>-41.263</v>
      </c>
      <c r="AD267" s="3">
        <f>AD167</f>
        <v>-45.418</v>
      </c>
      <c r="AE267" s="3">
        <f>AE167</f>
        <v>-47.651</v>
      </c>
      <c r="AF267" s="3">
        <f>AF167</f>
        <v>-51.46</v>
      </c>
      <c r="AG267" s="3" t="n"/>
      <c r="AH267" s="3">
        <f>AH167</f>
        <v>-56.114</v>
      </c>
      <c r="AI267" s="3">
        <f>AI167</f>
        <v>-51.589</v>
      </c>
      <c r="AJ267" s="3">
        <f>AJ167</f>
        <v>0</v>
      </c>
      <c r="AK267" s="3">
        <f>AK167</f>
        <v>0</v>
      </c>
      <c r="AL267" s="3" t="n"/>
      <c r="AM267" s="3">
        <f>AM167</f>
        <v>0</v>
      </c>
      <c r="AN267" s="3">
        <f>AN167</f>
        <v>0</v>
      </c>
      <c r="AO267" s="3">
        <f>AO167</f>
        <v>0</v>
      </c>
      <c r="AP267" s="3">
        <f>AP167</f>
        <v>0</v>
      </c>
      <c r="AQ267" s="3" t="n"/>
      <c r="AR267" s="3">
        <f>AR167</f>
        <v>0</v>
      </c>
      <c r="AS267" s="3">
        <f>AS167</f>
        <v>0</v>
      </c>
      <c r="AT267" s="3">
        <f>AT167</f>
        <v>0</v>
      </c>
      <c r="AU267" s="3">
        <f>AU167</f>
        <v>0</v>
      </c>
      <c r="AV267" s="3" t="n"/>
      <c r="AW267" s="3">
        <f>AW167</f>
        <v>0</v>
      </c>
      <c r="AX267" s="3">
        <f>AX167</f>
        <v>0</v>
      </c>
      <c r="AY267" s="3">
        <f>AY167</f>
        <v>0</v>
      </c>
      <c r="AZ267" s="3">
        <f>AZ167</f>
        <v>0</v>
      </c>
      <c r="BA267" s="3" t="n"/>
      <c r="BB267" s="3">
        <f>BB167</f>
        <v>0</v>
      </c>
      <c r="BC267" s="3">
        <f>BC167</f>
        <v>0</v>
      </c>
      <c r="BD267" s="3">
        <f>BD167</f>
        <v>0</v>
      </c>
      <c r="BE267" s="3">
        <f>BE167</f>
        <v>0</v>
      </c>
      <c r="BF267" s="3" t="n"/>
      <c r="BG267" s="3">
        <f>BG167</f>
        <v>0</v>
      </c>
      <c r="BH267" s="3">
        <f>BH167</f>
        <v>0</v>
      </c>
      <c r="BI267" s="3">
        <f>BI167</f>
        <v>0</v>
      </c>
      <c r="BJ267" s="3">
        <f>BJ167</f>
        <v>0</v>
      </c>
      <c r="BK267" s="3" t="n"/>
      <c r="BL267" s="3">
        <f>BL167</f>
        <v>0</v>
      </c>
      <c r="BM267" s="3">
        <f>BM167</f>
        <v>0</v>
      </c>
      <c r="BN267" s="3">
        <f>BN167</f>
        <v>0</v>
      </c>
      <c r="BO267" s="3">
        <f>BO167</f>
        <v>0</v>
      </c>
      <c r="BP267" s="3" t="n"/>
      <c r="BQ267" s="3">
        <f>BQ167</f>
        <v>0</v>
      </c>
      <c r="BR267" s="3">
        <f>BR167</f>
        <v>0</v>
      </c>
      <c r="BS267" s="3">
        <f>BS167</f>
        <v>0</v>
      </c>
      <c r="BT267" s="3">
        <f>BT167</f>
        <v>0</v>
      </c>
      <c r="BU267" s="3" t="n"/>
      <c r="BV267" s="3">
        <f>BV167</f>
        <v>0</v>
      </c>
      <c r="BW267" s="3">
        <f>BW167</f>
        <v>0</v>
      </c>
      <c r="BX267" s="3">
        <f>BX167</f>
        <v>0</v>
      </c>
      <c r="BY267" s="3">
        <f>BY167</f>
        <v>0</v>
      </c>
      <c r="BZ267" s="3" t="n"/>
      <c r="CA267" s="3">
        <f>CA167</f>
        <v>0</v>
      </c>
      <c r="CB267" s="3">
        <f>CB167</f>
        <v>0</v>
      </c>
      <c r="CC267" s="3">
        <f>CC167</f>
        <v>0</v>
      </c>
      <c r="CD267" s="3">
        <f>CD167</f>
        <v>0</v>
      </c>
      <c r="CE267" s="3" t="n"/>
      <c r="CF267" s="3">
        <f>CF167</f>
        <v>0</v>
      </c>
      <c r="CG267" s="3">
        <f>CG167</f>
        <v>0</v>
      </c>
      <c r="CH267" s="3">
        <f>CH167</f>
        <v>0</v>
      </c>
      <c r="CI267" s="3">
        <f>CI167</f>
        <v>0</v>
      </c>
      <c r="CJ267" s="3" t="n"/>
      <c r="CK267" s="3">
        <f>CK167</f>
        <v>0</v>
      </c>
      <c r="CL267" s="3">
        <f>CL167</f>
        <v>0</v>
      </c>
      <c r="CM267" s="3">
        <f>CM167</f>
        <v>0</v>
      </c>
      <c r="CN267" s="3">
        <f>CN167</f>
        <v>0</v>
      </c>
      <c r="CO267" s="3" t="n"/>
      <c r="CP267" s="3">
        <f>CP167</f>
        <v>0</v>
      </c>
      <c r="CQ267" s="3">
        <f>CQ167</f>
        <v>0</v>
      </c>
      <c r="CR267" s="3">
        <f>CR167</f>
        <v>0</v>
      </c>
      <c r="CS267" s="3">
        <f>CS167</f>
        <v>0</v>
      </c>
      <c r="CT267" s="3" t="n"/>
      <c r="CU267" s="3">
        <f>CU167</f>
        <v>0</v>
      </c>
      <c r="CV267" s="3">
        <f>CV167</f>
        <v>0</v>
      </c>
      <c r="CW267" s="3">
        <f>CW167</f>
        <v>0</v>
      </c>
      <c r="CX267" s="3">
        <f>CX167</f>
        <v>0</v>
      </c>
      <c r="CY267" s="3" t="n"/>
    </row>
    <row r="268" hidden="1" outlineLevel="1">
      <c r="C268" s="34" t="inlineStr">
        <is>
          <t>PP&amp;E</t>
        </is>
      </c>
      <c r="D268" s="3">
        <f>D263</f>
        <v>4652.854</v>
      </c>
      <c r="E268" s="3">
        <f>E263</f>
        <v>4689.746</v>
      </c>
      <c r="F268" s="3">
        <f>F263</f>
        <v>4712.887</v>
      </c>
      <c r="G268" s="3">
        <f>G263</f>
        <v>4672.156</v>
      </c>
      <c r="H268" s="3" t="n"/>
      <c r="I268" s="3">
        <f>I263</f>
        <v>4756.788</v>
      </c>
      <c r="J268" s="3">
        <f>J263</f>
        <v>4610.024</v>
      </c>
      <c r="K268" s="3">
        <f>K263</f>
        <v>4624.455</v>
      </c>
      <c r="L268" s="3">
        <f>L263</f>
        <v>4710.238</v>
      </c>
      <c r="M268" s="3" t="n"/>
      <c r="N268" s="3">
        <f>N263</f>
        <v>5013.953</v>
      </c>
      <c r="O268" s="3">
        <f>O263</f>
        <v>4946.807</v>
      </c>
      <c r="P268" s="3">
        <f>P263</f>
        <v>5109.731</v>
      </c>
      <c r="Q268" s="3">
        <f>Q263</f>
        <v>5324.416</v>
      </c>
      <c r="R268" s="3" t="n"/>
      <c r="S268" s="3">
        <f>S263</f>
        <v>5372.552</v>
      </c>
      <c r="T268" s="3">
        <f>T263</f>
        <v>5408.683</v>
      </c>
      <c r="U268" s="3">
        <f>U263</f>
        <v>5530.079</v>
      </c>
      <c r="V268" s="3">
        <f>V263</f>
        <v>5589.542</v>
      </c>
      <c r="W268" s="3" t="n"/>
      <c r="X268" s="3">
        <f>X263</f>
        <v>5635.29</v>
      </c>
      <c r="Y268" s="3">
        <f>Y263</f>
        <v>5779.312</v>
      </c>
      <c r="Z268" s="3">
        <f>Z263</f>
        <v>5746.537</v>
      </c>
      <c r="AA268" s="3">
        <f>Y268+SUM(AA265:AA267)</f>
        <v>6029.001</v>
      </c>
      <c r="AB268" s="3" t="n"/>
      <c r="AC268" s="3">
        <f>AC263</f>
        <v>5831.673</v>
      </c>
      <c r="AD268" s="3">
        <f>AD263</f>
        <v>5764.356</v>
      </c>
      <c r="AE268" s="3">
        <f>AE263</f>
        <v>5730.09</v>
      </c>
      <c r="AF268" s="3">
        <f>AE268+SUM(AF265:AF267)</f>
        <v>5878.065</v>
      </c>
      <c r="AG268" s="3" t="n"/>
      <c r="AH268" s="3">
        <f>AH263</f>
        <v>5718.153</v>
      </c>
      <c r="AI268" s="3">
        <f>AI263</f>
        <v>5795.449</v>
      </c>
      <c r="AJ268" s="3">
        <f>AI268+SUM(AJ265:AJ267)</f>
        <v>5795.449</v>
      </c>
      <c r="AK268" s="3">
        <f>AJ268+SUM(AK265:AK267)</f>
        <v>5795.449</v>
      </c>
      <c r="AL268" s="3" t="n"/>
      <c r="AM268" s="3">
        <f>AK268+SUM(AM265:AM267)</f>
        <v>5795.449</v>
      </c>
      <c r="AN268" s="3">
        <f>AM268+SUM(AN265:AN267)</f>
        <v>5795.449</v>
      </c>
      <c r="AO268" s="3">
        <f>AN268+SUM(AO265:AO267)</f>
        <v>5795.449</v>
      </c>
      <c r="AP268" s="3">
        <f>AO268+SUM(AP265:AP267)</f>
        <v>5795.449</v>
      </c>
      <c r="AQ268" s="3" t="n"/>
      <c r="AR268" s="3">
        <f>AP268+SUM(AR265:AR267)</f>
        <v>5795.449</v>
      </c>
      <c r="AS268" s="3">
        <f>AR268+SUM(AS265:AS267)</f>
        <v>5795.449</v>
      </c>
      <c r="AT268" s="3">
        <f>AS268+SUM(AT265:AT267)</f>
        <v>5795.449</v>
      </c>
      <c r="AU268" s="3">
        <f>AT268+SUM(AU265:AU267)</f>
        <v>5795.449</v>
      </c>
      <c r="AV268" s="3" t="n"/>
      <c r="AW268" s="3">
        <f>AU268+SUM(AW265:AW267)</f>
        <v>5795.449</v>
      </c>
      <c r="AX268" s="3">
        <f>AW268+SUM(AX265:AX267)</f>
        <v>5795.449</v>
      </c>
      <c r="AY268" s="3">
        <f>AX268+SUM(AY265:AY267)</f>
        <v>5795.449</v>
      </c>
      <c r="AZ268" s="3">
        <f>AY268+SUM(AZ265:AZ267)</f>
        <v>5795.449</v>
      </c>
      <c r="BA268" s="3" t="n"/>
      <c r="BB268" s="3">
        <f>AZ268+SUM(BB265:BB267)</f>
        <v>5795.449</v>
      </c>
      <c r="BC268" s="3">
        <f>BB268+SUM(BC265:BC267)</f>
        <v>5795.449</v>
      </c>
      <c r="BD268" s="3">
        <f>BC268+SUM(BD265:BD267)</f>
        <v>5795.449</v>
      </c>
      <c r="BE268" s="3">
        <f>BD268+SUM(BE265:BE267)</f>
        <v>5795.449</v>
      </c>
      <c r="BF268" s="3" t="n"/>
      <c r="BG268" s="3">
        <f>BE268+SUM(BG265:BG267)</f>
        <v>5795.449</v>
      </c>
      <c r="BH268" s="3">
        <f>BG268+SUM(BH265:BH267)</f>
        <v>5795.449</v>
      </c>
      <c r="BI268" s="3">
        <f>BH268+SUM(BI265:BI267)</f>
        <v>5795.449</v>
      </c>
      <c r="BJ268" s="3">
        <f>BI268+SUM(BJ265:BJ267)</f>
        <v>5795.449</v>
      </c>
      <c r="BK268" s="3" t="n"/>
      <c r="BL268" s="3">
        <f>BJ268+SUM(BL265:BL267)</f>
        <v>5795.449</v>
      </c>
      <c r="BM268" s="3">
        <f>BL268+SUM(BM265:BM267)</f>
        <v>5795.449</v>
      </c>
      <c r="BN268" s="3">
        <f>BM268+SUM(BN265:BN267)</f>
        <v>5795.449</v>
      </c>
      <c r="BO268" s="3">
        <f>BN268+SUM(BO265:BO267)</f>
        <v>5795.449</v>
      </c>
      <c r="BP268" s="3" t="n"/>
      <c r="BQ268" s="3">
        <f>BO268+SUM(BQ265:BQ267)</f>
        <v>5795.449</v>
      </c>
      <c r="BR268" s="3">
        <f>BQ268+SUM(BR265:BR267)</f>
        <v>5795.449</v>
      </c>
      <c r="BS268" s="3">
        <f>BR268+SUM(BS265:BS267)</f>
        <v>5795.449</v>
      </c>
      <c r="BT268" s="3">
        <f>BS268+SUM(BT265:BT267)</f>
        <v>5795.449</v>
      </c>
      <c r="BU268" s="3" t="n"/>
      <c r="BV268" s="3">
        <f>BT268+SUM(BV265:BV267)</f>
        <v>5795.449</v>
      </c>
      <c r="BW268" s="3">
        <f>BV268+SUM(BW265:BW267)</f>
        <v>5795.449</v>
      </c>
      <c r="BX268" s="3">
        <f>BW268+SUM(BX265:BX267)</f>
        <v>5795.449</v>
      </c>
      <c r="BY268" s="3">
        <f>BX268+SUM(BY265:BY267)</f>
        <v>5795.449</v>
      </c>
      <c r="BZ268" s="3" t="n"/>
      <c r="CA268" s="3">
        <f>BY268+SUM(CA265:CA267)</f>
        <v>5795.449</v>
      </c>
      <c r="CB268" s="3">
        <f>CA268+SUM(CB265:CB267)</f>
        <v>5795.449</v>
      </c>
      <c r="CC268" s="3">
        <f>CB268+SUM(CC265:CC267)</f>
        <v>5795.449</v>
      </c>
      <c r="CD268" s="3">
        <f>CC268+SUM(CD265:CD267)</f>
        <v>5795.449</v>
      </c>
      <c r="CE268" s="3" t="n"/>
      <c r="CF268" s="3">
        <f>CD268+SUM(CF265:CF267)</f>
        <v>5795.449</v>
      </c>
      <c r="CG268" s="3">
        <f>CF268+SUM(CG265:CG267)</f>
        <v>5795.449</v>
      </c>
      <c r="CH268" s="3">
        <f>CG268+SUM(CH265:CH267)</f>
        <v>5795.449</v>
      </c>
      <c r="CI268" s="3">
        <f>CH268+SUM(CI265:CI267)</f>
        <v>5795.449</v>
      </c>
      <c r="CJ268" s="3" t="n"/>
      <c r="CK268" s="3">
        <f>CI268+SUM(CK265:CK267)</f>
        <v>5795.449</v>
      </c>
      <c r="CL268" s="3">
        <f>CK268+SUM(CL265:CL267)</f>
        <v>5795.449</v>
      </c>
      <c r="CM268" s="3">
        <f>CL268+SUM(CM265:CM267)</f>
        <v>5795.449</v>
      </c>
      <c r="CN268" s="3">
        <f>CM268+SUM(CN265:CN267)</f>
        <v>5795.449</v>
      </c>
      <c r="CO268" s="3" t="n"/>
      <c r="CP268" s="3">
        <f>CN268+SUM(CP265:CP267)</f>
        <v>5795.449</v>
      </c>
      <c r="CQ268" s="3">
        <f>CP268+SUM(CQ265:CQ267)</f>
        <v>5795.449</v>
      </c>
      <c r="CR268" s="3">
        <f>CQ268+SUM(CR265:CR267)</f>
        <v>5795.449</v>
      </c>
      <c r="CS268" s="3">
        <f>CR268+SUM(CS265:CS267)</f>
        <v>5795.449</v>
      </c>
      <c r="CT268" s="3" t="n"/>
      <c r="CU268" s="3">
        <f>CS268+SUM(CU265:CU267)</f>
        <v>5795.449</v>
      </c>
      <c r="CV268" s="3">
        <f>CU268+SUM(CV265:CV267)</f>
        <v>5795.449</v>
      </c>
      <c r="CW268" s="3">
        <f>CV268+SUM(CW265:CW267)</f>
        <v>5795.449</v>
      </c>
      <c r="CX268" s="3">
        <f>CW268+SUM(CX265:CX267)</f>
        <v>5795.449</v>
      </c>
      <c r="CY268" s="3" t="n"/>
      <c r="CZ268">
        <f>CX268+SUM(CZ265:CZ267)</f>
        <v>5795.449</v>
      </c>
      <c r="DA268">
        <f>CZ268+SUM(DA265:DA267)</f>
        <v>5795.449</v>
      </c>
      <c r="DB268">
        <f>DA268+SUM(DB265:DB267)</f>
        <v>5795.449</v>
      </c>
      <c r="DC268">
        <f>DB268+SUM(DC265:DC267)</f>
        <v>5795.449</v>
      </c>
    </row>
    <row r="269" hidden="1" outlineLevel="1">
      <c r="C269" s="34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  <c r="CF269" s="3" t="n"/>
      <c r="CG269" s="3" t="n"/>
      <c r="CH269" s="3" t="n"/>
      <c r="CI269" s="3" t="n"/>
      <c r="CJ269" s="3" t="n"/>
      <c r="CK269" s="3" t="n"/>
      <c r="CL269" s="3" t="n"/>
      <c r="CM269" s="3" t="n"/>
      <c r="CN269" s="3" t="n"/>
      <c r="CO269" s="3" t="n"/>
      <c r="CP269" s="3" t="n"/>
      <c r="CQ269" s="3" t="n"/>
      <c r="CR269" s="3" t="n"/>
      <c r="CS269" s="3" t="n"/>
      <c r="CT269" s="3" t="n"/>
      <c r="CU269" s="3" t="n"/>
      <c r="CV269" s="3" t="n"/>
      <c r="CW269" s="3" t="n"/>
      <c r="CX269" s="3" t="n"/>
      <c r="CY269" s="3" t="n"/>
    </row>
    <row r="270" hidden="1" outlineLevel="1">
      <c r="C270" s="34" t="inlineStr">
        <is>
          <t>Capital expenditures (% Net Revenues)</t>
        </is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40">
        <f>AF265/AF15</f>
        <v>0.171386119129402</v>
      </c>
      <c r="AG270" s="40">
        <f>AG265/AG15</f>
        <v>0.0153780807720442</v>
      </c>
      <c r="AH270" s="40">
        <f>AH265/AH15</f>
        <v>-0.0826657428313166</v>
      </c>
      <c r="AI270" s="40">
        <f>AI265/AI15</f>
        <v>0.0792024752885944</v>
      </c>
      <c r="AJ270" s="40">
        <f>AJ265/AJ15</f>
        <v>0</v>
      </c>
      <c r="AK270" s="40">
        <f>AK265/AK15</f>
        <v>0</v>
      </c>
      <c r="AL270" s="40">
        <f>AL265/AL15</f>
        <v>0</v>
      </c>
      <c r="AM270" s="40">
        <f>AM265/AM15</f>
        <v>0</v>
      </c>
      <c r="AN270" s="40">
        <f>AN265/AN15</f>
        <v>0</v>
      </c>
      <c r="AO270" s="40">
        <f>AO265/AO15</f>
        <v>0</v>
      </c>
      <c r="AP270" s="40">
        <f>AP265/AP15</f>
        <v>0</v>
      </c>
      <c r="AQ270" s="40">
        <f>AQ265/AQ15</f>
        <v>0</v>
      </c>
      <c r="AR270" s="40">
        <f>AR265/AR15</f>
        <v>0</v>
      </c>
      <c r="AS270" s="40">
        <f>AS265/AS15</f>
        <v>0</v>
      </c>
      <c r="AT270" s="40">
        <f>AT265/AT15</f>
        <v>0</v>
      </c>
      <c r="AU270" s="40">
        <f>AU265/AU15</f>
        <v>0</v>
      </c>
      <c r="AV270" s="40">
        <f>AV265/AV15</f>
        <v>0</v>
      </c>
      <c r="AW270" s="40">
        <f>AW265/AW15</f>
        <v>0</v>
      </c>
      <c r="AX270" s="40">
        <f>AX265/AX15</f>
        <v>0</v>
      </c>
      <c r="AY270" s="40">
        <f>AY265/AY15</f>
        <v>0</v>
      </c>
      <c r="AZ270" s="40">
        <f>AZ265/AZ15</f>
        <v>0</v>
      </c>
      <c r="BA270" s="40">
        <f>BA265/BA15</f>
        <v>0</v>
      </c>
      <c r="BB270" s="40">
        <f>BB265/BB15</f>
        <v>0</v>
      </c>
      <c r="BC270" s="40">
        <f>BC265/BC15</f>
        <v>0</v>
      </c>
      <c r="BD270" s="40">
        <f>BD265/BD15</f>
        <v>0</v>
      </c>
      <c r="BE270" s="40">
        <f>BE265/BE15</f>
        <v>0</v>
      </c>
      <c r="BF270" s="40">
        <f>BF265/BF15</f>
        <v>0</v>
      </c>
      <c r="BG270" s="40">
        <f>BG265/BG15</f>
        <v>0</v>
      </c>
      <c r="BH270" s="40">
        <f>BH265/BH15</f>
        <v>0</v>
      </c>
      <c r="BI270" s="40">
        <f>BI265/BI15</f>
        <v>0</v>
      </c>
      <c r="BJ270" s="40">
        <f>BJ265/BJ15</f>
        <v>0</v>
      </c>
      <c r="BK270" s="40">
        <f>BK265/BK15</f>
        <v>0</v>
      </c>
      <c r="BL270" s="40">
        <f>BL265/BL15</f>
        <v>0</v>
      </c>
      <c r="BM270" s="40">
        <f>BM265/BM15</f>
        <v>0</v>
      </c>
      <c r="BN270" s="40">
        <f>BN265/BN15</f>
        <v>0</v>
      </c>
      <c r="BO270" s="40">
        <f>BO265/BO15</f>
        <v>0</v>
      </c>
      <c r="BP270" s="40">
        <f>BP265/BP15</f>
        <v>0</v>
      </c>
      <c r="BQ270" s="40">
        <f>BQ265/BQ15</f>
        <v>0</v>
      </c>
      <c r="BR270" s="40">
        <f>BR265/BR15</f>
        <v>0</v>
      </c>
      <c r="BS270" s="40">
        <f>BS265/BS15</f>
        <v>0</v>
      </c>
      <c r="BT270" s="40">
        <f>BT265/BT15</f>
        <v>0</v>
      </c>
      <c r="BU270" s="40">
        <f>BU265/BU15</f>
        <v>0</v>
      </c>
      <c r="BV270" s="40">
        <f>BV265/BV15</f>
        <v>0</v>
      </c>
      <c r="BW270" s="40">
        <f>BW265/BW15</f>
        <v>0</v>
      </c>
      <c r="BX270" s="40">
        <f>BX265/BX15</f>
        <v>0</v>
      </c>
      <c r="BY270" s="40">
        <f>BY265/BY15</f>
        <v>0</v>
      </c>
      <c r="BZ270" s="40">
        <f>BZ265/BZ15</f>
        <v>0</v>
      </c>
      <c r="CA270" s="40">
        <f>CA265/CA15</f>
        <v>0</v>
      </c>
      <c r="CB270" s="40">
        <f>CB265/CB15</f>
        <v>0</v>
      </c>
      <c r="CC270" s="40">
        <f>CC265/CC15</f>
        <v>0</v>
      </c>
      <c r="CD270" s="40">
        <f>CD265/CD15</f>
        <v>0</v>
      </c>
      <c r="CE270" s="40">
        <f>CE265/CE15</f>
        <v>0</v>
      </c>
      <c r="CF270" s="40">
        <f>CF265/CF15</f>
        <v>0</v>
      </c>
      <c r="CG270" s="40">
        <f>CG265/CG15</f>
        <v>0</v>
      </c>
      <c r="CH270" s="40">
        <f>CH265/CH15</f>
        <v>0</v>
      </c>
      <c r="CI270" s="40">
        <f>CI265/CI15</f>
        <v>0</v>
      </c>
      <c r="CJ270" s="40">
        <f>CJ265/CJ15</f>
        <v>0</v>
      </c>
      <c r="CK270" s="40">
        <f>CK265/CK15</f>
        <v>0</v>
      </c>
      <c r="CL270" s="40">
        <f>CL265/CL15</f>
        <v>0</v>
      </c>
      <c r="CM270" s="40">
        <f>CM265/CM15</f>
        <v>0</v>
      </c>
      <c r="CN270" s="40">
        <f>CN265/CN15</f>
        <v>0</v>
      </c>
      <c r="CO270" s="40">
        <f>CO265/CO15</f>
        <v>0</v>
      </c>
      <c r="CP270" s="40">
        <f>CP265/CP15</f>
        <v>0</v>
      </c>
      <c r="CQ270" s="40">
        <f>CQ265/CQ15</f>
        <v>0</v>
      </c>
      <c r="CR270" s="40">
        <f>CR265/CR15</f>
        <v>0</v>
      </c>
      <c r="CS270" s="40">
        <f>CS265/CS15</f>
        <v>0</v>
      </c>
      <c r="CT270" s="40">
        <f>CT265/CT15</f>
        <v>0</v>
      </c>
      <c r="CU270" s="40">
        <f>CU265/CU15</f>
        <v>0</v>
      </c>
      <c r="CV270" s="40">
        <f>CV265/CV15</f>
        <v>0</v>
      </c>
      <c r="CW270" s="40">
        <f>CW265/CW15</f>
        <v>0</v>
      </c>
      <c r="CX270" s="40">
        <f>CX265/CX15</f>
        <v>0</v>
      </c>
      <c r="CY270" s="40">
        <f>CY265/CY15</f>
        <v>0</v>
      </c>
    </row>
    <row r="271" hidden="1" outlineLevel="1">
      <c r="C271" s="34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  <c r="CG271" s="3" t="n"/>
      <c r="CH271" s="3" t="n"/>
      <c r="CI271" s="3" t="n"/>
      <c r="CJ271" s="3" t="n"/>
      <c r="CK271" s="3" t="n"/>
      <c r="CL271" s="3" t="n"/>
      <c r="CM271" s="3" t="n"/>
      <c r="CN271" s="3" t="n"/>
      <c r="CO271" s="3" t="n"/>
      <c r="CP271" s="3" t="n"/>
      <c r="CQ271" s="3" t="n"/>
      <c r="CR271" s="3" t="n"/>
      <c r="CS271" s="3" t="n"/>
      <c r="CT271" s="3" t="n"/>
      <c r="CU271" s="3" t="n"/>
      <c r="CV271" s="3" t="n"/>
      <c r="CW271" s="3" t="n"/>
      <c r="CX271" s="3" t="n"/>
      <c r="CY271" s="3" t="n"/>
    </row>
    <row r="272" hidden="1" outlineLevel="1">
      <c r="C272" s="34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  <c r="CG272" s="3" t="n"/>
      <c r="CH272" s="3" t="n"/>
      <c r="CI272" s="3" t="n"/>
      <c r="CJ272" s="3" t="n"/>
      <c r="CK272" s="3" t="n"/>
      <c r="CL272" s="3" t="n"/>
      <c r="CM272" s="3" t="n"/>
      <c r="CN272" s="3" t="n"/>
      <c r="CO272" s="3" t="n"/>
      <c r="CP272" s="3" t="n"/>
      <c r="CQ272" s="3" t="n"/>
      <c r="CR272" s="3" t="n"/>
      <c r="CS272" s="3" t="n"/>
      <c r="CT272" s="3" t="n"/>
      <c r="CU272" s="3" t="n"/>
      <c r="CV272" s="3" t="n"/>
      <c r="CW272" s="3" t="n"/>
      <c r="CX272" s="3" t="n"/>
      <c r="CY272" s="3" t="n"/>
    </row>
    <row r="273" collapsed="1">
      <c r="C273" s="26" t="inlineStr">
        <is>
          <t>Right-of-use-assets</t>
        </is>
      </c>
      <c r="D273" s="25" t="n"/>
      <c r="E273" s="25" t="n"/>
      <c r="F273" s="25" t="n"/>
      <c r="G273" s="25" t="n"/>
      <c r="H273" s="3">
        <f>G273</f>
        <v>0</v>
      </c>
      <c r="I273" s="25" t="n"/>
      <c r="J273" s="25" t="n"/>
      <c r="K273" s="25" t="n"/>
      <c r="L273" s="25" t="n"/>
      <c r="M273" s="3">
        <f>L273</f>
        <v>0</v>
      </c>
      <c r="N273" s="25" t="n"/>
      <c r="O273" s="25" t="n"/>
      <c r="P273" s="25" t="n"/>
      <c r="Q273" s="25" t="n"/>
      <c r="R273" s="3">
        <f>Q273</f>
        <v>0</v>
      </c>
      <c r="S273" s="25" t="n"/>
      <c r="T273" s="25" t="n"/>
      <c r="U273" s="25" t="n"/>
      <c r="V273" s="25" t="n"/>
      <c r="W273" s="3">
        <f>V273</f>
        <v>0</v>
      </c>
      <c r="X273" s="25" t="n"/>
      <c r="Y273" s="25" t="n"/>
      <c r="Z273" s="25" t="n"/>
      <c r="AA273" s="25" t="n"/>
      <c r="AB273" s="3">
        <f>AA273</f>
        <v>0</v>
      </c>
      <c r="AC273" s="25" t="n"/>
      <c r="AD273" s="25" t="n"/>
      <c r="AE273" s="25" t="n"/>
      <c r="AF273" s="25" t="n"/>
      <c r="AG273" s="3">
        <f>AF273</f>
        <v>0</v>
      </c>
      <c r="AH273" s="3">
        <f>AG273</f>
        <v>0</v>
      </c>
      <c r="AI273" s="3">
        <f>AH273</f>
        <v>0</v>
      </c>
      <c r="AJ273" s="3">
        <f>AI273</f>
        <v>0</v>
      </c>
      <c r="AK273" s="3">
        <f>AJ273</f>
        <v>0</v>
      </c>
      <c r="AL273" s="3">
        <f>AK273</f>
        <v>0</v>
      </c>
      <c r="AM273" s="3">
        <f>AL273</f>
        <v>0</v>
      </c>
      <c r="AN273" s="3">
        <f>AM273</f>
        <v>0</v>
      </c>
      <c r="AO273" s="3">
        <f>AN273</f>
        <v>0</v>
      </c>
      <c r="AP273" s="3">
        <f>AO273</f>
        <v>0</v>
      </c>
      <c r="AQ273" s="3">
        <f>AP273</f>
        <v>0</v>
      </c>
      <c r="AR273" s="3">
        <f>AQ273</f>
        <v>0</v>
      </c>
      <c r="AS273" s="3">
        <f>AR273</f>
        <v>0</v>
      </c>
      <c r="AT273" s="3">
        <f>AS273</f>
        <v>0</v>
      </c>
      <c r="AU273" s="3">
        <f>AT273</f>
        <v>0</v>
      </c>
      <c r="AV273" s="3">
        <f>AU273</f>
        <v>0</v>
      </c>
      <c r="AW273" s="3">
        <f>AV273</f>
        <v>0</v>
      </c>
      <c r="AX273" s="3">
        <f>AW273</f>
        <v>0</v>
      </c>
      <c r="AY273" s="3">
        <f>AX273</f>
        <v>0</v>
      </c>
      <c r="AZ273" s="3">
        <f>AY273</f>
        <v>0</v>
      </c>
      <c r="BA273" s="3">
        <f>AZ273</f>
        <v>0</v>
      </c>
      <c r="BB273" s="3">
        <f>BA273</f>
        <v>0</v>
      </c>
      <c r="BC273" s="3">
        <f>BB273</f>
        <v>0</v>
      </c>
      <c r="BD273" s="3">
        <f>BC273</f>
        <v>0</v>
      </c>
      <c r="BE273" s="3">
        <f>BD273</f>
        <v>0</v>
      </c>
      <c r="BF273" s="3">
        <f>BE273</f>
        <v>0</v>
      </c>
      <c r="BG273" s="3">
        <f>BF273</f>
        <v>0</v>
      </c>
      <c r="BH273" s="3">
        <f>BG273</f>
        <v>0</v>
      </c>
      <c r="BI273" s="3">
        <f>BH273</f>
        <v>0</v>
      </c>
      <c r="BJ273" s="3">
        <f>BI273</f>
        <v>0</v>
      </c>
      <c r="BK273" s="3">
        <f>BJ273</f>
        <v>0</v>
      </c>
      <c r="BL273" s="3">
        <f>BK273</f>
        <v>0</v>
      </c>
      <c r="BM273" s="3">
        <f>BL273</f>
        <v>0</v>
      </c>
      <c r="BN273" s="3">
        <f>BM273</f>
        <v>0</v>
      </c>
      <c r="BO273" s="3">
        <f>BN273</f>
        <v>0</v>
      </c>
      <c r="BP273" s="3">
        <f>BO273</f>
        <v>0</v>
      </c>
      <c r="BQ273" s="3">
        <f>BP273</f>
        <v>0</v>
      </c>
      <c r="BR273" s="3">
        <f>BQ273</f>
        <v>0</v>
      </c>
      <c r="BS273" s="3">
        <f>BR273</f>
        <v>0</v>
      </c>
      <c r="BT273" s="3">
        <f>BS273</f>
        <v>0</v>
      </c>
      <c r="BU273" s="3">
        <f>BT273</f>
        <v>0</v>
      </c>
      <c r="BV273" s="3">
        <f>BU273</f>
        <v>0</v>
      </c>
      <c r="BW273" s="3">
        <f>BV273</f>
        <v>0</v>
      </c>
      <c r="BX273" s="3">
        <f>BW273</f>
        <v>0</v>
      </c>
      <c r="BY273" s="3">
        <f>BX273</f>
        <v>0</v>
      </c>
      <c r="BZ273" s="3">
        <f>BY273</f>
        <v>0</v>
      </c>
      <c r="CA273" s="3">
        <f>BZ273</f>
        <v>0</v>
      </c>
      <c r="CB273" s="3">
        <f>CA273</f>
        <v>0</v>
      </c>
      <c r="CC273" s="3">
        <f>CB273</f>
        <v>0</v>
      </c>
      <c r="CD273" s="3">
        <f>CC273</f>
        <v>0</v>
      </c>
      <c r="CE273" s="3">
        <f>CD273</f>
        <v>0</v>
      </c>
      <c r="CF273" s="3">
        <f>CE273</f>
        <v>0</v>
      </c>
      <c r="CG273" s="3">
        <f>CF273</f>
        <v>0</v>
      </c>
      <c r="CH273" s="3">
        <f>CG273</f>
        <v>0</v>
      </c>
      <c r="CI273" s="3">
        <f>CH273</f>
        <v>0</v>
      </c>
      <c r="CJ273" s="3">
        <f>CI273</f>
        <v>0</v>
      </c>
      <c r="CK273" s="3">
        <f>CJ273</f>
        <v>0</v>
      </c>
      <c r="CL273" s="3">
        <f>CK273</f>
        <v>0</v>
      </c>
      <c r="CM273" s="3">
        <f>CL273</f>
        <v>0</v>
      </c>
      <c r="CN273" s="3">
        <f>CM273</f>
        <v>0</v>
      </c>
      <c r="CO273" s="3">
        <f>CN273</f>
        <v>0</v>
      </c>
      <c r="CP273" s="3">
        <f>CO273</f>
        <v>0</v>
      </c>
      <c r="CQ273" s="3">
        <f>CP273</f>
        <v>0</v>
      </c>
      <c r="CR273" s="3">
        <f>CQ273</f>
        <v>0</v>
      </c>
      <c r="CS273" s="3">
        <f>CR273</f>
        <v>0</v>
      </c>
      <c r="CT273" s="3">
        <f>CS273</f>
        <v>0</v>
      </c>
      <c r="CU273" s="3">
        <f>CT273</f>
        <v>0</v>
      </c>
      <c r="CV273" s="3">
        <f>CU273</f>
        <v>0</v>
      </c>
      <c r="CW273" s="3">
        <f>CV273</f>
        <v>0</v>
      </c>
      <c r="CX273" s="3">
        <f>CW273</f>
        <v>0</v>
      </c>
      <c r="CY273" s="3">
        <f>CX273</f>
        <v>0</v>
      </c>
    </row>
    <row r="274" hidden="1" outlineLevel="1">
      <c r="C274" s="38" t="inlineStr">
        <is>
          <t>%(Var.)</t>
        </is>
      </c>
      <c r="D274" s="3" t="n"/>
      <c r="E274" s="47" t="e">
        <f>(E273-D273)/D273</f>
        <v>#DIV/0!</v>
      </c>
      <c r="F274" s="47" t="e">
        <f>(F273-E273)/E273</f>
        <v>#DIV/0!</v>
      </c>
      <c r="G274" s="47" t="e">
        <f>(G273-F273)/F273</f>
        <v>#DIV/0!</v>
      </c>
      <c r="H274" s="3" t="n"/>
      <c r="I274" s="47" t="e">
        <f>(I273-H273)/H273</f>
        <v>#DIV/0!</v>
      </c>
      <c r="J274" s="47" t="e">
        <f>(J273-I273)/I273</f>
        <v>#DIV/0!</v>
      </c>
      <c r="K274" s="47" t="e">
        <f>(K273-J273)/J273</f>
        <v>#DIV/0!</v>
      </c>
      <c r="L274" s="47" t="e">
        <f>(L273-K273)/K273</f>
        <v>#DIV/0!</v>
      </c>
      <c r="M274" s="3" t="n"/>
      <c r="N274" s="47" t="e">
        <f>(N273-M273)/M273</f>
        <v>#DIV/0!</v>
      </c>
      <c r="O274" s="47" t="e">
        <f>(O273-N273)/N273</f>
        <v>#DIV/0!</v>
      </c>
      <c r="P274" s="47" t="e">
        <f>(P273-O273)/O273</f>
        <v>#DIV/0!</v>
      </c>
      <c r="Q274" s="47" t="e">
        <f>(Q273-P273)/P273</f>
        <v>#DIV/0!</v>
      </c>
      <c r="R274" s="3" t="n"/>
      <c r="S274" s="47" t="e">
        <f>(S273-R273)/R273</f>
        <v>#DIV/0!</v>
      </c>
      <c r="T274" s="47" t="e">
        <f>(T273-S273)/S273</f>
        <v>#DIV/0!</v>
      </c>
      <c r="U274" s="47" t="e">
        <f>(U273-T273)/T273</f>
        <v>#DIV/0!</v>
      </c>
      <c r="V274" s="47" t="e">
        <f>(V273-U273)/U273</f>
        <v>#DIV/0!</v>
      </c>
      <c r="W274" s="3" t="n"/>
      <c r="X274" s="47" t="e">
        <f>(X273-W273)/W273</f>
        <v>#DIV/0!</v>
      </c>
      <c r="Y274" s="47" t="e">
        <f>(Y273-X273)/X273</f>
        <v>#DIV/0!</v>
      </c>
      <c r="Z274" s="47" t="e">
        <f>(Z273-Y273)/Y273</f>
        <v>#DIV/0!</v>
      </c>
      <c r="AA274" s="47" t="e">
        <f>(AA273-Z273)/Z273</f>
        <v>#DIV/0!</v>
      </c>
      <c r="AB274" s="3" t="n"/>
      <c r="AC274" s="47" t="e">
        <f>(AC273-AB273)/AB273</f>
        <v>#DIV/0!</v>
      </c>
      <c r="AD274" s="47" t="e">
        <f>(AD273-AC273)/AC273</f>
        <v>#DIV/0!</v>
      </c>
      <c r="AE274" s="47" t="e">
        <f>(AE273-AD273)/AD273</f>
        <v>#DIV/0!</v>
      </c>
      <c r="AF274" s="218" t="e">
        <f>(AF273-AE273)/AE273</f>
        <v>#DIV/0!</v>
      </c>
      <c r="AG274" s="3" t="n"/>
      <c r="AH274" s="218" t="e">
        <f>(AH273-AG273)/AG273</f>
        <v>#DIV/0!</v>
      </c>
      <c r="AI274" s="218" t="e">
        <f>(AI273-AH273)/AH273</f>
        <v>#DIV/0!</v>
      </c>
      <c r="AJ274" s="218" t="n"/>
      <c r="AK274" s="218" t="n"/>
      <c r="AL274" s="3" t="n"/>
      <c r="AM274" s="218" t="n"/>
      <c r="AN274" s="218" t="n"/>
      <c r="AO274" s="218" t="n"/>
      <c r="AP274" s="218" t="n"/>
      <c r="AQ274" s="3" t="n"/>
      <c r="AR274" s="218" t="n"/>
      <c r="AS274" s="218" t="n"/>
      <c r="AT274" s="218" t="n"/>
      <c r="AU274" s="218" t="n"/>
      <c r="AV274" s="3" t="n"/>
      <c r="AW274" s="218" t="n"/>
      <c r="AX274" s="218" t="n"/>
      <c r="AY274" s="218" t="n"/>
      <c r="AZ274" s="218" t="n"/>
      <c r="BA274" s="3" t="n"/>
      <c r="BB274" s="218" t="n"/>
      <c r="BC274" s="218" t="n"/>
      <c r="BD274" s="218" t="n"/>
      <c r="BE274" s="218" t="n"/>
      <c r="BF274" s="3" t="n"/>
      <c r="BG274" s="218" t="n"/>
      <c r="BH274" s="218" t="n"/>
      <c r="BI274" s="218" t="n"/>
      <c r="BJ274" s="218" t="n"/>
      <c r="BK274" s="3" t="n"/>
      <c r="BL274" s="218" t="n"/>
      <c r="BM274" s="218" t="n"/>
      <c r="BN274" s="218" t="n"/>
      <c r="BO274" s="218" t="n"/>
      <c r="BP274" s="3" t="n"/>
      <c r="BQ274" s="218" t="n"/>
      <c r="BR274" s="218" t="n"/>
      <c r="BS274" s="218" t="n"/>
      <c r="BT274" s="218" t="n"/>
      <c r="BU274" s="3" t="n"/>
      <c r="BV274" s="218" t="n"/>
      <c r="BW274" s="218" t="n"/>
      <c r="BX274" s="218" t="n"/>
      <c r="BY274" s="218" t="n"/>
      <c r="BZ274" s="3" t="n"/>
      <c r="CA274" s="218" t="n"/>
      <c r="CB274" s="218" t="n"/>
      <c r="CC274" s="218" t="n"/>
      <c r="CD274" s="218" t="n"/>
      <c r="CE274" s="3" t="n"/>
      <c r="CF274" s="218" t="n"/>
      <c r="CG274" s="218" t="n"/>
      <c r="CH274" s="218" t="n"/>
      <c r="CI274" s="218" t="n"/>
      <c r="CJ274" s="3" t="n"/>
      <c r="CK274" s="218" t="n"/>
      <c r="CL274" s="218" t="n"/>
      <c r="CM274" s="218" t="n"/>
      <c r="CN274" s="218" t="n"/>
      <c r="CO274" s="3" t="n"/>
      <c r="CP274" s="218" t="n"/>
      <c r="CQ274" s="218" t="n"/>
      <c r="CR274" s="218" t="n"/>
      <c r="CS274" s="218" t="n"/>
      <c r="CT274" s="3" t="n"/>
      <c r="CU274" s="218" t="n"/>
      <c r="CV274" s="218" t="n"/>
      <c r="CW274" s="218" t="n"/>
      <c r="CX274" s="218" t="n"/>
      <c r="CY274" s="3" t="n"/>
    </row>
    <row r="275" hidden="1" outlineLevel="1">
      <c r="C275" s="34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  <c r="CG275" s="3" t="n"/>
      <c r="CH275" s="3" t="n"/>
      <c r="CI275" s="3" t="n"/>
      <c r="CJ275" s="3" t="n"/>
      <c r="CK275" s="3" t="n"/>
      <c r="CL275" s="3" t="n"/>
      <c r="CM275" s="3" t="n"/>
      <c r="CN275" s="3" t="n"/>
      <c r="CO275" s="3" t="n"/>
      <c r="CP275" s="3" t="n"/>
      <c r="CQ275" s="3" t="n"/>
      <c r="CR275" s="3" t="n"/>
      <c r="CS275" s="3" t="n"/>
      <c r="CT275" s="3" t="n"/>
      <c r="CU275" s="3" t="n"/>
      <c r="CV275" s="3" t="n"/>
      <c r="CW275" s="3" t="n"/>
      <c r="CX275" s="3" t="n"/>
      <c r="CY275" s="3" t="n"/>
    </row>
    <row r="276" collapsed="1">
      <c r="C276" s="26" t="inlineStr">
        <is>
          <t>Goodwill</t>
        </is>
      </c>
      <c r="D276" s="25" t="n"/>
      <c r="E276" s="25" t="n"/>
      <c r="F276" s="25" t="n"/>
      <c r="G276" s="25" t="n"/>
      <c r="H276" s="3">
        <f>G276</f>
        <v>0</v>
      </c>
      <c r="I276" s="25" t="n"/>
      <c r="J276" s="25" t="n"/>
      <c r="K276" s="25" t="n"/>
      <c r="L276" s="25" t="n"/>
      <c r="M276" s="3">
        <f>L276</f>
        <v>0</v>
      </c>
      <c r="N276" s="25" t="n"/>
      <c r="O276" s="25" t="n"/>
      <c r="P276" s="25" t="n"/>
      <c r="Q276" s="25" t="n"/>
      <c r="R276" s="3">
        <f>Q276</f>
        <v>0</v>
      </c>
      <c r="S276" s="25" t="n"/>
      <c r="T276" s="25" t="n"/>
      <c r="U276" s="25" t="n"/>
      <c r="V276" s="25" t="n"/>
      <c r="W276" s="3">
        <f>V276</f>
        <v>0</v>
      </c>
      <c r="X276" s="25" t="n"/>
      <c r="Y276" s="25" t="n"/>
      <c r="Z276" s="25" t="n"/>
      <c r="AA276" s="25" t="n"/>
      <c r="AB276" s="3">
        <f>AA276</f>
        <v>0</v>
      </c>
      <c r="AC276" s="25" t="n"/>
      <c r="AD276" s="25" t="n"/>
      <c r="AE276" s="25" t="n"/>
      <c r="AF276" s="25" t="n"/>
      <c r="AG276" s="3">
        <f>AF276</f>
        <v>0</v>
      </c>
      <c r="AH276" s="3">
        <f>AG276</f>
        <v>0</v>
      </c>
      <c r="AI276" s="3">
        <f>AH276</f>
        <v>0</v>
      </c>
      <c r="AJ276" s="3">
        <f>AI276</f>
        <v>0</v>
      </c>
      <c r="AK276" s="3">
        <f>AJ276</f>
        <v>0</v>
      </c>
      <c r="AL276" s="3">
        <f>AK276</f>
        <v>0</v>
      </c>
      <c r="AM276" s="3">
        <f>AL276</f>
        <v>0</v>
      </c>
      <c r="AN276" s="3">
        <f>AM276</f>
        <v>0</v>
      </c>
      <c r="AO276" s="3">
        <f>AN276</f>
        <v>0</v>
      </c>
      <c r="AP276" s="3">
        <f>AO276</f>
        <v>0</v>
      </c>
      <c r="AQ276" s="3">
        <f>AP276</f>
        <v>0</v>
      </c>
      <c r="AR276" s="3">
        <f>AQ276</f>
        <v>0</v>
      </c>
      <c r="AS276" s="3">
        <f>AR276</f>
        <v>0</v>
      </c>
      <c r="AT276" s="3">
        <f>AS276</f>
        <v>0</v>
      </c>
      <c r="AU276" s="3">
        <f>AT276</f>
        <v>0</v>
      </c>
      <c r="AV276" s="3">
        <f>AU276</f>
        <v>0</v>
      </c>
      <c r="AW276" s="3">
        <f>AV276</f>
        <v>0</v>
      </c>
      <c r="AX276" s="3">
        <f>AW276</f>
        <v>0</v>
      </c>
      <c r="AY276" s="3">
        <f>AX276</f>
        <v>0</v>
      </c>
      <c r="AZ276" s="3">
        <f>AY276</f>
        <v>0</v>
      </c>
      <c r="BA276" s="3">
        <f>AZ276</f>
        <v>0</v>
      </c>
      <c r="BB276" s="3">
        <f>BA276</f>
        <v>0</v>
      </c>
      <c r="BC276" s="3">
        <f>BB276</f>
        <v>0</v>
      </c>
      <c r="BD276" s="3">
        <f>BC276</f>
        <v>0</v>
      </c>
      <c r="BE276" s="3">
        <f>BD276</f>
        <v>0</v>
      </c>
      <c r="BF276" s="3">
        <f>BE276</f>
        <v>0</v>
      </c>
      <c r="BG276" s="3">
        <f>BF276</f>
        <v>0</v>
      </c>
      <c r="BH276" s="3">
        <f>BG276</f>
        <v>0</v>
      </c>
      <c r="BI276" s="3">
        <f>BH276</f>
        <v>0</v>
      </c>
      <c r="BJ276" s="3">
        <f>BI276</f>
        <v>0</v>
      </c>
      <c r="BK276" s="3">
        <f>BJ276</f>
        <v>0</v>
      </c>
      <c r="BL276" s="3">
        <f>BK276</f>
        <v>0</v>
      </c>
      <c r="BM276" s="3">
        <f>BL276</f>
        <v>0</v>
      </c>
      <c r="BN276" s="3">
        <f>BM276</f>
        <v>0</v>
      </c>
      <c r="BO276" s="3">
        <f>BN276</f>
        <v>0</v>
      </c>
      <c r="BP276" s="3">
        <f>BO276</f>
        <v>0</v>
      </c>
      <c r="BQ276" s="3">
        <f>BP276</f>
        <v>0</v>
      </c>
      <c r="BR276" s="3">
        <f>BQ276</f>
        <v>0</v>
      </c>
      <c r="BS276" s="3">
        <f>BR276</f>
        <v>0</v>
      </c>
      <c r="BT276" s="3">
        <f>BS276</f>
        <v>0</v>
      </c>
      <c r="BU276" s="3">
        <f>BT276</f>
        <v>0</v>
      </c>
      <c r="BV276" s="3">
        <f>BU276</f>
        <v>0</v>
      </c>
      <c r="BW276" s="3">
        <f>BV276</f>
        <v>0</v>
      </c>
      <c r="BX276" s="3">
        <f>BW276</f>
        <v>0</v>
      </c>
      <c r="BY276" s="3">
        <f>BX276</f>
        <v>0</v>
      </c>
      <c r="BZ276" s="3">
        <f>BY276</f>
        <v>0</v>
      </c>
      <c r="CA276" s="3">
        <f>BZ276</f>
        <v>0</v>
      </c>
      <c r="CB276" s="3">
        <f>CA276</f>
        <v>0</v>
      </c>
      <c r="CC276" s="3">
        <f>CB276</f>
        <v>0</v>
      </c>
      <c r="CD276" s="3">
        <f>CC276</f>
        <v>0</v>
      </c>
      <c r="CE276" s="3">
        <f>CD276</f>
        <v>0</v>
      </c>
      <c r="CF276" s="3">
        <f>CE276</f>
        <v>0</v>
      </c>
      <c r="CG276" s="3">
        <f>CF276</f>
        <v>0</v>
      </c>
      <c r="CH276" s="3">
        <f>CG276</f>
        <v>0</v>
      </c>
      <c r="CI276" s="3">
        <f>CH276</f>
        <v>0</v>
      </c>
      <c r="CJ276" s="3">
        <f>CI276</f>
        <v>0</v>
      </c>
      <c r="CK276" s="3">
        <f>CJ276</f>
        <v>0</v>
      </c>
      <c r="CL276" s="3">
        <f>CK276</f>
        <v>0</v>
      </c>
      <c r="CM276" s="3">
        <f>CL276</f>
        <v>0</v>
      </c>
      <c r="CN276" s="3">
        <f>CM276</f>
        <v>0</v>
      </c>
      <c r="CO276" s="3">
        <f>CN276</f>
        <v>0</v>
      </c>
      <c r="CP276" s="3">
        <f>CO276</f>
        <v>0</v>
      </c>
      <c r="CQ276" s="3">
        <f>CP276</f>
        <v>0</v>
      </c>
      <c r="CR276" s="3">
        <f>CQ276</f>
        <v>0</v>
      </c>
      <c r="CS276" s="3">
        <f>CR276</f>
        <v>0</v>
      </c>
      <c r="CT276" s="3">
        <f>CS276</f>
        <v>0</v>
      </c>
      <c r="CU276" s="3">
        <f>CT276</f>
        <v>0</v>
      </c>
      <c r="CV276" s="3">
        <f>CU276</f>
        <v>0</v>
      </c>
      <c r="CW276" s="3">
        <f>CV276</f>
        <v>0</v>
      </c>
      <c r="CX276" s="3">
        <f>CW276</f>
        <v>0</v>
      </c>
      <c r="CY276" s="3">
        <f>CX276</f>
        <v>0</v>
      </c>
    </row>
    <row r="277">
      <c r="C277" s="26" t="inlineStr">
        <is>
          <t>Intangibles</t>
        </is>
      </c>
      <c r="D277" s="25">
        <f>INDEX('Inputs (2)'!$D$25:$AL$25,MATCH(D$7,'Inputs (2)'!$D$2:$AL$2,0))</f>
        <v>192.933</v>
      </c>
      <c r="E277" s="25">
        <f>INDEX('Inputs (2)'!$D$25:$AL$25,MATCH(E$7,'Inputs (2)'!$D$2:$AL$2,0))</f>
        <v>179.517</v>
      </c>
      <c r="F277" s="25">
        <f>INDEX('Inputs (2)'!$D$25:$AL$25,MATCH(F$7,'Inputs (2)'!$D$2:$AL$2,0))</f>
        <v>191.981</v>
      </c>
      <c r="G277" s="25">
        <f>INDEX('Inputs (2)'!$D$25:$AL$25,MATCH(G$7,'Inputs (2)'!$D$2:$AL$2,0))</f>
        <v>198</v>
      </c>
      <c r="H277" s="3">
        <f>G277</f>
        <v>198</v>
      </c>
      <c r="I277" s="25">
        <f>INDEX('Inputs (2)'!$D$25:$AL$25,MATCH(I$7,'Inputs (2)'!$D$2:$AL$2,0))</f>
        <v>200.57</v>
      </c>
      <c r="J277" s="25">
        <f>INDEX('Inputs (2)'!$D$25:$AL$25,MATCH(J$7,'Inputs (2)'!$D$2:$AL$2,0))</f>
        <v>197.429</v>
      </c>
      <c r="K277" s="25">
        <f>INDEX('Inputs (2)'!$D$25:$AL$25,MATCH(K$7,'Inputs (2)'!$D$2:$AL$2,0))</f>
        <v>200.395</v>
      </c>
      <c r="L277" s="25">
        <f>INDEX('Inputs (2)'!$D$25:$AL$25,MATCH(L$7,'Inputs (2)'!$D$2:$AL$2,0))</f>
        <v>281.564</v>
      </c>
      <c r="M277" s="3">
        <f>L277</f>
        <v>281.564</v>
      </c>
      <c r="N277" s="25">
        <f>INDEX('Inputs (2)'!$D$25:$AL$25,MATCH(N$7,'Inputs (2)'!$D$2:$AL$2,0))</f>
        <v>277.134</v>
      </c>
      <c r="O277" s="25">
        <f>INDEX('Inputs (2)'!$D$25:$AL$25,MATCH(O$7,'Inputs (2)'!$D$2:$AL$2,0))</f>
        <v>280.249</v>
      </c>
      <c r="P277" s="25">
        <f>INDEX('Inputs (2)'!$D$25:$AL$25,MATCH(P$7,'Inputs (2)'!$D$2:$AL$2,0))</f>
        <v>277.968</v>
      </c>
      <c r="Q277" s="25">
        <f>INDEX('Inputs (2)'!$D$25:$AL$25,MATCH(Q$7,'Inputs (2)'!$D$2:$AL$2,0))</f>
        <v>269.693</v>
      </c>
      <c r="R277" s="3">
        <f>Q277</f>
        <v>269.693</v>
      </c>
      <c r="S277" s="25">
        <f>INDEX('Inputs (2)'!$D$25:$AL$25,MATCH(S$7,'Inputs (2)'!$D$2:$AL$2,0))</f>
        <v>268.323</v>
      </c>
      <c r="T277" s="25">
        <f>INDEX('Inputs (2)'!$D$25:$AL$25,MATCH(T$7,'Inputs (2)'!$D$2:$AL$2,0))</f>
        <v>266.404</v>
      </c>
      <c r="U277" s="25">
        <f>INDEX('Inputs (2)'!$D$25:$AL$25,MATCH(U$7,'Inputs (2)'!$D$2:$AL$2,0))</f>
        <v>273.89</v>
      </c>
      <c r="V277" s="25">
        <f>INDEX('Inputs (2)'!$D$25:$AL$25,MATCH(V$7,'Inputs (2)'!$D$2:$AL$2,0))</f>
        <v>268.011</v>
      </c>
      <c r="W277" s="3">
        <f>V277</f>
        <v>268.011</v>
      </c>
      <c r="X277" s="25">
        <f>INDEX('Inputs (2)'!$D$25:$AL$25,MATCH(X$7,'Inputs (2)'!$D$2:$AL$2,0))</f>
        <v>284.175</v>
      </c>
      <c r="Y277" s="25">
        <f>INDEX('Inputs (2)'!$D$25:$AL$25,MATCH(Y$7,'Inputs (2)'!$D$2:$AL$2,0))</f>
        <v>291.913</v>
      </c>
      <c r="Z277" s="25">
        <f>INDEX('Inputs (2)'!$D$25:$AL$25,MATCH(Z$7,'Inputs (2)'!$D$2:$AL$2,0))</f>
        <v>299.502</v>
      </c>
      <c r="AA277" s="25">
        <f>INDEX('Inputs (2)'!$D$25:$AL$25,MATCH(AA$7,'Inputs (2)'!$D$2:$AL$2,0))</f>
        <v>364.832</v>
      </c>
      <c r="AB277" s="3">
        <f>AA277</f>
        <v>364.832</v>
      </c>
      <c r="AC277" s="25">
        <f>INDEX('Inputs (2)'!$D$25:$AL$25,MATCH(AC$7,'Inputs (2)'!$D$2:$AL$2,0))</f>
        <v>354.539</v>
      </c>
      <c r="AD277" s="25">
        <f>INDEX('Inputs (2)'!$D$25:$AL$25,MATCH(AD$7,'Inputs (2)'!$D$2:$AL$2,0))</f>
        <v>350.904</v>
      </c>
      <c r="AE277" s="25">
        <f>INDEX('Inputs (2)'!$D$25:$AL$25,MATCH(AE$7,'Inputs (2)'!$D$2:$AL$2,0))</f>
        <v>374.853</v>
      </c>
      <c r="AF277" s="25">
        <f>INDEX('Inputs (2)'!$D$25:$AL$25,MATCH(AF$7,'Inputs (2)'!$D$2:$AL$2,0))</f>
        <v>446.996</v>
      </c>
      <c r="AG277" s="3">
        <f>AF277</f>
        <v>446.996</v>
      </c>
      <c r="AH277" s="3">
        <f>INDEX('Inputs (2)'!$D$25:$AL$25,MATCH(AH$7,'Inputs (2)'!$D$2:$AL$2,0))</f>
        <v>469.158</v>
      </c>
      <c r="AI277" s="3">
        <f>INDEX('Inputs (2)'!$D$25:$AL$25,MATCH(AI$7,'Inputs (2)'!$D$2:$AL$2,0))</f>
        <v>593.425</v>
      </c>
      <c r="AJ277" s="3" t="n"/>
      <c r="AK277" s="3" t="n"/>
      <c r="AL277" s="3">
        <f>AK277</f>
        <v>0</v>
      </c>
      <c r="AN277" s="3" t="n"/>
      <c r="AO277" s="3" t="n"/>
      <c r="AP277" s="3" t="n"/>
      <c r="AQ277" s="3">
        <f>AP277</f>
        <v>0</v>
      </c>
      <c r="AS277" s="3" t="n"/>
      <c r="AT277" s="3" t="n"/>
      <c r="AU277" s="3" t="n"/>
      <c r="AV277" s="3">
        <f>AU277</f>
        <v>0</v>
      </c>
      <c r="AX277" s="3" t="n"/>
      <c r="AY277" s="3" t="n"/>
      <c r="AZ277" s="3" t="n"/>
      <c r="BA277" s="3">
        <f>AZ277</f>
        <v>0</v>
      </c>
      <c r="BC277" s="3" t="n"/>
      <c r="BD277" s="3" t="n"/>
      <c r="BE277" s="3" t="n"/>
      <c r="BF277" s="3">
        <f>BE277</f>
        <v>0</v>
      </c>
      <c r="BH277" s="3" t="n"/>
      <c r="BI277" s="3" t="n"/>
      <c r="BJ277" s="3" t="n"/>
      <c r="BK277" s="3">
        <f>BJ277</f>
        <v>0</v>
      </c>
      <c r="BM277" s="3" t="n"/>
      <c r="BN277" s="3" t="n"/>
      <c r="BO277" s="3" t="n"/>
      <c r="BP277" s="3">
        <f>BO277</f>
        <v>0</v>
      </c>
      <c r="BR277" s="3" t="n"/>
      <c r="BS277" s="3" t="n"/>
      <c r="BT277" s="3" t="n"/>
      <c r="BU277" s="3">
        <f>BT277</f>
        <v>0</v>
      </c>
      <c r="BW277" s="3" t="n"/>
      <c r="BX277" s="3" t="n"/>
      <c r="BY277" s="3" t="n"/>
      <c r="BZ277" s="3">
        <f>BY277</f>
        <v>0</v>
      </c>
      <c r="CB277" s="3" t="n"/>
      <c r="CC277" s="3" t="n"/>
      <c r="CD277" s="3" t="n"/>
      <c r="CE277" s="3">
        <f>CD277</f>
        <v>0</v>
      </c>
      <c r="CG277" s="3" t="n"/>
      <c r="CH277" s="3" t="n"/>
      <c r="CI277" s="3" t="n"/>
      <c r="CJ277" s="3">
        <f>CI277</f>
        <v>0</v>
      </c>
      <c r="CL277" s="3" t="n"/>
      <c r="CM277" s="3" t="n"/>
      <c r="CN277" s="3" t="n"/>
      <c r="CO277" s="3">
        <f>CN277</f>
        <v>0</v>
      </c>
      <c r="CQ277" s="3" t="n"/>
      <c r="CR277" s="3" t="n"/>
      <c r="CS277" s="3" t="n"/>
      <c r="CT277" s="3">
        <f>CS277</f>
        <v>0</v>
      </c>
      <c r="CV277" s="3" t="n"/>
      <c r="CW277" s="3" t="n"/>
      <c r="CX277" s="3" t="n"/>
      <c r="CY277" s="3">
        <f>CX277</f>
        <v>0</v>
      </c>
    </row>
    <row r="278" hidden="1" outlineLevel="1">
      <c r="C278" s="34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  <c r="CG278" s="3" t="n"/>
      <c r="CH278" s="3" t="n"/>
      <c r="CI278" s="3" t="n"/>
      <c r="CJ278" s="3" t="n"/>
      <c r="CK278" s="3" t="n"/>
      <c r="CL278" s="3" t="n"/>
      <c r="CM278" s="3" t="n"/>
      <c r="CN278" s="3" t="n"/>
      <c r="CO278" s="3" t="n"/>
      <c r="CP278" s="3" t="n"/>
      <c r="CQ278" s="3" t="n"/>
      <c r="CR278" s="3" t="n"/>
      <c r="CS278" s="3" t="n"/>
      <c r="CT278" s="3" t="n"/>
      <c r="CU278" s="3" t="n"/>
      <c r="CV278" s="3" t="n"/>
      <c r="CW278" s="3" t="n"/>
      <c r="CX278" s="3" t="n"/>
      <c r="CY278" s="3" t="n"/>
    </row>
    <row r="279" hidden="1" outlineLevel="1">
      <c r="C279" s="34" t="inlineStr">
        <is>
          <t>Purchase of intangible assets</t>
        </is>
      </c>
      <c r="D279" s="3" t="n"/>
      <c r="E279" s="3">
        <f>E277-D277-E181</f>
        <v>-13.416</v>
      </c>
      <c r="F279" s="3">
        <f>F277-E277-F181</f>
        <v>12.464</v>
      </c>
      <c r="G279" s="3">
        <f>G277-F277-G181</f>
        <v>6.01900000000001</v>
      </c>
      <c r="H279" s="3" t="n"/>
      <c r="I279" s="3">
        <f>I277-H277-I181</f>
        <v>2.56999999999999</v>
      </c>
      <c r="J279" s="3">
        <f>J277-I277-J181</f>
        <v>-3.14099999999999</v>
      </c>
      <c r="K279" s="3">
        <f>K277-J277-K181</f>
        <v>2.96600000000001</v>
      </c>
      <c r="L279" s="3">
        <f>L277-K277-L181</f>
        <v>81.169</v>
      </c>
      <c r="M279" s="3" t="n"/>
      <c r="N279" s="3">
        <f>N277-M277-N181</f>
        <v>-4.43000000000001</v>
      </c>
      <c r="O279" s="3">
        <f>O277-N277-O181</f>
        <v>3.11500000000001</v>
      </c>
      <c r="P279" s="3">
        <f>P277-O277-P181</f>
        <v>-2.28100000000001</v>
      </c>
      <c r="Q279" s="3">
        <f>Q277-P277-Q181</f>
        <v>-8.27500000000003</v>
      </c>
      <c r="R279" s="3" t="n"/>
      <c r="S279" s="3">
        <f>S277-R277-S181</f>
        <v>-1.37</v>
      </c>
      <c r="T279" s="3">
        <f>T277-S277-T181</f>
        <v>-1.91899999999998</v>
      </c>
      <c r="U279" s="3">
        <f>U277-T277-U181</f>
        <v>7.48599999999999</v>
      </c>
      <c r="V279" s="3">
        <f>V277-U277-V181</f>
        <v>-5.87899999999996</v>
      </c>
      <c r="W279" s="3" t="n"/>
      <c r="X279" s="3">
        <f>X277-W277-X181</f>
        <v>16.164</v>
      </c>
      <c r="Y279" s="3">
        <f>Y277-X277-Y181</f>
        <v>7.738</v>
      </c>
      <c r="Z279" s="3">
        <f>Z277-Y277-Z181</f>
        <v>7.589</v>
      </c>
      <c r="AA279" s="3">
        <f>AA277-Z277-AA181</f>
        <v>65.33</v>
      </c>
      <c r="AB279" s="3" t="n"/>
      <c r="AC279" s="3">
        <f>AC277-AB277-AC181</f>
        <v>-10.293</v>
      </c>
      <c r="AD279" s="3">
        <f>AD277-AC277-AD181</f>
        <v>-3.63499999999999</v>
      </c>
      <c r="AE279" s="3">
        <f>AE277-AD277-AE181</f>
        <v>23.949</v>
      </c>
      <c r="AF279" s="3" t="n"/>
      <c r="AG279" s="3" t="n"/>
      <c r="AH279" s="6">
        <f>AH277-AG277-AH181</f>
        <v>22.162</v>
      </c>
      <c r="AI279" s="6">
        <f>AI277-AH277-AI181</f>
        <v>124.267</v>
      </c>
      <c r="AJ279" s="6" t="n"/>
      <c r="AK279" s="6" t="n"/>
      <c r="AL279" s="3" t="n"/>
      <c r="AM279" s="6" t="n"/>
      <c r="AN279" s="6" t="n"/>
      <c r="AO279" s="6" t="n"/>
      <c r="AP279" s="6" t="n"/>
      <c r="AQ279" s="3" t="n"/>
      <c r="AR279" s="6" t="n"/>
      <c r="AS279" s="6" t="n"/>
      <c r="AT279" s="6" t="n"/>
      <c r="AU279" s="6" t="n"/>
      <c r="AV279" s="3" t="n"/>
      <c r="AW279" s="6" t="n"/>
      <c r="AX279" s="6" t="n"/>
      <c r="AY279" s="6" t="n"/>
      <c r="AZ279" s="6" t="n"/>
      <c r="BA279" s="3" t="n"/>
      <c r="BB279" s="6" t="n"/>
      <c r="BC279" s="6" t="n"/>
      <c r="BD279" s="6" t="n"/>
      <c r="BE279" s="6" t="n"/>
      <c r="BF279" s="3" t="n"/>
      <c r="BG279" s="6" t="n"/>
      <c r="BH279" s="6" t="n"/>
      <c r="BI279" s="6" t="n"/>
      <c r="BJ279" s="6" t="n"/>
      <c r="BK279" s="3" t="n"/>
      <c r="BL279" s="6" t="n"/>
      <c r="BM279" s="6" t="n"/>
      <c r="BN279" s="6" t="n"/>
      <c r="BO279" s="6" t="n"/>
      <c r="BP279" s="3" t="n"/>
      <c r="BQ279" s="6" t="n"/>
      <c r="BR279" s="6" t="n"/>
      <c r="BS279" s="6" t="n"/>
      <c r="BT279" s="6" t="n"/>
      <c r="BU279" s="3" t="n"/>
      <c r="BV279" s="6" t="n"/>
      <c r="BW279" s="6" t="n"/>
      <c r="BX279" s="6" t="n"/>
      <c r="BY279" s="6" t="n"/>
      <c r="BZ279" s="3" t="n"/>
      <c r="CA279" s="6" t="n"/>
      <c r="CB279" s="6" t="n"/>
      <c r="CC279" s="6" t="n"/>
      <c r="CD279" s="6" t="n"/>
      <c r="CE279" s="3" t="n"/>
      <c r="CF279" s="6" t="n"/>
      <c r="CG279" s="6" t="n"/>
      <c r="CH279" s="6" t="n"/>
      <c r="CI279" s="6" t="n"/>
      <c r="CJ279" s="3" t="n"/>
      <c r="CK279" s="6" t="n"/>
      <c r="CL279" s="6" t="n"/>
      <c r="CM279" s="6" t="n"/>
      <c r="CN279" s="6" t="n"/>
      <c r="CO279" s="3" t="n"/>
      <c r="CP279" s="6" t="n"/>
      <c r="CQ279" s="6" t="n"/>
      <c r="CR279" s="6" t="n"/>
      <c r="CS279" s="6" t="n"/>
      <c r="CT279" s="3" t="n"/>
      <c r="CU279" s="6" t="n"/>
      <c r="CV279" s="6" t="n"/>
      <c r="CW279" s="6" t="n"/>
      <c r="CX279" s="6" t="n"/>
      <c r="CY279" s="3" t="n"/>
    </row>
    <row r="280" hidden="1" outlineLevel="1">
      <c r="C280" s="34" t="inlineStr">
        <is>
          <t>Amortization (enter as -)</t>
        </is>
      </c>
      <c r="D280" s="3" t="n"/>
      <c r="E280" s="3">
        <f>E180</f>
        <v>0</v>
      </c>
      <c r="F280" s="3">
        <f>F180</f>
        <v>0</v>
      </c>
      <c r="G280" s="3">
        <f>G180</f>
        <v>0</v>
      </c>
      <c r="H280" s="3" t="n"/>
      <c r="I280" s="3">
        <f>I180</f>
        <v>0</v>
      </c>
      <c r="J280" s="3">
        <f>J180</f>
        <v>0</v>
      </c>
      <c r="K280" s="3">
        <f>K180</f>
        <v>0</v>
      </c>
      <c r="L280" s="3">
        <f>L180</f>
        <v>0</v>
      </c>
      <c r="M280" s="3" t="n"/>
      <c r="N280" s="3">
        <f>N180</f>
        <v>0</v>
      </c>
      <c r="O280" s="3">
        <f>O180</f>
        <v>0</v>
      </c>
      <c r="P280" s="3">
        <f>P180</f>
        <v>0</v>
      </c>
      <c r="Q280" s="3">
        <f>Q180</f>
        <v>0</v>
      </c>
      <c r="R280" s="3" t="n"/>
      <c r="S280" s="3">
        <f>S180</f>
        <v>0</v>
      </c>
      <c r="T280" s="3">
        <f>T180</f>
        <v>0</v>
      </c>
      <c r="U280" s="3">
        <f>U180</f>
        <v>0</v>
      </c>
      <c r="V280" s="3">
        <f>V180</f>
        <v>0</v>
      </c>
      <c r="W280" s="3" t="n"/>
      <c r="X280" s="3">
        <f>X180</f>
        <v>0</v>
      </c>
      <c r="Y280" s="3">
        <f>Y180</f>
        <v>0</v>
      </c>
      <c r="Z280" s="3">
        <f>Z180</f>
        <v>0</v>
      </c>
      <c r="AA280" s="3">
        <f>AA180</f>
        <v>0</v>
      </c>
      <c r="AB280" s="3" t="n"/>
      <c r="AC280" s="3">
        <f>AC180</f>
        <v>0</v>
      </c>
      <c r="AD280" s="3">
        <f>AD180</f>
        <v>0</v>
      </c>
      <c r="AE280" s="3">
        <f>AE180</f>
        <v>0</v>
      </c>
      <c r="AF280" s="3" t="n"/>
      <c r="AG280" s="3" t="n"/>
      <c r="AH280" s="3">
        <f>AH180</f>
        <v>0</v>
      </c>
      <c r="AI280" s="6">
        <f>AI180</f>
        <v>0</v>
      </c>
      <c r="AJ280" s="6" t="n"/>
      <c r="AK280" s="6" t="n"/>
      <c r="AL280" s="3" t="n"/>
      <c r="AM280" s="6" t="n"/>
      <c r="AN280" s="6" t="n"/>
      <c r="AO280" s="6" t="n"/>
      <c r="AP280" s="6" t="n"/>
      <c r="AQ280" s="3" t="n"/>
      <c r="AR280" s="6" t="n"/>
      <c r="AS280" s="6" t="n"/>
      <c r="AT280" s="6" t="n"/>
      <c r="AU280" s="6" t="n"/>
      <c r="AV280" s="3" t="n"/>
      <c r="AW280" s="6" t="n"/>
      <c r="AX280" s="6" t="n"/>
      <c r="AY280" s="6" t="n"/>
      <c r="AZ280" s="6" t="n"/>
      <c r="BA280" s="3" t="n"/>
      <c r="BB280" s="6" t="n"/>
      <c r="BC280" s="6" t="n"/>
      <c r="BD280" s="6" t="n"/>
      <c r="BE280" s="6" t="n"/>
      <c r="BF280" s="3" t="n"/>
      <c r="BG280" s="6" t="n"/>
      <c r="BH280" s="6" t="n"/>
      <c r="BI280" s="6" t="n"/>
      <c r="BJ280" s="6" t="n"/>
      <c r="BK280" s="3" t="n"/>
      <c r="BL280" s="6" t="n"/>
      <c r="BM280" s="6" t="n"/>
      <c r="BN280" s="6" t="n"/>
      <c r="BO280" s="6" t="n"/>
      <c r="BP280" s="3" t="n"/>
      <c r="BQ280" s="6" t="n"/>
      <c r="BR280" s="6" t="n"/>
      <c r="BS280" s="6" t="n"/>
      <c r="BT280" s="6" t="n"/>
      <c r="BU280" s="3" t="n"/>
      <c r="BV280" s="6" t="n"/>
      <c r="BW280" s="6" t="n"/>
      <c r="BX280" s="6" t="n"/>
      <c r="BY280" s="6" t="n"/>
      <c r="BZ280" s="3" t="n"/>
      <c r="CA280" s="6" t="n"/>
      <c r="CB280" s="6" t="n"/>
      <c r="CC280" s="6" t="n"/>
      <c r="CD280" s="6" t="n"/>
      <c r="CE280" s="3" t="n"/>
      <c r="CF280" s="6" t="n"/>
      <c r="CG280" s="6" t="n"/>
      <c r="CH280" s="6" t="n"/>
      <c r="CI280" s="6" t="n"/>
      <c r="CJ280" s="3" t="n"/>
      <c r="CK280" s="6" t="n"/>
      <c r="CL280" s="6" t="n"/>
      <c r="CM280" s="6" t="n"/>
      <c r="CN280" s="6" t="n"/>
      <c r="CO280" s="3" t="n"/>
      <c r="CP280" s="6" t="n"/>
      <c r="CQ280" s="6" t="n"/>
      <c r="CR280" s="6" t="n"/>
      <c r="CS280" s="6" t="n"/>
      <c r="CT280" s="3" t="n"/>
      <c r="CU280" s="6" t="n"/>
      <c r="CV280" s="6" t="n"/>
      <c r="CW280" s="6" t="n"/>
      <c r="CX280" s="6" t="n"/>
      <c r="CY280" s="3" t="n"/>
    </row>
    <row r="281" hidden="1" outlineLevel="1">
      <c r="C281" s="34" t="inlineStr">
        <is>
          <t>Intangibles</t>
        </is>
      </c>
      <c r="D281" s="3" t="n"/>
      <c r="E281" s="3">
        <f>E277</f>
        <v>179.517</v>
      </c>
      <c r="F281" s="3">
        <f>F277</f>
        <v>191.981</v>
      </c>
      <c r="G281" s="3">
        <f>G277</f>
        <v>198</v>
      </c>
      <c r="H281" s="3" t="n"/>
      <c r="I281" s="3">
        <f>I277</f>
        <v>200.57</v>
      </c>
      <c r="J281" s="3">
        <f>J277</f>
        <v>197.429</v>
      </c>
      <c r="K281" s="3">
        <f>K277</f>
        <v>200.395</v>
      </c>
      <c r="L281" s="3">
        <f>L277</f>
        <v>281.564</v>
      </c>
      <c r="M281" s="3" t="n"/>
      <c r="N281" s="3">
        <f>N277</f>
        <v>277.134</v>
      </c>
      <c r="O281" s="3">
        <f>O277</f>
        <v>280.249</v>
      </c>
      <c r="P281" s="3">
        <f>P277</f>
        <v>277.968</v>
      </c>
      <c r="Q281" s="3">
        <f>Q277</f>
        <v>269.693</v>
      </c>
      <c r="R281" s="3" t="n"/>
      <c r="S281" s="3">
        <f>S277</f>
        <v>268.323</v>
      </c>
      <c r="T281" s="3">
        <f>T277</f>
        <v>266.404</v>
      </c>
      <c r="U281" s="3">
        <f>U277</f>
        <v>273.89</v>
      </c>
      <c r="V281" s="3">
        <f>V277</f>
        <v>268.011</v>
      </c>
      <c r="W281" s="3" t="n"/>
      <c r="X281" s="3">
        <f>X277</f>
        <v>284.175</v>
      </c>
      <c r="Y281" s="3">
        <f>Y277</f>
        <v>291.913</v>
      </c>
      <c r="Z281" s="3">
        <f>Z277</f>
        <v>299.502</v>
      </c>
      <c r="AA281" s="3">
        <f>AA277</f>
        <v>364.832</v>
      </c>
      <c r="AB281" s="3" t="n"/>
      <c r="AC281" s="3">
        <f>AC277</f>
        <v>354.539</v>
      </c>
      <c r="AD281" s="3">
        <f>AD277</f>
        <v>350.904</v>
      </c>
      <c r="AE281" s="3">
        <f>AE277</f>
        <v>374.853</v>
      </c>
      <c r="AF281" s="3">
        <f>AF277</f>
        <v>446.996</v>
      </c>
      <c r="AG281" s="3" t="n"/>
      <c r="AH281" s="3">
        <f>AH277</f>
        <v>469.158</v>
      </c>
      <c r="AI281" s="3">
        <f>AI277</f>
        <v>593.425</v>
      </c>
      <c r="AJ281" s="3">
        <f>AI281+SUM(AJ279:AJ280)</f>
        <v>593.425</v>
      </c>
      <c r="AK281" s="3">
        <f>AJ281+SUM(AK279:AK280)</f>
        <v>593.425</v>
      </c>
      <c r="AL281" s="3" t="n"/>
      <c r="AM281" s="3">
        <f>AK281+SUM(AM279:AM280)</f>
        <v>593.425</v>
      </c>
      <c r="AN281" s="3">
        <f>AM281+SUM(AN279:AN280)</f>
        <v>593.425</v>
      </c>
      <c r="AO281" s="3">
        <f>AN281+SUM(AO279:AO280)</f>
        <v>593.425</v>
      </c>
      <c r="AP281" s="3">
        <f>AO281+SUM(AP279:AP280)</f>
        <v>593.425</v>
      </c>
      <c r="AQ281" s="3" t="n"/>
      <c r="AR281" s="3">
        <f>AP281+SUM(AR279:AR280)</f>
        <v>593.425</v>
      </c>
      <c r="AS281" s="3">
        <f>AR281+SUM(AS279:AS280)</f>
        <v>593.425</v>
      </c>
      <c r="AT281" s="3">
        <f>AS281+SUM(AT279:AT280)</f>
        <v>593.425</v>
      </c>
      <c r="AU281" s="3">
        <f>AT281+SUM(AU279:AU280)</f>
        <v>593.425</v>
      </c>
      <c r="AV281" s="3" t="n"/>
      <c r="AW281" s="3">
        <f>AU281+SUM(AW279:AW280)</f>
        <v>593.425</v>
      </c>
      <c r="AX281" s="3">
        <f>AW281+SUM(AX279:AX280)</f>
        <v>593.425</v>
      </c>
      <c r="AY281" s="3">
        <f>AX281+SUM(AY279:AY280)</f>
        <v>593.425</v>
      </c>
      <c r="AZ281" s="3">
        <f>AY281+SUM(AZ279:AZ280)</f>
        <v>593.425</v>
      </c>
      <c r="BA281" s="3" t="n"/>
      <c r="BB281" s="3">
        <f>AZ281+SUM(BB279:BB280)</f>
        <v>593.425</v>
      </c>
      <c r="BC281" s="3">
        <f>BB281+SUM(BC279:BC280)</f>
        <v>593.425</v>
      </c>
      <c r="BD281" s="3">
        <f>BC281+SUM(BD279:BD280)</f>
        <v>593.425</v>
      </c>
      <c r="BE281" s="3">
        <f>BD281+SUM(BE279:BE280)</f>
        <v>593.425</v>
      </c>
      <c r="BF281" s="3" t="n"/>
      <c r="BG281" s="3">
        <f>BE281+SUM(BG279:BG280)</f>
        <v>593.425</v>
      </c>
      <c r="BH281" s="3">
        <f>BG281+SUM(BH279:BH280)</f>
        <v>593.425</v>
      </c>
      <c r="BI281" s="3">
        <f>BH281+SUM(BI279:BI280)</f>
        <v>593.425</v>
      </c>
      <c r="BJ281" s="3">
        <f>BI281+SUM(BJ279:BJ280)</f>
        <v>593.425</v>
      </c>
      <c r="BK281" s="3" t="n"/>
      <c r="BL281" s="3">
        <f>BJ281+SUM(BL279:BL280)</f>
        <v>593.425</v>
      </c>
      <c r="BM281" s="3">
        <f>BL281+SUM(BM279:BM280)</f>
        <v>593.425</v>
      </c>
      <c r="BN281" s="3">
        <f>BM281+SUM(BN279:BN280)</f>
        <v>593.425</v>
      </c>
      <c r="BO281" s="3">
        <f>BN281+SUM(BO279:BO280)</f>
        <v>593.425</v>
      </c>
      <c r="BP281" s="3" t="n"/>
      <c r="BQ281" s="3">
        <f>BO281+SUM(BQ279:BQ280)</f>
        <v>593.425</v>
      </c>
      <c r="BR281" s="3">
        <f>BQ281+SUM(BR279:BR280)</f>
        <v>593.425</v>
      </c>
      <c r="BS281" s="3">
        <f>BR281+SUM(BS279:BS280)</f>
        <v>593.425</v>
      </c>
      <c r="BT281" s="3">
        <f>BS281+SUM(BT279:BT280)</f>
        <v>593.425</v>
      </c>
      <c r="BU281" s="3" t="n"/>
      <c r="BV281" s="3">
        <f>BT281+SUM(BV279:BV280)</f>
        <v>593.425</v>
      </c>
      <c r="BW281" s="3">
        <f>BV281+SUM(BW279:BW280)</f>
        <v>593.425</v>
      </c>
      <c r="BX281" s="3">
        <f>BW281+SUM(BX279:BX280)</f>
        <v>593.425</v>
      </c>
      <c r="BY281" s="3">
        <f>BX281+SUM(BY279:BY280)</f>
        <v>593.425</v>
      </c>
      <c r="BZ281" s="3" t="n"/>
      <c r="CA281" s="3">
        <f>BY281+SUM(CA279:CA280)</f>
        <v>593.425</v>
      </c>
      <c r="CB281" s="3">
        <f>CA281+SUM(CB279:CB280)</f>
        <v>593.425</v>
      </c>
      <c r="CC281" s="3">
        <f>CB281+SUM(CC279:CC280)</f>
        <v>593.425</v>
      </c>
      <c r="CD281" s="3">
        <f>CC281+SUM(CD279:CD280)</f>
        <v>593.425</v>
      </c>
      <c r="CE281" s="3" t="n"/>
      <c r="CF281" s="3">
        <f>CD281+SUM(CF279:CF280)</f>
        <v>593.425</v>
      </c>
      <c r="CG281" s="3">
        <f>CF281+SUM(CG279:CG280)</f>
        <v>593.425</v>
      </c>
      <c r="CH281" s="3">
        <f>CG281+SUM(CH279:CH280)</f>
        <v>593.425</v>
      </c>
      <c r="CI281" s="3">
        <f>CH281+SUM(CI279:CI280)</f>
        <v>593.425</v>
      </c>
      <c r="CJ281" s="3" t="n"/>
      <c r="CK281" s="3">
        <f>CI281+SUM(CK279:CK280)</f>
        <v>593.425</v>
      </c>
      <c r="CL281" s="3">
        <f>CK281+SUM(CL279:CL280)</f>
        <v>593.425</v>
      </c>
      <c r="CM281" s="3">
        <f>CL281+SUM(CM279:CM280)</f>
        <v>593.425</v>
      </c>
      <c r="CN281" s="3">
        <f>CM281+SUM(CN279:CN280)</f>
        <v>593.425</v>
      </c>
      <c r="CO281" s="3" t="n"/>
      <c r="CP281" s="3">
        <f>CN281+SUM(CP279:CP280)</f>
        <v>593.425</v>
      </c>
      <c r="CQ281" s="3">
        <f>CP281+SUM(CQ279:CQ280)</f>
        <v>593.425</v>
      </c>
      <c r="CR281" s="3">
        <f>CQ281+SUM(CR279:CR280)</f>
        <v>593.425</v>
      </c>
      <c r="CS281" s="3">
        <f>CR281+SUM(CS279:CS280)</f>
        <v>593.425</v>
      </c>
      <c r="CT281" s="3" t="n"/>
      <c r="CU281" s="3">
        <f>CS281+SUM(CU279:CU280)</f>
        <v>593.425</v>
      </c>
      <c r="CV281" s="3">
        <f>CU281+SUM(CV279:CV280)</f>
        <v>593.425</v>
      </c>
      <c r="CW281" s="3">
        <f>CV281+SUM(CW279:CW280)</f>
        <v>593.425</v>
      </c>
      <c r="CX281" s="3">
        <f>CW281+SUM(CX279:CX280)</f>
        <v>593.425</v>
      </c>
      <c r="CY281" s="3" t="n"/>
      <c r="CZ281">
        <f>CX281+SUM(CZ279:CZ280)</f>
        <v>593.425</v>
      </c>
      <c r="DA281">
        <f>CZ281+SUM(DA279:DA280)</f>
        <v>593.425</v>
      </c>
      <c r="DB281">
        <f>DA281+SUM(DB279:DB280)</f>
        <v>593.425</v>
      </c>
      <c r="DC281">
        <f>DB281+SUM(DC279:DC280)</f>
        <v>593.425</v>
      </c>
    </row>
    <row r="282" hidden="1" outlineLevel="1">
      <c r="C282" s="34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  <c r="CU282" s="3" t="n"/>
      <c r="CV282" s="3" t="n"/>
      <c r="CW282" s="3" t="n"/>
      <c r="CX282" s="3" t="n"/>
      <c r="CY282" s="3" t="n"/>
    </row>
    <row r="283" hidden="1" outlineLevel="1">
      <c r="C283" s="34" t="inlineStr">
        <is>
          <t>Definir % do D&amp;A No PPE and Intagibles</t>
        </is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  <c r="CG283" s="3" t="n"/>
      <c r="CH283" s="3" t="n"/>
      <c r="CI283" s="3" t="n"/>
      <c r="CJ283" s="3" t="n"/>
      <c r="CK283" s="3" t="n"/>
      <c r="CL283" s="3" t="n"/>
      <c r="CM283" s="3" t="n"/>
      <c r="CN283" s="3" t="n"/>
      <c r="CO283" s="3" t="n"/>
      <c r="CP283" s="3" t="n"/>
      <c r="CQ283" s="3" t="n"/>
      <c r="CR283" s="3" t="n"/>
      <c r="CS283" s="3" t="n"/>
      <c r="CT283" s="3" t="n"/>
      <c r="CU283" s="3" t="n"/>
      <c r="CV283" s="3" t="n"/>
      <c r="CW283" s="3" t="n"/>
      <c r="CX283" s="3" t="n"/>
      <c r="CY283" s="3" t="n"/>
    </row>
    <row r="284" hidden="1" outlineLevel="1">
      <c r="C284" s="34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  <c r="CG284" s="3" t="n"/>
      <c r="CH284" s="3" t="n"/>
      <c r="CI284" s="3" t="n"/>
      <c r="CJ284" s="3" t="n"/>
      <c r="CK284" s="3" t="n"/>
      <c r="CL284" s="3" t="n"/>
      <c r="CM284" s="3" t="n"/>
      <c r="CN284" s="3" t="n"/>
      <c r="CO284" s="3" t="n"/>
      <c r="CP284" s="3" t="n"/>
      <c r="CQ284" s="3" t="n"/>
      <c r="CR284" s="3" t="n"/>
      <c r="CS284" s="3" t="n"/>
      <c r="CT284" s="3" t="n"/>
      <c r="CU284" s="3" t="n"/>
      <c r="CV284" s="3" t="n"/>
      <c r="CW284" s="3" t="n"/>
      <c r="CX284" s="3" t="n"/>
      <c r="CY284" s="3" t="n"/>
    </row>
    <row r="285" hidden="1" outlineLevel="1">
      <c r="C285" s="34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  <c r="CG285" s="3" t="n"/>
      <c r="CH285" s="3" t="n"/>
      <c r="CI285" s="3" t="n"/>
      <c r="CJ285" s="3" t="n"/>
      <c r="CK285" s="3" t="n"/>
      <c r="CL285" s="3" t="n"/>
      <c r="CM285" s="3" t="n"/>
      <c r="CN285" s="3" t="n"/>
      <c r="CO285" s="3" t="n"/>
      <c r="CP285" s="3" t="n"/>
      <c r="CQ285" s="3" t="n"/>
      <c r="CR285" s="3" t="n"/>
      <c r="CS285" s="3" t="n"/>
      <c r="CT285" s="3" t="n"/>
      <c r="CU285" s="3" t="n"/>
      <c r="CV285" s="3" t="n"/>
      <c r="CW285" s="3" t="n"/>
      <c r="CX285" s="3" t="n"/>
      <c r="CY285" s="3" t="n"/>
    </row>
    <row r="286" collapsed="1">
      <c r="C286" s="26" t="inlineStr">
        <is>
          <t>Other non-current assets</t>
        </is>
      </c>
      <c r="D286" s="25">
        <f>INDEX('Inputs (2)'!$D$26:$AL$26,MATCH(D$7,'Inputs (2)'!$D$2:$AL$2,0))</f>
        <v>9957.227</v>
      </c>
      <c r="E286" s="25">
        <f>INDEX('Inputs (2)'!$D$26:$AL$26,MATCH(E$7,'Inputs (2)'!$D$2:$AL$2,0))</f>
        <v>10693.465</v>
      </c>
      <c r="F286" s="25">
        <f>INDEX('Inputs (2)'!$D$26:$AL$26,MATCH(F$7,'Inputs (2)'!$D$2:$AL$2,0))</f>
        <v>11712.093</v>
      </c>
      <c r="G286" s="25">
        <f>INDEX('Inputs (2)'!$D$26:$AL$26,MATCH(G$7,'Inputs (2)'!$D$2:$AL$2,0))</f>
        <v>13479.808</v>
      </c>
      <c r="H286" s="3">
        <f>G286</f>
        <v>13479.808</v>
      </c>
      <c r="I286" s="25">
        <f>INDEX('Inputs (2)'!$D$26:$AL$26,MATCH(I$7,'Inputs (2)'!$D$2:$AL$2,0))</f>
        <v>14405.248</v>
      </c>
      <c r="J286" s="25">
        <f>INDEX('Inputs (2)'!$D$26:$AL$26,MATCH(J$7,'Inputs (2)'!$D$2:$AL$2,0))</f>
        <v>15219.481</v>
      </c>
      <c r="K286" s="25">
        <f>INDEX('Inputs (2)'!$D$26:$AL$26,MATCH(K$7,'Inputs (2)'!$D$2:$AL$2,0))</f>
        <v>15747.961</v>
      </c>
      <c r="L286" s="25">
        <f>INDEX('Inputs (2)'!$D$26:$AL$26,MATCH(L$7,'Inputs (2)'!$D$2:$AL$2,0))</f>
        <v>16182.846</v>
      </c>
      <c r="M286" s="3">
        <f>L286</f>
        <v>16182.846</v>
      </c>
      <c r="N286" s="25">
        <f>INDEX('Inputs (2)'!$D$26:$AL$26,MATCH(N$7,'Inputs (2)'!$D$2:$AL$2,0))</f>
        <v>16599.594</v>
      </c>
      <c r="O286" s="25">
        <f>INDEX('Inputs (2)'!$D$26:$AL$26,MATCH(O$7,'Inputs (2)'!$D$2:$AL$2,0))</f>
        <v>16882.567</v>
      </c>
      <c r="P286" s="25">
        <f>INDEX('Inputs (2)'!$D$26:$AL$26,MATCH(P$7,'Inputs (2)'!$D$2:$AL$2,0))</f>
        <v>16769.339</v>
      </c>
      <c r="Q286" s="25">
        <f>INDEX('Inputs (2)'!$D$26:$AL$26,MATCH(Q$7,'Inputs (2)'!$D$2:$AL$2,0))</f>
        <v>16736.871</v>
      </c>
      <c r="R286" s="3">
        <f>Q286</f>
        <v>16736.871</v>
      </c>
      <c r="S286" s="25">
        <f>INDEX('Inputs (2)'!$D$26:$AL$26,MATCH(S$7,'Inputs (2)'!$D$2:$AL$2,0))</f>
        <v>17126.225</v>
      </c>
      <c r="T286" s="25">
        <f>INDEX('Inputs (2)'!$D$26:$AL$26,MATCH(T$7,'Inputs (2)'!$D$2:$AL$2,0))</f>
        <v>16935.847</v>
      </c>
      <c r="U286" s="25">
        <f>INDEX('Inputs (2)'!$D$26:$AL$26,MATCH(U$7,'Inputs (2)'!$D$2:$AL$2,0))</f>
        <v>16811.576</v>
      </c>
      <c r="V286" s="25">
        <f>INDEX('Inputs (2)'!$D$26:$AL$26,MATCH(V$7,'Inputs (2)'!$D$2:$AL$2,0))</f>
        <v>16867.443</v>
      </c>
      <c r="W286" s="3">
        <f>V286</f>
        <v>16867.443</v>
      </c>
      <c r="X286" s="25">
        <f>INDEX('Inputs (2)'!$D$26:$AL$26,MATCH(X$7,'Inputs (2)'!$D$2:$AL$2,0))</f>
        <v>17070.163</v>
      </c>
      <c r="Y286" s="25">
        <f>INDEX('Inputs (2)'!$D$26:$AL$26,MATCH(Y$7,'Inputs (2)'!$D$2:$AL$2,0))</f>
        <v>17257.875</v>
      </c>
      <c r="Z286" s="25">
        <f>INDEX('Inputs (2)'!$D$26:$AL$26,MATCH(Z$7,'Inputs (2)'!$D$2:$AL$2,0))</f>
        <v>17366.792</v>
      </c>
      <c r="AA286" s="25">
        <f>INDEX('Inputs (2)'!$D$26:$AL$26,MATCH(AA$7,'Inputs (2)'!$D$2:$AL$2,0))</f>
        <v>17591.584</v>
      </c>
      <c r="AB286" s="3">
        <f>AA286</f>
        <v>17591.584</v>
      </c>
      <c r="AC286" s="25">
        <f>INDEX('Inputs (2)'!$D$26:$AL$26,MATCH(AC$7,'Inputs (2)'!$D$2:$AL$2,0))</f>
        <v>17962.67</v>
      </c>
      <c r="AD286" s="25">
        <f>INDEX('Inputs (2)'!$D$26:$AL$26,MATCH(AD$7,'Inputs (2)'!$D$2:$AL$2,0))</f>
        <v>18037.717</v>
      </c>
      <c r="AE286" s="25">
        <f>INDEX('Inputs (2)'!$D$26:$AL$26,MATCH(AE$7,'Inputs (2)'!$D$2:$AL$2,0))</f>
        <v>18301.008</v>
      </c>
      <c r="AF286" s="25">
        <f>INDEX('Inputs (2)'!$D$26:$AL$26,MATCH(AF$7,'Inputs (2)'!$D$2:$AL$2,0))</f>
        <v>18572.04</v>
      </c>
      <c r="AG286" s="3">
        <f>AF286</f>
        <v>18572.04</v>
      </c>
      <c r="AH286" s="3">
        <f>INDEX('Inputs (2)'!$D$26:$AL$26,MATCH(AH$7,'Inputs (2)'!$D$2:$AL$2,0))</f>
        <v>18838.683</v>
      </c>
      <c r="AI286" s="3">
        <f>INDEX('Inputs (2)'!$D$26:$AL$26,MATCH(AI$7,'Inputs (2)'!$D$2:$AL$2,0))</f>
        <v>19206.814</v>
      </c>
      <c r="AJ286" s="3">
        <f>AI286</f>
        <v>19206.814</v>
      </c>
      <c r="AK286" s="3">
        <f>AJ286</f>
        <v>19206.814</v>
      </c>
      <c r="AL286" s="3">
        <f>AK286</f>
        <v>19206.814</v>
      </c>
      <c r="AM286" s="3">
        <f>AL286</f>
        <v>19206.814</v>
      </c>
      <c r="AN286" s="3">
        <f>AM286</f>
        <v>19206.814</v>
      </c>
      <c r="AO286" s="3">
        <f>AN286</f>
        <v>19206.814</v>
      </c>
      <c r="AP286" s="3">
        <f>AO286</f>
        <v>19206.814</v>
      </c>
      <c r="AQ286" s="3">
        <f>AP286</f>
        <v>19206.814</v>
      </c>
      <c r="AR286" s="3">
        <f>AQ286</f>
        <v>19206.814</v>
      </c>
      <c r="AS286" s="3">
        <f>AR286</f>
        <v>19206.814</v>
      </c>
      <c r="AT286" s="3">
        <f>AS286</f>
        <v>19206.814</v>
      </c>
      <c r="AU286" s="3">
        <f>AT286</f>
        <v>19206.814</v>
      </c>
      <c r="AV286" s="3">
        <f>AU286</f>
        <v>19206.814</v>
      </c>
      <c r="AW286" s="3">
        <f>AV286</f>
        <v>19206.814</v>
      </c>
      <c r="AX286" s="3">
        <f>AW286</f>
        <v>19206.814</v>
      </c>
      <c r="AY286" s="3">
        <f>AX286</f>
        <v>19206.814</v>
      </c>
      <c r="AZ286" s="3">
        <f>AY286</f>
        <v>19206.814</v>
      </c>
      <c r="BA286" s="3">
        <f>AZ286</f>
        <v>19206.814</v>
      </c>
      <c r="BB286" s="3">
        <f>BA286</f>
        <v>19206.814</v>
      </c>
      <c r="BC286" s="3">
        <f>BB286</f>
        <v>19206.814</v>
      </c>
      <c r="BD286" s="3">
        <f>BC286</f>
        <v>19206.814</v>
      </c>
      <c r="BE286" s="3">
        <f>BD286</f>
        <v>19206.814</v>
      </c>
      <c r="BF286" s="3">
        <f>BE286</f>
        <v>19206.814</v>
      </c>
      <c r="BG286" s="3">
        <f>BF286</f>
        <v>19206.814</v>
      </c>
      <c r="BH286" s="3">
        <f>BG286</f>
        <v>19206.814</v>
      </c>
      <c r="BI286" s="3">
        <f>BH286</f>
        <v>19206.814</v>
      </c>
      <c r="BJ286" s="3">
        <f>BI286</f>
        <v>19206.814</v>
      </c>
      <c r="BK286" s="3">
        <f>BJ286</f>
        <v>19206.814</v>
      </c>
      <c r="BL286" s="3">
        <f>BK286</f>
        <v>19206.814</v>
      </c>
      <c r="BM286" s="3">
        <f>BL286</f>
        <v>19206.814</v>
      </c>
      <c r="BN286" s="3">
        <f>BM286</f>
        <v>19206.814</v>
      </c>
      <c r="BO286" s="3">
        <f>BN286</f>
        <v>19206.814</v>
      </c>
      <c r="BP286" s="3">
        <f>BO286</f>
        <v>19206.814</v>
      </c>
      <c r="BQ286" s="3">
        <f>BP286</f>
        <v>19206.814</v>
      </c>
      <c r="BR286" s="3">
        <f>BQ286</f>
        <v>19206.814</v>
      </c>
      <c r="BS286" s="3">
        <f>BR286</f>
        <v>19206.814</v>
      </c>
      <c r="BT286" s="3">
        <f>BS286</f>
        <v>19206.814</v>
      </c>
      <c r="BU286" s="3">
        <f>BT286</f>
        <v>19206.814</v>
      </c>
      <c r="BV286" s="3">
        <f>BU286</f>
        <v>19206.814</v>
      </c>
      <c r="BW286" s="3">
        <f>BV286</f>
        <v>19206.814</v>
      </c>
      <c r="BX286" s="3">
        <f>BW286</f>
        <v>19206.814</v>
      </c>
      <c r="BY286" s="3">
        <f>BX286</f>
        <v>19206.814</v>
      </c>
      <c r="BZ286" s="3">
        <f>BY286</f>
        <v>19206.814</v>
      </c>
      <c r="CA286" s="3">
        <f>BZ286</f>
        <v>19206.814</v>
      </c>
      <c r="CB286" s="3">
        <f>CA286</f>
        <v>19206.814</v>
      </c>
      <c r="CC286" s="3">
        <f>CB286</f>
        <v>19206.814</v>
      </c>
      <c r="CD286" s="3">
        <f>CC286</f>
        <v>19206.814</v>
      </c>
      <c r="CE286" s="3">
        <f>CD286</f>
        <v>19206.814</v>
      </c>
      <c r="CF286" s="3">
        <f>CE286</f>
        <v>19206.814</v>
      </c>
      <c r="CG286" s="3">
        <f>CF286</f>
        <v>19206.814</v>
      </c>
      <c r="CH286" s="3">
        <f>CG286</f>
        <v>19206.814</v>
      </c>
      <c r="CI286" s="3">
        <f>CH286</f>
        <v>19206.814</v>
      </c>
      <c r="CJ286" s="3">
        <f>CI286</f>
        <v>19206.814</v>
      </c>
      <c r="CK286" s="3">
        <f>CJ286</f>
        <v>19206.814</v>
      </c>
      <c r="CL286" s="3">
        <f>CK286</f>
        <v>19206.814</v>
      </c>
      <c r="CM286" s="3">
        <f>CL286</f>
        <v>19206.814</v>
      </c>
      <c r="CN286" s="3">
        <f>CM286</f>
        <v>19206.814</v>
      </c>
      <c r="CO286" s="3">
        <f>CN286</f>
        <v>19206.814</v>
      </c>
      <c r="CP286" s="3">
        <f>CO286</f>
        <v>19206.814</v>
      </c>
      <c r="CQ286" s="3">
        <f>CP286</f>
        <v>19206.814</v>
      </c>
      <c r="CR286" s="3">
        <f>CQ286</f>
        <v>19206.814</v>
      </c>
      <c r="CS286" s="3">
        <f>CR286</f>
        <v>19206.814</v>
      </c>
      <c r="CT286" s="3">
        <f>CS286</f>
        <v>19206.814</v>
      </c>
      <c r="CU286" s="3">
        <f>CT286</f>
        <v>19206.814</v>
      </c>
      <c r="CV286" s="3">
        <f>CU286</f>
        <v>19206.814</v>
      </c>
      <c r="CW286" s="3">
        <f>CV286</f>
        <v>19206.814</v>
      </c>
      <c r="CX286" s="3">
        <f>CW286</f>
        <v>19206.814</v>
      </c>
      <c r="CY286" s="3">
        <f>CX286</f>
        <v>19206.814</v>
      </c>
    </row>
    <row r="287" hidden="1" outlineLevel="1">
      <c r="C287" s="38" t="inlineStr">
        <is>
          <t>%(Var.)</t>
        </is>
      </c>
      <c r="D287" s="3" t="n"/>
      <c r="E287" s="47">
        <f>(E286-D286)/D286</f>
        <v>0.0739400638350416</v>
      </c>
      <c r="F287" s="47">
        <f>(F286-E286)/E286</f>
        <v>0.0952570565293849</v>
      </c>
      <c r="G287" s="47">
        <f>(G286-F286)/F286</f>
        <v>0.150930751659844</v>
      </c>
      <c r="H287" s="3" t="n"/>
      <c r="I287" s="47">
        <f>(I286-H286)/H286</f>
        <v>0.068653796849332</v>
      </c>
      <c r="J287" s="47">
        <f>(J286-I286)/I286</f>
        <v>0.0565233587092704</v>
      </c>
      <c r="K287" s="47">
        <f>(K286-J286)/J286</f>
        <v>0.0347239173267472</v>
      </c>
      <c r="L287" s="47">
        <f>(L286-K286)/K286</f>
        <v>0.027615321119985</v>
      </c>
      <c r="M287" s="3" t="n"/>
      <c r="N287" s="47">
        <f>(N286-M286)/M286</f>
        <v>0.0257524541727704</v>
      </c>
      <c r="O287" s="47">
        <f>(O286-N286)/N286</f>
        <v>0.0170469831972998</v>
      </c>
      <c r="P287" s="47">
        <f>(P286-O286)/O286</f>
        <v>-0.0067067999789368</v>
      </c>
      <c r="Q287" s="47">
        <f>(Q286-P286)/P286</f>
        <v>-0.0019361526414369</v>
      </c>
      <c r="R287" s="3" t="n"/>
      <c r="S287" s="47">
        <f>(S286-R286)/R286</f>
        <v>0.0232632491461518</v>
      </c>
      <c r="T287" s="47">
        <f>(T286-S286)/S286</f>
        <v>-0.0111161683324843</v>
      </c>
      <c r="U287" s="47">
        <f>(U286-T286)/T286</f>
        <v>-0.00733774933134437</v>
      </c>
      <c r="V287" s="47">
        <f>(V286-U286)/U286</f>
        <v>0.00332312687400624</v>
      </c>
      <c r="W287" s="3" t="n"/>
      <c r="X287" s="47">
        <f>(X286-W286)/W286</f>
        <v>0.0120184191522094</v>
      </c>
      <c r="Y287" s="47">
        <f>(Y286-X286)/X286</f>
        <v>0.0109964972214971</v>
      </c>
      <c r="Z287" s="47">
        <f>(Z286-Y286)/Y286</f>
        <v>0.00631114780933307</v>
      </c>
      <c r="AA287" s="47">
        <f>(AA286-Z286)/Z286</f>
        <v>0.0129437837454379</v>
      </c>
      <c r="AB287" s="3" t="n"/>
      <c r="AC287" s="47">
        <f>(AC286-AB286)/AB286</f>
        <v>0.0210945188335515</v>
      </c>
      <c r="AD287" s="47">
        <f>(AD286-AC286)/AC286</f>
        <v>0.00417794236602903</v>
      </c>
      <c r="AE287" s="47">
        <f>(AE286-AD286)/AD286</f>
        <v>0.0145966920314805</v>
      </c>
      <c r="AF287" s="218">
        <f>(AF286-AE286)/AE286</f>
        <v>0.0148096760571876</v>
      </c>
      <c r="AG287" s="3" t="n"/>
      <c r="AH287" s="218">
        <f>(AH286-AG286)/AG286</f>
        <v>0.0143572273159007</v>
      </c>
      <c r="AI287" s="218">
        <f>(AI286-AH286)/AH286</f>
        <v>0.0195412280147185</v>
      </c>
      <c r="AJ287" s="218" t="n"/>
      <c r="AK287" s="218" t="n"/>
      <c r="AL287" s="3" t="n"/>
      <c r="AM287" s="218" t="n"/>
      <c r="AN287" s="218" t="n"/>
      <c r="AO287" s="218" t="n"/>
      <c r="AP287" s="218" t="n"/>
      <c r="AQ287" s="3" t="n"/>
      <c r="AR287" s="218" t="n"/>
      <c r="AS287" s="218" t="n"/>
      <c r="AT287" s="218" t="n"/>
      <c r="AU287" s="218" t="n"/>
      <c r="AV287" s="3" t="n"/>
      <c r="AW287" s="218" t="n"/>
      <c r="AX287" s="218" t="n"/>
      <c r="AY287" s="218" t="n"/>
      <c r="AZ287" s="218" t="n"/>
      <c r="BA287" s="3" t="n"/>
      <c r="BB287" s="218" t="n"/>
      <c r="BC287" s="218" t="n"/>
      <c r="BD287" s="218" t="n"/>
      <c r="BE287" s="218" t="n"/>
      <c r="BF287" s="3" t="n"/>
      <c r="BG287" s="218" t="n"/>
      <c r="BH287" s="218" t="n"/>
      <c r="BI287" s="218" t="n"/>
      <c r="BJ287" s="218" t="n"/>
      <c r="BK287" s="3" t="n"/>
      <c r="BL287" s="218" t="n"/>
      <c r="BM287" s="218" t="n"/>
      <c r="BN287" s="218" t="n"/>
      <c r="BO287" s="218" t="n"/>
      <c r="BP287" s="3" t="n"/>
      <c r="BQ287" s="218" t="n"/>
      <c r="BR287" s="218" t="n"/>
      <c r="BS287" s="218" t="n"/>
      <c r="BT287" s="218" t="n"/>
      <c r="BU287" s="3" t="n"/>
      <c r="BV287" s="218" t="n"/>
      <c r="BW287" s="218" t="n"/>
      <c r="BX287" s="218" t="n"/>
      <c r="BY287" s="218" t="n"/>
      <c r="BZ287" s="3" t="n"/>
      <c r="CA287" s="218" t="n"/>
      <c r="CB287" s="218" t="n"/>
      <c r="CC287" s="218" t="n"/>
      <c r="CD287" s="218" t="n"/>
      <c r="CE287" s="3" t="n"/>
      <c r="CF287" s="218" t="n"/>
      <c r="CG287" s="218" t="n"/>
      <c r="CH287" s="218" t="n"/>
      <c r="CI287" s="218" t="n"/>
      <c r="CJ287" s="3" t="n"/>
      <c r="CK287" s="218" t="n"/>
      <c r="CL287" s="218" t="n"/>
      <c r="CM287" s="218" t="n"/>
      <c r="CN287" s="218" t="n"/>
      <c r="CO287" s="3" t="n"/>
      <c r="CP287" s="218" t="n"/>
      <c r="CQ287" s="218" t="n"/>
      <c r="CR287" s="218" t="n"/>
      <c r="CS287" s="218" t="n"/>
      <c r="CT287" s="3" t="n"/>
      <c r="CU287" s="218" t="n"/>
      <c r="CV287" s="218" t="n"/>
      <c r="CW287" s="218" t="n"/>
      <c r="CX287" s="218" t="n"/>
      <c r="CY287" s="3" t="n"/>
    </row>
    <row r="288" hidden="1" outlineLevel="1">
      <c r="C288" s="34" t="n"/>
      <c r="D288" s="3" t="n"/>
      <c r="E288" s="47" t="n"/>
      <c r="F288" s="47" t="n"/>
      <c r="G288" s="47" t="n"/>
      <c r="H288" s="3" t="n"/>
      <c r="I288" s="47" t="n"/>
      <c r="J288" s="47" t="n"/>
      <c r="K288" s="47" t="n"/>
      <c r="L288" s="47" t="n"/>
      <c r="M288" s="3" t="n"/>
      <c r="N288" s="47" t="n"/>
      <c r="O288" s="47" t="n"/>
      <c r="P288" s="47" t="n"/>
      <c r="Q288" s="47" t="n"/>
      <c r="R288" s="3" t="n"/>
      <c r="S288" s="47" t="n"/>
      <c r="T288" s="47" t="n"/>
      <c r="U288" s="47" t="n"/>
      <c r="V288" s="47" t="n"/>
      <c r="W288" s="3" t="n"/>
      <c r="X288" s="47" t="n"/>
      <c r="Y288" s="47" t="n"/>
      <c r="Z288" s="47" t="n"/>
      <c r="AA288" s="47" t="n"/>
      <c r="AB288" s="3" t="n"/>
      <c r="AC288" s="47" t="n"/>
      <c r="AD288" s="47" t="n"/>
      <c r="AE288" s="47" t="n"/>
      <c r="AF288" s="218" t="n"/>
      <c r="AG288" s="3" t="n"/>
      <c r="AH288" s="218" t="n"/>
      <c r="AI288" s="218" t="n"/>
      <c r="AJ288" s="218" t="n"/>
      <c r="AK288" s="218" t="n"/>
      <c r="AL288" s="3" t="n"/>
      <c r="AM288" s="218" t="n"/>
      <c r="AN288" s="218" t="n"/>
      <c r="AO288" s="218" t="n"/>
      <c r="AP288" s="218" t="n"/>
      <c r="AQ288" s="3" t="n"/>
      <c r="AR288" s="218" t="n"/>
      <c r="AS288" s="218" t="n"/>
      <c r="AT288" s="218" t="n"/>
      <c r="AU288" s="218" t="n"/>
      <c r="AV288" s="3" t="n"/>
      <c r="AW288" s="218" t="n"/>
      <c r="AX288" s="218" t="n"/>
      <c r="AY288" s="218" t="n"/>
      <c r="AZ288" s="218" t="n"/>
      <c r="BA288" s="3" t="n"/>
      <c r="BB288" s="218" t="n"/>
      <c r="BC288" s="218" t="n"/>
      <c r="BD288" s="218" t="n"/>
      <c r="BE288" s="218" t="n"/>
      <c r="BF288" s="3" t="n"/>
      <c r="BG288" s="218" t="n"/>
      <c r="BH288" s="218" t="n"/>
      <c r="BI288" s="218" t="n"/>
      <c r="BJ288" s="218" t="n"/>
      <c r="BK288" s="3" t="n"/>
      <c r="BL288" s="218" t="n"/>
      <c r="BM288" s="218" t="n"/>
      <c r="BN288" s="218" t="n"/>
      <c r="BO288" s="218" t="n"/>
      <c r="BP288" s="3" t="n"/>
      <c r="BQ288" s="218" t="n"/>
      <c r="BR288" s="218" t="n"/>
      <c r="BS288" s="218" t="n"/>
      <c r="BT288" s="218" t="n"/>
      <c r="BU288" s="3" t="n"/>
      <c r="BV288" s="218" t="n"/>
      <c r="BW288" s="218" t="n"/>
      <c r="BX288" s="218" t="n"/>
      <c r="BY288" s="218" t="n"/>
      <c r="BZ288" s="3" t="n"/>
      <c r="CA288" s="218" t="n"/>
      <c r="CB288" s="218" t="n"/>
      <c r="CC288" s="218" t="n"/>
      <c r="CD288" s="218" t="n"/>
      <c r="CE288" s="3" t="n"/>
      <c r="CF288" s="218" t="n"/>
      <c r="CG288" s="218" t="n"/>
      <c r="CH288" s="218" t="n"/>
      <c r="CI288" s="218" t="n"/>
      <c r="CJ288" s="3" t="n"/>
      <c r="CK288" s="218" t="n"/>
      <c r="CL288" s="218" t="n"/>
      <c r="CM288" s="218" t="n"/>
      <c r="CN288" s="218" t="n"/>
      <c r="CO288" s="3" t="n"/>
      <c r="CP288" s="218" t="n"/>
      <c r="CQ288" s="218" t="n"/>
      <c r="CR288" s="218" t="n"/>
      <c r="CS288" s="218" t="n"/>
      <c r="CT288" s="3" t="n"/>
      <c r="CU288" s="218" t="n"/>
      <c r="CV288" s="218" t="n"/>
      <c r="CW288" s="218" t="n"/>
      <c r="CX288" s="218" t="n"/>
      <c r="CY288" s="3" t="n"/>
    </row>
    <row r="289" hidden="1" outlineLevel="1">
      <c r="C289" s="52" t="inlineStr">
        <is>
          <t>Outros Créditos - LP</t>
        </is>
      </c>
      <c r="D289" s="6" t="n"/>
      <c r="E289" s="6" t="n"/>
      <c r="F289" s="6" t="n"/>
      <c r="G289" s="6" t="n"/>
      <c r="H289" s="3" t="n"/>
      <c r="I289" s="6" t="n"/>
      <c r="J289" s="6" t="n"/>
      <c r="K289" s="6" t="n"/>
      <c r="L289" s="6" t="n"/>
      <c r="M289" s="3" t="n"/>
      <c r="N289" s="6" t="n"/>
      <c r="O289" s="6" t="n"/>
      <c r="P289" s="6" t="n"/>
      <c r="Q289" s="6" t="n"/>
      <c r="R289" s="3" t="n"/>
      <c r="S289" s="6" t="n"/>
      <c r="T289" s="6" t="n"/>
      <c r="U289" s="6" t="n"/>
      <c r="V289" s="6" t="n"/>
      <c r="W289" s="3" t="n"/>
      <c r="X289" s="6" t="n"/>
      <c r="Y289" s="6" t="n"/>
      <c r="Z289" s="6" t="n"/>
      <c r="AA289" s="6" t="n"/>
      <c r="AB289" s="3" t="n"/>
      <c r="AC289" s="6" t="n"/>
      <c r="AD289" s="6" t="n"/>
      <c r="AE289" s="6" t="n"/>
      <c r="AF289" s="6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  <c r="CG289" s="3" t="n"/>
      <c r="CH289" s="3" t="n"/>
      <c r="CI289" s="3" t="n"/>
      <c r="CJ289" s="3" t="n"/>
      <c r="CK289" s="3" t="n"/>
      <c r="CL289" s="3" t="n"/>
      <c r="CM289" s="3" t="n"/>
      <c r="CN289" s="3" t="n"/>
      <c r="CO289" s="3" t="n"/>
      <c r="CP289" s="3" t="n"/>
      <c r="CQ289" s="3" t="n"/>
      <c r="CR289" s="3" t="n"/>
      <c r="CS289" s="3" t="n"/>
      <c r="CT289" s="3" t="n"/>
      <c r="CU289" s="3" t="n"/>
      <c r="CV289" s="3" t="n"/>
      <c r="CW289" s="3" t="n"/>
      <c r="CX289" s="3" t="n"/>
      <c r="CY289" s="3" t="n"/>
    </row>
    <row r="290" hidden="1" outlineLevel="1">
      <c r="C290" s="52" t="inlineStr">
        <is>
          <t xml:space="preserve">Impostos e Contribuições a Recuperar </t>
        </is>
      </c>
      <c r="D290" s="6" t="n"/>
      <c r="E290" s="6" t="n"/>
      <c r="F290" s="6" t="n"/>
      <c r="G290" s="6" t="n"/>
      <c r="H290" s="3" t="n"/>
      <c r="I290" s="6" t="n"/>
      <c r="J290" s="6" t="n"/>
      <c r="K290" s="6" t="n"/>
      <c r="L290" s="6" t="n"/>
      <c r="M290" s="3" t="n"/>
      <c r="N290" s="6" t="n"/>
      <c r="O290" s="6" t="n"/>
      <c r="P290" s="6" t="n"/>
      <c r="Q290" s="6" t="n"/>
      <c r="R290" s="3" t="n"/>
      <c r="S290" s="6" t="n"/>
      <c r="T290" s="6" t="n"/>
      <c r="U290" s="6" t="n"/>
      <c r="V290" s="6" t="n"/>
      <c r="W290" s="3" t="n"/>
      <c r="X290" s="6" t="n"/>
      <c r="Y290" s="6" t="n"/>
      <c r="Z290" s="6" t="n"/>
      <c r="AA290" s="6" t="n"/>
      <c r="AB290" s="3" t="n"/>
      <c r="AC290" s="6" t="n"/>
      <c r="AD290" s="6" t="n"/>
      <c r="AE290" s="6" t="n"/>
      <c r="AF290" s="6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  <c r="CG290" s="3" t="n"/>
      <c r="CH290" s="3" t="n"/>
      <c r="CI290" s="3" t="n"/>
      <c r="CJ290" s="3" t="n"/>
      <c r="CK290" s="3" t="n"/>
      <c r="CL290" s="3" t="n"/>
      <c r="CM290" s="3" t="n"/>
      <c r="CN290" s="3" t="n"/>
      <c r="CO290" s="3" t="n"/>
      <c r="CP290" s="3" t="n"/>
      <c r="CQ290" s="3" t="n"/>
      <c r="CR290" s="3" t="n"/>
      <c r="CS290" s="3" t="n"/>
      <c r="CT290" s="3" t="n"/>
      <c r="CU290" s="3" t="n"/>
      <c r="CV290" s="3" t="n"/>
      <c r="CW290" s="3" t="n"/>
      <c r="CX290" s="3" t="n"/>
      <c r="CY290" s="3" t="n"/>
    </row>
    <row r="291" hidden="1" outlineLevel="1">
      <c r="C291" s="52" t="inlineStr">
        <is>
          <t xml:space="preserve">Imposto de Renda e Contribuição Social Diferidos </t>
        </is>
      </c>
      <c r="D291" s="6" t="n"/>
      <c r="E291" s="6" t="n"/>
      <c r="F291" s="6" t="n"/>
      <c r="G291" s="6" t="n"/>
      <c r="H291" s="3" t="n"/>
      <c r="I291" s="6" t="n"/>
      <c r="J291" s="6" t="n"/>
      <c r="K291" s="6" t="n"/>
      <c r="L291" s="6" t="n"/>
      <c r="M291" s="3" t="n"/>
      <c r="N291" s="6" t="n"/>
      <c r="O291" s="6" t="n"/>
      <c r="P291" s="6" t="n"/>
      <c r="Q291" s="6" t="n"/>
      <c r="R291" s="3" t="n"/>
      <c r="S291" s="6" t="n"/>
      <c r="T291" s="6" t="n"/>
      <c r="U291" s="6" t="n"/>
      <c r="V291" s="6" t="n"/>
      <c r="W291" s="3" t="n"/>
      <c r="X291" s="6" t="n"/>
      <c r="Y291" s="6" t="n"/>
      <c r="Z291" s="6" t="n"/>
      <c r="AA291" s="6" t="n"/>
      <c r="AB291" s="3" t="n"/>
      <c r="AC291" s="6" t="n"/>
      <c r="AD291" s="6" t="n"/>
      <c r="AE291" s="6" t="n"/>
      <c r="AF291" s="6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  <c r="CG291" s="3" t="n"/>
      <c r="CH291" s="3" t="n"/>
      <c r="CI291" s="3" t="n"/>
      <c r="CJ291" s="3" t="n"/>
      <c r="CK291" s="3" t="n"/>
      <c r="CL291" s="3" t="n"/>
      <c r="CM291" s="3" t="n"/>
      <c r="CN291" s="3" t="n"/>
      <c r="CO291" s="3" t="n"/>
      <c r="CP291" s="3" t="n"/>
      <c r="CQ291" s="3" t="n"/>
      <c r="CR291" s="3" t="n"/>
      <c r="CS291" s="3" t="n"/>
      <c r="CT291" s="3" t="n"/>
      <c r="CU291" s="3" t="n"/>
      <c r="CV291" s="3" t="n"/>
      <c r="CW291" s="3" t="n"/>
      <c r="CX291" s="3" t="n"/>
      <c r="CY291" s="3" t="n"/>
    </row>
    <row r="292" hidden="1" outlineLevel="1">
      <c r="C292" s="52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  <c r="CG292" s="3" t="n"/>
      <c r="CH292" s="3" t="n"/>
      <c r="CI292" s="3" t="n"/>
      <c r="CJ292" s="3" t="n"/>
      <c r="CK292" s="3" t="n"/>
      <c r="CL292" s="3" t="n"/>
      <c r="CM292" s="3" t="n"/>
      <c r="CN292" s="3" t="n"/>
      <c r="CO292" s="3" t="n"/>
      <c r="CP292" s="3" t="n"/>
      <c r="CQ292" s="3" t="n"/>
      <c r="CR292" s="3" t="n"/>
      <c r="CS292" s="3" t="n"/>
      <c r="CT292" s="3" t="n"/>
      <c r="CU292" s="3" t="n"/>
      <c r="CV292" s="3" t="n"/>
      <c r="CW292" s="3" t="n"/>
      <c r="CX292" s="3" t="n"/>
      <c r="CY292" s="3" t="n"/>
    </row>
    <row r="293" hidden="1" outlineLevel="1">
      <c r="C293" s="34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  <c r="CG293" s="3" t="n"/>
      <c r="CH293" s="3" t="n"/>
      <c r="CI293" s="3" t="n"/>
      <c r="CJ293" s="3" t="n"/>
      <c r="CK293" s="3" t="n"/>
      <c r="CL293" s="3" t="n"/>
      <c r="CM293" s="3" t="n"/>
      <c r="CN293" s="3" t="n"/>
      <c r="CO293" s="3" t="n"/>
      <c r="CP293" s="3" t="n"/>
      <c r="CQ293" s="3" t="n"/>
      <c r="CR293" s="3" t="n"/>
      <c r="CS293" s="3" t="n"/>
      <c r="CT293" s="3" t="n"/>
      <c r="CU293" s="3" t="n"/>
      <c r="CV293" s="3" t="n"/>
      <c r="CW293" s="3" t="n"/>
      <c r="CX293" s="3" t="n"/>
      <c r="CY293" s="3" t="n"/>
    </row>
    <row r="294" collapsed="1" customFormat="1" s="17">
      <c r="A294" s="13" t="n"/>
      <c r="B294" s="1" t="n"/>
      <c r="C294" s="14" t="inlineStr">
        <is>
          <t>Total Assets</t>
        </is>
      </c>
      <c r="D294" s="16">
        <f>(D241+D242+D246+D250+D251+D252+D258+D263+D273+D276+D277+D286)</f>
        <v>19920.48</v>
      </c>
      <c r="E294" s="16">
        <f>(E241+E242+E246+E250+E251+E252+E258+E263+E273+E276+E277+E286)</f>
        <v>20001.628</v>
      </c>
      <c r="F294" s="16">
        <f>(F241+F242+F246+F250+F251+F252+F258+F263+F273+F276+F277+F286)</f>
        <v>20829.411</v>
      </c>
      <c r="G294" s="16">
        <f>(G241+G242+G246+G250+G251+G252+G258+G263+G273+G276+G277+G286)</f>
        <v>22576.51</v>
      </c>
      <c r="H294" s="16">
        <f>SUM(H241,H242,H246,H250,H251,H252,H258,H273,H276,H277,H286,H263)</f>
        <v>22576.51</v>
      </c>
      <c r="I294" s="16">
        <f>(I241+I242+I246+I250+I251+I252+I258+I263+I273+I276+I277+I286)</f>
        <v>23533.967</v>
      </c>
      <c r="J294" s="16">
        <f>(J241+J242+J246+J250+J251+J252+J258+J263+J273+J276+J277+J286)</f>
        <v>24087.847</v>
      </c>
      <c r="K294" s="16">
        <f>(K241+K242+K246+K250+K251+K252+K258+K263+K273+K276+K277+K286)</f>
        <v>24502.26</v>
      </c>
      <c r="L294" s="16">
        <f>(L241+L242+L246+L250+L251+L252+L258+L263+L273+L276+L277+L286)</f>
        <v>25746.452</v>
      </c>
      <c r="M294" s="16">
        <f>SUM(M241,M242,M246,M250,M251,M252,M258,M273,M276,M277,M286,M263)</f>
        <v>25746.452</v>
      </c>
      <c r="N294" s="16">
        <f>(N241+N242+N246+N250+N251+N252+N258+N263+N273+N276+N277+N286)</f>
        <v>26561.051</v>
      </c>
      <c r="O294" s="16">
        <f>(O241+O242+O246+O250+O251+O252+O258+O263+O273+O276+O277+O286)</f>
        <v>27196.461</v>
      </c>
      <c r="P294" s="16">
        <f>(P241+P242+P246+P250+P251+P252+P258+P263+P273+P276+P277+P286)</f>
        <v>27384.16</v>
      </c>
      <c r="Q294" s="16">
        <f>(Q241+Q242+Q246+Q250+Q251+Q252+Q258+Q263+Q273+Q276+Q277+Q286)</f>
        <v>27933.759</v>
      </c>
      <c r="R294" s="16">
        <f>SUM(R241,R242,R246,R250,R251,R252,R258,R273,R276,R277,R286,R263)</f>
        <v>27933.759</v>
      </c>
      <c r="S294" s="16">
        <f>(S241+S242+S246+S250+S251+S252+S258+S263+S273+S276+S277+S286)</f>
        <v>28614.717</v>
      </c>
      <c r="T294" s="16">
        <f>(T241+T242+T246+T250+T251+T252+T258+T263+T273+T276+T277+T286)</f>
        <v>28111.995</v>
      </c>
      <c r="U294" s="16">
        <f>(U241+U242+U246+U250+U251+U252+U258+U263+U273+U276+U277+U286)</f>
        <v>28272.649</v>
      </c>
      <c r="V294" s="16">
        <f>(V241+V242+V246+V250+V251+V252+V258+V263+V273+V276+V277+V286)</f>
        <v>28436.081</v>
      </c>
      <c r="W294" s="16">
        <f>SUM(W241,W242,W246,W250,W251,W252,W258,W273,W276,W277,W286,W263)</f>
        <v>28436.081</v>
      </c>
      <c r="X294" s="16">
        <f>(X241+X242+X246+X250+X251+X252+X258+X263+X273+X276+X277+X286)</f>
        <v>28895.903</v>
      </c>
      <c r="Y294" s="16">
        <f>(Y241+Y242+Y246+Y250+Y251+Y252+Y258+Y263+Y273+Y276+Y277+Y286)</f>
        <v>30088.771</v>
      </c>
      <c r="Z294" s="16">
        <f>(Z241+Z242+Z246+Z250+Z251+Z252+Z258+Z263+Z273+Z276+Z277+Z286)</f>
        <v>30002.997</v>
      </c>
      <c r="AA294" s="16">
        <f>(AA241+AA242+AA246+AA250+AA251+AA252+AA258+AA263+AA273+AA276+AA277+AA286)</f>
        <v>30689.036</v>
      </c>
      <c r="AB294" s="16">
        <f>SUM(AB241,AB242,AB246,AB250,AB251,AB252,AB258,AB273,AB276,AB277,AB286,AB263)</f>
        <v>30689.036</v>
      </c>
      <c r="AC294" s="16">
        <f>(AC241+AC242+AC246+AC250+AC251+AC252+AC258+AC263+AC273+AC276+AC277+AC286)</f>
        <v>31173.683</v>
      </c>
      <c r="AD294" s="16">
        <f>(AD241+AD242+AD246+AD250+AD251+AD252+AD258+AD263+AD273+AD276+AD277+AD286)</f>
        <v>31208.599</v>
      </c>
      <c r="AE294" s="16">
        <f>(AE241+AE242+AE246+AE250+AE251+AE252+AE258+AE263+AE273+AE276+AE277+AE286)</f>
        <v>31477.777</v>
      </c>
      <c r="AF294" s="16">
        <f>(AF241+AF242+AF246+AF250+AF251+AF252+AF258+AF263+AF273+AF276+AF277+AF286)</f>
        <v>32114.316</v>
      </c>
      <c r="AG294" s="16">
        <f>SUM(AG241,AG242,AG246,AG250,AG251,AG252,AG258,AG273,AG276,AG277,AG286,AG263)</f>
        <v>32114.316</v>
      </c>
      <c r="AH294" s="16">
        <f>(AH241+AH242+AH246+AH250+AH251+AH252+AH258+AH263+AH273+AH276+AH277+AH286)</f>
        <v>34341.802</v>
      </c>
      <c r="AI294" s="16">
        <f>(AI241+AI242+AI246+AI250+AI251+AI252+AI258+AI263+AI273+AI276+AI277+AI286)</f>
        <v>35449.091</v>
      </c>
      <c r="AJ294" s="16">
        <f>(AJ241+AJ242+AJ246+AJ250+AJ251+AJ252+AJ258+AJ263+AJ273+AJ276+AJ277+AJ286)</f>
        <v>35268.986</v>
      </c>
      <c r="AK294" s="16">
        <f>(AK241+AK242+AK246+AK250+AK251+AK252+AK258+AK263+AK273+AK276+AK277+AK286)</f>
        <v>35430.369</v>
      </c>
      <c r="AL294" s="16">
        <f>SUM(AL241,AL242,AL246,AL250,AL251,AL252,AL258,AL273,AL276,AL277,AL286,AL263)</f>
        <v>35430.369</v>
      </c>
      <c r="AM294" s="16" t="e">
        <f>(AM241+AM242+AM246+AM250+AM251+AM252+AM258+AM263+AM273+AM276+AM277+AM286)</f>
        <v>#DIV/0!</v>
      </c>
      <c r="AN294" s="16" t="e">
        <f>(AN241+AN242+AN246+AN250+AN251+AN252+AN258+AN263+AN273+AN276+AN277+AN286)</f>
        <v>#DIV/0!</v>
      </c>
      <c r="AO294" s="16" t="e">
        <f>(AO241+AO242+AO246+AO250+AO251+AO252+AO258+AO263+AO273+AO276+AO277+AO286)</f>
        <v>#DIV/0!</v>
      </c>
      <c r="AP294" s="16" t="e">
        <f>(AP241+AP242+AP246+AP250+AP251+AP252+AP258+AP263+AP273+AP276+AP277+AP286)</f>
        <v>#DIV/0!</v>
      </c>
      <c r="AQ294" s="16" t="e">
        <f>SUM(AQ241,AQ242,AQ246,AQ250,AQ251,AQ252,AQ258,AQ273,AQ276,AQ277,AQ286,AQ263)</f>
        <v>#DIV/0!</v>
      </c>
      <c r="AR294" s="16" t="e">
        <f>(AR241+AR242+AR246+AR250+AR251+AR252+AR258+AR263+AR273+AR276+AR277+AR286)</f>
        <v>#DIV/0!</v>
      </c>
      <c r="AS294" s="16" t="e">
        <f>(AS241+AS242+AS246+AS250+AS251+AS252+AS258+AS263+AS273+AS276+AS277+AS286)</f>
        <v>#DIV/0!</v>
      </c>
      <c r="AT294" s="16" t="e">
        <f>(AT241+AT242+AT246+AT250+AT251+AT252+AT258+AT263+AT273+AT276+AT277+AT286)</f>
        <v>#DIV/0!</v>
      </c>
      <c r="AU294" s="16" t="e">
        <f>(AU241+AU242+AU246+AU250+AU251+AU252+AU258+AU263+AU273+AU276+AU277+AU286)</f>
        <v>#DIV/0!</v>
      </c>
      <c r="AV294" s="16" t="e">
        <f>SUM(AV241,AV242,AV246,AV250,AV251,AV252,AV258,AV273,AV276,AV277,AV286,AV263)</f>
        <v>#DIV/0!</v>
      </c>
      <c r="AW294" s="16" t="e">
        <f>(AW241+AW242+AW246+AW250+AW251+AW252+AW258+AW263+AW273+AW276+AW277+AW286)</f>
        <v>#DIV/0!</v>
      </c>
      <c r="AX294" s="16" t="e">
        <f>(AX241+AX242+AX246+AX250+AX251+AX252+AX258+AX263+AX273+AX276+AX277+AX286)</f>
        <v>#DIV/0!</v>
      </c>
      <c r="AY294" s="16" t="e">
        <f>(AY241+AY242+AY246+AY250+AY251+AY252+AY258+AY263+AY273+AY276+AY277+AY286)</f>
        <v>#DIV/0!</v>
      </c>
      <c r="AZ294" s="16" t="e">
        <f>(AZ241+AZ242+AZ246+AZ250+AZ251+AZ252+AZ258+AZ263+AZ273+AZ276+AZ277+AZ286)</f>
        <v>#DIV/0!</v>
      </c>
      <c r="BA294" s="16" t="e">
        <f>SUM(BA241,BA242,BA246,BA250,BA251,BA252,BA258,BA273,BA276,BA277,BA286,BA263)</f>
        <v>#DIV/0!</v>
      </c>
      <c r="BB294" s="16" t="e">
        <f>(BB241+BB242+BB246+BB250+BB251+BB252+BB258+BB263+BB273+BB276+BB277+BB286)</f>
        <v>#DIV/0!</v>
      </c>
      <c r="BC294" s="16" t="e">
        <f>(BC241+BC242+BC246+BC250+BC251+BC252+BC258+BC263+BC273+BC276+BC277+BC286)</f>
        <v>#DIV/0!</v>
      </c>
      <c r="BD294" s="16" t="e">
        <f>(BD241+BD242+BD246+BD250+BD251+BD252+BD258+BD263+BD273+BD276+BD277+BD286)</f>
        <v>#DIV/0!</v>
      </c>
      <c r="BE294" s="16" t="e">
        <f>(BE241+BE242+BE246+BE250+BE251+BE252+BE258+BE263+BE273+BE276+BE277+BE286)</f>
        <v>#DIV/0!</v>
      </c>
      <c r="BF294" s="16" t="e">
        <f>SUM(BF241,BF242,BF246,BF250,BF251,BF252,BF258,BF273,BF276,BF277,BF286,BF263)</f>
        <v>#DIV/0!</v>
      </c>
      <c r="BG294" s="16" t="e">
        <f>(BG241+BG242+BG246+BG250+BG251+BG252+BG258+BG263+BG273+BG276+BG277+BG286)</f>
        <v>#DIV/0!</v>
      </c>
      <c r="BH294" s="16" t="e">
        <f>(BH241+BH242+BH246+BH250+BH251+BH252+BH258+BH263+BH273+BH276+BH277+BH286)</f>
        <v>#DIV/0!</v>
      </c>
      <c r="BI294" s="16" t="e">
        <f>(BI241+BI242+BI246+BI250+BI251+BI252+BI258+BI263+BI273+BI276+BI277+BI286)</f>
        <v>#DIV/0!</v>
      </c>
      <c r="BJ294" s="16" t="e">
        <f>(BJ241+BJ242+BJ246+BJ250+BJ251+BJ252+BJ258+BJ263+BJ273+BJ276+BJ277+BJ286)</f>
        <v>#DIV/0!</v>
      </c>
      <c r="BK294" s="16" t="e">
        <f>SUM(BK241,BK242,BK246,BK250,BK251,BK252,BK258,BK273,BK276,BK277,BK286,BK263)</f>
        <v>#DIV/0!</v>
      </c>
      <c r="BL294" s="16" t="e">
        <f>(BL241+BL242+BL246+BL250+BL251+BL252+BL258+BL263+BL273+BL276+BL277+BL286)</f>
        <v>#DIV/0!</v>
      </c>
      <c r="BM294" s="16" t="e">
        <f>(BM241+BM242+BM246+BM250+BM251+BM252+BM258+BM263+BM273+BM276+BM277+BM286)</f>
        <v>#DIV/0!</v>
      </c>
      <c r="BN294" s="16" t="e">
        <f>(BN241+BN242+BN246+BN250+BN251+BN252+BN258+BN263+BN273+BN276+BN277+BN286)</f>
        <v>#DIV/0!</v>
      </c>
      <c r="BO294" s="16" t="e">
        <f>(BO241+BO242+BO246+BO250+BO251+BO252+BO258+BO263+BO273+BO276+BO277+BO286)</f>
        <v>#DIV/0!</v>
      </c>
      <c r="BP294" s="16" t="e">
        <f>SUM(BP241,BP242,BP246,BP250,BP251,BP252,BP258,BP273,BP276,BP277,BP286,BP263)</f>
        <v>#DIV/0!</v>
      </c>
      <c r="BQ294" s="16" t="e">
        <f>(BQ241+BQ242+BQ246+BQ250+BQ251+BQ252+BQ258+BQ263+BQ273+BQ276+BQ277+BQ286)</f>
        <v>#DIV/0!</v>
      </c>
      <c r="BR294" s="16" t="e">
        <f>(BR241+BR242+BR246+BR250+BR251+BR252+BR258+BR263+BR273+BR276+BR277+BR286)</f>
        <v>#DIV/0!</v>
      </c>
      <c r="BS294" s="16" t="e">
        <f>(BS241+BS242+BS246+BS250+BS251+BS252+BS258+BS263+BS273+BS276+BS277+BS286)</f>
        <v>#DIV/0!</v>
      </c>
      <c r="BT294" s="16" t="e">
        <f>(BT241+BT242+BT246+BT250+BT251+BT252+BT258+BT263+BT273+BT276+BT277+BT286)</f>
        <v>#DIV/0!</v>
      </c>
      <c r="BU294" s="16" t="e">
        <f>SUM(BU241,BU242,BU246,BU250,BU251,BU252,BU258,BU273,BU276,BU277,BU286,BU263)</f>
        <v>#DIV/0!</v>
      </c>
      <c r="BV294" s="16" t="e">
        <f>(BV241+BV242+BV246+BV250+BV251+BV252+BV258+BV263+BV273+BV276+BV277+BV286)</f>
        <v>#DIV/0!</v>
      </c>
      <c r="BW294" s="16" t="e">
        <f>(BW241+BW242+BW246+BW250+BW251+BW252+BW258+BW263+BW273+BW276+BW277+BW286)</f>
        <v>#DIV/0!</v>
      </c>
      <c r="BX294" s="16" t="e">
        <f>(BX241+BX242+BX246+BX250+BX251+BX252+BX258+BX263+BX273+BX276+BX277+BX286)</f>
        <v>#DIV/0!</v>
      </c>
      <c r="BY294" s="16" t="e">
        <f>(BY241+BY242+BY246+BY250+BY251+BY252+BY258+BY263+BY273+BY276+BY277+BY286)</f>
        <v>#DIV/0!</v>
      </c>
      <c r="BZ294" s="16" t="e">
        <f>SUM(BZ241,BZ242,BZ246,BZ250,BZ251,BZ252,BZ258,BZ273,BZ276,BZ277,BZ286,BZ263)</f>
        <v>#DIV/0!</v>
      </c>
      <c r="CA294" s="16" t="e">
        <f>(CA241+CA242+CA246+CA250+CA251+CA252+CA258+CA263+CA273+CA276+CA277+CA286)</f>
        <v>#DIV/0!</v>
      </c>
      <c r="CB294" s="16" t="e">
        <f>(CB241+CB242+CB246+CB250+CB251+CB252+CB258+CB263+CB273+CB276+CB277+CB286)</f>
        <v>#DIV/0!</v>
      </c>
      <c r="CC294" s="16" t="e">
        <f>(CC241+CC242+CC246+CC250+CC251+CC252+CC258+CC263+CC273+CC276+CC277+CC286)</f>
        <v>#DIV/0!</v>
      </c>
      <c r="CD294" s="16" t="e">
        <f>(CD241+CD242+CD246+CD250+CD251+CD252+CD258+CD263+CD273+CD276+CD277+CD286)</f>
        <v>#DIV/0!</v>
      </c>
      <c r="CE294" s="16" t="e">
        <f>SUM(CE241,CE242,CE246,CE250,CE251,CE252,CE258,CE273,CE276,CE277,CE286,CE263)</f>
        <v>#DIV/0!</v>
      </c>
      <c r="CF294" s="16" t="e">
        <f>(CF241+CF242+CF246+CF250+CF251+CF252+CF258+CF263+CF273+CF276+CF277+CF286)</f>
        <v>#DIV/0!</v>
      </c>
      <c r="CG294" s="16" t="e">
        <f>(CG241+CG242+CG246+CG250+CG251+CG252+CG258+CG263+CG273+CG276+CG277+CG286)</f>
        <v>#DIV/0!</v>
      </c>
      <c r="CH294" s="16" t="e">
        <f>(CH241+CH242+CH246+CH250+CH251+CH252+CH258+CH263+CH273+CH276+CH277+CH286)</f>
        <v>#DIV/0!</v>
      </c>
      <c r="CI294" s="16" t="e">
        <f>(CI241+CI242+CI246+CI250+CI251+CI252+CI258+CI263+CI273+CI276+CI277+CI286)</f>
        <v>#DIV/0!</v>
      </c>
      <c r="CJ294" s="16" t="e">
        <f>SUM(CJ241,CJ242,CJ246,CJ250,CJ251,CJ252,CJ258,CJ273,CJ276,CJ277,CJ286,CJ263)</f>
        <v>#DIV/0!</v>
      </c>
      <c r="CK294" s="16" t="e">
        <f>(CK241+CK242+CK246+CK250+CK251+CK252+CK258+CK263+CK273+CK276+CK277+CK286)</f>
        <v>#DIV/0!</v>
      </c>
      <c r="CL294" s="16" t="e">
        <f>(CL241+CL242+CL246+CL250+CL251+CL252+CL258+CL263+CL273+CL276+CL277+CL286)</f>
        <v>#DIV/0!</v>
      </c>
      <c r="CM294" s="16" t="e">
        <f>(CM241+CM242+CM246+CM250+CM251+CM252+CM258+CM263+CM273+CM276+CM277+CM286)</f>
        <v>#DIV/0!</v>
      </c>
      <c r="CN294" s="16" t="e">
        <f>(CN241+CN242+CN246+CN250+CN251+CN252+CN258+CN263+CN273+CN276+CN277+CN286)</f>
        <v>#DIV/0!</v>
      </c>
      <c r="CO294" s="16" t="e">
        <f>SUM(CO241,CO242,CO246,CO250,CO251,CO252,CO258,CO273,CO276,CO277,CO286,CO263)</f>
        <v>#DIV/0!</v>
      </c>
      <c r="CP294" s="16" t="e">
        <f>(CP241+CP242+CP246+CP250+CP251+CP252+CP258+CP263+CP273+CP276+CP277+CP286)</f>
        <v>#DIV/0!</v>
      </c>
      <c r="CQ294" s="16" t="e">
        <f>(CQ241+CQ242+CQ246+CQ250+CQ251+CQ252+CQ258+CQ263+CQ273+CQ276+CQ277+CQ286)</f>
        <v>#DIV/0!</v>
      </c>
      <c r="CR294" s="16" t="e">
        <f>(CR241+CR242+CR246+CR250+CR251+CR252+CR258+CR263+CR273+CR276+CR277+CR286)</f>
        <v>#DIV/0!</v>
      </c>
      <c r="CS294" s="16" t="e">
        <f>(CS241+CS242+CS246+CS250+CS251+CS252+CS258+CS263+CS273+CS276+CS277+CS286)</f>
        <v>#DIV/0!</v>
      </c>
      <c r="CT294" s="16" t="e">
        <f>SUM(CT241,CT242,CT246,CT250,CT251,CT252,CT258,CT273,CT276,CT277,CT286,CT263)</f>
        <v>#DIV/0!</v>
      </c>
      <c r="CU294" s="16" t="e">
        <f>(CU241+CU242+CU246+CU250+CU251+CU252+CU258+CU263+CU273+CU276+CU277+CU286)</f>
        <v>#DIV/0!</v>
      </c>
      <c r="CV294" s="16" t="e">
        <f>(CV241+CV242+CV246+CV250+CV251+CV252+CV258+CV263+CV273+CV276+CV277+CV286)</f>
        <v>#DIV/0!</v>
      </c>
      <c r="CW294" s="16" t="e">
        <f>(CW241+CW242+CW246+CW250+CW251+CW252+CW258+CW263+CW273+CW276+CW277+CW286)</f>
        <v>#DIV/0!</v>
      </c>
      <c r="CX294" s="16" t="e">
        <f>(CX241+CX242+CX246+CX250+CX251+CX252+CX258+CX263+CX273+CX276+CX277+CX286)</f>
        <v>#DIV/0!</v>
      </c>
      <c r="CY294" s="16" t="e">
        <f>SUM(CY241,CY242,CY246,CY250,CY251,CY252,CY258,CY273,CY276,CY277,CY286,CY263)</f>
        <v>#DIV/0!</v>
      </c>
    </row>
    <row r="295">
      <c r="C295" s="26" t="inlineStr">
        <is>
          <t>Accounts payable</t>
        </is>
      </c>
      <c r="D295" s="25">
        <f>INDEX('Inputs (2)'!$D$28:$AL$28,MATCH(D$7,'Inputs (2)'!$D$2:$AL$2,0))</f>
        <v>342.367</v>
      </c>
      <c r="E295" s="25">
        <f>INDEX('Inputs (2)'!$D$28:$AL$28,MATCH(E$7,'Inputs (2)'!$D$2:$AL$2,0))</f>
        <v>360.587</v>
      </c>
      <c r="F295" s="25">
        <f>INDEX('Inputs (2)'!$D$28:$AL$28,MATCH(F$7,'Inputs (2)'!$D$2:$AL$2,0))</f>
        <v>366.682</v>
      </c>
      <c r="G295" s="25">
        <f>INDEX('Inputs (2)'!$D$28:$AL$28,MATCH(G$7,'Inputs (2)'!$D$2:$AL$2,0))</f>
        <v>385.127</v>
      </c>
      <c r="H295" s="3">
        <f>G295</f>
        <v>385.127</v>
      </c>
      <c r="I295" s="25">
        <f>INDEX('Inputs (2)'!$D$28:$AL$28,MATCH(I$7,'Inputs (2)'!$D$2:$AL$2,0))</f>
        <v>196.576</v>
      </c>
      <c r="J295" s="25">
        <f>INDEX('Inputs (2)'!$D$28:$AL$28,MATCH(J$7,'Inputs (2)'!$D$2:$AL$2,0))</f>
        <v>245.687</v>
      </c>
      <c r="K295" s="25">
        <f>INDEX('Inputs (2)'!$D$28:$AL$28,MATCH(K$7,'Inputs (2)'!$D$2:$AL$2,0))</f>
        <v>217.738</v>
      </c>
      <c r="L295" s="25">
        <f>INDEX('Inputs (2)'!$D$28:$AL$28,MATCH(L$7,'Inputs (2)'!$D$2:$AL$2,0))</f>
        <v>203.987</v>
      </c>
      <c r="M295" s="3">
        <f>L295</f>
        <v>203.987</v>
      </c>
      <c r="N295" s="25">
        <f>INDEX('Inputs (2)'!$D$28:$AL$28,MATCH(N$7,'Inputs (2)'!$D$2:$AL$2,0))</f>
        <v>460.822</v>
      </c>
      <c r="O295" s="25">
        <f>INDEX('Inputs (2)'!$D$28:$AL$28,MATCH(O$7,'Inputs (2)'!$D$2:$AL$2,0))</f>
        <v>195.507</v>
      </c>
      <c r="P295" s="25">
        <f>INDEX('Inputs (2)'!$D$28:$AL$28,MATCH(P$7,'Inputs (2)'!$D$2:$AL$2,0))</f>
        <v>299.81</v>
      </c>
      <c r="Q295" s="25">
        <f>INDEX('Inputs (2)'!$D$28:$AL$28,MATCH(Q$7,'Inputs (2)'!$D$2:$AL$2,0))</f>
        <v>239.119</v>
      </c>
      <c r="R295" s="3">
        <f>Q295</f>
        <v>239.119</v>
      </c>
      <c r="S295" s="25">
        <f>INDEX('Inputs (2)'!$D$28:$AL$28,MATCH(S$7,'Inputs (2)'!$D$2:$AL$2,0))</f>
        <v>193.047</v>
      </c>
      <c r="T295" s="25">
        <f>INDEX('Inputs (2)'!$D$28:$AL$28,MATCH(T$7,'Inputs (2)'!$D$2:$AL$2,0))</f>
        <v>183.047</v>
      </c>
      <c r="U295" s="25">
        <f>INDEX('Inputs (2)'!$D$28:$AL$28,MATCH(U$7,'Inputs (2)'!$D$2:$AL$2,0))</f>
        <v>173.733</v>
      </c>
      <c r="V295" s="25">
        <f>INDEX('Inputs (2)'!$D$28:$AL$28,MATCH(V$7,'Inputs (2)'!$D$2:$AL$2,0))</f>
        <v>191.62</v>
      </c>
      <c r="W295" s="3">
        <f>V295</f>
        <v>191.62</v>
      </c>
      <c r="X295" s="25">
        <f>INDEX('Inputs (2)'!$D$28:$AL$28,MATCH(X$7,'Inputs (2)'!$D$2:$AL$2,0))</f>
        <v>189.72</v>
      </c>
      <c r="Y295" s="25">
        <f>INDEX('Inputs (2)'!$D$28:$AL$28,MATCH(Y$7,'Inputs (2)'!$D$2:$AL$2,0))</f>
        <v>185.821</v>
      </c>
      <c r="Z295" s="25">
        <f>INDEX('Inputs (2)'!$D$28:$AL$28,MATCH(Z$7,'Inputs (2)'!$D$2:$AL$2,0))</f>
        <v>182.751</v>
      </c>
      <c r="AA295" s="25">
        <f>INDEX('Inputs (2)'!$D$28:$AL$28,MATCH(AA$7,'Inputs (2)'!$D$2:$AL$2,0))</f>
        <v>195.371</v>
      </c>
      <c r="AB295" s="3">
        <f>AA295</f>
        <v>195.371</v>
      </c>
      <c r="AC295" s="25">
        <f>INDEX('Inputs (2)'!$D$28:$AL$28,MATCH(AC$7,'Inputs (2)'!$D$2:$AL$2,0))</f>
        <v>219.347</v>
      </c>
      <c r="AD295" s="25">
        <f>INDEX('Inputs (2)'!$D$28:$AL$28,MATCH(AD$7,'Inputs (2)'!$D$2:$AL$2,0))</f>
        <v>211.938</v>
      </c>
      <c r="AE295" s="25">
        <f>INDEX('Inputs (2)'!$D$28:$AL$28,MATCH(AE$7,'Inputs (2)'!$D$2:$AL$2,0))</f>
        <v>157.703</v>
      </c>
      <c r="AF295" s="25">
        <f>INDEX('Inputs (2)'!$D$28:$AL$28,MATCH(AF$7,'Inputs (2)'!$D$2:$AL$2,0))</f>
        <v>190.734</v>
      </c>
      <c r="AG295" s="3">
        <f>AF295</f>
        <v>190.734</v>
      </c>
      <c r="AH295" s="3">
        <f>INDEX('Inputs (2)'!$D$28:$AL$28,MATCH(AH$7,'Inputs (2)'!$D$2:$AL$2,0))</f>
        <v>290.279</v>
      </c>
      <c r="AI295" s="3">
        <f>INDEX('Inputs (2)'!$D$28:$AL$28,MATCH(AI$7,'Inputs (2)'!$D$2:$AL$2,0))</f>
        <v>306.514</v>
      </c>
      <c r="AJ295" s="3">
        <f>(AJ296/(AJ$5-AI$5))*-AJ151</f>
        <v>0</v>
      </c>
      <c r="AK295" s="3">
        <f>(AK296/(AK$5-AJ$5))*-AK151</f>
        <v>0</v>
      </c>
      <c r="AL295" s="3">
        <f>AK295</f>
        <v>0</v>
      </c>
      <c r="AM295" s="3">
        <f>(AM296/(AM$5-AL$5))*-AM151</f>
        <v>0</v>
      </c>
      <c r="AN295" s="3">
        <f>(AN296/(AN$5-AM$5))*-AN151</f>
        <v>0</v>
      </c>
      <c r="AO295" s="3">
        <f>(AO296/(AO$5-AN$5))*-AO151</f>
        <v>0</v>
      </c>
      <c r="AP295" s="3">
        <f>(AP296/(AP$5-AO$5))*-AP151</f>
        <v>0</v>
      </c>
      <c r="AQ295" s="3">
        <f>AP295</f>
        <v>0</v>
      </c>
      <c r="AR295" s="3">
        <f>(AR296/(AR$5-AQ$5))*-AR151</f>
        <v>0</v>
      </c>
      <c r="AS295" s="3">
        <f>(AS296/(AS$5-AR$5))*-AS151</f>
        <v>0</v>
      </c>
      <c r="AT295" s="3">
        <f>(AT296/(AT$5-AS$5))*-AT151</f>
        <v>0</v>
      </c>
      <c r="AU295" s="3">
        <f>(AU296/(AU$5-AT$5))*-AU151</f>
        <v>0</v>
      </c>
      <c r="AV295" s="3">
        <f>AU295</f>
        <v>0</v>
      </c>
      <c r="AW295" s="3">
        <f>(AW296/(AW$5-AV$5))*-AW151</f>
        <v>0</v>
      </c>
      <c r="AX295" s="3">
        <f>(AX296/(AX$5-AW$5))*-AX151</f>
        <v>0</v>
      </c>
      <c r="AY295" s="3">
        <f>(AY296/(AY$5-AX$5))*-AY151</f>
        <v>0</v>
      </c>
      <c r="AZ295" s="3">
        <f>(AZ296/(AZ$5-AY$5))*-AZ151</f>
        <v>0</v>
      </c>
      <c r="BA295" s="3">
        <f>AZ295</f>
        <v>0</v>
      </c>
      <c r="BB295" s="3">
        <f>(BB296/(BB$5-BA$5))*-BB151</f>
        <v>0</v>
      </c>
      <c r="BC295" s="3">
        <f>(BC296/(BC$5-BB$5))*-BC151</f>
        <v>0</v>
      </c>
      <c r="BD295" s="3">
        <f>(BD296/(BD$5-BC$5))*-BD151</f>
        <v>0</v>
      </c>
      <c r="BE295" s="3">
        <f>(BE296/(BE$5-BD$5))*-BE151</f>
        <v>0</v>
      </c>
      <c r="BF295" s="3">
        <f>BE295</f>
        <v>0</v>
      </c>
      <c r="BG295" s="3">
        <f>(BG296/(BG$5-BF$5))*-BG151</f>
        <v>0</v>
      </c>
      <c r="BH295" s="3">
        <f>(BH296/(BH$5-BG$5))*-BH151</f>
        <v>0</v>
      </c>
      <c r="BI295" s="3">
        <f>(BI296/(BI$5-BH$5))*-BI151</f>
        <v>0</v>
      </c>
      <c r="BJ295" s="3">
        <f>(BJ296/(BJ$5-BI$5))*-BJ151</f>
        <v>0</v>
      </c>
      <c r="BK295" s="3">
        <f>BJ295</f>
        <v>0</v>
      </c>
      <c r="BL295" s="3">
        <f>(BL296/(BL$5-BK$5))*-BL151</f>
        <v>0</v>
      </c>
      <c r="BM295" s="3">
        <f>(BM296/(BM$5-BL$5))*-BM151</f>
        <v>0</v>
      </c>
      <c r="BN295" s="3">
        <f>(BN296/(BN$5-BM$5))*-BN151</f>
        <v>0</v>
      </c>
      <c r="BO295" s="3">
        <f>(BO296/(BO$5-BN$5))*-BO151</f>
        <v>0</v>
      </c>
      <c r="BP295" s="3">
        <f>BO295</f>
        <v>0</v>
      </c>
      <c r="BQ295" s="3">
        <f>(BQ296/(BQ$5-BP$5))*-BQ151</f>
        <v>0</v>
      </c>
      <c r="BR295" s="3">
        <f>(BR296/(BR$5-BQ$5))*-BR151</f>
        <v>0</v>
      </c>
      <c r="BS295" s="3">
        <f>(BS296/(BS$5-BR$5))*-BS151</f>
        <v>0</v>
      </c>
      <c r="BT295" s="3">
        <f>(BT296/(BT$5-BS$5))*-BT151</f>
        <v>0</v>
      </c>
      <c r="BU295" s="3">
        <f>BT295</f>
        <v>0</v>
      </c>
      <c r="BV295" s="3">
        <f>(BV296/(BV$5-BU$5))*-BV151</f>
        <v>0</v>
      </c>
      <c r="BW295" s="3">
        <f>(BW296/(BW$5-BV$5))*-BW151</f>
        <v>0</v>
      </c>
      <c r="BX295" s="3">
        <f>(BX296/(BX$5-BW$5))*-BX151</f>
        <v>0</v>
      </c>
      <c r="BY295" s="3">
        <f>(BY296/(BY$5-BX$5))*-BY151</f>
        <v>0</v>
      </c>
      <c r="BZ295" s="3">
        <f>BY295</f>
        <v>0</v>
      </c>
      <c r="CA295" s="3">
        <f>(CA296/(CA$5-BZ$5))*-CA151</f>
        <v>0</v>
      </c>
      <c r="CB295" s="3">
        <f>(CB296/(CB$5-CA$5))*-CB151</f>
        <v>0</v>
      </c>
      <c r="CC295" s="3">
        <f>(CC296/(CC$5-CB$5))*-CC151</f>
        <v>0</v>
      </c>
      <c r="CD295" s="3">
        <f>(CD296/(CD$5-CC$5))*-CD151</f>
        <v>0</v>
      </c>
      <c r="CE295" s="3">
        <f>CD295</f>
        <v>0</v>
      </c>
      <c r="CF295" s="3">
        <f>(CF296/(CF$5-CE$5))*-CF151</f>
        <v>0</v>
      </c>
      <c r="CG295" s="3">
        <f>(CG296/(CG$5-CF$5))*-CG151</f>
        <v>0</v>
      </c>
      <c r="CH295" s="3">
        <f>(CH296/(CH$5-CG$5))*-CH151</f>
        <v>0</v>
      </c>
      <c r="CI295" s="3">
        <f>(CI296/(CI$5-CH$5))*-CI151</f>
        <v>0</v>
      </c>
      <c r="CJ295" s="3">
        <f>CI295</f>
        <v>0</v>
      </c>
      <c r="CK295" s="3">
        <f>(CK296/(CK$5-CJ$5))*-CK151</f>
        <v>0</v>
      </c>
      <c r="CL295" s="3">
        <f>(CL296/(CL$5-CK$5))*-CL151</f>
        <v>0</v>
      </c>
      <c r="CM295" s="3">
        <f>(CM296/(CM$5-CL$5))*-CM151</f>
        <v>0</v>
      </c>
      <c r="CN295" s="3">
        <f>(CN296/(CN$5-CM$5))*-CN151</f>
        <v>0</v>
      </c>
      <c r="CO295" s="3">
        <f>CN295</f>
        <v>0</v>
      </c>
      <c r="CP295" s="3">
        <f>(CP296/(CP$5-CO$5))*-CP151</f>
        <v>0</v>
      </c>
      <c r="CQ295" s="3">
        <f>(CQ296/(CQ$5-CP$5))*-CQ151</f>
        <v>0</v>
      </c>
      <c r="CR295" s="3">
        <f>(CR296/(CR$5-CQ$5))*-CR151</f>
        <v>0</v>
      </c>
      <c r="CS295" s="3">
        <f>(CS296/(CS$5-CR$5))*-CS151</f>
        <v>0</v>
      </c>
      <c r="CT295" s="3">
        <f>CS295</f>
        <v>0</v>
      </c>
      <c r="CU295" s="3">
        <f>(CU296/(CU$5-CT$5))*-CU151</f>
        <v>0</v>
      </c>
      <c r="CV295" s="3">
        <f>(CV296/(CV$5-CU$5))*-CV151</f>
        <v>0</v>
      </c>
      <c r="CW295" s="3">
        <f>(CW296/(CW$5-CV$5))*-CW151</f>
        <v>0</v>
      </c>
      <c r="CX295" s="3">
        <f>(CX296/(CX$5-CW$5))*-CX151</f>
        <v>0</v>
      </c>
      <c r="CY295" s="3">
        <f>CX295</f>
        <v>0</v>
      </c>
    </row>
    <row r="296" hidden="1" outlineLevel="1">
      <c r="C296" s="34" t="inlineStr">
        <is>
          <t>DPO</t>
        </is>
      </c>
      <c r="D296" s="3" t="n"/>
      <c r="E296" s="3">
        <f>-(E295/E$151)*(E$5-D$5)</f>
        <v>56.9459876436083</v>
      </c>
      <c r="F296" s="3">
        <f>-(F295/F$151)*(F$5-E$5)</f>
        <v>45.4475257955567</v>
      </c>
      <c r="G296" s="3">
        <f>-(G295/G$151)*(G$5-F$5)</f>
        <v>52.4461634561016</v>
      </c>
      <c r="H296" s="3" t="n"/>
      <c r="I296" s="3">
        <f>-(I295/I$151)*(I$5-H$5)</f>
        <v>37.5596614249957</v>
      </c>
      <c r="J296" s="3">
        <f>-(J295/J$151)*(J$5-I$5)</f>
        <v>111.09104415316</v>
      </c>
      <c r="K296" s="3">
        <f>-(K295/K$151)*(K$5-J$5)</f>
        <v>69.7861186495591</v>
      </c>
      <c r="L296" s="3">
        <f>-(L295/L$151)*(L$5-K$5)</f>
        <v>61.3703383955317</v>
      </c>
      <c r="M296" s="3" t="n"/>
      <c r="N296" s="3">
        <f>-(N295/N$151)*(N$5-M$5)</f>
        <v>307.695583467494</v>
      </c>
      <c r="O296" s="3">
        <f>-(O295/O$151)*(O$5-N$5)</f>
        <v>143.903981169924</v>
      </c>
      <c r="P296" s="3">
        <f>-(P295/P$151)*(P$5-O$5)</f>
        <v>209.883881964419</v>
      </c>
      <c r="Q296" s="3">
        <f>-(Q295/Q$151)*(Q$5-P$5)</f>
        <v>136.576654208625</v>
      </c>
      <c r="R296" s="3" t="n"/>
      <c r="S296" s="3">
        <f>-(S295/S$151)*(S$5-R$5)</f>
        <v>107.435350424814</v>
      </c>
      <c r="T296" s="3">
        <f>-(T295/T$151)*(T$5-S$5)</f>
        <v>121.818931094502</v>
      </c>
      <c r="U296" s="3">
        <f>-(U295/U$151)*(U$5-T$5)</f>
        <v>98.8230100532961</v>
      </c>
      <c r="V296" s="3">
        <f>-(V295/V$151)*(V$5-U$5)</f>
        <v>92.933603943172</v>
      </c>
      <c r="W296" s="3" t="n"/>
      <c r="X296" s="3">
        <f>-(X295/X$151)*(X$5-W$5)</f>
        <v>102.661116727121</v>
      </c>
      <c r="Y296" s="3">
        <f>-(Y295/Y$151)*(Y$5-X$5)</f>
        <v>93.7147995433334</v>
      </c>
      <c r="Z296" s="3">
        <f>-(Z295/Z$151)*(Z$5-Y$5)</f>
        <v>68.0804991921736</v>
      </c>
      <c r="AA296" s="3">
        <f>-(AA295/AA$151)*(AA$5-Z$5)</f>
        <v>54.9079945012983</v>
      </c>
      <c r="AB296" s="3" t="n"/>
      <c r="AC296" s="3">
        <f>-(AC295/AC$151)*(AC$5-AB$5)</f>
        <v>66.8745384453824</v>
      </c>
      <c r="AD296" s="3">
        <f>-(AD295/AD$151)*(AD$5-AC$5)</f>
        <v>68.2446869493217</v>
      </c>
      <c r="AE296" s="3">
        <f>-(AE295/AE$151)*(AE$5-AD$5)</f>
        <v>59.0220244245743</v>
      </c>
      <c r="AF296" s="6">
        <f>-(AF295/AF$151)*(AF$5-AE$5)</f>
        <v>52.2339577485332</v>
      </c>
      <c r="AG296" s="3" t="n"/>
      <c r="AH296" s="6">
        <f>-(AH295/AH$151)*(AH$5-AG$5)</f>
        <v>63.8569951529995</v>
      </c>
      <c r="AI296" s="6">
        <f>-(AI295/AI$151)*(AI$5-AH$5)</f>
        <v>53.2126117945118</v>
      </c>
      <c r="AJ296" s="6" t="n"/>
      <c r="AK296" s="6" t="n"/>
      <c r="AL296" s="3" t="n"/>
      <c r="AM296" s="6" t="n"/>
      <c r="AN296" s="6" t="n"/>
      <c r="AO296" s="6" t="n"/>
      <c r="AP296" s="6" t="n"/>
      <c r="AQ296" s="3" t="n"/>
      <c r="AR296" s="6" t="n"/>
      <c r="AS296" s="6" t="n"/>
      <c r="AT296" s="6" t="n"/>
      <c r="AU296" s="6" t="n"/>
      <c r="AV296" s="3" t="n"/>
      <c r="AW296" s="6" t="n"/>
      <c r="AX296" s="6" t="n"/>
      <c r="AY296" s="6" t="n"/>
      <c r="AZ296" s="6" t="n"/>
      <c r="BA296" s="3" t="n"/>
      <c r="BB296" s="6" t="n"/>
      <c r="BC296" s="6" t="n"/>
      <c r="BD296" s="6" t="n"/>
      <c r="BE296" s="6" t="n"/>
      <c r="BF296" s="3" t="n"/>
      <c r="BG296" s="6" t="n"/>
      <c r="BH296" s="6" t="n"/>
      <c r="BI296" s="6" t="n"/>
      <c r="BJ296" s="6" t="n"/>
      <c r="BK296" s="3" t="n"/>
      <c r="BL296" s="6" t="n"/>
      <c r="BM296" s="6" t="n"/>
      <c r="BN296" s="6" t="n"/>
      <c r="BO296" s="6" t="n"/>
      <c r="BP296" s="3" t="n"/>
      <c r="BQ296" s="6" t="n"/>
      <c r="BR296" s="6" t="n"/>
      <c r="BS296" s="6" t="n"/>
      <c r="BT296" s="6" t="n"/>
      <c r="BU296" s="3" t="n"/>
      <c r="BV296" s="6" t="n"/>
      <c r="BW296" s="6" t="n"/>
      <c r="BX296" s="6" t="n"/>
      <c r="BY296" s="6" t="n"/>
      <c r="BZ296" s="3" t="n"/>
      <c r="CA296" s="6" t="n"/>
      <c r="CB296" s="6" t="n"/>
      <c r="CC296" s="6" t="n"/>
      <c r="CD296" s="6" t="n"/>
      <c r="CE296" s="3" t="n"/>
      <c r="CF296" s="6" t="n"/>
      <c r="CG296" s="6" t="n"/>
      <c r="CH296" s="6" t="n"/>
      <c r="CI296" s="6" t="n"/>
      <c r="CJ296" s="3" t="n"/>
      <c r="CK296" s="6" t="n"/>
      <c r="CL296" s="6" t="n"/>
      <c r="CM296" s="6" t="n"/>
      <c r="CN296" s="6" t="n"/>
      <c r="CO296" s="3" t="n"/>
      <c r="CP296" s="6" t="n"/>
      <c r="CQ296" s="6" t="n"/>
      <c r="CR296" s="6" t="n"/>
      <c r="CS296" s="6" t="n"/>
      <c r="CT296" s="3" t="n"/>
      <c r="CU296" s="6" t="n"/>
      <c r="CV296" s="6" t="n"/>
      <c r="CW296" s="6" t="n"/>
      <c r="CX296" s="6" t="n"/>
      <c r="CY296" s="3" t="n"/>
    </row>
    <row r="297" hidden="1" outlineLevel="1">
      <c r="C297" s="34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  <c r="CG297" s="3" t="n"/>
      <c r="CH297" s="3" t="n"/>
      <c r="CI297" s="3" t="n"/>
      <c r="CJ297" s="3" t="n"/>
      <c r="CK297" s="3" t="n"/>
      <c r="CL297" s="3" t="n"/>
      <c r="CM297" s="3" t="n"/>
      <c r="CN297" s="3" t="n"/>
      <c r="CO297" s="3" t="n"/>
      <c r="CP297" s="3" t="n"/>
      <c r="CQ297" s="3" t="n"/>
      <c r="CR297" s="3" t="n"/>
      <c r="CS297" s="3" t="n"/>
      <c r="CT297" s="3" t="n"/>
      <c r="CU297" s="3" t="n"/>
      <c r="CV297" s="3" t="n"/>
      <c r="CW297" s="3" t="n"/>
      <c r="CX297" s="3" t="n"/>
      <c r="CY297" s="3" t="n"/>
    </row>
    <row r="298" hidden="1" outlineLevel="1">
      <c r="C298" s="34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  <c r="CU298" s="3" t="n"/>
      <c r="CV298" s="3" t="n"/>
      <c r="CW298" s="3" t="n"/>
      <c r="CX298" s="3" t="n"/>
      <c r="CY298" s="3" t="n"/>
    </row>
    <row r="299" collapsed="1">
      <c r="C299" s="26" t="inlineStr">
        <is>
          <t>Accrued expenses</t>
        </is>
      </c>
      <c r="D299" s="25">
        <f>INDEX('Inputs (2)'!$D$29:$AL$29,MATCH(D$7,'Inputs (2)'!$D$2:$AL$2,0))</f>
        <v>38.585</v>
      </c>
      <c r="E299" s="25">
        <f>INDEX('Inputs (2)'!$D$29:$AL$29,MATCH(E$7,'Inputs (2)'!$D$2:$AL$2,0))</f>
        <v>30.365</v>
      </c>
      <c r="F299" s="25">
        <f>INDEX('Inputs (2)'!$D$29:$AL$29,MATCH(F$7,'Inputs (2)'!$D$2:$AL$2,0))</f>
        <v>35.269</v>
      </c>
      <c r="G299" s="25">
        <f>INDEX('Inputs (2)'!$D$29:$AL$29,MATCH(G$7,'Inputs (2)'!$D$2:$AL$2,0))</f>
        <v>57.783</v>
      </c>
      <c r="H299" s="3">
        <f>G299</f>
        <v>57.783</v>
      </c>
      <c r="I299" s="25">
        <f>INDEX('Inputs (2)'!$D$29:$AL$29,MATCH(I$7,'Inputs (2)'!$D$2:$AL$2,0))</f>
        <v>57.887</v>
      </c>
      <c r="J299" s="25">
        <f>INDEX('Inputs (2)'!$D$29:$AL$29,MATCH(J$7,'Inputs (2)'!$D$2:$AL$2,0))</f>
        <v>33.676</v>
      </c>
      <c r="K299" s="25">
        <f>INDEX('Inputs (2)'!$D$29:$AL$29,MATCH(K$7,'Inputs (2)'!$D$2:$AL$2,0))</f>
        <v>38.093</v>
      </c>
      <c r="L299" s="25">
        <f>INDEX('Inputs (2)'!$D$29:$AL$29,MATCH(L$7,'Inputs (2)'!$D$2:$AL$2,0))</f>
        <v>44.866</v>
      </c>
      <c r="M299" s="3">
        <f>L299</f>
        <v>44.866</v>
      </c>
      <c r="N299" s="25">
        <f>INDEX('Inputs (2)'!$D$29:$AL$29,MATCH(N$7,'Inputs (2)'!$D$2:$AL$2,0))</f>
        <v>49.435</v>
      </c>
      <c r="O299" s="25">
        <f>INDEX('Inputs (2)'!$D$29:$AL$29,MATCH(O$7,'Inputs (2)'!$D$2:$AL$2,0))</f>
        <v>37.285</v>
      </c>
      <c r="P299" s="25">
        <f>INDEX('Inputs (2)'!$D$29:$AL$29,MATCH(P$7,'Inputs (2)'!$D$2:$AL$2,0))</f>
        <v>40.193</v>
      </c>
      <c r="Q299" s="25">
        <f>INDEX('Inputs (2)'!$D$29:$AL$29,MATCH(Q$7,'Inputs (2)'!$D$2:$AL$2,0))</f>
        <v>45.325</v>
      </c>
      <c r="R299" s="3">
        <f>Q299</f>
        <v>45.325</v>
      </c>
      <c r="S299" s="25">
        <f>INDEX('Inputs (2)'!$D$29:$AL$29,MATCH(S$7,'Inputs (2)'!$D$2:$AL$2,0))</f>
        <v>51.044</v>
      </c>
      <c r="T299" s="25">
        <f>INDEX('Inputs (2)'!$D$29:$AL$29,MATCH(T$7,'Inputs (2)'!$D$2:$AL$2,0))</f>
        <v>38.889</v>
      </c>
      <c r="U299" s="25">
        <f>INDEX('Inputs (2)'!$D$29:$AL$29,MATCH(U$7,'Inputs (2)'!$D$2:$AL$2,0))</f>
        <v>46.145</v>
      </c>
      <c r="V299" s="25">
        <f>INDEX('Inputs (2)'!$D$29:$AL$29,MATCH(V$7,'Inputs (2)'!$D$2:$AL$2,0))</f>
        <v>45.654</v>
      </c>
      <c r="W299" s="3">
        <f>V299</f>
        <v>45.654</v>
      </c>
      <c r="X299" s="25">
        <f>INDEX('Inputs (2)'!$D$29:$AL$29,MATCH(X$7,'Inputs (2)'!$D$2:$AL$2,0))</f>
        <v>51.718</v>
      </c>
      <c r="Y299" s="25">
        <f>INDEX('Inputs (2)'!$D$29:$AL$29,MATCH(Y$7,'Inputs (2)'!$D$2:$AL$2,0))</f>
        <v>40.977</v>
      </c>
      <c r="Z299" s="25">
        <f>INDEX('Inputs (2)'!$D$29:$AL$29,MATCH(Z$7,'Inputs (2)'!$D$2:$AL$2,0))</f>
        <v>48.767</v>
      </c>
      <c r="AA299" s="25">
        <f>INDEX('Inputs (2)'!$D$29:$AL$29,MATCH(AA$7,'Inputs (2)'!$D$2:$AL$2,0))</f>
        <v>47.338</v>
      </c>
      <c r="AB299" s="3">
        <f>AA299</f>
        <v>47.338</v>
      </c>
      <c r="AC299" s="25">
        <f>INDEX('Inputs (2)'!$D$29:$AL$29,MATCH(AC$7,'Inputs (2)'!$D$2:$AL$2,0))</f>
        <v>53.835</v>
      </c>
      <c r="AD299" s="25">
        <f>INDEX('Inputs (2)'!$D$29:$AL$29,MATCH(AD$7,'Inputs (2)'!$D$2:$AL$2,0))</f>
        <v>47.121</v>
      </c>
      <c r="AE299" s="25">
        <f>INDEX('Inputs (2)'!$D$29:$AL$29,MATCH(AE$7,'Inputs (2)'!$D$2:$AL$2,0))</f>
        <v>51.61</v>
      </c>
      <c r="AF299" s="25">
        <f>INDEX('Inputs (2)'!$D$29:$AL$29,MATCH(AF$7,'Inputs (2)'!$D$2:$AL$2,0))</f>
        <v>47.332</v>
      </c>
      <c r="AG299" s="3">
        <f>AF299</f>
        <v>47.332</v>
      </c>
      <c r="AH299" s="3">
        <f>INDEX('Inputs (2)'!$D$29:$AL$29,MATCH(AH$7,'Inputs (2)'!$D$2:$AL$2,0))</f>
        <v>54.256</v>
      </c>
      <c r="AI299" s="3">
        <f>INDEX('Inputs (2)'!$D$29:$AL$29,MATCH(AI$7,'Inputs (2)'!$D$2:$AL$2,0))</f>
        <v>47.161</v>
      </c>
      <c r="AJ299" s="3">
        <f>AH299*AJ155/AH155</f>
        <v>0</v>
      </c>
      <c r="AK299" s="3">
        <f>AI299*AK155/AI155</f>
        <v>0</v>
      </c>
      <c r="AL299" s="3">
        <f>AK299</f>
        <v>0</v>
      </c>
      <c r="AM299" s="3" t="e">
        <f>AK299*AM155/AK155</f>
        <v>#DIV/0!</v>
      </c>
      <c r="AN299" s="3">
        <f>AL299*AN155/AL155</f>
        <v>0</v>
      </c>
      <c r="AO299" s="3" t="e">
        <f>AM299*AO155/AM155</f>
        <v>#DIV/0!</v>
      </c>
      <c r="AP299" s="3" t="e">
        <f>AN299*AP155/AN155</f>
        <v>#DIV/0!</v>
      </c>
      <c r="AQ299" s="3" t="e">
        <f>AP299</f>
        <v>#DIV/0!</v>
      </c>
      <c r="AR299" s="3" t="e">
        <f>AP299*AR155/AP155</f>
        <v>#DIV/0!</v>
      </c>
      <c r="AS299" s="3" t="e">
        <f>AQ299*AS155/AQ155</f>
        <v>#DIV/0!</v>
      </c>
      <c r="AT299" s="3" t="e">
        <f>AR299*AT155/AR155</f>
        <v>#DIV/0!</v>
      </c>
      <c r="AU299" s="3" t="e">
        <f>AS299*AU155/AS155</f>
        <v>#DIV/0!</v>
      </c>
      <c r="AV299" s="3" t="e">
        <f>AU299</f>
        <v>#DIV/0!</v>
      </c>
      <c r="AW299" s="3" t="e">
        <f>AU299*AW155/AU155</f>
        <v>#DIV/0!</v>
      </c>
      <c r="AX299" s="3" t="e">
        <f>AV299*AX155/AV155</f>
        <v>#DIV/0!</v>
      </c>
      <c r="AY299" s="3" t="e">
        <f>AW299*AY155/AW155</f>
        <v>#DIV/0!</v>
      </c>
      <c r="AZ299" s="3" t="e">
        <f>AX299*AZ155/AX155</f>
        <v>#DIV/0!</v>
      </c>
      <c r="BA299" s="3" t="e">
        <f>AZ299</f>
        <v>#DIV/0!</v>
      </c>
      <c r="BB299" s="3" t="e">
        <f>AZ299*BB155/AZ155</f>
        <v>#DIV/0!</v>
      </c>
      <c r="BC299" s="3" t="e">
        <f>BA299*BC155/BA155</f>
        <v>#DIV/0!</v>
      </c>
      <c r="BD299" s="3" t="e">
        <f>BB299*BD155/BB155</f>
        <v>#DIV/0!</v>
      </c>
      <c r="BE299" s="3" t="e">
        <f>BC299*BE155/BC155</f>
        <v>#DIV/0!</v>
      </c>
      <c r="BF299" s="3" t="e">
        <f>BE299</f>
        <v>#DIV/0!</v>
      </c>
      <c r="BG299" s="3" t="e">
        <f>BE299*BG155/BE155</f>
        <v>#DIV/0!</v>
      </c>
      <c r="BH299" s="3" t="e">
        <f>BF299*BH155/BF155</f>
        <v>#DIV/0!</v>
      </c>
      <c r="BI299" s="3" t="e">
        <f>BG299*BI155/BG155</f>
        <v>#DIV/0!</v>
      </c>
      <c r="BJ299" s="3" t="e">
        <f>BH299*BJ155/BH155</f>
        <v>#DIV/0!</v>
      </c>
      <c r="BK299" s="3" t="e">
        <f>BJ299</f>
        <v>#DIV/0!</v>
      </c>
      <c r="BL299" s="3" t="e">
        <f>BJ299*BL155/BJ155</f>
        <v>#DIV/0!</v>
      </c>
      <c r="BM299" s="3" t="e">
        <f>BK299*BM155/BK155</f>
        <v>#DIV/0!</v>
      </c>
      <c r="BN299" s="3" t="e">
        <f>BL299*BN155/BL155</f>
        <v>#DIV/0!</v>
      </c>
      <c r="BO299" s="3" t="e">
        <f>BM299*BO155/BM155</f>
        <v>#DIV/0!</v>
      </c>
      <c r="BP299" s="3" t="e">
        <f>BO299</f>
        <v>#DIV/0!</v>
      </c>
      <c r="BQ299" s="3" t="e">
        <f>BO299*BQ155/BO155</f>
        <v>#DIV/0!</v>
      </c>
      <c r="BR299" s="3" t="e">
        <f>BP299*BR155/BP155</f>
        <v>#DIV/0!</v>
      </c>
      <c r="BS299" s="3" t="e">
        <f>BQ299*BS155/BQ155</f>
        <v>#DIV/0!</v>
      </c>
      <c r="BT299" s="3" t="e">
        <f>BR299*BT155/BR155</f>
        <v>#DIV/0!</v>
      </c>
      <c r="BU299" s="3" t="e">
        <f>BT299</f>
        <v>#DIV/0!</v>
      </c>
      <c r="BV299" s="3" t="e">
        <f>BT299*BV155/BT155</f>
        <v>#DIV/0!</v>
      </c>
      <c r="BW299" s="3" t="e">
        <f>BU299*BW155/BU155</f>
        <v>#DIV/0!</v>
      </c>
      <c r="BX299" s="3" t="e">
        <f>BV299*BX155/BV155</f>
        <v>#DIV/0!</v>
      </c>
      <c r="BY299" s="3" t="e">
        <f>BW299*BY155/BW155</f>
        <v>#DIV/0!</v>
      </c>
      <c r="BZ299" s="3" t="e">
        <f>BY299</f>
        <v>#DIV/0!</v>
      </c>
      <c r="CA299" s="3" t="e">
        <f>BY299*CA155/BY155</f>
        <v>#DIV/0!</v>
      </c>
      <c r="CB299" s="3" t="e">
        <f>BZ299*CB155/BZ155</f>
        <v>#DIV/0!</v>
      </c>
      <c r="CC299" s="3" t="e">
        <f>CA299*CC155/CA155</f>
        <v>#DIV/0!</v>
      </c>
      <c r="CD299" s="3" t="e">
        <f>CB299*CD155/CB155</f>
        <v>#DIV/0!</v>
      </c>
      <c r="CE299" s="3" t="e">
        <f>CD299</f>
        <v>#DIV/0!</v>
      </c>
      <c r="CF299" s="3" t="e">
        <f>CD299*CF155/CD155</f>
        <v>#DIV/0!</v>
      </c>
      <c r="CG299" s="3" t="e">
        <f>CE299*CG155/CE155</f>
        <v>#DIV/0!</v>
      </c>
      <c r="CH299" s="3" t="e">
        <f>CF299*CH155/CF155</f>
        <v>#DIV/0!</v>
      </c>
      <c r="CI299" s="3" t="e">
        <f>CG299*CI155/CG155</f>
        <v>#DIV/0!</v>
      </c>
      <c r="CJ299" s="3" t="e">
        <f>CI299</f>
        <v>#DIV/0!</v>
      </c>
      <c r="CK299" s="3" t="e">
        <f>CI299*CK155/CI155</f>
        <v>#DIV/0!</v>
      </c>
      <c r="CL299" s="3" t="e">
        <f>CJ299*CL155/CJ155</f>
        <v>#DIV/0!</v>
      </c>
      <c r="CM299" s="3" t="e">
        <f>CK299*CM155/CK155</f>
        <v>#DIV/0!</v>
      </c>
      <c r="CN299" s="3" t="e">
        <f>CL299*CN155/CL155</f>
        <v>#DIV/0!</v>
      </c>
      <c r="CO299" s="3" t="e">
        <f>CN299</f>
        <v>#DIV/0!</v>
      </c>
      <c r="CP299" s="3" t="e">
        <f>CN299*CP155/CN155</f>
        <v>#DIV/0!</v>
      </c>
      <c r="CQ299" s="3" t="e">
        <f>CO299*CQ155/CO155</f>
        <v>#DIV/0!</v>
      </c>
      <c r="CR299" s="3" t="e">
        <f>CP299*CR155/CP155</f>
        <v>#DIV/0!</v>
      </c>
      <c r="CS299" s="3" t="e">
        <f>CQ299*CS155/CQ155</f>
        <v>#DIV/0!</v>
      </c>
      <c r="CT299" s="3" t="e">
        <f>CS299</f>
        <v>#DIV/0!</v>
      </c>
      <c r="CU299" s="3" t="e">
        <f>CS299*CU155/CS155</f>
        <v>#DIV/0!</v>
      </c>
      <c r="CV299" s="3" t="e">
        <f>CT299*CV155/CT155</f>
        <v>#DIV/0!</v>
      </c>
      <c r="CW299" s="3" t="e">
        <f>CU299*CW155/CU155</f>
        <v>#DIV/0!</v>
      </c>
      <c r="CX299" s="3" t="e">
        <f>CV299*CX155/CV155</f>
        <v>#DIV/0!</v>
      </c>
      <c r="CY299" s="3" t="e">
        <f>CX299</f>
        <v>#DIV/0!</v>
      </c>
    </row>
    <row r="300" hidden="1" outlineLevel="1">
      <c r="C300" s="38" t="inlineStr">
        <is>
          <t>%(Var.)</t>
        </is>
      </c>
      <c r="D300" s="3" t="n"/>
      <c r="E300" s="47">
        <f>(E299-D299)/D299</f>
        <v>-0.213036153945834</v>
      </c>
      <c r="F300" s="47">
        <f>(F299-E299)/E299</f>
        <v>0.161501728964268</v>
      </c>
      <c r="G300" s="47">
        <f>(G299-F299)/F299</f>
        <v>0.638350959766367</v>
      </c>
      <c r="H300" s="3" t="n"/>
      <c r="I300" s="47">
        <f>(I299-H299)/H299</f>
        <v>0.00179983732239585</v>
      </c>
      <c r="J300" s="47">
        <f>(J299-I299)/I299</f>
        <v>-0.418245892860228</v>
      </c>
      <c r="K300" s="47">
        <f>(K299-J299)/J299</f>
        <v>0.131161658154175</v>
      </c>
      <c r="L300" s="47">
        <f>(L299-K299)/K299</f>
        <v>0.177801695849631</v>
      </c>
      <c r="M300" s="3" t="n"/>
      <c r="N300" s="47">
        <f>(N299-M299)/M299</f>
        <v>0.101836580038336</v>
      </c>
      <c r="O300" s="47">
        <f>(O299-N299)/N299</f>
        <v>-0.245777283301305</v>
      </c>
      <c r="P300" s="47">
        <f>(P299-O299)/O299</f>
        <v>0.07799383129945</v>
      </c>
      <c r="Q300" s="47">
        <f>(Q299-P299)/P299</f>
        <v>0.127683925061578</v>
      </c>
      <c r="R300" s="3" t="n"/>
      <c r="S300" s="47">
        <f>(S299-R299)/R299</f>
        <v>0.126177606177606</v>
      </c>
      <c r="T300" s="47">
        <f>(T299-S299)/S299</f>
        <v>-0.238127889663819</v>
      </c>
      <c r="U300" s="47">
        <f>(U299-T299)/T299</f>
        <v>0.186582324050503</v>
      </c>
      <c r="V300" s="47">
        <f>(V299-U299)/U299</f>
        <v>-0.0106403727381081</v>
      </c>
      <c r="W300" s="3" t="n"/>
      <c r="X300" s="47">
        <f>(X299-W299)/W299</f>
        <v>0.132825163183949</v>
      </c>
      <c r="Y300" s="47">
        <f>(Y299-X299)/X299</f>
        <v>-0.207683978498782</v>
      </c>
      <c r="Z300" s="47">
        <f>(Z299-Y299)/Y299</f>
        <v>0.190106645191205</v>
      </c>
      <c r="AA300" s="47">
        <f>(AA299-Z299)/Z299</f>
        <v>-0.0293026021694999</v>
      </c>
      <c r="AB300" s="3" t="n"/>
      <c r="AC300" s="47">
        <f>(AC299-AB299)/AB299</f>
        <v>0.137247031982762</v>
      </c>
      <c r="AD300" s="47">
        <f>(AD299-AC299)/AC299</f>
        <v>-0.124714405126776</v>
      </c>
      <c r="AE300" s="47">
        <f>(AE299-AD299)/AD299</f>
        <v>0.0952653806158612</v>
      </c>
      <c r="AF300" s="218">
        <f>(AF299-AE299)/AE299</f>
        <v>-0.0828909126138345</v>
      </c>
      <c r="AG300" s="3" t="n"/>
      <c r="AH300" s="218">
        <f>(AH299-AG299)/AG299</f>
        <v>0.146285810867912</v>
      </c>
      <c r="AI300" s="218">
        <f>(AI299-AH299)/AH299</f>
        <v>-0.130768947213211</v>
      </c>
      <c r="AJ300" s="218" t="n"/>
      <c r="AK300" s="218" t="n"/>
      <c r="AL300" s="3" t="n"/>
      <c r="AM300" s="218" t="n"/>
      <c r="AN300" s="218" t="n"/>
      <c r="AO300" s="218" t="n"/>
      <c r="AP300" s="218" t="n"/>
      <c r="AQ300" s="3" t="n"/>
      <c r="AR300" s="218" t="n"/>
      <c r="AS300" s="218" t="n"/>
      <c r="AT300" s="218" t="n"/>
      <c r="AU300" s="218" t="n"/>
      <c r="AV300" s="3" t="n"/>
      <c r="AW300" s="218" t="n"/>
      <c r="AX300" s="218" t="n"/>
      <c r="AY300" s="218" t="n"/>
      <c r="AZ300" s="218" t="n"/>
      <c r="BA300" s="3" t="n"/>
      <c r="BB300" s="218" t="n"/>
      <c r="BC300" s="218" t="n"/>
      <c r="BD300" s="218" t="n"/>
      <c r="BE300" s="218" t="n"/>
      <c r="BF300" s="3" t="n"/>
      <c r="BG300" s="218" t="n"/>
      <c r="BH300" s="218" t="n"/>
      <c r="BI300" s="218" t="n"/>
      <c r="BJ300" s="218" t="n"/>
      <c r="BK300" s="3" t="n"/>
      <c r="BL300" s="218" t="n"/>
      <c r="BM300" s="218" t="n"/>
      <c r="BN300" s="218" t="n"/>
      <c r="BO300" s="218" t="n"/>
      <c r="BP300" s="3" t="n"/>
      <c r="BQ300" s="218" t="n"/>
      <c r="BR300" s="218" t="n"/>
      <c r="BS300" s="218" t="n"/>
      <c r="BT300" s="218" t="n"/>
      <c r="BU300" s="3" t="n"/>
      <c r="BV300" s="218" t="n"/>
      <c r="BW300" s="218" t="n"/>
      <c r="BX300" s="218" t="n"/>
      <c r="BY300" s="218" t="n"/>
      <c r="BZ300" s="3" t="n"/>
      <c r="CA300" s="218" t="n"/>
      <c r="CB300" s="218" t="n"/>
      <c r="CC300" s="218" t="n"/>
      <c r="CD300" s="218" t="n"/>
      <c r="CE300" s="3" t="n"/>
      <c r="CF300" s="218" t="n"/>
      <c r="CG300" s="218" t="n"/>
      <c r="CH300" s="218" t="n"/>
      <c r="CI300" s="218" t="n"/>
      <c r="CJ300" s="3" t="n"/>
      <c r="CK300" s="218" t="n"/>
      <c r="CL300" s="218" t="n"/>
      <c r="CM300" s="218" t="n"/>
      <c r="CN300" s="218" t="n"/>
      <c r="CO300" s="3" t="n"/>
      <c r="CP300" s="218" t="n"/>
      <c r="CQ300" s="218" t="n"/>
      <c r="CR300" s="218" t="n"/>
      <c r="CS300" s="218" t="n"/>
      <c r="CT300" s="3" t="n"/>
      <c r="CU300" s="218" t="n"/>
      <c r="CV300" s="218" t="n"/>
      <c r="CW300" s="218" t="n"/>
      <c r="CX300" s="218" t="n"/>
      <c r="CY300" s="3" t="n"/>
    </row>
    <row r="301" collapsed="1">
      <c r="C301" s="26" t="inlineStr">
        <is>
          <t>Taxes payable</t>
        </is>
      </c>
      <c r="D301" s="25">
        <f>INDEX('Inputs (2)'!$D$30:$AL$30,MATCH(D$7,'Inputs (2)'!$D$2:$AL$2,0))</f>
        <v>77.483</v>
      </c>
      <c r="E301" s="25">
        <f>INDEX('Inputs (2)'!$D$30:$AL$30,MATCH(E$7,'Inputs (2)'!$D$2:$AL$2,0))</f>
        <v>112.208</v>
      </c>
      <c r="F301" s="25">
        <f>INDEX('Inputs (2)'!$D$30:$AL$30,MATCH(F$7,'Inputs (2)'!$D$2:$AL$2,0))</f>
        <v>113.472</v>
      </c>
      <c r="G301" s="25">
        <f>INDEX('Inputs (2)'!$D$30:$AL$30,MATCH(G$7,'Inputs (2)'!$D$2:$AL$2,0))</f>
        <v>112.916</v>
      </c>
      <c r="H301" s="3">
        <f>G301</f>
        <v>112.916</v>
      </c>
      <c r="I301" s="25">
        <f>INDEX('Inputs (2)'!$D$30:$AL$30,MATCH(I$7,'Inputs (2)'!$D$2:$AL$2,0))</f>
        <v>68.11</v>
      </c>
      <c r="J301" s="25">
        <f>INDEX('Inputs (2)'!$D$30:$AL$30,MATCH(J$7,'Inputs (2)'!$D$2:$AL$2,0))</f>
        <v>87.52</v>
      </c>
      <c r="K301" s="25">
        <f>INDEX('Inputs (2)'!$D$30:$AL$30,MATCH(K$7,'Inputs (2)'!$D$2:$AL$2,0))</f>
        <v>104.389</v>
      </c>
      <c r="L301" s="25">
        <f>INDEX('Inputs (2)'!$D$30:$AL$30,MATCH(L$7,'Inputs (2)'!$D$2:$AL$2,0))</f>
        <v>115.952</v>
      </c>
      <c r="M301" s="3">
        <f>L301</f>
        <v>115.952</v>
      </c>
      <c r="N301" s="25">
        <f>INDEX('Inputs (2)'!$D$30:$AL$30,MATCH(N$7,'Inputs (2)'!$D$2:$AL$2,0))</f>
        <v>89.648</v>
      </c>
      <c r="O301" s="25">
        <f>INDEX('Inputs (2)'!$D$30:$AL$30,MATCH(O$7,'Inputs (2)'!$D$2:$AL$2,0))</f>
        <v>103.913</v>
      </c>
      <c r="P301" s="25">
        <f>INDEX('Inputs (2)'!$D$30:$AL$30,MATCH(P$7,'Inputs (2)'!$D$2:$AL$2,0))</f>
        <v>147.667</v>
      </c>
      <c r="Q301" s="25">
        <f>INDEX('Inputs (2)'!$D$30:$AL$30,MATCH(Q$7,'Inputs (2)'!$D$2:$AL$2,0))</f>
        <v>197.448</v>
      </c>
      <c r="R301" s="3">
        <f>Q301</f>
        <v>197.448</v>
      </c>
      <c r="S301" s="25">
        <f>INDEX('Inputs (2)'!$D$30:$AL$30,MATCH(S$7,'Inputs (2)'!$D$2:$AL$2,0))</f>
        <v>122.435</v>
      </c>
      <c r="T301" s="25">
        <f>INDEX('Inputs (2)'!$D$30:$AL$30,MATCH(T$7,'Inputs (2)'!$D$2:$AL$2,0))</f>
        <v>155.508</v>
      </c>
      <c r="U301" s="25">
        <f>INDEX('Inputs (2)'!$D$30:$AL$30,MATCH(U$7,'Inputs (2)'!$D$2:$AL$2,0))</f>
        <v>184.291</v>
      </c>
      <c r="V301" s="25">
        <f>INDEX('Inputs (2)'!$D$30:$AL$30,MATCH(V$7,'Inputs (2)'!$D$2:$AL$2,0))</f>
        <v>161.876</v>
      </c>
      <c r="W301" s="3">
        <f>V301</f>
        <v>161.876</v>
      </c>
      <c r="X301" s="25">
        <f>INDEX('Inputs (2)'!$D$30:$AL$30,MATCH(X$7,'Inputs (2)'!$D$2:$AL$2,0))</f>
        <v>140.937</v>
      </c>
      <c r="Y301" s="25">
        <f>INDEX('Inputs (2)'!$D$30:$AL$30,MATCH(Y$7,'Inputs (2)'!$D$2:$AL$2,0))</f>
        <v>166.263</v>
      </c>
      <c r="Z301" s="25">
        <f>INDEX('Inputs (2)'!$D$30:$AL$30,MATCH(Z$7,'Inputs (2)'!$D$2:$AL$2,0))</f>
        <v>177.287</v>
      </c>
      <c r="AA301" s="25">
        <f>INDEX('Inputs (2)'!$D$30:$AL$30,MATCH(AA$7,'Inputs (2)'!$D$2:$AL$2,0))</f>
        <v>158.95</v>
      </c>
      <c r="AB301" s="3">
        <f>AA301</f>
        <v>158.95</v>
      </c>
      <c r="AC301" s="25">
        <f>INDEX('Inputs (2)'!$D$30:$AL$30,MATCH(AC$7,'Inputs (2)'!$D$2:$AL$2,0))</f>
        <v>128.376</v>
      </c>
      <c r="AD301" s="25">
        <f>INDEX('Inputs (2)'!$D$30:$AL$30,MATCH(AD$7,'Inputs (2)'!$D$2:$AL$2,0))</f>
        <v>157.779</v>
      </c>
      <c r="AE301" s="25">
        <f>INDEX('Inputs (2)'!$D$30:$AL$30,MATCH(AE$7,'Inputs (2)'!$D$2:$AL$2,0))</f>
        <v>185.597</v>
      </c>
      <c r="AF301" s="25">
        <f>INDEX('Inputs (2)'!$D$30:$AL$30,MATCH(AF$7,'Inputs (2)'!$D$2:$AL$2,0))</f>
        <v>160.407</v>
      </c>
      <c r="AG301" s="3">
        <f>AF301</f>
        <v>160.407</v>
      </c>
      <c r="AH301" s="3">
        <f>INDEX('Inputs (2)'!$D$30:$AL$30,MATCH(AH$7,'Inputs (2)'!$D$2:$AL$2,0))</f>
        <v>176.219</v>
      </c>
      <c r="AI301" s="3">
        <f>INDEX('Inputs (2)'!$D$30:$AL$30,MATCH(AI$7,'Inputs (2)'!$D$2:$AL$2,0))</f>
        <v>208.403</v>
      </c>
      <c r="AJ301" s="3">
        <f>AH301*AJ228/AH228</f>
        <v>0</v>
      </c>
      <c r="AK301" s="3">
        <f>AI301*AK228/AI228</f>
        <v>0</v>
      </c>
      <c r="AL301" s="3">
        <f>AK301</f>
        <v>0</v>
      </c>
      <c r="AM301" s="3" t="e">
        <f>AK301*AM228/AK228</f>
        <v>#DIV/0!</v>
      </c>
      <c r="AN301" s="3">
        <f>AL301*AN228/AL228</f>
        <v>0</v>
      </c>
      <c r="AO301" s="3" t="e">
        <f>AM301*AO228/AM228</f>
        <v>#DIV/0!</v>
      </c>
      <c r="AP301" s="3" t="e">
        <f>AN301*AP228/AN228</f>
        <v>#DIV/0!</v>
      </c>
      <c r="AQ301" s="3" t="e">
        <f>AP301</f>
        <v>#DIV/0!</v>
      </c>
      <c r="AR301" s="3" t="e">
        <f>AP301*AR228/AP228</f>
        <v>#DIV/0!</v>
      </c>
      <c r="AS301" s="3" t="e">
        <f>AQ301*AS228/AQ228</f>
        <v>#DIV/0!</v>
      </c>
      <c r="AT301" s="3" t="e">
        <f>AR301*AT228/AR228</f>
        <v>#DIV/0!</v>
      </c>
      <c r="AU301" s="3" t="e">
        <f>AS301*AU228/AS228</f>
        <v>#DIV/0!</v>
      </c>
      <c r="AV301" s="3" t="e">
        <f>AU301</f>
        <v>#DIV/0!</v>
      </c>
      <c r="AW301" s="3" t="e">
        <f>AU301*AW228/AU228</f>
        <v>#DIV/0!</v>
      </c>
      <c r="AX301" s="3" t="e">
        <f>AV301*AX228/AV228</f>
        <v>#DIV/0!</v>
      </c>
      <c r="AY301" s="3" t="e">
        <f>AW301*AY228/AW228</f>
        <v>#DIV/0!</v>
      </c>
      <c r="AZ301" s="3" t="e">
        <f>AX301*AZ228/AX228</f>
        <v>#DIV/0!</v>
      </c>
      <c r="BA301" s="3" t="e">
        <f>AZ301</f>
        <v>#DIV/0!</v>
      </c>
      <c r="BB301" s="3" t="e">
        <f>AZ301*BB228/AZ228</f>
        <v>#DIV/0!</v>
      </c>
      <c r="BC301" s="3" t="e">
        <f>BA301*BC228/BA228</f>
        <v>#DIV/0!</v>
      </c>
      <c r="BD301" s="3" t="e">
        <f>BB301*BD228/BB228</f>
        <v>#DIV/0!</v>
      </c>
      <c r="BE301" s="3" t="e">
        <f>BC301*BE228/BC228</f>
        <v>#DIV/0!</v>
      </c>
      <c r="BF301" s="3" t="e">
        <f>BE301</f>
        <v>#DIV/0!</v>
      </c>
      <c r="BG301" s="3" t="e">
        <f>BE301*BG228/BE228</f>
        <v>#DIV/0!</v>
      </c>
      <c r="BH301" s="3" t="e">
        <f>BF301*BH228/BF228</f>
        <v>#DIV/0!</v>
      </c>
      <c r="BI301" s="3" t="e">
        <f>BG301*BI228/BG228</f>
        <v>#DIV/0!</v>
      </c>
      <c r="BJ301" s="3" t="e">
        <f>BH301*BJ228/BH228</f>
        <v>#DIV/0!</v>
      </c>
      <c r="BK301" s="3" t="e">
        <f>BJ301</f>
        <v>#DIV/0!</v>
      </c>
      <c r="BL301" s="3" t="e">
        <f>BJ301*BL228/BJ228</f>
        <v>#DIV/0!</v>
      </c>
      <c r="BM301" s="3" t="e">
        <f>BK301*BM228/BK228</f>
        <v>#DIV/0!</v>
      </c>
      <c r="BN301" s="3" t="e">
        <f>BL301*BN228/BL228</f>
        <v>#DIV/0!</v>
      </c>
      <c r="BO301" s="3" t="e">
        <f>BM301*BO228/BM228</f>
        <v>#DIV/0!</v>
      </c>
      <c r="BP301" s="3" t="e">
        <f>BO301</f>
        <v>#DIV/0!</v>
      </c>
      <c r="BQ301" s="3" t="e">
        <f>BO301*BQ228/BO228</f>
        <v>#DIV/0!</v>
      </c>
      <c r="BR301" s="3" t="e">
        <f>BP301*BR228/BP228</f>
        <v>#DIV/0!</v>
      </c>
      <c r="BS301" s="3" t="e">
        <f>BQ301*BS228/BQ228</f>
        <v>#DIV/0!</v>
      </c>
      <c r="BT301" s="3" t="e">
        <f>BR301*BT228/BR228</f>
        <v>#DIV/0!</v>
      </c>
      <c r="BU301" s="3" t="e">
        <f>BT301</f>
        <v>#DIV/0!</v>
      </c>
      <c r="BV301" s="3" t="e">
        <f>BT301*BV228/BT228</f>
        <v>#DIV/0!</v>
      </c>
      <c r="BW301" s="3" t="e">
        <f>BU301*BW228/BU228</f>
        <v>#DIV/0!</v>
      </c>
      <c r="BX301" s="3" t="e">
        <f>BV301*BX228/BV228</f>
        <v>#DIV/0!</v>
      </c>
      <c r="BY301" s="3" t="e">
        <f>BW301*BY228/BW228</f>
        <v>#DIV/0!</v>
      </c>
      <c r="BZ301" s="3" t="e">
        <f>BY301</f>
        <v>#DIV/0!</v>
      </c>
      <c r="CA301" s="3" t="e">
        <f>BY301*CA228/BY228</f>
        <v>#DIV/0!</v>
      </c>
      <c r="CB301" s="3" t="e">
        <f>BZ301*CB228/BZ228</f>
        <v>#DIV/0!</v>
      </c>
      <c r="CC301" s="3" t="e">
        <f>CA301*CC228/CA228</f>
        <v>#DIV/0!</v>
      </c>
      <c r="CD301" s="3" t="e">
        <f>CB301*CD228/CB228</f>
        <v>#DIV/0!</v>
      </c>
      <c r="CE301" s="3" t="e">
        <f>CD301</f>
        <v>#DIV/0!</v>
      </c>
      <c r="CF301" s="3" t="e">
        <f>CD301*CF228/CD228</f>
        <v>#DIV/0!</v>
      </c>
      <c r="CG301" s="3" t="e">
        <f>CE301*CG228/CE228</f>
        <v>#DIV/0!</v>
      </c>
      <c r="CH301" s="3" t="e">
        <f>CF301*CH228/CF228</f>
        <v>#DIV/0!</v>
      </c>
      <c r="CI301" s="3" t="e">
        <f>CG301*CI228/CG228</f>
        <v>#DIV/0!</v>
      </c>
      <c r="CJ301" s="3" t="e">
        <f>CI301</f>
        <v>#DIV/0!</v>
      </c>
      <c r="CK301" s="3" t="e">
        <f>CI301*CK228/CI228</f>
        <v>#DIV/0!</v>
      </c>
      <c r="CL301" s="3" t="e">
        <f>CJ301*CL228/CJ228</f>
        <v>#DIV/0!</v>
      </c>
      <c r="CM301" s="3" t="e">
        <f>CK301*CM228/CK228</f>
        <v>#DIV/0!</v>
      </c>
      <c r="CN301" s="3" t="e">
        <f>CL301*CN228/CL228</f>
        <v>#DIV/0!</v>
      </c>
      <c r="CO301" s="3" t="e">
        <f>CN301</f>
        <v>#DIV/0!</v>
      </c>
      <c r="CP301" s="3" t="e">
        <f>CN301*CP228/CN228</f>
        <v>#DIV/0!</v>
      </c>
      <c r="CQ301" s="3" t="e">
        <f>CO301*CQ228/CO228</f>
        <v>#DIV/0!</v>
      </c>
      <c r="CR301" s="3" t="e">
        <f>CP301*CR228/CP228</f>
        <v>#DIV/0!</v>
      </c>
      <c r="CS301" s="3" t="e">
        <f>CQ301*CS228/CQ228</f>
        <v>#DIV/0!</v>
      </c>
      <c r="CT301" s="3" t="e">
        <f>CS301</f>
        <v>#DIV/0!</v>
      </c>
      <c r="CU301" s="3" t="e">
        <f>CS301*CU228/CS228</f>
        <v>#DIV/0!</v>
      </c>
      <c r="CV301" s="3" t="e">
        <f>CT301*CV228/CT228</f>
        <v>#DIV/0!</v>
      </c>
      <c r="CW301" s="3" t="e">
        <f>CU301*CW228/CU228</f>
        <v>#DIV/0!</v>
      </c>
      <c r="CX301" s="3" t="e">
        <f>CV301*CX228/CV228</f>
        <v>#DIV/0!</v>
      </c>
      <c r="CY301" s="3" t="e">
        <f>CX301</f>
        <v>#DIV/0!</v>
      </c>
    </row>
    <row r="302">
      <c r="C302" s="26" t="inlineStr">
        <is>
          <t>Other current liabilities (non-debt)</t>
        </is>
      </c>
      <c r="D302" s="25">
        <f>INDEX('Inputs (2)'!$D$31:$AL$31,MATCH(D$7,'Inputs (2)'!$D$2:$AL$2,0))</f>
        <v>767.923</v>
      </c>
      <c r="E302" s="25">
        <f>INDEX('Inputs (2)'!$D$31:$AL$31,MATCH(E$7,'Inputs (2)'!$D$2:$AL$2,0))</f>
        <v>611.117</v>
      </c>
      <c r="F302" s="25">
        <f>INDEX('Inputs (2)'!$D$31:$AL$31,MATCH(F$7,'Inputs (2)'!$D$2:$AL$2,0))</f>
        <v>526.291</v>
      </c>
      <c r="G302" s="25">
        <f>INDEX('Inputs (2)'!$D$31:$AL$31,MATCH(G$7,'Inputs (2)'!$D$2:$AL$2,0))</f>
        <v>903.318</v>
      </c>
      <c r="H302" s="3">
        <f>G302</f>
        <v>903.318</v>
      </c>
      <c r="I302" s="25">
        <f>INDEX('Inputs (2)'!$D$31:$AL$31,MATCH(I$7,'Inputs (2)'!$D$2:$AL$2,0))</f>
        <v>1017.521</v>
      </c>
      <c r="J302" s="25">
        <f>INDEX('Inputs (2)'!$D$31:$AL$31,MATCH(J$7,'Inputs (2)'!$D$2:$AL$2,0))</f>
        <v>716.26</v>
      </c>
      <c r="K302" s="25">
        <f>INDEX('Inputs (2)'!$D$31:$AL$31,MATCH(K$7,'Inputs (2)'!$D$2:$AL$2,0))</f>
        <v>553.321</v>
      </c>
      <c r="L302" s="25">
        <f>INDEX('Inputs (2)'!$D$31:$AL$31,MATCH(L$7,'Inputs (2)'!$D$2:$AL$2,0))</f>
        <v>787.935</v>
      </c>
      <c r="M302" s="3">
        <f>L302</f>
        <v>787.935</v>
      </c>
      <c r="N302" s="25">
        <f>INDEX('Inputs (2)'!$D$31:$AL$31,MATCH(N$7,'Inputs (2)'!$D$2:$AL$2,0))</f>
        <v>970.736</v>
      </c>
      <c r="O302" s="25">
        <f>INDEX('Inputs (2)'!$D$31:$AL$31,MATCH(O$7,'Inputs (2)'!$D$2:$AL$2,0))</f>
        <v>684.156</v>
      </c>
      <c r="P302" s="25">
        <f>INDEX('Inputs (2)'!$D$31:$AL$31,MATCH(P$7,'Inputs (2)'!$D$2:$AL$2,0))</f>
        <v>645.214</v>
      </c>
      <c r="Q302" s="25">
        <f>INDEX('Inputs (2)'!$D$31:$AL$31,MATCH(Q$7,'Inputs (2)'!$D$2:$AL$2,0))</f>
        <v>916.743</v>
      </c>
      <c r="R302" s="3">
        <f>Q302</f>
        <v>916.743</v>
      </c>
      <c r="S302" s="25">
        <f>INDEX('Inputs (2)'!$D$31:$AL$31,MATCH(S$7,'Inputs (2)'!$D$2:$AL$2,0))</f>
        <v>968.045</v>
      </c>
      <c r="T302" s="25">
        <f>INDEX('Inputs (2)'!$D$31:$AL$31,MATCH(T$7,'Inputs (2)'!$D$2:$AL$2,0))</f>
        <v>482.15</v>
      </c>
      <c r="U302" s="25">
        <f>INDEX('Inputs (2)'!$D$31:$AL$31,MATCH(U$7,'Inputs (2)'!$D$2:$AL$2,0))</f>
        <v>612.618</v>
      </c>
      <c r="V302" s="25">
        <f>INDEX('Inputs (2)'!$D$31:$AL$31,MATCH(V$7,'Inputs (2)'!$D$2:$AL$2,0))</f>
        <v>705.936</v>
      </c>
      <c r="W302" s="3">
        <f>V302</f>
        <v>705.936</v>
      </c>
      <c r="X302" s="25">
        <f>INDEX('Inputs (2)'!$D$31:$AL$31,MATCH(X$7,'Inputs (2)'!$D$2:$AL$2,0))</f>
        <v>675.698</v>
      </c>
      <c r="Y302" s="25">
        <f>INDEX('Inputs (2)'!$D$31:$AL$31,MATCH(Y$7,'Inputs (2)'!$D$2:$AL$2,0))</f>
        <v>773.89</v>
      </c>
      <c r="Z302" s="25">
        <f>INDEX('Inputs (2)'!$D$31:$AL$31,MATCH(Z$7,'Inputs (2)'!$D$2:$AL$2,0))</f>
        <v>465.243</v>
      </c>
      <c r="AA302" s="25">
        <f>INDEX('Inputs (2)'!$D$31:$AL$31,MATCH(AA$7,'Inputs (2)'!$D$2:$AL$2,0))</f>
        <v>673.866</v>
      </c>
      <c r="AB302" s="3">
        <f>AA302</f>
        <v>673.866</v>
      </c>
      <c r="AC302" s="25">
        <f>INDEX('Inputs (2)'!$D$31:$AL$31,MATCH(AC$7,'Inputs (2)'!$D$2:$AL$2,0))</f>
        <v>611.404</v>
      </c>
      <c r="AD302" s="25">
        <f>INDEX('Inputs (2)'!$D$31:$AL$31,MATCH(AD$7,'Inputs (2)'!$D$2:$AL$2,0))</f>
        <v>660.151</v>
      </c>
      <c r="AE302" s="25">
        <f>INDEX('Inputs (2)'!$D$31:$AL$31,MATCH(AE$7,'Inputs (2)'!$D$2:$AL$2,0))</f>
        <v>565.596</v>
      </c>
      <c r="AF302" s="25">
        <f>INDEX('Inputs (2)'!$D$31:$AL$31,MATCH(AF$7,'Inputs (2)'!$D$2:$AL$2,0))</f>
        <v>695.248</v>
      </c>
      <c r="AG302" s="3">
        <f>AF302</f>
        <v>695.248</v>
      </c>
      <c r="AH302" s="3">
        <f>INDEX('Inputs (2)'!$D$31:$AL$31,MATCH(AH$7,'Inputs (2)'!$D$2:$AL$2,0))</f>
        <v>498.104</v>
      </c>
      <c r="AI302" s="3">
        <f>INDEX('Inputs (2)'!$D$31:$AL$31,MATCH(AI$7,'Inputs (2)'!$D$2:$AL$2,0))</f>
        <v>596.083</v>
      </c>
      <c r="AJ302" s="3">
        <f>AI302</f>
        <v>596.083</v>
      </c>
      <c r="AK302" s="3">
        <f>AJ302</f>
        <v>596.083</v>
      </c>
      <c r="AL302" s="3">
        <f>AK302</f>
        <v>596.083</v>
      </c>
      <c r="AM302" s="3">
        <f>AL302</f>
        <v>596.083</v>
      </c>
      <c r="AN302" s="3">
        <f>AM302</f>
        <v>596.083</v>
      </c>
      <c r="AO302" s="3">
        <f>AN302</f>
        <v>596.083</v>
      </c>
      <c r="AP302" s="3">
        <f>AO302</f>
        <v>596.083</v>
      </c>
      <c r="AQ302" s="3">
        <f>AP302</f>
        <v>596.083</v>
      </c>
      <c r="AR302" s="3">
        <f>AQ302</f>
        <v>596.083</v>
      </c>
      <c r="AS302" s="3">
        <f>AR302</f>
        <v>596.083</v>
      </c>
      <c r="AT302" s="3">
        <f>AS302</f>
        <v>596.083</v>
      </c>
      <c r="AU302" s="3">
        <f>AT302</f>
        <v>596.083</v>
      </c>
      <c r="AV302" s="3">
        <f>AU302</f>
        <v>596.083</v>
      </c>
      <c r="AW302" s="3">
        <f>AV302</f>
        <v>596.083</v>
      </c>
      <c r="AX302" s="3">
        <f>AW302</f>
        <v>596.083</v>
      </c>
      <c r="AY302" s="3">
        <f>AX302</f>
        <v>596.083</v>
      </c>
      <c r="AZ302" s="3">
        <f>AY302</f>
        <v>596.083</v>
      </c>
      <c r="BA302" s="3">
        <f>AZ302</f>
        <v>596.083</v>
      </c>
      <c r="BB302" s="3">
        <f>BA302</f>
        <v>596.083</v>
      </c>
      <c r="BC302" s="3">
        <f>BB302</f>
        <v>596.083</v>
      </c>
      <c r="BD302" s="3">
        <f>BC302</f>
        <v>596.083</v>
      </c>
      <c r="BE302" s="3">
        <f>BD302</f>
        <v>596.083</v>
      </c>
      <c r="BF302" s="3">
        <f>BE302</f>
        <v>596.083</v>
      </c>
      <c r="BG302" s="3">
        <f>BF302</f>
        <v>596.083</v>
      </c>
      <c r="BH302" s="3">
        <f>BG302</f>
        <v>596.083</v>
      </c>
      <c r="BI302" s="3">
        <f>BH302</f>
        <v>596.083</v>
      </c>
      <c r="BJ302" s="3">
        <f>BI302</f>
        <v>596.083</v>
      </c>
      <c r="BK302" s="3">
        <f>BJ302</f>
        <v>596.083</v>
      </c>
      <c r="BL302" s="3">
        <f>BK302</f>
        <v>596.083</v>
      </c>
      <c r="BM302" s="3">
        <f>BL302</f>
        <v>596.083</v>
      </c>
      <c r="BN302" s="3">
        <f>BM302</f>
        <v>596.083</v>
      </c>
      <c r="BO302" s="3">
        <f>BN302</f>
        <v>596.083</v>
      </c>
      <c r="BP302" s="3">
        <f>BO302</f>
        <v>596.083</v>
      </c>
      <c r="BQ302" s="3">
        <f>BP302</f>
        <v>596.083</v>
      </c>
      <c r="BR302" s="3">
        <f>BQ302</f>
        <v>596.083</v>
      </c>
      <c r="BS302" s="3">
        <f>BR302</f>
        <v>596.083</v>
      </c>
      <c r="BT302" s="3">
        <f>BS302</f>
        <v>596.083</v>
      </c>
      <c r="BU302" s="3">
        <f>BT302</f>
        <v>596.083</v>
      </c>
      <c r="BV302" s="3">
        <f>BU302</f>
        <v>596.083</v>
      </c>
      <c r="BW302" s="3">
        <f>BV302</f>
        <v>596.083</v>
      </c>
      <c r="BX302" s="3">
        <f>BW302</f>
        <v>596.083</v>
      </c>
      <c r="BY302" s="3">
        <f>BX302</f>
        <v>596.083</v>
      </c>
      <c r="BZ302" s="3">
        <f>BY302</f>
        <v>596.083</v>
      </c>
      <c r="CA302" s="3">
        <f>BZ302</f>
        <v>596.083</v>
      </c>
      <c r="CB302" s="3">
        <f>CA302</f>
        <v>596.083</v>
      </c>
      <c r="CC302" s="3">
        <f>CB302</f>
        <v>596.083</v>
      </c>
      <c r="CD302" s="3">
        <f>CC302</f>
        <v>596.083</v>
      </c>
      <c r="CE302" s="3">
        <f>CD302</f>
        <v>596.083</v>
      </c>
      <c r="CF302" s="3">
        <f>CE302</f>
        <v>596.083</v>
      </c>
      <c r="CG302" s="3">
        <f>CF302</f>
        <v>596.083</v>
      </c>
      <c r="CH302" s="3">
        <f>CG302</f>
        <v>596.083</v>
      </c>
      <c r="CI302" s="3">
        <f>CH302</f>
        <v>596.083</v>
      </c>
      <c r="CJ302" s="3">
        <f>CI302</f>
        <v>596.083</v>
      </c>
      <c r="CK302" s="3">
        <f>CJ302</f>
        <v>596.083</v>
      </c>
      <c r="CL302" s="3">
        <f>CK302</f>
        <v>596.083</v>
      </c>
      <c r="CM302" s="3">
        <f>CL302</f>
        <v>596.083</v>
      </c>
      <c r="CN302" s="3">
        <f>CM302</f>
        <v>596.083</v>
      </c>
      <c r="CO302" s="3">
        <f>CN302</f>
        <v>596.083</v>
      </c>
      <c r="CP302" s="3">
        <f>CO302</f>
        <v>596.083</v>
      </c>
      <c r="CQ302" s="3">
        <f>CP302</f>
        <v>596.083</v>
      </c>
      <c r="CR302" s="3">
        <f>CQ302</f>
        <v>596.083</v>
      </c>
      <c r="CS302" s="3">
        <f>CR302</f>
        <v>596.083</v>
      </c>
      <c r="CT302" s="3">
        <f>CS302</f>
        <v>596.083</v>
      </c>
      <c r="CU302" s="3">
        <f>CT302</f>
        <v>596.083</v>
      </c>
      <c r="CV302" s="3">
        <f>CU302</f>
        <v>596.083</v>
      </c>
      <c r="CW302" s="3">
        <f>CV302</f>
        <v>596.083</v>
      </c>
      <c r="CX302" s="3">
        <f>CW302</f>
        <v>596.083</v>
      </c>
      <c r="CY302" s="3">
        <f>CX302</f>
        <v>596.083</v>
      </c>
    </row>
    <row r="303" hidden="1" outlineLevel="1">
      <c r="C303" s="38" t="inlineStr">
        <is>
          <t>%(Var.)</t>
        </is>
      </c>
      <c r="D303" s="3" t="n"/>
      <c r="E303" s="47">
        <f>(E302-D302)/D302</f>
        <v>-0.204194951837619</v>
      </c>
      <c r="F303" s="47">
        <f>(F302-E302)/E302</f>
        <v>-0.138804844244228</v>
      </c>
      <c r="G303" s="47">
        <f>(G302-F302)/F302</f>
        <v>0.716385041735466</v>
      </c>
      <c r="H303" s="3" t="n"/>
      <c r="I303" s="47">
        <f>(I302-H302)/H302</f>
        <v>0.126426131218463</v>
      </c>
      <c r="J303" s="47">
        <f>(J302-I302)/I302</f>
        <v>-0.296073496271821</v>
      </c>
      <c r="K303" s="47">
        <f>(K302-J302)/J302</f>
        <v>-0.227485829168179</v>
      </c>
      <c r="L303" s="47">
        <f>(L302-K302)/K302</f>
        <v>0.424010655659192</v>
      </c>
      <c r="M303" s="3" t="n"/>
      <c r="N303" s="47">
        <f>(N302-M302)/M302</f>
        <v>0.232000101531218</v>
      </c>
      <c r="O303" s="47">
        <f>(O302-N302)/N302</f>
        <v>-0.295219297522704</v>
      </c>
      <c r="P303" s="47">
        <f>(P302-O302)/O302</f>
        <v>-0.0569197668368033</v>
      </c>
      <c r="Q303" s="47">
        <f>(Q302-P302)/P302</f>
        <v>0.420835567734116</v>
      </c>
      <c r="R303" s="3" t="n"/>
      <c r="S303" s="47">
        <f>(S302-R302)/R302</f>
        <v>0.0559611581435582</v>
      </c>
      <c r="T303" s="47">
        <f>(T302-S302)/S302</f>
        <v>-0.501934310904968</v>
      </c>
      <c r="U303" s="47">
        <f>(U302-T302)/T302</f>
        <v>0.270596287462408</v>
      </c>
      <c r="V303" s="47">
        <f>(V302-U302)/U302</f>
        <v>0.152326572186909</v>
      </c>
      <c r="W303" s="3" t="n"/>
      <c r="X303" s="47">
        <f>(X302-W302)/W302</f>
        <v>-0.0428339112894088</v>
      </c>
      <c r="Y303" s="47">
        <f>(Y302-X302)/X302</f>
        <v>0.14531935864839</v>
      </c>
      <c r="Z303" s="47">
        <f>(Z302-Y302)/Y302</f>
        <v>-0.398825414464588</v>
      </c>
      <c r="AA303" s="47">
        <f>(AA302-Z302)/Z302</f>
        <v>0.448417278712415</v>
      </c>
      <c r="AB303" s="3" t="n"/>
      <c r="AC303" s="47">
        <f>(AC302-AB302)/AB302</f>
        <v>-0.0926920188880282</v>
      </c>
      <c r="AD303" s="47">
        <f>(AD302-AC302)/AC302</f>
        <v>0.0797296059561273</v>
      </c>
      <c r="AE303" s="47">
        <f>(AE302-AD302)/AD302</f>
        <v>-0.143232381682373</v>
      </c>
      <c r="AF303" s="218">
        <f>(AF302-AE302)/AE302</f>
        <v>0.229230758350483</v>
      </c>
      <c r="AG303" s="3" t="n"/>
      <c r="AH303" s="218">
        <f>(AH302-AG302)/AG302</f>
        <v>-0.283559247923043</v>
      </c>
      <c r="AI303" s="218">
        <f>(AI302-AH302)/AH302</f>
        <v>0.196703901193325</v>
      </c>
      <c r="AJ303" s="218" t="n"/>
      <c r="AK303" s="218" t="n"/>
      <c r="AL303" s="3" t="n"/>
      <c r="AM303" s="218" t="n"/>
      <c r="AN303" s="218" t="n"/>
      <c r="AO303" s="218" t="n"/>
      <c r="AP303" s="218" t="n"/>
      <c r="AQ303" s="3" t="n"/>
      <c r="AR303" s="218" t="n"/>
      <c r="AS303" s="218" t="n"/>
      <c r="AT303" s="218" t="n"/>
      <c r="AU303" s="218" t="n"/>
      <c r="AV303" s="3" t="n"/>
      <c r="AW303" s="218" t="n"/>
      <c r="AX303" s="218" t="n"/>
      <c r="AY303" s="218" t="n"/>
      <c r="AZ303" s="218" t="n"/>
      <c r="BA303" s="3" t="n"/>
      <c r="BB303" s="218" t="n"/>
      <c r="BC303" s="218" t="n"/>
      <c r="BD303" s="218" t="n"/>
      <c r="BE303" s="218" t="n"/>
      <c r="BF303" s="3" t="n"/>
      <c r="BG303" s="218" t="n"/>
      <c r="BH303" s="218" t="n"/>
      <c r="BI303" s="218" t="n"/>
      <c r="BJ303" s="218" t="n"/>
      <c r="BK303" s="3" t="n"/>
      <c r="BL303" s="218" t="n"/>
      <c r="BM303" s="218" t="n"/>
      <c r="BN303" s="218" t="n"/>
      <c r="BO303" s="218" t="n"/>
      <c r="BP303" s="3" t="n"/>
      <c r="BQ303" s="218" t="n"/>
      <c r="BR303" s="218" t="n"/>
      <c r="BS303" s="218" t="n"/>
      <c r="BT303" s="218" t="n"/>
      <c r="BU303" s="3" t="n"/>
      <c r="BV303" s="218" t="n"/>
      <c r="BW303" s="218" t="n"/>
      <c r="BX303" s="218" t="n"/>
      <c r="BY303" s="218" t="n"/>
      <c r="BZ303" s="3" t="n"/>
      <c r="CA303" s="218" t="n"/>
      <c r="CB303" s="218" t="n"/>
      <c r="CC303" s="218" t="n"/>
      <c r="CD303" s="218" t="n"/>
      <c r="CE303" s="3" t="n"/>
      <c r="CF303" s="218" t="n"/>
      <c r="CG303" s="218" t="n"/>
      <c r="CH303" s="218" t="n"/>
      <c r="CI303" s="218" t="n"/>
      <c r="CJ303" s="3" t="n"/>
      <c r="CK303" s="218" t="n"/>
      <c r="CL303" s="218" t="n"/>
      <c r="CM303" s="218" t="n"/>
      <c r="CN303" s="218" t="n"/>
      <c r="CO303" s="3" t="n"/>
      <c r="CP303" s="218" t="n"/>
      <c r="CQ303" s="218" t="n"/>
      <c r="CR303" s="218" t="n"/>
      <c r="CS303" s="218" t="n"/>
      <c r="CT303" s="3" t="n"/>
      <c r="CU303" s="218" t="n"/>
      <c r="CV303" s="218" t="n"/>
      <c r="CW303" s="218" t="n"/>
      <c r="CX303" s="218" t="n"/>
      <c r="CY303" s="3" t="n"/>
    </row>
    <row r="304" hidden="1" outlineLevel="1">
      <c r="C304" s="34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  <c r="CU304" s="3" t="n"/>
      <c r="CV304" s="3" t="n"/>
      <c r="CW304" s="3" t="n"/>
      <c r="CX304" s="3" t="n"/>
      <c r="CY304" s="3" t="n"/>
    </row>
    <row r="305" hidden="1" outlineLevel="1">
      <c r="C305" s="34" t="inlineStr">
        <is>
          <t xml:space="preserve">Dividendos a Pagar </t>
        </is>
      </c>
      <c r="D305" s="6" t="n"/>
      <c r="E305" s="6" t="n"/>
      <c r="F305" s="6" t="n"/>
      <c r="G305" s="6" t="n"/>
      <c r="H305" s="3" t="n"/>
      <c r="I305" s="6" t="n"/>
      <c r="J305" s="6" t="n"/>
      <c r="K305" s="6" t="n"/>
      <c r="L305" s="6" t="n"/>
      <c r="M305" s="3" t="n"/>
      <c r="N305" s="6" t="n"/>
      <c r="O305" s="6" t="n"/>
      <c r="P305" s="6" t="n"/>
      <c r="Q305" s="6" t="n"/>
      <c r="R305" s="3" t="n"/>
      <c r="S305" s="6" t="n"/>
      <c r="T305" s="6" t="n"/>
      <c r="U305" s="6" t="n"/>
      <c r="V305" s="6" t="n"/>
      <c r="W305" s="3" t="n"/>
      <c r="X305" s="6" t="n"/>
      <c r="Y305" s="6" t="n"/>
      <c r="Z305" s="6" t="n"/>
      <c r="AA305" s="6" t="n"/>
      <c r="AB305" s="3" t="n"/>
      <c r="AC305" s="6" t="n"/>
      <c r="AD305" s="6" t="n"/>
      <c r="AE305" s="6" t="n"/>
      <c r="AF305" s="6" t="n"/>
      <c r="AG305" s="3" t="n"/>
      <c r="AH305" s="6" t="n"/>
      <c r="AI305" s="6" t="n"/>
      <c r="AJ305" s="6" t="n"/>
      <c r="AK305" s="6" t="n"/>
      <c r="AL305" s="3" t="n"/>
      <c r="AM305" s="6" t="n"/>
      <c r="AN305" s="6" t="n"/>
      <c r="AO305" s="6" t="n"/>
      <c r="AP305" s="6" t="n"/>
      <c r="AQ305" s="3" t="n"/>
      <c r="AR305" s="6" t="n"/>
      <c r="AS305" s="6" t="n"/>
      <c r="AT305" s="6" t="n"/>
      <c r="AU305" s="6" t="n"/>
      <c r="AV305" s="3" t="n"/>
      <c r="AW305" s="6" t="n"/>
      <c r="AX305" s="6" t="n"/>
      <c r="AY305" s="6" t="n"/>
      <c r="AZ305" s="6" t="n"/>
      <c r="BA305" s="3" t="n"/>
      <c r="BB305" s="6" t="n"/>
      <c r="BC305" s="6" t="n"/>
      <c r="BD305" s="6" t="n"/>
      <c r="BE305" s="6" t="n"/>
      <c r="BF305" s="3" t="n"/>
      <c r="BG305" s="6" t="n"/>
      <c r="BH305" s="6" t="n"/>
      <c r="BI305" s="6" t="n"/>
      <c r="BJ305" s="6" t="n"/>
      <c r="BK305" s="3" t="n"/>
      <c r="BL305" s="6" t="n"/>
      <c r="BM305" s="6" t="n"/>
      <c r="BN305" s="6" t="n"/>
      <c r="BO305" s="6" t="n"/>
      <c r="BP305" s="3" t="n"/>
      <c r="BQ305" s="6" t="n"/>
      <c r="BR305" s="6" t="n"/>
      <c r="BS305" s="6" t="n"/>
      <c r="BT305" s="6" t="n"/>
      <c r="BU305" s="3" t="n"/>
      <c r="BV305" s="6" t="n"/>
      <c r="BW305" s="6" t="n"/>
      <c r="BX305" s="6" t="n"/>
      <c r="BY305" s="6" t="n"/>
      <c r="BZ305" s="3" t="n"/>
      <c r="CA305" s="6" t="n"/>
      <c r="CB305" s="6" t="n"/>
      <c r="CC305" s="6" t="n"/>
      <c r="CD305" s="6" t="n"/>
      <c r="CE305" s="3" t="n"/>
      <c r="CF305" s="6" t="n"/>
      <c r="CG305" s="6" t="n"/>
      <c r="CH305" s="6" t="n"/>
      <c r="CI305" s="6" t="n"/>
      <c r="CJ305" s="3" t="n"/>
      <c r="CK305" s="6" t="n"/>
      <c r="CL305" s="6" t="n"/>
      <c r="CM305" s="6" t="n"/>
      <c r="CN305" s="6" t="n"/>
      <c r="CO305" s="3" t="n"/>
      <c r="CP305" s="6" t="n"/>
      <c r="CQ305" s="6" t="n"/>
      <c r="CR305" s="6" t="n"/>
      <c r="CS305" s="6" t="n"/>
      <c r="CT305" s="3" t="n"/>
      <c r="CU305" s="6" t="n"/>
      <c r="CV305" s="6" t="n"/>
      <c r="CW305" s="6" t="n"/>
      <c r="CX305" s="6" t="n"/>
      <c r="CY305" s="3" t="n"/>
    </row>
    <row r="306" hidden="1" outlineLevel="1">
      <c r="C306" s="34" t="inlineStr">
        <is>
          <t>Contas a pagar pela aquisição de controladas</t>
        </is>
      </c>
      <c r="D306" s="6" t="n"/>
      <c r="E306" s="6" t="n"/>
      <c r="F306" s="6" t="n"/>
      <c r="G306" s="6" t="n"/>
      <c r="H306" s="3" t="n"/>
      <c r="I306" s="6" t="n"/>
      <c r="J306" s="6" t="n"/>
      <c r="K306" s="6" t="n"/>
      <c r="L306" s="6" t="n"/>
      <c r="M306" s="3" t="n"/>
      <c r="N306" s="6" t="n"/>
      <c r="O306" s="6" t="n"/>
      <c r="P306" s="6" t="n"/>
      <c r="Q306" s="6" t="n"/>
      <c r="R306" s="3" t="n"/>
      <c r="S306" s="6" t="n"/>
      <c r="T306" s="6" t="n"/>
      <c r="U306" s="6" t="n"/>
      <c r="V306" s="6" t="n"/>
      <c r="W306" s="3" t="n"/>
      <c r="X306" s="6" t="n"/>
      <c r="Y306" s="6" t="n"/>
      <c r="Z306" s="6" t="n"/>
      <c r="AA306" s="6" t="n"/>
      <c r="AB306" s="3" t="n"/>
      <c r="AC306" s="6" t="n"/>
      <c r="AD306" s="6" t="n"/>
      <c r="AE306" s="6" t="n"/>
      <c r="AF306" s="6" t="n"/>
      <c r="AG306" s="3" t="n"/>
      <c r="AH306" s="6" t="n"/>
      <c r="AI306" s="6" t="n"/>
      <c r="AJ306" s="6" t="n"/>
      <c r="AK306" s="6" t="n"/>
      <c r="AL306" s="3" t="n"/>
      <c r="AM306" s="6" t="n"/>
      <c r="AN306" s="6" t="n"/>
      <c r="AO306" s="6" t="n"/>
      <c r="AP306" s="6" t="n"/>
      <c r="AQ306" s="3" t="n"/>
      <c r="AR306" s="6" t="n"/>
      <c r="AS306" s="6" t="n"/>
      <c r="AT306" s="6" t="n"/>
      <c r="AU306" s="6" t="n"/>
      <c r="AV306" s="3" t="n"/>
      <c r="AW306" s="6" t="n"/>
      <c r="AX306" s="6" t="n"/>
      <c r="AY306" s="6" t="n"/>
      <c r="AZ306" s="6" t="n"/>
      <c r="BA306" s="3" t="n"/>
      <c r="BB306" s="6" t="n"/>
      <c r="BC306" s="6" t="n"/>
      <c r="BD306" s="6" t="n"/>
      <c r="BE306" s="6" t="n"/>
      <c r="BF306" s="3" t="n"/>
      <c r="BG306" s="6" t="n"/>
      <c r="BH306" s="6" t="n"/>
      <c r="BI306" s="6" t="n"/>
      <c r="BJ306" s="6" t="n"/>
      <c r="BK306" s="3" t="n"/>
      <c r="BL306" s="6" t="n"/>
      <c r="BM306" s="6" t="n"/>
      <c r="BN306" s="6" t="n"/>
      <c r="BO306" s="6" t="n"/>
      <c r="BP306" s="3" t="n"/>
      <c r="BQ306" s="6" t="n"/>
      <c r="BR306" s="6" t="n"/>
      <c r="BS306" s="6" t="n"/>
      <c r="BT306" s="6" t="n"/>
      <c r="BU306" s="3" t="n"/>
      <c r="BV306" s="6" t="n"/>
      <c r="BW306" s="6" t="n"/>
      <c r="BX306" s="6" t="n"/>
      <c r="BY306" s="6" t="n"/>
      <c r="BZ306" s="3" t="n"/>
      <c r="CA306" s="6" t="n"/>
      <c r="CB306" s="6" t="n"/>
      <c r="CC306" s="6" t="n"/>
      <c r="CD306" s="6" t="n"/>
      <c r="CE306" s="3" t="n"/>
      <c r="CF306" s="6" t="n"/>
      <c r="CG306" s="6" t="n"/>
      <c r="CH306" s="6" t="n"/>
      <c r="CI306" s="6" t="n"/>
      <c r="CJ306" s="3" t="n"/>
      <c r="CK306" s="6" t="n"/>
      <c r="CL306" s="6" t="n"/>
      <c r="CM306" s="6" t="n"/>
      <c r="CN306" s="6" t="n"/>
      <c r="CO306" s="3" t="n"/>
      <c r="CP306" s="6" t="n"/>
      <c r="CQ306" s="6" t="n"/>
      <c r="CR306" s="6" t="n"/>
      <c r="CS306" s="6" t="n"/>
      <c r="CT306" s="3" t="n"/>
      <c r="CU306" s="6" t="n"/>
      <c r="CV306" s="6" t="n"/>
      <c r="CW306" s="6" t="n"/>
      <c r="CX306" s="6" t="n"/>
      <c r="CY306" s="3" t="n"/>
    </row>
    <row r="307" hidden="1" outlineLevel="1">
      <c r="C307" s="34" t="inlineStr">
        <is>
          <t>Outros</t>
        </is>
      </c>
      <c r="D307" s="6" t="n"/>
      <c r="E307" s="6" t="n"/>
      <c r="F307" s="6" t="n"/>
      <c r="G307" s="6" t="n"/>
      <c r="H307" s="3" t="n"/>
      <c r="I307" s="6" t="n"/>
      <c r="J307" s="6" t="n"/>
      <c r="K307" s="6" t="n"/>
      <c r="L307" s="6" t="n"/>
      <c r="M307" s="3" t="n"/>
      <c r="N307" s="6" t="n"/>
      <c r="O307" s="6" t="n"/>
      <c r="P307" s="6" t="n"/>
      <c r="Q307" s="6" t="n"/>
      <c r="R307" s="3" t="n"/>
      <c r="S307" s="6" t="n"/>
      <c r="T307" s="6" t="n"/>
      <c r="U307" s="6" t="n"/>
      <c r="V307" s="6" t="n"/>
      <c r="W307" s="3" t="n"/>
      <c r="X307" s="6" t="n"/>
      <c r="Y307" s="6" t="n"/>
      <c r="Z307" s="6" t="n"/>
      <c r="AA307" s="6" t="n"/>
      <c r="AB307" s="3" t="n"/>
      <c r="AC307" s="6" t="n"/>
      <c r="AD307" s="6" t="n"/>
      <c r="AE307" s="6" t="n"/>
      <c r="AF307" s="6" t="n"/>
      <c r="AG307" s="3" t="n"/>
      <c r="AH307" s="6" t="n"/>
      <c r="AI307" s="6" t="n"/>
      <c r="AJ307" s="6" t="n"/>
      <c r="AK307" s="6" t="n"/>
      <c r="AL307" s="3" t="n"/>
      <c r="AM307" s="6" t="n"/>
      <c r="AN307" s="6" t="n"/>
      <c r="AO307" s="6" t="n"/>
      <c r="AP307" s="6" t="n"/>
      <c r="AQ307" s="3" t="n"/>
      <c r="AR307" s="6" t="n"/>
      <c r="AS307" s="6" t="n"/>
      <c r="AT307" s="6" t="n"/>
      <c r="AU307" s="6" t="n"/>
      <c r="AV307" s="3" t="n"/>
      <c r="AW307" s="6" t="n"/>
      <c r="AX307" s="6" t="n"/>
      <c r="AY307" s="6" t="n"/>
      <c r="AZ307" s="6" t="n"/>
      <c r="BA307" s="3" t="n"/>
      <c r="BB307" s="6" t="n"/>
      <c r="BC307" s="6" t="n"/>
      <c r="BD307" s="6" t="n"/>
      <c r="BE307" s="6" t="n"/>
      <c r="BF307" s="3" t="n"/>
      <c r="BG307" s="6" t="n"/>
      <c r="BH307" s="6" t="n"/>
      <c r="BI307" s="6" t="n"/>
      <c r="BJ307" s="6" t="n"/>
      <c r="BK307" s="3" t="n"/>
      <c r="BL307" s="6" t="n"/>
      <c r="BM307" s="6" t="n"/>
      <c r="BN307" s="6" t="n"/>
      <c r="BO307" s="6" t="n"/>
      <c r="BP307" s="3" t="n"/>
      <c r="BQ307" s="6" t="n"/>
      <c r="BR307" s="6" t="n"/>
      <c r="BS307" s="6" t="n"/>
      <c r="BT307" s="6" t="n"/>
      <c r="BU307" s="3" t="n"/>
      <c r="BV307" s="6" t="n"/>
      <c r="BW307" s="6" t="n"/>
      <c r="BX307" s="6" t="n"/>
      <c r="BY307" s="6" t="n"/>
      <c r="BZ307" s="3" t="n"/>
      <c r="CA307" s="6" t="n"/>
      <c r="CB307" s="6" t="n"/>
      <c r="CC307" s="6" t="n"/>
      <c r="CD307" s="6" t="n"/>
      <c r="CE307" s="3" t="n"/>
      <c r="CF307" s="6" t="n"/>
      <c r="CG307" s="6" t="n"/>
      <c r="CH307" s="6" t="n"/>
      <c r="CI307" s="6" t="n"/>
      <c r="CJ307" s="3" t="n"/>
      <c r="CK307" s="6" t="n"/>
      <c r="CL307" s="6" t="n"/>
      <c r="CM307" s="6" t="n"/>
      <c r="CN307" s="6" t="n"/>
      <c r="CO307" s="3" t="n"/>
      <c r="CP307" s="6" t="n"/>
      <c r="CQ307" s="6" t="n"/>
      <c r="CR307" s="6" t="n"/>
      <c r="CS307" s="6" t="n"/>
      <c r="CT307" s="3" t="n"/>
      <c r="CU307" s="6" t="n"/>
      <c r="CV307" s="6" t="n"/>
      <c r="CW307" s="6" t="n"/>
      <c r="CX307" s="6" t="n"/>
      <c r="CY307" s="3" t="n"/>
    </row>
    <row r="308" hidden="1" outlineLevel="1">
      <c r="C308" s="34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  <c r="CG308" s="3" t="n"/>
      <c r="CH308" s="3" t="n"/>
      <c r="CI308" s="3" t="n"/>
      <c r="CJ308" s="3" t="n"/>
      <c r="CK308" s="3" t="n"/>
      <c r="CL308" s="3" t="n"/>
      <c r="CM308" s="3" t="n"/>
      <c r="CN308" s="3" t="n"/>
      <c r="CO308" s="3" t="n"/>
      <c r="CP308" s="3" t="n"/>
      <c r="CQ308" s="3" t="n"/>
      <c r="CR308" s="3" t="n"/>
      <c r="CS308" s="3" t="n"/>
      <c r="CT308" s="3" t="n"/>
      <c r="CU308" s="3" t="n"/>
      <c r="CV308" s="3" t="n"/>
      <c r="CW308" s="3" t="n"/>
      <c r="CX308" s="3" t="n"/>
      <c r="CY308" s="3" t="n"/>
    </row>
    <row r="309" collapsed="1">
      <c r="C309" s="26" t="inlineStr">
        <is>
          <t>Current portion of long-term debt</t>
        </is>
      </c>
      <c r="D309" s="25">
        <f>INDEX('Inputs (2)'!$D$32:$AL$32,MATCH(D$7,'Inputs (2)'!$D$2:$AL$2,0))</f>
        <v>816.006</v>
      </c>
      <c r="E309" s="25">
        <f>INDEX('Inputs (2)'!$D$32:$AL$32,MATCH(E$7,'Inputs (2)'!$D$2:$AL$2,0))</f>
        <v>855.684</v>
      </c>
      <c r="F309" s="25">
        <f>INDEX('Inputs (2)'!$D$32:$AL$32,MATCH(F$7,'Inputs (2)'!$D$2:$AL$2,0))</f>
        <v>882.729</v>
      </c>
      <c r="G309" s="25">
        <f>INDEX('Inputs (2)'!$D$32:$AL$32,MATCH(G$7,'Inputs (2)'!$D$2:$AL$2,0))</f>
        <v>823.619</v>
      </c>
      <c r="H309" s="3">
        <f>G309</f>
        <v>823.619</v>
      </c>
      <c r="I309" s="25">
        <f>INDEX('Inputs (2)'!$D$32:$AL$32,MATCH(I$7,'Inputs (2)'!$D$2:$AL$2,0))</f>
        <v>1010.158</v>
      </c>
      <c r="J309" s="25">
        <f>INDEX('Inputs (2)'!$D$32:$AL$32,MATCH(J$7,'Inputs (2)'!$D$2:$AL$2,0))</f>
        <v>1125.477</v>
      </c>
      <c r="K309" s="25">
        <f>INDEX('Inputs (2)'!$D$32:$AL$32,MATCH(K$7,'Inputs (2)'!$D$2:$AL$2,0))</f>
        <v>1113.817</v>
      </c>
      <c r="L309" s="25">
        <f>INDEX('Inputs (2)'!$D$32:$AL$32,MATCH(L$7,'Inputs (2)'!$D$2:$AL$2,0))</f>
        <v>951.193</v>
      </c>
      <c r="M309" s="3">
        <f>L309</f>
        <v>951.193</v>
      </c>
      <c r="N309" s="25">
        <f>INDEX('Inputs (2)'!$D$32:$AL$32,MATCH(N$7,'Inputs (2)'!$D$2:$AL$2,0))</f>
        <v>941.629</v>
      </c>
      <c r="O309" s="25">
        <f>INDEX('Inputs (2)'!$D$32:$AL$32,MATCH(O$7,'Inputs (2)'!$D$2:$AL$2,0))</f>
        <v>767.039</v>
      </c>
      <c r="P309" s="25">
        <f>INDEX('Inputs (2)'!$D$32:$AL$32,MATCH(P$7,'Inputs (2)'!$D$2:$AL$2,0))</f>
        <v>618.058</v>
      </c>
      <c r="Q309" s="25">
        <f>INDEX('Inputs (2)'!$D$32:$AL$32,MATCH(Q$7,'Inputs (2)'!$D$2:$AL$2,0))</f>
        <v>1151.029</v>
      </c>
      <c r="R309" s="3">
        <f>Q309</f>
        <v>1151.029</v>
      </c>
      <c r="S309" s="25">
        <f>INDEX('Inputs (2)'!$D$32:$AL$32,MATCH(S$7,'Inputs (2)'!$D$2:$AL$2,0))</f>
        <v>1267.52</v>
      </c>
      <c r="T309" s="25">
        <f>INDEX('Inputs (2)'!$D$32:$AL$32,MATCH(T$7,'Inputs (2)'!$D$2:$AL$2,0))</f>
        <v>1274.878</v>
      </c>
      <c r="U309" s="25">
        <f>INDEX('Inputs (2)'!$D$32:$AL$32,MATCH(U$7,'Inputs (2)'!$D$2:$AL$2,0))</f>
        <v>1818.034</v>
      </c>
      <c r="V309" s="25">
        <f>INDEX('Inputs (2)'!$D$32:$AL$32,MATCH(V$7,'Inputs (2)'!$D$2:$AL$2,0))</f>
        <v>2135.557</v>
      </c>
      <c r="W309" s="3">
        <f>V309</f>
        <v>2135.557</v>
      </c>
      <c r="X309" s="25">
        <f>INDEX('Inputs (2)'!$D$32:$AL$32,MATCH(X$7,'Inputs (2)'!$D$2:$AL$2,0))</f>
        <v>2273.316</v>
      </c>
      <c r="Y309" s="25">
        <f>INDEX('Inputs (2)'!$D$32:$AL$32,MATCH(Y$7,'Inputs (2)'!$D$2:$AL$2,0))</f>
        <v>2841.633</v>
      </c>
      <c r="Z309" s="25">
        <f>INDEX('Inputs (2)'!$D$32:$AL$32,MATCH(Z$7,'Inputs (2)'!$D$2:$AL$2,0))</f>
        <v>2378.841</v>
      </c>
      <c r="AA309" s="25">
        <f>INDEX('Inputs (2)'!$D$32:$AL$32,MATCH(AA$7,'Inputs (2)'!$D$2:$AL$2,0))</f>
        <v>1969.051</v>
      </c>
      <c r="AB309" s="3">
        <f>AA309</f>
        <v>1969.051</v>
      </c>
      <c r="AC309" s="25">
        <f>INDEX('Inputs (2)'!$D$32:$AL$32,MATCH(AC$7,'Inputs (2)'!$D$2:$AL$2,0))</f>
        <v>1962.814</v>
      </c>
      <c r="AD309" s="25">
        <f>INDEX('Inputs (2)'!$D$32:$AL$32,MATCH(AD$7,'Inputs (2)'!$D$2:$AL$2,0))</f>
        <v>1988.785</v>
      </c>
      <c r="AE309" s="25">
        <f>INDEX('Inputs (2)'!$D$32:$AL$32,MATCH(AE$7,'Inputs (2)'!$D$2:$AL$2,0))</f>
        <v>1419.605</v>
      </c>
      <c r="AF309" s="25">
        <f>INDEX('Inputs (2)'!$D$32:$AL$32,MATCH(AF$7,'Inputs (2)'!$D$2:$AL$2,0))</f>
        <v>1444.647</v>
      </c>
      <c r="AG309" s="3">
        <f>AF309</f>
        <v>1444.647</v>
      </c>
      <c r="AH309" s="3">
        <f>INDEX('Inputs (2)'!$D$32:$AL$32,MATCH(AH$7,'Inputs (2)'!$D$2:$AL$2,0))</f>
        <v>1492.978</v>
      </c>
      <c r="AI309" s="3">
        <f>INDEX('Inputs (2)'!$D$32:$AL$32,MATCH(AI$7,'Inputs (2)'!$D$2:$AL$2,0))</f>
        <v>1610.14</v>
      </c>
      <c r="AJ309" s="3">
        <f>AI309</f>
        <v>1610.14</v>
      </c>
      <c r="AK309" s="3">
        <f>AJ309</f>
        <v>1610.14</v>
      </c>
      <c r="AL309" s="3">
        <f>AK309</f>
        <v>1610.14</v>
      </c>
      <c r="AM309" s="3">
        <f>AL309</f>
        <v>1610.14</v>
      </c>
      <c r="AN309" s="3">
        <f>AM309</f>
        <v>1610.14</v>
      </c>
      <c r="AO309" s="3">
        <f>AN309</f>
        <v>1610.14</v>
      </c>
      <c r="AP309" s="3">
        <f>AO309</f>
        <v>1610.14</v>
      </c>
      <c r="AQ309" s="3">
        <f>AP309</f>
        <v>1610.14</v>
      </c>
      <c r="AR309" s="3">
        <f>AQ309</f>
        <v>1610.14</v>
      </c>
      <c r="AS309" s="3">
        <f>AR309</f>
        <v>1610.14</v>
      </c>
      <c r="AT309" s="3">
        <f>AS309</f>
        <v>1610.14</v>
      </c>
      <c r="AU309" s="3">
        <f>AT309</f>
        <v>1610.14</v>
      </c>
      <c r="AV309" s="3">
        <f>AU309</f>
        <v>1610.14</v>
      </c>
      <c r="AW309" s="3">
        <f>AV309</f>
        <v>1610.14</v>
      </c>
      <c r="AX309" s="3">
        <f>AW309</f>
        <v>1610.14</v>
      </c>
      <c r="AY309" s="3">
        <f>AX309</f>
        <v>1610.14</v>
      </c>
      <c r="AZ309" s="3">
        <f>AY309</f>
        <v>1610.14</v>
      </c>
      <c r="BA309" s="3">
        <f>AZ309</f>
        <v>1610.14</v>
      </c>
      <c r="BB309" s="3">
        <f>BA309</f>
        <v>1610.14</v>
      </c>
      <c r="BC309" s="3">
        <f>BB309</f>
        <v>1610.14</v>
      </c>
      <c r="BD309" s="3">
        <f>BC309</f>
        <v>1610.14</v>
      </c>
      <c r="BE309" s="3">
        <f>BD309</f>
        <v>1610.14</v>
      </c>
      <c r="BF309" s="3">
        <f>BE309</f>
        <v>1610.14</v>
      </c>
      <c r="BG309" s="3">
        <f>BF309</f>
        <v>1610.14</v>
      </c>
      <c r="BH309" s="3">
        <f>BG309</f>
        <v>1610.14</v>
      </c>
      <c r="BI309" s="3">
        <f>BH309</f>
        <v>1610.14</v>
      </c>
      <c r="BJ309" s="3">
        <f>BI309</f>
        <v>1610.14</v>
      </c>
      <c r="BK309" s="3">
        <f>BJ309</f>
        <v>1610.14</v>
      </c>
      <c r="BL309" s="3">
        <f>BK309</f>
        <v>1610.14</v>
      </c>
      <c r="BM309" s="3">
        <f>BL309</f>
        <v>1610.14</v>
      </c>
      <c r="BN309" s="3">
        <f>BM309</f>
        <v>1610.14</v>
      </c>
      <c r="BO309" s="3">
        <f>BN309</f>
        <v>1610.14</v>
      </c>
      <c r="BP309" s="3">
        <f>BO309</f>
        <v>1610.14</v>
      </c>
      <c r="BQ309" s="3">
        <f>BP309</f>
        <v>1610.14</v>
      </c>
      <c r="BR309" s="3">
        <f>BQ309</f>
        <v>1610.14</v>
      </c>
      <c r="BS309" s="3">
        <f>BR309</f>
        <v>1610.14</v>
      </c>
      <c r="BT309" s="3">
        <f>BS309</f>
        <v>1610.14</v>
      </c>
      <c r="BU309" s="3">
        <f>BT309</f>
        <v>1610.14</v>
      </c>
      <c r="BV309" s="3">
        <f>BU309</f>
        <v>1610.14</v>
      </c>
      <c r="BW309" s="3">
        <f>BV309</f>
        <v>1610.14</v>
      </c>
      <c r="BX309" s="3">
        <f>BW309</f>
        <v>1610.14</v>
      </c>
      <c r="BY309" s="3">
        <f>BX309</f>
        <v>1610.14</v>
      </c>
      <c r="BZ309" s="3">
        <f>BY309</f>
        <v>1610.14</v>
      </c>
      <c r="CA309" s="3">
        <f>BZ309</f>
        <v>1610.14</v>
      </c>
      <c r="CB309" s="3">
        <f>CA309</f>
        <v>1610.14</v>
      </c>
      <c r="CC309" s="3">
        <f>CB309</f>
        <v>1610.14</v>
      </c>
      <c r="CD309" s="3">
        <f>CC309</f>
        <v>1610.14</v>
      </c>
      <c r="CE309" s="3">
        <f>CD309</f>
        <v>1610.14</v>
      </c>
      <c r="CF309" s="3">
        <f>CE309</f>
        <v>1610.14</v>
      </c>
      <c r="CG309" s="3">
        <f>CF309</f>
        <v>1610.14</v>
      </c>
      <c r="CH309" s="3">
        <f>CG309</f>
        <v>1610.14</v>
      </c>
      <c r="CI309" s="3">
        <f>CH309</f>
        <v>1610.14</v>
      </c>
      <c r="CJ309" s="3">
        <f>CI309</f>
        <v>1610.14</v>
      </c>
      <c r="CK309" s="3">
        <f>CJ309</f>
        <v>1610.14</v>
      </c>
      <c r="CL309" s="3">
        <f>CK309</f>
        <v>1610.14</v>
      </c>
      <c r="CM309" s="3">
        <f>CL309</f>
        <v>1610.14</v>
      </c>
      <c r="CN309" s="3">
        <f>CM309</f>
        <v>1610.14</v>
      </c>
      <c r="CO309" s="3">
        <f>CN309</f>
        <v>1610.14</v>
      </c>
      <c r="CP309" s="3">
        <f>CO309</f>
        <v>1610.14</v>
      </c>
      <c r="CQ309" s="3">
        <f>CP309</f>
        <v>1610.14</v>
      </c>
      <c r="CR309" s="3">
        <f>CQ309</f>
        <v>1610.14</v>
      </c>
      <c r="CS309" s="3">
        <f>CR309</f>
        <v>1610.14</v>
      </c>
      <c r="CT309" s="3">
        <f>CS309</f>
        <v>1610.14</v>
      </c>
      <c r="CU309" s="3">
        <f>CT309</f>
        <v>1610.14</v>
      </c>
      <c r="CV309" s="3">
        <f>CU309</f>
        <v>1610.14</v>
      </c>
      <c r="CW309" s="3">
        <f>CV309</f>
        <v>1610.14</v>
      </c>
      <c r="CX309" s="3">
        <f>CW309</f>
        <v>1610.14</v>
      </c>
      <c r="CY309" s="3">
        <f>CX309</f>
        <v>1610.14</v>
      </c>
    </row>
    <row r="310">
      <c r="C310" s="26" t="inlineStr">
        <is>
          <t>Short term debt (Revolving credit facility)</t>
        </is>
      </c>
      <c r="D310" s="25" t="n"/>
      <c r="E310" s="25" t="n"/>
      <c r="F310" s="25" t="n"/>
      <c r="G310" s="25" t="n"/>
      <c r="H310" s="3">
        <f>G310</f>
        <v>0</v>
      </c>
      <c r="I310" s="25" t="n"/>
      <c r="J310" s="25" t="n"/>
      <c r="K310" s="25" t="n"/>
      <c r="L310" s="25" t="n"/>
      <c r="M310" s="3">
        <f>L310</f>
        <v>0</v>
      </c>
      <c r="N310" s="25" t="n"/>
      <c r="O310" s="25" t="n"/>
      <c r="P310" s="25" t="n"/>
      <c r="Q310" s="25" t="n"/>
      <c r="R310" s="3">
        <f>Q310</f>
        <v>0</v>
      </c>
      <c r="S310" s="25" t="n"/>
      <c r="T310" s="25" t="n"/>
      <c r="U310" s="25" t="n"/>
      <c r="V310" s="25" t="n"/>
      <c r="W310" s="3">
        <f>V310</f>
        <v>0</v>
      </c>
      <c r="X310" s="25" t="n"/>
      <c r="Y310" s="25" t="n"/>
      <c r="Z310" s="25" t="n"/>
      <c r="AA310" s="25" t="n"/>
      <c r="AB310" s="3">
        <f>AA310</f>
        <v>0</v>
      </c>
      <c r="AC310" s="25" t="n"/>
      <c r="AD310" s="25" t="n"/>
      <c r="AE310" s="25" t="n"/>
      <c r="AF310" s="25" t="n"/>
      <c r="AG310" s="3">
        <f>AF310</f>
        <v>0</v>
      </c>
      <c r="AH310" s="3">
        <f>AG310</f>
        <v>0</v>
      </c>
      <c r="AI310" s="3">
        <f>AH310</f>
        <v>0</v>
      </c>
      <c r="AJ310" s="3">
        <f>AI310</f>
        <v>0</v>
      </c>
      <c r="AK310" s="3">
        <f>AJ310</f>
        <v>0</v>
      </c>
      <c r="AL310" s="3">
        <f>AK310</f>
        <v>0</v>
      </c>
      <c r="AM310" s="3">
        <f>AL310</f>
        <v>0</v>
      </c>
      <c r="AN310" s="3">
        <f>AM310</f>
        <v>0</v>
      </c>
      <c r="AO310" s="3">
        <f>AN310</f>
        <v>0</v>
      </c>
      <c r="AP310" s="3">
        <f>AO310</f>
        <v>0</v>
      </c>
      <c r="AQ310" s="3">
        <f>AP310</f>
        <v>0</v>
      </c>
      <c r="AR310" s="3">
        <f>AQ310</f>
        <v>0</v>
      </c>
      <c r="AS310" s="3">
        <f>AR310</f>
        <v>0</v>
      </c>
      <c r="AT310" s="3">
        <f>AS310</f>
        <v>0</v>
      </c>
      <c r="AU310" s="3">
        <f>AT310</f>
        <v>0</v>
      </c>
      <c r="AV310" s="3">
        <f>AU310</f>
        <v>0</v>
      </c>
      <c r="AW310" s="3">
        <f>AV310</f>
        <v>0</v>
      </c>
      <c r="AX310" s="3">
        <f>AW310</f>
        <v>0</v>
      </c>
      <c r="AY310" s="3">
        <f>AX310</f>
        <v>0</v>
      </c>
      <c r="AZ310" s="3">
        <f>AY310</f>
        <v>0</v>
      </c>
      <c r="BA310" s="3">
        <f>AZ310</f>
        <v>0</v>
      </c>
      <c r="BB310" s="3">
        <f>BA310</f>
        <v>0</v>
      </c>
      <c r="BC310" s="3">
        <f>BB310</f>
        <v>0</v>
      </c>
      <c r="BD310" s="3">
        <f>BC310</f>
        <v>0</v>
      </c>
      <c r="BE310" s="3">
        <f>BD310</f>
        <v>0</v>
      </c>
      <c r="BF310" s="3">
        <f>BE310</f>
        <v>0</v>
      </c>
      <c r="BG310" s="3">
        <f>BF310</f>
        <v>0</v>
      </c>
      <c r="BH310" s="3">
        <f>BG310</f>
        <v>0</v>
      </c>
      <c r="BI310" s="3">
        <f>BH310</f>
        <v>0</v>
      </c>
      <c r="BJ310" s="3">
        <f>BI310</f>
        <v>0</v>
      </c>
      <c r="BK310" s="3">
        <f>BJ310</f>
        <v>0</v>
      </c>
      <c r="BL310" s="3">
        <f>BK310</f>
        <v>0</v>
      </c>
      <c r="BM310" s="3">
        <f>BL310</f>
        <v>0</v>
      </c>
      <c r="BN310" s="3">
        <f>BM310</f>
        <v>0</v>
      </c>
      <c r="BO310" s="3">
        <f>BN310</f>
        <v>0</v>
      </c>
      <c r="BP310" s="3">
        <f>BO310</f>
        <v>0</v>
      </c>
      <c r="BQ310" s="3">
        <f>BP310</f>
        <v>0</v>
      </c>
      <c r="BR310" s="3">
        <f>BQ310</f>
        <v>0</v>
      </c>
      <c r="BS310" s="3">
        <f>BR310</f>
        <v>0</v>
      </c>
      <c r="BT310" s="3">
        <f>BS310</f>
        <v>0</v>
      </c>
      <c r="BU310" s="3">
        <f>BT310</f>
        <v>0</v>
      </c>
      <c r="BV310" s="3">
        <f>BU310</f>
        <v>0</v>
      </c>
      <c r="BW310" s="3">
        <f>BV310</f>
        <v>0</v>
      </c>
      <c r="BX310" s="3">
        <f>BW310</f>
        <v>0</v>
      </c>
      <c r="BY310" s="3">
        <f>BX310</f>
        <v>0</v>
      </c>
      <c r="BZ310" s="3">
        <f>BY310</f>
        <v>0</v>
      </c>
      <c r="CA310" s="3">
        <f>BZ310</f>
        <v>0</v>
      </c>
      <c r="CB310" s="3">
        <f>CA310</f>
        <v>0</v>
      </c>
      <c r="CC310" s="3">
        <f>CB310</f>
        <v>0</v>
      </c>
      <c r="CD310" s="3">
        <f>CC310</f>
        <v>0</v>
      </c>
      <c r="CE310" s="3">
        <f>CD310</f>
        <v>0</v>
      </c>
      <c r="CF310" s="3">
        <f>CE310</f>
        <v>0</v>
      </c>
      <c r="CG310" s="3">
        <f>CF310</f>
        <v>0</v>
      </c>
      <c r="CH310" s="3">
        <f>CG310</f>
        <v>0</v>
      </c>
      <c r="CI310" s="3">
        <f>CH310</f>
        <v>0</v>
      </c>
      <c r="CJ310" s="3">
        <f>CI310</f>
        <v>0</v>
      </c>
      <c r="CK310" s="3">
        <f>CJ310</f>
        <v>0</v>
      </c>
      <c r="CL310" s="3">
        <f>CK310</f>
        <v>0</v>
      </c>
      <c r="CM310" s="3">
        <f>CL310</f>
        <v>0</v>
      </c>
      <c r="CN310" s="3">
        <f>CM310</f>
        <v>0</v>
      </c>
      <c r="CO310" s="3">
        <f>CN310</f>
        <v>0</v>
      </c>
      <c r="CP310" s="3">
        <f>CO310</f>
        <v>0</v>
      </c>
      <c r="CQ310" s="3">
        <f>CP310</f>
        <v>0</v>
      </c>
      <c r="CR310" s="3">
        <f>CQ310</f>
        <v>0</v>
      </c>
      <c r="CS310" s="3">
        <f>CR310</f>
        <v>0</v>
      </c>
      <c r="CT310" s="3">
        <f>CS310</f>
        <v>0</v>
      </c>
      <c r="CU310" s="3">
        <f>CT310</f>
        <v>0</v>
      </c>
      <c r="CV310" s="3">
        <f>CU310</f>
        <v>0</v>
      </c>
      <c r="CW310" s="3">
        <f>CV310</f>
        <v>0</v>
      </c>
      <c r="CX310" s="3">
        <f>CW310</f>
        <v>0</v>
      </c>
      <c r="CY310" s="3">
        <f>CX310</f>
        <v>0</v>
      </c>
    </row>
    <row r="311">
      <c r="C311" s="26" t="inlineStr">
        <is>
          <t>Short term operating leases</t>
        </is>
      </c>
      <c r="D311" s="25">
        <f>INDEX('Inputs (2)'!$D$34:$AL$34,MATCH(D$7,'Inputs (2)'!$D$2:$AL$2,0))</f>
        <v>6.214</v>
      </c>
      <c r="E311" s="25">
        <f>INDEX('Inputs (2)'!$D$34:$AL$34,MATCH(E$7,'Inputs (2)'!$D$2:$AL$2,0))</f>
        <v>7.883</v>
      </c>
      <c r="F311" s="25">
        <f>INDEX('Inputs (2)'!$D$34:$AL$34,MATCH(F$7,'Inputs (2)'!$D$2:$AL$2,0))</f>
        <v>8.066</v>
      </c>
      <c r="G311" s="25">
        <f>INDEX('Inputs (2)'!$D$34:$AL$34,MATCH(G$7,'Inputs (2)'!$D$2:$AL$2,0))</f>
        <v>7.392</v>
      </c>
      <c r="H311" s="3">
        <f>G311</f>
        <v>7.392</v>
      </c>
      <c r="I311" s="25">
        <f>INDEX('Inputs (2)'!$D$34:$AL$34,MATCH(I$7,'Inputs (2)'!$D$2:$AL$2,0))</f>
        <v>9.107</v>
      </c>
      <c r="J311" s="25">
        <f>INDEX('Inputs (2)'!$D$34:$AL$34,MATCH(J$7,'Inputs (2)'!$D$2:$AL$2,0))</f>
        <v>11.232</v>
      </c>
      <c r="K311" s="25">
        <f>INDEX('Inputs (2)'!$D$34:$AL$34,MATCH(K$7,'Inputs (2)'!$D$2:$AL$2,0))</f>
        <v>9.893</v>
      </c>
      <c r="L311" s="25">
        <f>INDEX('Inputs (2)'!$D$34:$AL$34,MATCH(L$7,'Inputs (2)'!$D$2:$AL$2,0))</f>
        <v>9.706</v>
      </c>
      <c r="M311" s="3">
        <f>L311</f>
        <v>9.706</v>
      </c>
      <c r="N311" s="25">
        <f>INDEX('Inputs (2)'!$D$34:$AL$34,MATCH(N$7,'Inputs (2)'!$D$2:$AL$2,0))</f>
        <v>10.058</v>
      </c>
      <c r="O311" s="25">
        <f>INDEX('Inputs (2)'!$D$34:$AL$34,MATCH(O$7,'Inputs (2)'!$D$2:$AL$2,0))</f>
        <v>8.535</v>
      </c>
      <c r="P311" s="25">
        <f>INDEX('Inputs (2)'!$D$34:$AL$34,MATCH(P$7,'Inputs (2)'!$D$2:$AL$2,0))</f>
        <v>8.529</v>
      </c>
      <c r="Q311" s="25">
        <f>INDEX('Inputs (2)'!$D$34:$AL$34,MATCH(Q$7,'Inputs (2)'!$D$2:$AL$2,0))</f>
        <v>8.531</v>
      </c>
      <c r="R311" s="3">
        <f>Q311</f>
        <v>8.531</v>
      </c>
      <c r="S311" s="25">
        <f>INDEX('Inputs (2)'!$D$34:$AL$34,MATCH(S$7,'Inputs (2)'!$D$2:$AL$2,0))</f>
        <v>8.453</v>
      </c>
      <c r="T311" s="25">
        <f>INDEX('Inputs (2)'!$D$34:$AL$34,MATCH(T$7,'Inputs (2)'!$D$2:$AL$2,0))</f>
        <v>7.48</v>
      </c>
      <c r="U311" s="25">
        <f>INDEX('Inputs (2)'!$D$34:$AL$34,MATCH(U$7,'Inputs (2)'!$D$2:$AL$2,0))</f>
        <v>7.38</v>
      </c>
      <c r="V311" s="25">
        <f>INDEX('Inputs (2)'!$D$34:$AL$34,MATCH(V$7,'Inputs (2)'!$D$2:$AL$2,0))</f>
        <v>8.075</v>
      </c>
      <c r="W311" s="3">
        <f>V311</f>
        <v>8.075</v>
      </c>
      <c r="X311" s="25">
        <f>INDEX('Inputs (2)'!$D$34:$AL$34,MATCH(X$7,'Inputs (2)'!$D$2:$AL$2,0))</f>
        <v>9.028</v>
      </c>
      <c r="Y311" s="25">
        <f>INDEX('Inputs (2)'!$D$34:$AL$34,MATCH(Y$7,'Inputs (2)'!$D$2:$AL$2,0))</f>
        <v>9.055</v>
      </c>
      <c r="Z311" s="25">
        <f>INDEX('Inputs (2)'!$D$34:$AL$34,MATCH(Z$7,'Inputs (2)'!$D$2:$AL$2,0))</f>
        <v>9.088</v>
      </c>
      <c r="AA311" s="25">
        <f>INDEX('Inputs (2)'!$D$34:$AL$34,MATCH(AA$7,'Inputs (2)'!$D$2:$AL$2,0))</f>
        <v>9.413</v>
      </c>
      <c r="AB311" s="3">
        <f>AA311</f>
        <v>9.413</v>
      </c>
      <c r="AC311" s="25">
        <f>INDEX('Inputs (2)'!$D$34:$AL$34,MATCH(AC$7,'Inputs (2)'!$D$2:$AL$2,0))</f>
        <v>9.545</v>
      </c>
      <c r="AD311" s="25">
        <f>INDEX('Inputs (2)'!$D$34:$AL$34,MATCH(AD$7,'Inputs (2)'!$D$2:$AL$2,0))</f>
        <v>9.268</v>
      </c>
      <c r="AE311" s="25">
        <f>INDEX('Inputs (2)'!$D$34:$AL$34,MATCH(AE$7,'Inputs (2)'!$D$2:$AL$2,0))</f>
        <v>9.962</v>
      </c>
      <c r="AF311" s="25">
        <f>INDEX('Inputs (2)'!$D$34:$AL$34,MATCH(AF$7,'Inputs (2)'!$D$2:$AL$2,0))</f>
        <v>5.995</v>
      </c>
      <c r="AG311" s="3">
        <f>AF311</f>
        <v>5.995</v>
      </c>
      <c r="AH311" s="3">
        <f>INDEX('Inputs (2)'!$D$34:$AL$34,MATCH(AH$7,'Inputs (2)'!$D$2:$AL$2,0))</f>
        <v>5.772</v>
      </c>
      <c r="AI311" s="3">
        <f>INDEX('Inputs (2)'!$D$34:$AL$34,MATCH(AI$7,'Inputs (2)'!$D$2:$AL$2,0))</f>
        <v>6.263</v>
      </c>
      <c r="AJ311" s="3">
        <f>AI311</f>
        <v>6.263</v>
      </c>
      <c r="AK311" s="3">
        <f>AJ311</f>
        <v>6.263</v>
      </c>
      <c r="AL311" s="3">
        <f>AK311</f>
        <v>6.263</v>
      </c>
      <c r="AM311" s="3">
        <f>AL311</f>
        <v>6.263</v>
      </c>
      <c r="AN311" s="3">
        <f>AM311</f>
        <v>6.263</v>
      </c>
      <c r="AO311" s="3">
        <f>AN311</f>
        <v>6.263</v>
      </c>
      <c r="AP311" s="3">
        <f>AO311</f>
        <v>6.263</v>
      </c>
      <c r="AQ311" s="3">
        <f>AP311</f>
        <v>6.263</v>
      </c>
      <c r="AR311" s="3">
        <f>AQ311</f>
        <v>6.263</v>
      </c>
      <c r="AS311" s="3">
        <f>AR311</f>
        <v>6.263</v>
      </c>
      <c r="AT311" s="3">
        <f>AS311</f>
        <v>6.263</v>
      </c>
      <c r="AU311" s="3">
        <f>AT311</f>
        <v>6.263</v>
      </c>
      <c r="AV311" s="3">
        <f>AU311</f>
        <v>6.263</v>
      </c>
      <c r="AW311" s="3">
        <f>AV311</f>
        <v>6.263</v>
      </c>
      <c r="AX311" s="3">
        <f>AW311</f>
        <v>6.263</v>
      </c>
      <c r="AY311" s="3">
        <f>AX311</f>
        <v>6.263</v>
      </c>
      <c r="AZ311" s="3">
        <f>AY311</f>
        <v>6.263</v>
      </c>
      <c r="BA311" s="3">
        <f>AZ311</f>
        <v>6.263</v>
      </c>
      <c r="BB311" s="3">
        <f>BA311</f>
        <v>6.263</v>
      </c>
      <c r="BC311" s="3">
        <f>BB311</f>
        <v>6.263</v>
      </c>
      <c r="BD311" s="3">
        <f>BC311</f>
        <v>6.263</v>
      </c>
      <c r="BE311" s="3">
        <f>BD311</f>
        <v>6.263</v>
      </c>
      <c r="BF311" s="3">
        <f>BE311</f>
        <v>6.263</v>
      </c>
      <c r="BG311" s="3">
        <f>BF311</f>
        <v>6.263</v>
      </c>
      <c r="BH311" s="3">
        <f>BG311</f>
        <v>6.263</v>
      </c>
      <c r="BI311" s="3">
        <f>BH311</f>
        <v>6.263</v>
      </c>
      <c r="BJ311" s="3">
        <f>BI311</f>
        <v>6.263</v>
      </c>
      <c r="BK311" s="3">
        <f>BJ311</f>
        <v>6.263</v>
      </c>
      <c r="BL311" s="3">
        <f>BK311</f>
        <v>6.263</v>
      </c>
      <c r="BM311" s="3">
        <f>BL311</f>
        <v>6.263</v>
      </c>
      <c r="BN311" s="3">
        <f>BM311</f>
        <v>6.263</v>
      </c>
      <c r="BO311" s="3">
        <f>BN311</f>
        <v>6.263</v>
      </c>
      <c r="BP311" s="3">
        <f>BO311</f>
        <v>6.263</v>
      </c>
      <c r="BQ311" s="3">
        <f>BP311</f>
        <v>6.263</v>
      </c>
      <c r="BR311" s="3">
        <f>BQ311</f>
        <v>6.263</v>
      </c>
      <c r="BS311" s="3">
        <f>BR311</f>
        <v>6.263</v>
      </c>
      <c r="BT311" s="3">
        <f>BS311</f>
        <v>6.263</v>
      </c>
      <c r="BU311" s="3">
        <f>BT311</f>
        <v>6.263</v>
      </c>
      <c r="BV311" s="3">
        <f>BU311</f>
        <v>6.263</v>
      </c>
      <c r="BW311" s="3">
        <f>BV311</f>
        <v>6.263</v>
      </c>
      <c r="BX311" s="3">
        <f>BW311</f>
        <v>6.263</v>
      </c>
      <c r="BY311" s="3">
        <f>BX311</f>
        <v>6.263</v>
      </c>
      <c r="BZ311" s="3">
        <f>BY311</f>
        <v>6.263</v>
      </c>
      <c r="CA311" s="3">
        <f>BZ311</f>
        <v>6.263</v>
      </c>
      <c r="CB311" s="3">
        <f>CA311</f>
        <v>6.263</v>
      </c>
      <c r="CC311" s="3">
        <f>CB311</f>
        <v>6.263</v>
      </c>
      <c r="CD311" s="3">
        <f>CC311</f>
        <v>6.263</v>
      </c>
      <c r="CE311" s="3">
        <f>CD311</f>
        <v>6.263</v>
      </c>
      <c r="CF311" s="3">
        <f>CE311</f>
        <v>6.263</v>
      </c>
      <c r="CG311" s="3">
        <f>CF311</f>
        <v>6.263</v>
      </c>
      <c r="CH311" s="3">
        <f>CG311</f>
        <v>6.263</v>
      </c>
      <c r="CI311" s="3">
        <f>CH311</f>
        <v>6.263</v>
      </c>
      <c r="CJ311" s="3">
        <f>CI311</f>
        <v>6.263</v>
      </c>
      <c r="CK311" s="3">
        <f>CJ311</f>
        <v>6.263</v>
      </c>
      <c r="CL311" s="3">
        <f>CK311</f>
        <v>6.263</v>
      </c>
      <c r="CM311" s="3">
        <f>CL311</f>
        <v>6.263</v>
      </c>
      <c r="CN311" s="3">
        <f>CM311</f>
        <v>6.263</v>
      </c>
      <c r="CO311" s="3">
        <f>CN311</f>
        <v>6.263</v>
      </c>
      <c r="CP311" s="3">
        <f>CO311</f>
        <v>6.263</v>
      </c>
      <c r="CQ311" s="3">
        <f>CP311</f>
        <v>6.263</v>
      </c>
      <c r="CR311" s="3">
        <f>CQ311</f>
        <v>6.263</v>
      </c>
      <c r="CS311" s="3">
        <f>CR311</f>
        <v>6.263</v>
      </c>
      <c r="CT311" s="3">
        <f>CS311</f>
        <v>6.263</v>
      </c>
      <c r="CU311" s="3">
        <f>CT311</f>
        <v>6.263</v>
      </c>
      <c r="CV311" s="3">
        <f>CU311</f>
        <v>6.263</v>
      </c>
      <c r="CW311" s="3">
        <f>CV311</f>
        <v>6.263</v>
      </c>
      <c r="CX311" s="3">
        <f>CW311</f>
        <v>6.263</v>
      </c>
      <c r="CY311" s="3">
        <f>CX311</f>
        <v>6.263</v>
      </c>
    </row>
    <row r="312" hidden="1" outlineLevel="1">
      <c r="C312" s="38" t="inlineStr">
        <is>
          <t>%(Var.)</t>
        </is>
      </c>
      <c r="D312" s="3" t="n"/>
      <c r="E312" s="47">
        <f>(E311-D311)/D311</f>
        <v>0.268587061474091</v>
      </c>
      <c r="F312" s="47">
        <f>(F311-E311)/E311</f>
        <v>0.0232145122415325</v>
      </c>
      <c r="G312" s="47">
        <f>(G311-F311)/F311</f>
        <v>-0.0835606248450286</v>
      </c>
      <c r="H312" s="3" t="n"/>
      <c r="I312" s="47">
        <f>(I311-H311)/H311</f>
        <v>0.232007575757576</v>
      </c>
      <c r="J312" s="47">
        <f>(J311-I311)/I311</f>
        <v>0.233336993521467</v>
      </c>
      <c r="K312" s="47">
        <f>(K311-J311)/J311</f>
        <v>-0.119212962962963</v>
      </c>
      <c r="L312" s="47">
        <f>(L311-K311)/K311</f>
        <v>-0.0189022541190742</v>
      </c>
      <c r="M312" s="3" t="n"/>
      <c r="N312" s="47">
        <f>(N311-M311)/M311</f>
        <v>0.0362662270760355</v>
      </c>
      <c r="O312" s="47">
        <f>(O311-N311)/N311</f>
        <v>-0.151421753827799</v>
      </c>
      <c r="P312" s="47">
        <f>(P311-O311)/O311</f>
        <v>-0.000702987697715317</v>
      </c>
      <c r="Q312" s="47">
        <f>(Q311-P311)/P311</f>
        <v>0.000234494079024583</v>
      </c>
      <c r="R312" s="3" t="n"/>
      <c r="S312" s="47">
        <f>(S311-R311)/R311</f>
        <v>-0.00914312507326236</v>
      </c>
      <c r="T312" s="47">
        <f>(T311-S311)/S311</f>
        <v>-0.115107062581332</v>
      </c>
      <c r="U312" s="47">
        <f>(U311-T311)/T311</f>
        <v>-0.0133689839572193</v>
      </c>
      <c r="V312" s="47">
        <f>(V311-U311)/U311</f>
        <v>0.0941734417344173</v>
      </c>
      <c r="W312" s="3" t="n"/>
      <c r="X312" s="47">
        <f>(X311-W311)/W311</f>
        <v>0.118018575851393</v>
      </c>
      <c r="Y312" s="47">
        <f>(Y311-X311)/X311</f>
        <v>0.00299069561364635</v>
      </c>
      <c r="Z312" s="47">
        <f>(Z311-Y311)/Y311</f>
        <v>0.00364439536167877</v>
      </c>
      <c r="AA312" s="47">
        <f>(AA311-Z311)/Z311</f>
        <v>0.0357614436619718</v>
      </c>
      <c r="AB312" s="3" t="n"/>
      <c r="AC312" s="47">
        <f>(AC311-AB311)/AB311</f>
        <v>0.0140231594603208</v>
      </c>
      <c r="AD312" s="47">
        <f>(AD311-AC311)/AC311</f>
        <v>-0.0290204295442639</v>
      </c>
      <c r="AE312" s="47">
        <f>(AE311-AD311)/AD311</f>
        <v>0.0748813120414328</v>
      </c>
      <c r="AF312" s="6">
        <f>(AF311-AE311)/AE311</f>
        <v>-0.398213210198755</v>
      </c>
      <c r="AG312" s="3" t="n"/>
      <c r="AH312" s="6">
        <f>(AH311-AG311)/AG311</f>
        <v>-0.0371976647206005</v>
      </c>
      <c r="AI312" s="6">
        <f>(AI311-AH311)/AH311</f>
        <v>0.085065835065835</v>
      </c>
      <c r="AJ312" s="6" t="n"/>
      <c r="AK312" s="6" t="n"/>
      <c r="AL312" s="3" t="n"/>
      <c r="AM312" s="6" t="n"/>
      <c r="AN312" s="6" t="n"/>
      <c r="AO312" s="6" t="n"/>
      <c r="AP312" s="6" t="n"/>
      <c r="AQ312" s="3" t="n"/>
      <c r="AR312" s="6" t="n"/>
      <c r="AS312" s="6" t="n"/>
      <c r="AT312" s="6" t="n"/>
      <c r="AU312" s="6" t="n"/>
      <c r="AV312" s="3" t="n"/>
      <c r="AW312" s="6" t="n"/>
      <c r="AX312" s="6" t="n"/>
      <c r="AY312" s="6" t="n"/>
      <c r="AZ312" s="6" t="n"/>
      <c r="BA312" s="3" t="n"/>
      <c r="BB312" s="6" t="n"/>
      <c r="BC312" s="6" t="n"/>
      <c r="BD312" s="6" t="n"/>
      <c r="BE312" s="6" t="n"/>
      <c r="BF312" s="3" t="n"/>
      <c r="BG312" s="6" t="n"/>
      <c r="BH312" s="6" t="n"/>
      <c r="BI312" s="6" t="n"/>
      <c r="BJ312" s="6" t="n"/>
      <c r="BK312" s="3" t="n"/>
      <c r="BL312" s="6" t="n"/>
      <c r="BM312" s="6" t="n"/>
      <c r="BN312" s="6" t="n"/>
      <c r="BO312" s="6" t="n"/>
      <c r="BP312" s="3" t="n"/>
      <c r="BQ312" s="6" t="n"/>
      <c r="BR312" s="6" t="n"/>
      <c r="BS312" s="6" t="n"/>
      <c r="BT312" s="6" t="n"/>
      <c r="BU312" s="3" t="n"/>
      <c r="BV312" s="6" t="n"/>
      <c r="BW312" s="6" t="n"/>
      <c r="BX312" s="6" t="n"/>
      <c r="BY312" s="6" t="n"/>
      <c r="BZ312" s="3" t="n"/>
      <c r="CA312" s="6" t="n"/>
      <c r="CB312" s="6" t="n"/>
      <c r="CC312" s="6" t="n"/>
      <c r="CD312" s="6" t="n"/>
      <c r="CE312" s="3" t="n"/>
      <c r="CF312" s="6" t="n"/>
      <c r="CG312" s="6" t="n"/>
      <c r="CH312" s="6" t="n"/>
      <c r="CI312" s="6" t="n"/>
      <c r="CJ312" s="3" t="n"/>
      <c r="CK312" s="6" t="n"/>
      <c r="CL312" s="6" t="n"/>
      <c r="CM312" s="6" t="n"/>
      <c r="CN312" s="6" t="n"/>
      <c r="CO312" s="3" t="n"/>
      <c r="CP312" s="6" t="n"/>
      <c r="CQ312" s="6" t="n"/>
      <c r="CR312" s="6" t="n"/>
      <c r="CS312" s="6" t="n"/>
      <c r="CT312" s="3" t="n"/>
      <c r="CU312" s="6" t="n"/>
      <c r="CV312" s="6" t="n"/>
      <c r="CW312" s="6" t="n"/>
      <c r="CX312" s="6" t="n"/>
      <c r="CY312" s="3" t="n"/>
    </row>
    <row r="313" hidden="1" outlineLevel="1">
      <c r="C313" s="34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  <c r="CG313" s="3" t="n"/>
      <c r="CH313" s="3" t="n"/>
      <c r="CI313" s="3" t="n"/>
      <c r="CJ313" s="3" t="n"/>
      <c r="CK313" s="3" t="n"/>
      <c r="CL313" s="3" t="n"/>
      <c r="CM313" s="3" t="n"/>
      <c r="CN313" s="3" t="n"/>
      <c r="CO313" s="3" t="n"/>
      <c r="CP313" s="3" t="n"/>
      <c r="CQ313" s="3" t="n"/>
      <c r="CR313" s="3" t="n"/>
      <c r="CS313" s="3" t="n"/>
      <c r="CT313" s="3" t="n"/>
      <c r="CU313" s="3" t="n"/>
      <c r="CV313" s="3" t="n"/>
      <c r="CW313" s="3" t="n"/>
      <c r="CX313" s="3" t="n"/>
      <c r="CY313" s="3" t="n"/>
    </row>
    <row r="314" collapsed="1">
      <c r="C314" s="26" t="inlineStr">
        <is>
          <t>Long term debt</t>
        </is>
      </c>
      <c r="D314" s="25">
        <f>INDEX('Inputs (2)'!$D$35:$AL$35,MATCH(D$7,'Inputs (2)'!$D$2:$AL$2,0))</f>
        <v>7785.611</v>
      </c>
      <c r="E314" s="25">
        <f>INDEX('Inputs (2)'!$D$35:$AL$35,MATCH(E$7,'Inputs (2)'!$D$2:$AL$2,0))</f>
        <v>7614.882</v>
      </c>
      <c r="F314" s="25">
        <f>INDEX('Inputs (2)'!$D$35:$AL$35,MATCH(F$7,'Inputs (2)'!$D$2:$AL$2,0))</f>
        <v>7856.477</v>
      </c>
      <c r="G314" s="25">
        <f>INDEX('Inputs (2)'!$D$35:$AL$35,MATCH(G$7,'Inputs (2)'!$D$2:$AL$2,0))</f>
        <v>8151.837</v>
      </c>
      <c r="H314" s="3">
        <f>G314</f>
        <v>8151.837</v>
      </c>
      <c r="I314" s="25">
        <f>INDEX('Inputs (2)'!$D$35:$AL$35,MATCH(I$7,'Inputs (2)'!$D$2:$AL$2,0))</f>
        <v>8105.31</v>
      </c>
      <c r="J314" s="25">
        <f>INDEX('Inputs (2)'!$D$35:$AL$35,MATCH(J$7,'Inputs (2)'!$D$2:$AL$2,0))</f>
        <v>8155.094</v>
      </c>
      <c r="K314" s="25">
        <f>INDEX('Inputs (2)'!$D$35:$AL$35,MATCH(K$7,'Inputs (2)'!$D$2:$AL$2,0))</f>
        <v>8280.777</v>
      </c>
      <c r="L314" s="25">
        <f>INDEX('Inputs (2)'!$D$35:$AL$35,MATCH(L$7,'Inputs (2)'!$D$2:$AL$2,0))</f>
        <v>9096.563</v>
      </c>
      <c r="M314" s="3">
        <f>L314</f>
        <v>9096.563</v>
      </c>
      <c r="N314" s="25">
        <f>INDEX('Inputs (2)'!$D$35:$AL$35,MATCH(N$7,'Inputs (2)'!$D$2:$AL$2,0))</f>
        <v>8996.11</v>
      </c>
      <c r="O314" s="25">
        <f>INDEX('Inputs (2)'!$D$35:$AL$35,MATCH(O$7,'Inputs (2)'!$D$2:$AL$2,0))</f>
        <v>9967.49</v>
      </c>
      <c r="P314" s="25">
        <f>INDEX('Inputs (2)'!$D$35:$AL$35,MATCH(P$7,'Inputs (2)'!$D$2:$AL$2,0))</f>
        <v>10397.022</v>
      </c>
      <c r="Q314" s="25">
        <f>INDEX('Inputs (2)'!$D$35:$AL$35,MATCH(Q$7,'Inputs (2)'!$D$2:$AL$2,0))</f>
        <v>10485.077</v>
      </c>
      <c r="R314" s="3">
        <f>Q314</f>
        <v>10485.077</v>
      </c>
      <c r="S314" s="25">
        <f>INDEX('Inputs (2)'!$D$35:$AL$35,MATCH(S$7,'Inputs (2)'!$D$2:$AL$2,0))</f>
        <v>10460.853</v>
      </c>
      <c r="T314" s="25">
        <f>INDEX('Inputs (2)'!$D$35:$AL$35,MATCH(T$7,'Inputs (2)'!$D$2:$AL$2,0))</f>
        <v>10374.163</v>
      </c>
      <c r="U314" s="25">
        <f>INDEX('Inputs (2)'!$D$35:$AL$35,MATCH(U$7,'Inputs (2)'!$D$2:$AL$2,0))</f>
        <v>9760.44</v>
      </c>
      <c r="V314" s="25">
        <f>INDEX('Inputs (2)'!$D$35:$AL$35,MATCH(V$7,'Inputs (2)'!$D$2:$AL$2,0))</f>
        <v>9638.874</v>
      </c>
      <c r="W314" s="3">
        <f>V314</f>
        <v>9638.874</v>
      </c>
      <c r="X314" s="25">
        <f>INDEX('Inputs (2)'!$D$35:$AL$35,MATCH(X$7,'Inputs (2)'!$D$2:$AL$2,0))</f>
        <v>9451.736</v>
      </c>
      <c r="Y314" s="25">
        <f>INDEX('Inputs (2)'!$D$35:$AL$35,MATCH(Y$7,'Inputs (2)'!$D$2:$AL$2,0))</f>
        <v>9591.81</v>
      </c>
      <c r="Z314" s="25">
        <f>INDEX('Inputs (2)'!$D$35:$AL$35,MATCH(Z$7,'Inputs (2)'!$D$2:$AL$2,0))</f>
        <v>9891.974</v>
      </c>
      <c r="AA314" s="25">
        <f>INDEX('Inputs (2)'!$D$35:$AL$35,MATCH(AA$7,'Inputs (2)'!$D$2:$AL$2,0))</f>
        <v>10714.02</v>
      </c>
      <c r="AB314" s="3">
        <f>AA314</f>
        <v>10714.02</v>
      </c>
      <c r="AC314" s="25">
        <f>INDEX('Inputs (2)'!$D$35:$AL$35,MATCH(AC$7,'Inputs (2)'!$D$2:$AL$2,0))</f>
        <v>10624.788</v>
      </c>
      <c r="AD314" s="25">
        <f>INDEX('Inputs (2)'!$D$35:$AL$35,MATCH(AD$7,'Inputs (2)'!$D$2:$AL$2,0))</f>
        <v>10743.774</v>
      </c>
      <c r="AE314" s="25">
        <f>INDEX('Inputs (2)'!$D$35:$AL$35,MATCH(AE$7,'Inputs (2)'!$D$2:$AL$2,0))</f>
        <v>11015.652</v>
      </c>
      <c r="AF314" s="25">
        <f>INDEX('Inputs (2)'!$D$35:$AL$35,MATCH(AF$7,'Inputs (2)'!$D$2:$AL$2,0))</f>
        <v>11142.704</v>
      </c>
      <c r="AG314" s="3">
        <f>AF314</f>
        <v>11142.704</v>
      </c>
      <c r="AH314" s="3">
        <f>INDEX('Inputs (2)'!$D$35:$AL$35,MATCH(AH$7,'Inputs (2)'!$D$2:$AL$2,0))</f>
        <v>13056.939</v>
      </c>
      <c r="AI314" s="3">
        <f>INDEX('Inputs (2)'!$D$35:$AL$35,MATCH(AI$7,'Inputs (2)'!$D$2:$AL$2,0))</f>
        <v>13261.289</v>
      </c>
      <c r="AJ314" s="3">
        <f>AJ320</f>
        <v>13261.289</v>
      </c>
      <c r="AK314" s="3">
        <f>AK320</f>
        <v>13261.289</v>
      </c>
      <c r="AL314" s="3">
        <f>AK314</f>
        <v>13261.289</v>
      </c>
      <c r="AM314" s="3">
        <f>AM320</f>
        <v>13261.289</v>
      </c>
      <c r="AN314" s="3">
        <f>AN320</f>
        <v>13261.289</v>
      </c>
      <c r="AO314" s="3">
        <f>AO320</f>
        <v>13261.289</v>
      </c>
      <c r="AP314" s="3">
        <f>AP320</f>
        <v>13261.289</v>
      </c>
      <c r="AQ314" s="3">
        <f>AP314</f>
        <v>13261.289</v>
      </c>
      <c r="AR314" s="3">
        <f>AR320</f>
        <v>13261.289</v>
      </c>
      <c r="AS314" s="3">
        <f>AS320</f>
        <v>13261.289</v>
      </c>
      <c r="AT314" s="3">
        <f>AT320</f>
        <v>13261.289</v>
      </c>
      <c r="AU314" s="3">
        <f>AU320</f>
        <v>13261.289</v>
      </c>
      <c r="AV314" s="3">
        <f>AU314</f>
        <v>13261.289</v>
      </c>
      <c r="AW314" s="3">
        <f>AW320</f>
        <v>13261.289</v>
      </c>
      <c r="AX314" s="3">
        <f>AX320</f>
        <v>13261.289</v>
      </c>
      <c r="AY314" s="3">
        <f>AY320</f>
        <v>13261.289</v>
      </c>
      <c r="AZ314" s="3">
        <f>AZ320</f>
        <v>13261.289</v>
      </c>
      <c r="BA314" s="3">
        <f>AZ314</f>
        <v>13261.289</v>
      </c>
      <c r="BB314" s="3">
        <f>BB320</f>
        <v>13261.289</v>
      </c>
      <c r="BC314" s="3">
        <f>BC320</f>
        <v>13261.289</v>
      </c>
      <c r="BD314" s="3">
        <f>BD320</f>
        <v>13261.289</v>
      </c>
      <c r="BE314" s="3">
        <f>BE320</f>
        <v>13261.289</v>
      </c>
      <c r="BF314" s="3">
        <f>BE314</f>
        <v>13261.289</v>
      </c>
      <c r="BG314" s="3">
        <f>BG320</f>
        <v>13261.289</v>
      </c>
      <c r="BH314" s="3">
        <f>BH320</f>
        <v>13261.289</v>
      </c>
      <c r="BI314" s="3">
        <f>BI320</f>
        <v>13261.289</v>
      </c>
      <c r="BJ314" s="3">
        <f>BJ320</f>
        <v>13261.289</v>
      </c>
      <c r="BK314" s="3">
        <f>BJ314</f>
        <v>13261.289</v>
      </c>
      <c r="BL314" s="3">
        <f>BL320</f>
        <v>13261.289</v>
      </c>
      <c r="BM314" s="3">
        <f>BM320</f>
        <v>13261.289</v>
      </c>
      <c r="BN314" s="3">
        <f>BN320</f>
        <v>13261.289</v>
      </c>
      <c r="BO314" s="3">
        <f>BO320</f>
        <v>13261.289</v>
      </c>
      <c r="BP314" s="3">
        <f>BO314</f>
        <v>13261.289</v>
      </c>
      <c r="BQ314" s="3">
        <f>BQ320</f>
        <v>13261.289</v>
      </c>
      <c r="BR314" s="3">
        <f>BR320</f>
        <v>13261.289</v>
      </c>
      <c r="BS314" s="3">
        <f>BS320</f>
        <v>13261.289</v>
      </c>
      <c r="BT314" s="3">
        <f>BT320</f>
        <v>13261.289</v>
      </c>
      <c r="BU314" s="3">
        <f>BT314</f>
        <v>13261.289</v>
      </c>
      <c r="BV314" s="3">
        <f>BV320</f>
        <v>13261.289</v>
      </c>
      <c r="BW314" s="3">
        <f>BW320</f>
        <v>13261.289</v>
      </c>
      <c r="BX314" s="3">
        <f>BX320</f>
        <v>13261.289</v>
      </c>
      <c r="BY314" s="3">
        <f>BY320</f>
        <v>13261.289</v>
      </c>
      <c r="BZ314" s="3">
        <f>BY314</f>
        <v>13261.289</v>
      </c>
      <c r="CA314" s="3">
        <f>CA320</f>
        <v>13261.289</v>
      </c>
      <c r="CB314" s="3">
        <f>CB320</f>
        <v>13261.289</v>
      </c>
      <c r="CC314" s="3">
        <f>CC320</f>
        <v>13261.289</v>
      </c>
      <c r="CD314" s="3">
        <f>CD320</f>
        <v>13261.289</v>
      </c>
      <c r="CE314" s="3">
        <f>CD314</f>
        <v>13261.289</v>
      </c>
      <c r="CF314" s="3">
        <f>CF320</f>
        <v>13261.289</v>
      </c>
      <c r="CG314" s="3">
        <f>CG320</f>
        <v>13261.289</v>
      </c>
      <c r="CH314" s="3">
        <f>CH320</f>
        <v>13261.289</v>
      </c>
      <c r="CI314" s="3">
        <f>CI320</f>
        <v>13261.289</v>
      </c>
      <c r="CJ314" s="3">
        <f>CI314</f>
        <v>13261.289</v>
      </c>
      <c r="CK314" s="3">
        <f>CK320</f>
        <v>13261.289</v>
      </c>
      <c r="CL314" s="3">
        <f>CL320</f>
        <v>13261.289</v>
      </c>
      <c r="CM314" s="3">
        <f>CM320</f>
        <v>13261.289</v>
      </c>
      <c r="CN314" s="3">
        <f>CN320</f>
        <v>13261.289</v>
      </c>
      <c r="CO314" s="3">
        <f>CN314</f>
        <v>13261.289</v>
      </c>
      <c r="CP314" s="3">
        <f>CP320</f>
        <v>13261.289</v>
      </c>
      <c r="CQ314" s="3">
        <f>CQ320</f>
        <v>13261.289</v>
      </c>
      <c r="CR314" s="3">
        <f>CR320</f>
        <v>13261.289</v>
      </c>
      <c r="CS314" s="3">
        <f>CS320</f>
        <v>13261.289</v>
      </c>
      <c r="CT314" s="3">
        <f>CS314</f>
        <v>13261.289</v>
      </c>
      <c r="CU314" s="3">
        <f>CU320</f>
        <v>13261.289</v>
      </c>
      <c r="CV314" s="3">
        <f>CV320</f>
        <v>13261.289</v>
      </c>
      <c r="CW314" s="3">
        <f>CW320</f>
        <v>13261.289</v>
      </c>
      <c r="CX314" s="3">
        <f>CX320</f>
        <v>13261.289</v>
      </c>
      <c r="CY314" s="3">
        <f>CX314</f>
        <v>13261.289</v>
      </c>
    </row>
    <row r="315" hidden="1" outlineLevel="1">
      <c r="C315" s="34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  <c r="CU315" s="3" t="n"/>
      <c r="CV315" s="3" t="n"/>
      <c r="CW315" s="3" t="n"/>
      <c r="CX315" s="3" t="n"/>
      <c r="CY315" s="3" t="n"/>
    </row>
    <row r="316" hidden="1" outlineLevel="1">
      <c r="C316" s="34" t="inlineStr">
        <is>
          <t>Current portion of LTD</t>
        </is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>
        <f>AF309</f>
        <v>1444.647</v>
      </c>
      <c r="AI316" s="35" t="n"/>
      <c r="AJ316" s="35" t="n"/>
      <c r="AK316" s="35" t="n"/>
      <c r="AL316" s="3" t="n"/>
      <c r="AM316" s="3">
        <f>AK309</f>
        <v>1610.14</v>
      </c>
      <c r="AN316" s="35" t="n"/>
      <c r="AO316" s="35" t="n"/>
      <c r="AP316" s="35" t="n"/>
      <c r="AQ316" s="3" t="n"/>
      <c r="AR316" s="3">
        <f>AP309</f>
        <v>1610.14</v>
      </c>
      <c r="AS316" s="35" t="n"/>
      <c r="AT316" s="35" t="n"/>
      <c r="AU316" s="35" t="n"/>
      <c r="AV316" s="3" t="n"/>
      <c r="AW316" s="3">
        <f>AU309</f>
        <v>1610.14</v>
      </c>
      <c r="AX316" s="35" t="n"/>
      <c r="AY316" s="35" t="n"/>
      <c r="AZ316" s="35" t="n"/>
      <c r="BA316" s="3" t="n"/>
      <c r="BB316" s="3">
        <f>AZ309</f>
        <v>1610.14</v>
      </c>
      <c r="BC316" s="35" t="n"/>
      <c r="BD316" s="35" t="n"/>
      <c r="BE316" s="35" t="n"/>
      <c r="BF316" s="3" t="n"/>
      <c r="BG316" s="3">
        <f>BE309</f>
        <v>1610.14</v>
      </c>
      <c r="BH316" s="35" t="n"/>
      <c r="BI316" s="35" t="n"/>
      <c r="BJ316" s="35" t="n"/>
      <c r="BK316" s="3" t="n"/>
      <c r="BL316" s="3">
        <f>BJ309</f>
        <v>1610.14</v>
      </c>
      <c r="BM316" s="35" t="n"/>
      <c r="BN316" s="35" t="n"/>
      <c r="BO316" s="35" t="n"/>
      <c r="BP316" s="3" t="n"/>
      <c r="BQ316" s="3">
        <f>BO309</f>
        <v>1610.14</v>
      </c>
      <c r="BR316" s="35" t="n"/>
      <c r="BS316" s="35" t="n"/>
      <c r="BT316" s="35" t="n"/>
      <c r="BU316" s="3" t="n"/>
      <c r="BV316" s="3">
        <f>BT309</f>
        <v>1610.14</v>
      </c>
      <c r="BW316" s="35" t="n"/>
      <c r="BX316" s="35" t="n"/>
      <c r="BY316" s="35" t="n"/>
      <c r="BZ316" s="3" t="n"/>
      <c r="CA316" s="3">
        <f>BY309</f>
        <v>1610.14</v>
      </c>
      <c r="CB316" s="35" t="n"/>
      <c r="CC316" s="35" t="n"/>
      <c r="CD316" s="35" t="n"/>
      <c r="CE316" s="3" t="n"/>
      <c r="CF316" s="3">
        <f>CD309</f>
        <v>1610.14</v>
      </c>
      <c r="CG316" s="35" t="n"/>
      <c r="CH316" s="35" t="n"/>
      <c r="CI316" s="35" t="n"/>
      <c r="CJ316" s="3" t="n"/>
      <c r="CK316" s="3">
        <f>CI309</f>
        <v>1610.14</v>
      </c>
      <c r="CL316" s="35" t="n"/>
      <c r="CM316" s="35" t="n"/>
      <c r="CN316" s="35" t="n"/>
      <c r="CO316" s="3" t="n"/>
      <c r="CP316" s="3">
        <f>CN309</f>
        <v>1610.14</v>
      </c>
      <c r="CQ316" s="35" t="n"/>
      <c r="CR316" s="35" t="n"/>
      <c r="CS316" s="35" t="n"/>
      <c r="CT316" s="3" t="n"/>
      <c r="CU316" s="3">
        <f>CS309</f>
        <v>1610.14</v>
      </c>
      <c r="CV316" s="35" t="n"/>
      <c r="CW316" s="35" t="n"/>
      <c r="CX316" s="35" t="n"/>
      <c r="CY316" s="3" t="n"/>
    </row>
    <row r="317" hidden="1" outlineLevel="1">
      <c r="C317" s="34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  <c r="CG317" s="3" t="n"/>
      <c r="CH317" s="3" t="n"/>
      <c r="CI317" s="3" t="n"/>
      <c r="CJ317" s="3" t="n"/>
      <c r="CK317" s="3" t="n"/>
      <c r="CL317" s="3" t="n"/>
      <c r="CM317" s="3" t="n"/>
      <c r="CN317" s="3" t="n"/>
      <c r="CO317" s="3" t="n"/>
      <c r="CP317" s="3" t="n"/>
      <c r="CQ317" s="3" t="n"/>
      <c r="CR317" s="3" t="n"/>
      <c r="CS317" s="3" t="n"/>
      <c r="CT317" s="3" t="n"/>
      <c r="CU317" s="3" t="n"/>
      <c r="CV317" s="3" t="n"/>
      <c r="CW317" s="3" t="n"/>
      <c r="CX317" s="3" t="n"/>
      <c r="CY317" s="3" t="n"/>
    </row>
    <row r="318" hidden="1" outlineLevel="1">
      <c r="C318" s="34" t="inlineStr">
        <is>
          <t>Reclassification of LTD to CP of LTD</t>
        </is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>
        <f>-AI316</f>
        <v>0</v>
      </c>
      <c r="AJ318" s="3">
        <f>-AJ316</f>
        <v>0</v>
      </c>
      <c r="AK318" s="3">
        <f>-AK316</f>
        <v>0</v>
      </c>
      <c r="AL318" s="3" t="n"/>
      <c r="AM318" s="3" t="n"/>
      <c r="AN318" s="3">
        <f>-AN316</f>
        <v>0</v>
      </c>
      <c r="AO318" s="3">
        <f>-AO316</f>
        <v>0</v>
      </c>
      <c r="AP318" s="3">
        <f>-AP316</f>
        <v>0</v>
      </c>
      <c r="AQ318" s="3" t="n"/>
      <c r="AR318" s="3" t="n"/>
      <c r="AS318" s="3">
        <f>-AS316</f>
        <v>0</v>
      </c>
      <c r="AT318" s="3">
        <f>-AT316</f>
        <v>0</v>
      </c>
      <c r="AU318" s="3">
        <f>-AU316</f>
        <v>0</v>
      </c>
      <c r="AV318" s="3" t="n"/>
      <c r="AW318" s="3" t="n"/>
      <c r="AX318" s="3">
        <f>-AX316</f>
        <v>0</v>
      </c>
      <c r="AY318" s="3">
        <f>-AY316</f>
        <v>0</v>
      </c>
      <c r="AZ318" s="3">
        <f>-AZ316</f>
        <v>0</v>
      </c>
      <c r="BA318" s="3" t="n"/>
      <c r="BB318" s="3" t="n"/>
      <c r="BC318" s="3">
        <f>-BC316</f>
        <v>0</v>
      </c>
      <c r="BD318" s="3">
        <f>-BD316</f>
        <v>0</v>
      </c>
      <c r="BE318" s="3">
        <f>-BE316</f>
        <v>0</v>
      </c>
      <c r="BF318" s="3" t="n"/>
      <c r="BG318" s="3" t="n"/>
      <c r="BH318" s="3">
        <f>-BH316</f>
        <v>0</v>
      </c>
      <c r="BI318" s="3">
        <f>-BI316</f>
        <v>0</v>
      </c>
      <c r="BJ318" s="3">
        <f>-BJ316</f>
        <v>0</v>
      </c>
      <c r="BK318" s="3" t="n"/>
      <c r="BL318" s="3" t="n"/>
      <c r="BM318" s="3">
        <f>-BM316</f>
        <v>0</v>
      </c>
      <c r="BN318" s="3">
        <f>-BN316</f>
        <v>0</v>
      </c>
      <c r="BO318" s="3">
        <f>-BO316</f>
        <v>0</v>
      </c>
      <c r="BP318" s="3" t="n"/>
      <c r="BQ318" s="3" t="n"/>
      <c r="BR318" s="3">
        <f>-BR316</f>
        <v>0</v>
      </c>
      <c r="BS318" s="3">
        <f>-BS316</f>
        <v>0</v>
      </c>
      <c r="BT318" s="3">
        <f>-BT316</f>
        <v>0</v>
      </c>
      <c r="BU318" s="3" t="n"/>
      <c r="BV318" s="3" t="n"/>
      <c r="BW318" s="3">
        <f>-BW316</f>
        <v>0</v>
      </c>
      <c r="BX318" s="3">
        <f>-BX316</f>
        <v>0</v>
      </c>
      <c r="BY318" s="3">
        <f>-BY316</f>
        <v>0</v>
      </c>
      <c r="BZ318" s="3" t="n"/>
      <c r="CA318" s="3" t="n"/>
      <c r="CB318" s="3">
        <f>-CB316</f>
        <v>0</v>
      </c>
      <c r="CC318" s="3">
        <f>-CC316</f>
        <v>0</v>
      </c>
      <c r="CD318" s="3">
        <f>-CD316</f>
        <v>0</v>
      </c>
      <c r="CE318" s="3" t="n"/>
      <c r="CF318" s="3" t="n"/>
      <c r="CG318" s="3">
        <f>-CG316</f>
        <v>0</v>
      </c>
      <c r="CH318" s="3">
        <f>-CH316</f>
        <v>0</v>
      </c>
      <c r="CI318" s="3">
        <f>-CI316</f>
        <v>0</v>
      </c>
      <c r="CJ318" s="3" t="n"/>
      <c r="CK318" s="3" t="n"/>
      <c r="CL318" s="3">
        <f>-CL316</f>
        <v>0</v>
      </c>
      <c r="CM318" s="3">
        <f>-CM316</f>
        <v>0</v>
      </c>
      <c r="CN318" s="3">
        <f>-CN316</f>
        <v>0</v>
      </c>
      <c r="CO318" s="3" t="n"/>
      <c r="CP318" s="3" t="n"/>
      <c r="CQ318" s="3">
        <f>-CQ316</f>
        <v>0</v>
      </c>
      <c r="CR318" s="3">
        <f>-CR316</f>
        <v>0</v>
      </c>
      <c r="CS318" s="3">
        <f>-CS316</f>
        <v>0</v>
      </c>
      <c r="CT318" s="3" t="n"/>
      <c r="CU318" s="3" t="n"/>
      <c r="CV318" s="3">
        <f>-CV316</f>
        <v>0</v>
      </c>
      <c r="CW318" s="3">
        <f>-CW316</f>
        <v>0</v>
      </c>
      <c r="CX318" s="3">
        <f>-CX316</f>
        <v>0</v>
      </c>
      <c r="CY318" s="3" t="n"/>
    </row>
    <row r="319" hidden="1" outlineLevel="1">
      <c r="C319" s="34" t="inlineStr">
        <is>
          <t>Discretionary (paydown)/borrowing of long term debt</t>
        </is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5" t="n"/>
      <c r="AI319" s="35" t="n"/>
      <c r="AJ319" s="35" t="n"/>
      <c r="AK319" s="35" t="n"/>
      <c r="AL319" s="3" t="n"/>
      <c r="AM319" s="35" t="n"/>
      <c r="AN319" s="35" t="n"/>
      <c r="AO319" s="35" t="n"/>
      <c r="AP319" s="35" t="n"/>
      <c r="AQ319" s="3" t="n"/>
      <c r="AR319" s="35" t="n"/>
      <c r="AS319" s="35" t="n"/>
      <c r="AT319" s="35" t="n"/>
      <c r="AU319" s="35" t="n"/>
      <c r="AV319" s="3" t="n"/>
      <c r="AW319" s="35" t="n"/>
      <c r="AX319" s="35" t="n"/>
      <c r="AY319" s="35" t="n"/>
      <c r="AZ319" s="35" t="n"/>
      <c r="BA319" s="3" t="n"/>
      <c r="BB319" s="35" t="n"/>
      <c r="BC319" s="35" t="n"/>
      <c r="BD319" s="35" t="n"/>
      <c r="BE319" s="35" t="n"/>
      <c r="BF319" s="3" t="n"/>
      <c r="BG319" s="35" t="n"/>
      <c r="BH319" s="35" t="n"/>
      <c r="BI319" s="35" t="n"/>
      <c r="BJ319" s="35" t="n"/>
      <c r="BK319" s="3" t="n"/>
      <c r="BL319" s="35" t="n"/>
      <c r="BM319" s="35" t="n"/>
      <c r="BN319" s="35" t="n"/>
      <c r="BO319" s="35" t="n"/>
      <c r="BP319" s="3" t="n"/>
      <c r="BQ319" s="35" t="n"/>
      <c r="BR319" s="35" t="n"/>
      <c r="BS319" s="35" t="n"/>
      <c r="BT319" s="35" t="n"/>
      <c r="BU319" s="3" t="n"/>
      <c r="BV319" s="35" t="n"/>
      <c r="BW319" s="35" t="n"/>
      <c r="BX319" s="35" t="n"/>
      <c r="BY319" s="35" t="n"/>
      <c r="BZ319" s="3" t="n"/>
      <c r="CA319" s="35" t="n"/>
      <c r="CB319" s="35" t="n"/>
      <c r="CC319" s="35" t="n"/>
      <c r="CD319" s="35" t="n"/>
      <c r="CE319" s="3" t="n"/>
      <c r="CF319" s="35" t="n"/>
      <c r="CG319" s="35" t="n"/>
      <c r="CH319" s="35" t="n"/>
      <c r="CI319" s="35" t="n"/>
      <c r="CJ319" s="3" t="n"/>
      <c r="CK319" s="35" t="n"/>
      <c r="CL319" s="35" t="n"/>
      <c r="CM319" s="35" t="n"/>
      <c r="CN319" s="35" t="n"/>
      <c r="CO319" s="3" t="n"/>
      <c r="CP319" s="35" t="n"/>
      <c r="CQ319" s="35" t="n"/>
      <c r="CR319" s="35" t="n"/>
      <c r="CS319" s="35" t="n"/>
      <c r="CT319" s="3" t="n"/>
      <c r="CU319" s="35" t="n"/>
      <c r="CV319" s="35" t="n"/>
      <c r="CW319" s="35" t="n"/>
      <c r="CX319" s="35" t="n"/>
      <c r="CY319" s="3" t="n"/>
    </row>
    <row r="320" hidden="1" outlineLevel="1">
      <c r="C320" s="34" t="inlineStr">
        <is>
          <t>Long term debt</t>
        </is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>
        <f>AF314+SUM(AH318:AH319)</f>
        <v>11142.704</v>
      </c>
      <c r="AI320" s="3">
        <f>AH320+SUM(AI318:AI319)</f>
        <v>11142.704</v>
      </c>
      <c r="AJ320" s="3">
        <f>AI314+SUM(AJ318:AJ319)</f>
        <v>13261.289</v>
      </c>
      <c r="AK320" s="3">
        <f>AJ320+SUM(AK318:AK319)</f>
        <v>13261.289</v>
      </c>
      <c r="AL320" s="3" t="n"/>
      <c r="AM320" s="3">
        <f>AK320+SUM(AM318:AM319)</f>
        <v>13261.289</v>
      </c>
      <c r="AN320" s="3">
        <f>AM320+SUM(AN318:AN319)</f>
        <v>13261.289</v>
      </c>
      <c r="AO320" s="3">
        <f>AN320+SUM(AO318:AO319)</f>
        <v>13261.289</v>
      </c>
      <c r="AP320" s="3">
        <f>AO320+SUM(AP318:AP319)</f>
        <v>13261.289</v>
      </c>
      <c r="AQ320" s="3" t="n"/>
      <c r="AR320" s="3">
        <f>AP320+SUM(AR318:AR319)</f>
        <v>13261.289</v>
      </c>
      <c r="AS320" s="3">
        <f>AR320+SUM(AS318:AS319)</f>
        <v>13261.289</v>
      </c>
      <c r="AT320" s="3">
        <f>AS320+SUM(AT318:AT319)</f>
        <v>13261.289</v>
      </c>
      <c r="AU320" s="3">
        <f>AT320+SUM(AU318:AU319)</f>
        <v>13261.289</v>
      </c>
      <c r="AV320" s="3" t="n"/>
      <c r="AW320" s="3">
        <f>AU320+SUM(AW318:AW319)</f>
        <v>13261.289</v>
      </c>
      <c r="AX320" s="3">
        <f>AW320+SUM(AX318:AX319)</f>
        <v>13261.289</v>
      </c>
      <c r="AY320" s="3">
        <f>AX320+SUM(AY318:AY319)</f>
        <v>13261.289</v>
      </c>
      <c r="AZ320" s="3">
        <f>AY320+SUM(AZ318:AZ319)</f>
        <v>13261.289</v>
      </c>
      <c r="BA320" s="3" t="n"/>
      <c r="BB320" s="3">
        <f>AZ320+SUM(BB318:BB319)</f>
        <v>13261.289</v>
      </c>
      <c r="BC320" s="3">
        <f>BB320+SUM(BC318:BC319)</f>
        <v>13261.289</v>
      </c>
      <c r="BD320" s="3">
        <f>BC320+SUM(BD318:BD319)</f>
        <v>13261.289</v>
      </c>
      <c r="BE320" s="3">
        <f>BD320+SUM(BE318:BE319)</f>
        <v>13261.289</v>
      </c>
      <c r="BF320" s="3" t="n"/>
      <c r="BG320" s="3">
        <f>BE320+SUM(BG318:BG319)</f>
        <v>13261.289</v>
      </c>
      <c r="BH320" s="3">
        <f>BG320+SUM(BH318:BH319)</f>
        <v>13261.289</v>
      </c>
      <c r="BI320" s="3">
        <f>BH320+SUM(BI318:BI319)</f>
        <v>13261.289</v>
      </c>
      <c r="BJ320" s="3">
        <f>BI320+SUM(BJ318:BJ319)</f>
        <v>13261.289</v>
      </c>
      <c r="BK320" s="3" t="n"/>
      <c r="BL320" s="3">
        <f>BJ320+SUM(BL318:BL319)</f>
        <v>13261.289</v>
      </c>
      <c r="BM320" s="3">
        <f>BL320+SUM(BM318:BM319)</f>
        <v>13261.289</v>
      </c>
      <c r="BN320" s="3">
        <f>BM320+SUM(BN318:BN319)</f>
        <v>13261.289</v>
      </c>
      <c r="BO320" s="3">
        <f>BN320+SUM(BO318:BO319)</f>
        <v>13261.289</v>
      </c>
      <c r="BP320" s="3" t="n"/>
      <c r="BQ320" s="3">
        <f>BO320+SUM(BQ318:BQ319)</f>
        <v>13261.289</v>
      </c>
      <c r="BR320" s="3">
        <f>BQ320+SUM(BR318:BR319)</f>
        <v>13261.289</v>
      </c>
      <c r="BS320" s="3">
        <f>BR320+SUM(BS318:BS319)</f>
        <v>13261.289</v>
      </c>
      <c r="BT320" s="3">
        <f>BS320+SUM(BT318:BT319)</f>
        <v>13261.289</v>
      </c>
      <c r="BU320" s="3" t="n"/>
      <c r="BV320" s="3">
        <f>BT320+SUM(BV318:BV319)</f>
        <v>13261.289</v>
      </c>
      <c r="BW320" s="3">
        <f>BV320+SUM(BW318:BW319)</f>
        <v>13261.289</v>
      </c>
      <c r="BX320" s="3">
        <f>BW320+SUM(BX318:BX319)</f>
        <v>13261.289</v>
      </c>
      <c r="BY320" s="3">
        <f>BX320+SUM(BY318:BY319)</f>
        <v>13261.289</v>
      </c>
      <c r="BZ320" s="3" t="n"/>
      <c r="CA320" s="3">
        <f>BY320+SUM(CA318:CA319)</f>
        <v>13261.289</v>
      </c>
      <c r="CB320" s="3">
        <f>CA320+SUM(CB318:CB319)</f>
        <v>13261.289</v>
      </c>
      <c r="CC320" s="3">
        <f>CB320+SUM(CC318:CC319)</f>
        <v>13261.289</v>
      </c>
      <c r="CD320" s="3">
        <f>CC320+SUM(CD318:CD319)</f>
        <v>13261.289</v>
      </c>
      <c r="CE320" s="3" t="n"/>
      <c r="CF320" s="3">
        <f>CD320+SUM(CF318:CF319)</f>
        <v>13261.289</v>
      </c>
      <c r="CG320" s="3">
        <f>CF320+SUM(CG318:CG319)</f>
        <v>13261.289</v>
      </c>
      <c r="CH320" s="3">
        <f>CG320+SUM(CH318:CH319)</f>
        <v>13261.289</v>
      </c>
      <c r="CI320" s="3">
        <f>CH320+SUM(CI318:CI319)</f>
        <v>13261.289</v>
      </c>
      <c r="CJ320" s="3" t="n"/>
      <c r="CK320" s="3">
        <f>CI320+SUM(CK318:CK319)</f>
        <v>13261.289</v>
      </c>
      <c r="CL320" s="3">
        <f>CK320+SUM(CL318:CL319)</f>
        <v>13261.289</v>
      </c>
      <c r="CM320" s="3">
        <f>CL320+SUM(CM318:CM319)</f>
        <v>13261.289</v>
      </c>
      <c r="CN320" s="3">
        <f>CM320+SUM(CN318:CN319)</f>
        <v>13261.289</v>
      </c>
      <c r="CO320" s="3" t="n"/>
      <c r="CP320" s="3">
        <f>CN320+SUM(CP318:CP319)</f>
        <v>13261.289</v>
      </c>
      <c r="CQ320" s="3">
        <f>CP320+SUM(CQ318:CQ319)</f>
        <v>13261.289</v>
      </c>
      <c r="CR320" s="3">
        <f>CQ320+SUM(CR318:CR319)</f>
        <v>13261.289</v>
      </c>
      <c r="CS320" s="3">
        <f>CR320+SUM(CS318:CS319)</f>
        <v>13261.289</v>
      </c>
      <c r="CT320" s="3" t="n"/>
      <c r="CU320" s="3">
        <f>CS320+SUM(CU318:CU319)</f>
        <v>13261.289</v>
      </c>
      <c r="CV320" s="3">
        <f>CU320+SUM(CV318:CV319)</f>
        <v>13261.289</v>
      </c>
      <c r="CW320" s="3">
        <f>CV320+SUM(CW318:CW319)</f>
        <v>13261.289</v>
      </c>
      <c r="CX320" s="3">
        <f>CW320+SUM(CX318:CX319)</f>
        <v>13261.289</v>
      </c>
      <c r="CY320" s="3" t="n"/>
      <c r="CZ320">
        <f>CX320+SUM(CZ318:CZ319)</f>
        <v>13261.289</v>
      </c>
      <c r="DA320">
        <f>CZ320+SUM(DA318:DA319)</f>
        <v>13261.289</v>
      </c>
      <c r="DB320">
        <f>DA320+SUM(DB318:DB319)</f>
        <v>13261.289</v>
      </c>
      <c r="DC320">
        <f>DB320+SUM(DC318:DC319)</f>
        <v>13261.289</v>
      </c>
    </row>
    <row r="321" hidden="1" outlineLevel="1">
      <c r="C321" s="34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  <c r="CG321" s="3" t="n"/>
      <c r="CH321" s="3" t="n"/>
      <c r="CI321" s="3" t="n"/>
      <c r="CJ321" s="3" t="n"/>
      <c r="CK321" s="3" t="n"/>
      <c r="CL321" s="3" t="n"/>
      <c r="CM321" s="3" t="n"/>
      <c r="CN321" s="3" t="n"/>
      <c r="CO321" s="3" t="n"/>
      <c r="CP321" s="3" t="n"/>
      <c r="CQ321" s="3" t="n"/>
      <c r="CR321" s="3" t="n"/>
      <c r="CS321" s="3" t="n"/>
      <c r="CT321" s="3" t="n"/>
      <c r="CU321" s="3" t="n"/>
      <c r="CV321" s="3" t="n"/>
      <c r="CW321" s="3" t="n"/>
      <c r="CX321" s="3" t="n"/>
      <c r="CY321" s="3" t="n"/>
    </row>
    <row r="322" hidden="1" outlineLevel="1">
      <c r="C322" s="34" t="inlineStr">
        <is>
          <t>Discretionary (paydown)/borrowing of convertible debt</t>
        </is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5" t="n"/>
      <c r="AI322" s="35" t="n"/>
      <c r="AJ322" s="35" t="n"/>
      <c r="AK322" s="35" t="n"/>
      <c r="AL322" s="3" t="n"/>
      <c r="AM322" s="35" t="n"/>
      <c r="AN322" s="35" t="n"/>
      <c r="AO322" s="35" t="n"/>
      <c r="AP322" s="35" t="n"/>
      <c r="AQ322" s="3" t="n"/>
      <c r="AR322" s="35" t="n"/>
      <c r="AS322" s="35" t="n"/>
      <c r="AT322" s="35" t="n"/>
      <c r="AU322" s="35" t="n"/>
      <c r="AV322" s="3" t="n"/>
      <c r="AW322" s="35" t="n"/>
      <c r="AX322" s="35" t="n"/>
      <c r="AY322" s="35" t="n"/>
      <c r="AZ322" s="35" t="n"/>
      <c r="BA322" s="3" t="n"/>
      <c r="BB322" s="35" t="n"/>
      <c r="BC322" s="35" t="n"/>
      <c r="BD322" s="35" t="n"/>
      <c r="BE322" s="35" t="n"/>
      <c r="BF322" s="3" t="n"/>
      <c r="BG322" s="35" t="n"/>
      <c r="BH322" s="35" t="n"/>
      <c r="BI322" s="35" t="n"/>
      <c r="BJ322" s="35" t="n"/>
      <c r="BK322" s="3" t="n"/>
      <c r="BL322" s="35" t="n"/>
      <c r="BM322" s="35" t="n"/>
      <c r="BN322" s="35" t="n"/>
      <c r="BO322" s="35" t="n"/>
      <c r="BP322" s="3" t="n"/>
      <c r="BQ322" s="35" t="n"/>
      <c r="BR322" s="35" t="n"/>
      <c r="BS322" s="35" t="n"/>
      <c r="BT322" s="35" t="n"/>
      <c r="BU322" s="3" t="n"/>
      <c r="BV322" s="35" t="n"/>
      <c r="BW322" s="35" t="n"/>
      <c r="BX322" s="35" t="n"/>
      <c r="BY322" s="35" t="n"/>
      <c r="BZ322" s="3" t="n"/>
      <c r="CA322" s="35" t="n"/>
      <c r="CB322" s="35" t="n"/>
      <c r="CC322" s="35" t="n"/>
      <c r="CD322" s="35" t="n"/>
      <c r="CE322" s="3" t="n"/>
      <c r="CF322" s="35" t="n"/>
      <c r="CG322" s="35" t="n"/>
      <c r="CH322" s="35" t="n"/>
      <c r="CI322" s="35" t="n"/>
      <c r="CJ322" s="3" t="n"/>
      <c r="CK322" s="35" t="n"/>
      <c r="CL322" s="35" t="n"/>
      <c r="CM322" s="35" t="n"/>
      <c r="CN322" s="35" t="n"/>
      <c r="CO322" s="3" t="n"/>
      <c r="CP322" s="35" t="n"/>
      <c r="CQ322" s="35" t="n"/>
      <c r="CR322" s="35" t="n"/>
      <c r="CS322" s="35" t="n"/>
      <c r="CT322" s="3" t="n"/>
      <c r="CU322" s="35" t="n"/>
      <c r="CV322" s="35" t="n"/>
      <c r="CW322" s="35" t="n"/>
      <c r="CX322" s="35" t="n"/>
      <c r="CY322" s="3" t="n"/>
    </row>
    <row r="323" hidden="1" outlineLevel="1">
      <c r="C323" s="34" t="inlineStr">
        <is>
          <t>Convertible debt</t>
        </is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>
        <f>AH335</f>
        <v>0</v>
      </c>
      <c r="AI323" s="3">
        <f>AH323+SUM(AI322)</f>
        <v>0</v>
      </c>
      <c r="AJ323" s="3">
        <f>AI323+SUM(AJ322)</f>
        <v>0</v>
      </c>
      <c r="AK323" s="3">
        <f>AJ323+SUM(AK322)</f>
        <v>0</v>
      </c>
      <c r="AL323" s="3" t="n"/>
      <c r="AM323" s="3">
        <f>AM335</f>
        <v>0</v>
      </c>
      <c r="AN323" s="3">
        <f>AM323+SUM(AN322)</f>
        <v>0</v>
      </c>
      <c r="AO323" s="3">
        <f>AN323+SUM(AO322)</f>
        <v>0</v>
      </c>
      <c r="AP323" s="3">
        <f>AO323+SUM(AP322)</f>
        <v>0</v>
      </c>
      <c r="AQ323" s="3" t="n"/>
      <c r="AR323" s="3">
        <f>AR335</f>
        <v>0</v>
      </c>
      <c r="AS323" s="3">
        <f>AR323+SUM(AS322)</f>
        <v>0</v>
      </c>
      <c r="AT323" s="3">
        <f>AS323+SUM(AT322)</f>
        <v>0</v>
      </c>
      <c r="AU323" s="3">
        <f>AT323+SUM(AU322)</f>
        <v>0</v>
      </c>
      <c r="AV323" s="3" t="n"/>
      <c r="AW323" s="3">
        <f>AW335</f>
        <v>0</v>
      </c>
      <c r="AX323" s="3">
        <f>AW323+SUM(AX322)</f>
        <v>0</v>
      </c>
      <c r="AY323" s="3">
        <f>AX323+SUM(AY322)</f>
        <v>0</v>
      </c>
      <c r="AZ323" s="3">
        <f>AY323+SUM(AZ322)</f>
        <v>0</v>
      </c>
      <c r="BA323" s="3" t="n"/>
      <c r="BB323" s="3">
        <f>BB335</f>
        <v>0</v>
      </c>
      <c r="BC323" s="3">
        <f>BB323+SUM(BC322)</f>
        <v>0</v>
      </c>
      <c r="BD323" s="3">
        <f>BC323+SUM(BD322)</f>
        <v>0</v>
      </c>
      <c r="BE323" s="3">
        <f>BD323+SUM(BE322)</f>
        <v>0</v>
      </c>
      <c r="BF323" s="3" t="n"/>
      <c r="BG323" s="3">
        <f>BG335</f>
        <v>0</v>
      </c>
      <c r="BH323" s="3">
        <f>BG323+SUM(BH322)</f>
        <v>0</v>
      </c>
      <c r="BI323" s="3">
        <f>BH323+SUM(BI322)</f>
        <v>0</v>
      </c>
      <c r="BJ323" s="3">
        <f>BI323+SUM(BJ322)</f>
        <v>0</v>
      </c>
      <c r="BK323" s="3" t="n"/>
      <c r="BL323" s="3">
        <f>BL335</f>
        <v>0</v>
      </c>
      <c r="BM323" s="3">
        <f>BL323+SUM(BM322)</f>
        <v>0</v>
      </c>
      <c r="BN323" s="3">
        <f>BM323+SUM(BN322)</f>
        <v>0</v>
      </c>
      <c r="BO323" s="3">
        <f>BN323+SUM(BO322)</f>
        <v>0</v>
      </c>
      <c r="BP323" s="3" t="n"/>
      <c r="BQ323" s="3">
        <f>BQ335</f>
        <v>0</v>
      </c>
      <c r="BR323" s="3">
        <f>BQ323+SUM(BR322)</f>
        <v>0</v>
      </c>
      <c r="BS323" s="3">
        <f>BR323+SUM(BS322)</f>
        <v>0</v>
      </c>
      <c r="BT323" s="3">
        <f>BS323+SUM(BT322)</f>
        <v>0</v>
      </c>
      <c r="BU323" s="3" t="n"/>
      <c r="BV323" s="3">
        <f>BV335</f>
        <v>0</v>
      </c>
      <c r="BW323" s="3">
        <f>BV323+SUM(BW322)</f>
        <v>0</v>
      </c>
      <c r="BX323" s="3">
        <f>BW323+SUM(BX322)</f>
        <v>0</v>
      </c>
      <c r="BY323" s="3">
        <f>BX323+SUM(BY322)</f>
        <v>0</v>
      </c>
      <c r="BZ323" s="3" t="n"/>
      <c r="CA323" s="3">
        <f>CA335</f>
        <v>0</v>
      </c>
      <c r="CB323" s="3">
        <f>CA323+SUM(CB322)</f>
        <v>0</v>
      </c>
      <c r="CC323" s="3">
        <f>CB323+SUM(CC322)</f>
        <v>0</v>
      </c>
      <c r="CD323" s="3">
        <f>CC323+SUM(CD322)</f>
        <v>0</v>
      </c>
      <c r="CE323" s="3" t="n"/>
      <c r="CF323" s="3">
        <f>CF335</f>
        <v>0</v>
      </c>
      <c r="CG323" s="3">
        <f>CF323+SUM(CG322)</f>
        <v>0</v>
      </c>
      <c r="CH323" s="3">
        <f>CG323+SUM(CH322)</f>
        <v>0</v>
      </c>
      <c r="CI323" s="3">
        <f>CH323+SUM(CI322)</f>
        <v>0</v>
      </c>
      <c r="CJ323" s="3" t="n"/>
      <c r="CK323" s="3">
        <f>CK335</f>
        <v>0</v>
      </c>
      <c r="CL323" s="3">
        <f>CK323+SUM(CL322)</f>
        <v>0</v>
      </c>
      <c r="CM323" s="3">
        <f>CL323+SUM(CM322)</f>
        <v>0</v>
      </c>
      <c r="CN323" s="3">
        <f>CM323+SUM(CN322)</f>
        <v>0</v>
      </c>
      <c r="CO323" s="3" t="n"/>
      <c r="CP323" s="3">
        <f>CP335</f>
        <v>0</v>
      </c>
      <c r="CQ323" s="3">
        <f>CP323+SUM(CQ322)</f>
        <v>0</v>
      </c>
      <c r="CR323" s="3">
        <f>CQ323+SUM(CR322)</f>
        <v>0</v>
      </c>
      <c r="CS323" s="3">
        <f>CR323+SUM(CS322)</f>
        <v>0</v>
      </c>
      <c r="CT323" s="3" t="n"/>
      <c r="CU323" s="3">
        <f>CU335</f>
        <v>0</v>
      </c>
      <c r="CV323" s="3">
        <f>CU323+SUM(CV322)</f>
        <v>0</v>
      </c>
      <c r="CW323" s="3">
        <f>CV323+SUM(CW322)</f>
        <v>0</v>
      </c>
      <c r="CX323" s="3">
        <f>CW323+SUM(CX322)</f>
        <v>0</v>
      </c>
      <c r="CY323" s="3" t="n"/>
    </row>
    <row r="324" hidden="1" outlineLevel="1">
      <c r="C324" s="34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I324" s="3" t="n"/>
      <c r="AJ324" s="3" t="n"/>
      <c r="AK324" s="3" t="n"/>
      <c r="AL324" s="3" t="n"/>
      <c r="AN324" s="3" t="n"/>
      <c r="AO324" s="3" t="n"/>
      <c r="AP324" s="3" t="n"/>
      <c r="AQ324" s="3" t="n"/>
      <c r="AS324" s="3" t="n"/>
      <c r="AT324" s="3" t="n"/>
      <c r="AU324" s="3" t="n"/>
      <c r="AV324" s="3" t="n"/>
      <c r="AX324" s="3" t="n"/>
      <c r="AY324" s="3" t="n"/>
      <c r="AZ324" s="3" t="n"/>
      <c r="BA324" s="3" t="n"/>
      <c r="BC324" s="3" t="n"/>
      <c r="BD324" s="3" t="n"/>
      <c r="BE324" s="3" t="n"/>
      <c r="BF324" s="3" t="n"/>
      <c r="BH324" s="3" t="n"/>
      <c r="BI324" s="3" t="n"/>
      <c r="BJ324" s="3" t="n"/>
      <c r="BK324" s="3" t="n"/>
      <c r="BM324" s="3" t="n"/>
      <c r="BN324" s="3" t="n"/>
      <c r="BO324" s="3" t="n"/>
      <c r="BP324" s="3" t="n"/>
      <c r="BR324" s="3" t="n"/>
      <c r="BS324" s="3" t="n"/>
      <c r="BT324" s="3" t="n"/>
      <c r="BU324" s="3" t="n"/>
      <c r="BW324" s="3" t="n"/>
      <c r="BX324" s="3" t="n"/>
      <c r="BY324" s="3" t="n"/>
      <c r="BZ324" s="3" t="n"/>
      <c r="CB324" s="3" t="n"/>
      <c r="CC324" s="3" t="n"/>
      <c r="CD324" s="3" t="n"/>
      <c r="CE324" s="3" t="n"/>
      <c r="CG324" s="3" t="n"/>
      <c r="CH324" s="3" t="n"/>
      <c r="CI324" s="3" t="n"/>
      <c r="CJ324" s="3" t="n"/>
      <c r="CL324" s="3" t="n"/>
      <c r="CM324" s="3" t="n"/>
      <c r="CN324" s="3" t="n"/>
      <c r="CO324" s="3" t="n"/>
      <c r="CQ324" s="3" t="n"/>
      <c r="CR324" s="3" t="n"/>
      <c r="CS324" s="3" t="n"/>
      <c r="CT324" s="3" t="n"/>
      <c r="CV324" s="3" t="n"/>
      <c r="CW324" s="3" t="n"/>
      <c r="CX324" s="3" t="n"/>
      <c r="CY324" s="3" t="n"/>
    </row>
    <row r="325" hidden="1" outlineLevel="1">
      <c r="C325" s="34" t="inlineStr">
        <is>
          <t>Calculation of short term debt</t>
        </is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  <c r="CG325" s="3" t="n"/>
      <c r="CH325" s="3" t="n"/>
      <c r="CI325" s="3" t="n"/>
      <c r="CJ325" s="3" t="n"/>
      <c r="CK325" s="3" t="n"/>
      <c r="CL325" s="3" t="n"/>
      <c r="CM325" s="3" t="n"/>
      <c r="CN325" s="3" t="n"/>
      <c r="CO325" s="3" t="n"/>
      <c r="CP325" s="3" t="n"/>
      <c r="CQ325" s="3" t="n"/>
      <c r="CR325" s="3" t="n"/>
      <c r="CS325" s="3" t="n"/>
      <c r="CT325" s="3" t="n"/>
      <c r="CU325" s="3" t="n"/>
      <c r="CV325" s="3" t="n"/>
      <c r="CW325" s="3" t="n"/>
      <c r="CX325" s="3" t="n"/>
      <c r="CY325" s="3" t="n"/>
    </row>
    <row r="326" hidden="1" outlineLevel="1">
      <c r="C326" s="34" t="inlineStr">
        <is>
          <t>Cash @ beginning of the period (end of last period)</t>
        </is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6">
        <f>AG241</f>
        <v>3228.621</v>
      </c>
      <c r="AI326" s="3" t="n"/>
      <c r="AJ326" s="3" t="n"/>
      <c r="AK326" s="3" t="n"/>
      <c r="AL326" s="3" t="n"/>
      <c r="AM326" s="36">
        <f>AL241</f>
        <v>5975.39</v>
      </c>
      <c r="AN326" s="3" t="n"/>
      <c r="AO326" s="3" t="n"/>
      <c r="AP326" s="3" t="n"/>
      <c r="AQ326" s="3" t="n"/>
      <c r="AR326" s="36" t="e">
        <f>AQ241</f>
        <v>#DIV/0!</v>
      </c>
      <c r="AS326" s="3" t="n"/>
      <c r="AT326" s="3" t="n"/>
      <c r="AU326" s="3" t="n"/>
      <c r="AV326" s="3" t="n"/>
      <c r="AW326" s="36" t="e">
        <f>AV241</f>
        <v>#DIV/0!</v>
      </c>
      <c r="AX326" s="3" t="n"/>
      <c r="AY326" s="3" t="n"/>
      <c r="AZ326" s="3" t="n"/>
      <c r="BA326" s="3" t="n"/>
      <c r="BB326" s="36" t="e">
        <f>BA241</f>
        <v>#DIV/0!</v>
      </c>
      <c r="BC326" s="3" t="n"/>
      <c r="BD326" s="3" t="n"/>
      <c r="BE326" s="3" t="n"/>
      <c r="BF326" s="3" t="n"/>
      <c r="BG326" s="36" t="e">
        <f>BF241</f>
        <v>#DIV/0!</v>
      </c>
      <c r="BH326" s="3" t="n"/>
      <c r="BI326" s="3" t="n"/>
      <c r="BJ326" s="3" t="n"/>
      <c r="BK326" s="3" t="n"/>
      <c r="BL326" s="36" t="e">
        <f>BK241</f>
        <v>#DIV/0!</v>
      </c>
      <c r="BM326" s="3" t="n"/>
      <c r="BN326" s="3" t="n"/>
      <c r="BO326" s="3" t="n"/>
      <c r="BP326" s="3" t="n"/>
      <c r="BQ326" s="36" t="e">
        <f>BP241</f>
        <v>#DIV/0!</v>
      </c>
      <c r="BR326" s="3" t="n"/>
      <c r="BS326" s="3" t="n"/>
      <c r="BT326" s="3" t="n"/>
      <c r="BU326" s="3" t="n"/>
      <c r="BV326" s="36" t="e">
        <f>BU241</f>
        <v>#DIV/0!</v>
      </c>
      <c r="BW326" s="3" t="n"/>
      <c r="BX326" s="3" t="n"/>
      <c r="BY326" s="3" t="n"/>
      <c r="BZ326" s="3" t="n"/>
      <c r="CA326" s="36" t="e">
        <f>BZ241</f>
        <v>#DIV/0!</v>
      </c>
      <c r="CB326" s="3" t="n"/>
      <c r="CC326" s="3" t="n"/>
      <c r="CD326" s="3" t="n"/>
      <c r="CE326" s="3" t="n"/>
      <c r="CF326" s="36" t="e">
        <f>CE241</f>
        <v>#DIV/0!</v>
      </c>
      <c r="CG326" s="3" t="n"/>
      <c r="CH326" s="3" t="n"/>
      <c r="CI326" s="3" t="n"/>
      <c r="CJ326" s="3" t="n"/>
      <c r="CK326" s="36" t="e">
        <f>CJ241</f>
        <v>#DIV/0!</v>
      </c>
      <c r="CL326" s="3" t="n"/>
      <c r="CM326" s="3" t="n"/>
      <c r="CN326" s="3" t="n"/>
      <c r="CO326" s="3" t="n"/>
      <c r="CP326" s="36" t="e">
        <f>CO241</f>
        <v>#DIV/0!</v>
      </c>
      <c r="CQ326" s="3" t="n"/>
      <c r="CR326" s="3" t="n"/>
      <c r="CS326" s="3" t="n"/>
      <c r="CT326" s="3" t="n"/>
      <c r="CU326" s="36" t="e">
        <f>CT241</f>
        <v>#DIV/0!</v>
      </c>
      <c r="CV326" s="3" t="n"/>
      <c r="CW326" s="3" t="n"/>
      <c r="CX326" s="3" t="n"/>
      <c r="CY326" s="3" t="n"/>
    </row>
    <row r="327" hidden="1" outlineLevel="1">
      <c r="C327" s="34" t="inlineStr">
        <is>
          <t>Plus: Free cash flows prior to debt during period</t>
        </is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inlineStr">
        <is>
          <t>% of sales</t>
        </is>
      </c>
      <c r="AH327" s="37">
        <f>SUM(AH390,AH397)+SUM(AH399:AH405)</f>
        <v>57.3280000000004</v>
      </c>
      <c r="AI327" s="37">
        <f>SUM(AI390,AI397)+SUM(AI399:AI405)</f>
        <v>-197.195000000002</v>
      </c>
      <c r="AJ327" s="37">
        <f>SUM(AJ390,AJ397)+SUM(AJ399:AJ405)</f>
        <v>452.299</v>
      </c>
      <c r="AK327" s="37">
        <f>SUM(AK390,AK397)+SUM(AK399:AK405)</f>
        <v>151.17</v>
      </c>
      <c r="AL327" s="3" t="n"/>
      <c r="AM327" s="37" t="e">
        <f>SUM(AM390,AM397)+SUM(AM399:AM405)</f>
        <v>#DIV/0!</v>
      </c>
      <c r="AN327" s="37" t="e">
        <f>SUM(AN390,AN397)+SUM(AN399:AN405)</f>
        <v>#DIV/0!</v>
      </c>
      <c r="AO327" s="37" t="e">
        <f>SUM(AO390,AO397)+SUM(AO399:AO405)</f>
        <v>#DIV/0!</v>
      </c>
      <c r="AP327" s="37" t="e">
        <f>SUM(AP390,AP397)+SUM(AP399:AP405)</f>
        <v>#DIV/0!</v>
      </c>
      <c r="AQ327" s="3" t="n"/>
      <c r="AR327" s="37" t="e">
        <f>SUM(AR390,AR397)+SUM(AR399:AR405)</f>
        <v>#DIV/0!</v>
      </c>
      <c r="AS327" s="37" t="e">
        <f>SUM(AS390,AS397)+SUM(AS399:AS405)</f>
        <v>#DIV/0!</v>
      </c>
      <c r="AT327" s="37" t="e">
        <f>SUM(AT390,AT397)+SUM(AT399:AT405)</f>
        <v>#DIV/0!</v>
      </c>
      <c r="AU327" s="37" t="e">
        <f>SUM(AU390,AU397)+SUM(AU399:AU405)</f>
        <v>#DIV/0!</v>
      </c>
      <c r="AV327" s="3" t="n"/>
      <c r="AW327" s="37" t="e">
        <f>SUM(AW390,AW397)+SUM(AW399:AW405)</f>
        <v>#DIV/0!</v>
      </c>
      <c r="AX327" s="37" t="e">
        <f>SUM(AX390,AX397)+SUM(AX399:AX405)</f>
        <v>#DIV/0!</v>
      </c>
      <c r="AY327" s="37" t="e">
        <f>SUM(AY390,AY397)+SUM(AY399:AY405)</f>
        <v>#DIV/0!</v>
      </c>
      <c r="AZ327" s="37" t="e">
        <f>SUM(AZ390,AZ397)+SUM(AZ399:AZ405)</f>
        <v>#DIV/0!</v>
      </c>
      <c r="BA327" s="3" t="n"/>
      <c r="BB327" s="37" t="e">
        <f>SUM(BB390,BB397)+SUM(BB399:BB405)</f>
        <v>#DIV/0!</v>
      </c>
      <c r="BC327" s="37" t="e">
        <f>SUM(BC390,BC397)+SUM(BC399:BC405)</f>
        <v>#DIV/0!</v>
      </c>
      <c r="BD327" s="37" t="e">
        <f>SUM(BD390,BD397)+SUM(BD399:BD405)</f>
        <v>#DIV/0!</v>
      </c>
      <c r="BE327" s="37" t="e">
        <f>SUM(BE390,BE397)+SUM(BE399:BE405)</f>
        <v>#DIV/0!</v>
      </c>
      <c r="BF327" s="3" t="n"/>
      <c r="BG327" s="37" t="e">
        <f>SUM(BG390,BG397)+SUM(BG399:BG405)</f>
        <v>#DIV/0!</v>
      </c>
      <c r="BH327" s="37" t="e">
        <f>SUM(BH390,BH397)+SUM(BH399:BH405)</f>
        <v>#DIV/0!</v>
      </c>
      <c r="BI327" s="37" t="e">
        <f>SUM(BI390,BI397)+SUM(BI399:BI405)</f>
        <v>#DIV/0!</v>
      </c>
      <c r="BJ327" s="37" t="e">
        <f>SUM(BJ390,BJ397)+SUM(BJ399:BJ405)</f>
        <v>#DIV/0!</v>
      </c>
      <c r="BK327" s="3" t="n"/>
      <c r="BL327" s="37" t="e">
        <f>SUM(BL390,BL397)+SUM(BL399:BL405)</f>
        <v>#DIV/0!</v>
      </c>
      <c r="BM327" s="37" t="e">
        <f>SUM(BM390,BM397)+SUM(BM399:BM405)</f>
        <v>#DIV/0!</v>
      </c>
      <c r="BN327" s="37" t="e">
        <f>SUM(BN390,BN397)+SUM(BN399:BN405)</f>
        <v>#DIV/0!</v>
      </c>
      <c r="BO327" s="37" t="e">
        <f>SUM(BO390,BO397)+SUM(BO399:BO405)</f>
        <v>#DIV/0!</v>
      </c>
      <c r="BP327" s="3" t="n"/>
      <c r="BQ327" s="37" t="e">
        <f>SUM(BQ390,BQ397)+SUM(BQ399:BQ405)</f>
        <v>#DIV/0!</v>
      </c>
      <c r="BR327" s="37" t="e">
        <f>SUM(BR390,BR397)+SUM(BR399:BR405)</f>
        <v>#DIV/0!</v>
      </c>
      <c r="BS327" s="37" t="e">
        <f>SUM(BS390,BS397)+SUM(BS399:BS405)</f>
        <v>#DIV/0!</v>
      </c>
      <c r="BT327" s="37" t="e">
        <f>SUM(BT390,BT397)+SUM(BT399:BT405)</f>
        <v>#DIV/0!</v>
      </c>
      <c r="BU327" s="3" t="n"/>
      <c r="BV327" s="37" t="e">
        <f>SUM(BV390,BV397)+SUM(BV399:BV405)</f>
        <v>#DIV/0!</v>
      </c>
      <c r="BW327" s="37" t="e">
        <f>SUM(BW390,BW397)+SUM(BW399:BW405)</f>
        <v>#DIV/0!</v>
      </c>
      <c r="BX327" s="37" t="e">
        <f>SUM(BX390,BX397)+SUM(BX399:BX405)</f>
        <v>#DIV/0!</v>
      </c>
      <c r="BY327" s="37" t="e">
        <f>SUM(BY390,BY397)+SUM(BY399:BY405)</f>
        <v>#DIV/0!</v>
      </c>
      <c r="BZ327" s="3" t="n"/>
      <c r="CA327" s="37" t="e">
        <f>SUM(CA390,CA397)+SUM(CA399:CA405)</f>
        <v>#DIV/0!</v>
      </c>
      <c r="CB327" s="37" t="e">
        <f>SUM(CB390,CB397)+SUM(CB399:CB405)</f>
        <v>#DIV/0!</v>
      </c>
      <c r="CC327" s="37" t="e">
        <f>SUM(CC390,CC397)+SUM(CC399:CC405)</f>
        <v>#DIV/0!</v>
      </c>
      <c r="CD327" s="37" t="e">
        <f>SUM(CD390,CD397)+SUM(CD399:CD405)</f>
        <v>#DIV/0!</v>
      </c>
      <c r="CE327" s="3" t="n"/>
      <c r="CF327" s="37" t="e">
        <f>SUM(CF390,CF397)+SUM(CF399:CF405)</f>
        <v>#DIV/0!</v>
      </c>
      <c r="CG327" s="37" t="e">
        <f>SUM(CG390,CG397)+SUM(CG399:CG405)</f>
        <v>#DIV/0!</v>
      </c>
      <c r="CH327" s="37" t="e">
        <f>SUM(CH390,CH397)+SUM(CH399:CH405)</f>
        <v>#DIV/0!</v>
      </c>
      <c r="CI327" s="37" t="e">
        <f>SUM(CI390,CI397)+SUM(CI399:CI405)</f>
        <v>#DIV/0!</v>
      </c>
      <c r="CJ327" s="3" t="n"/>
      <c r="CK327" s="37" t="e">
        <f>SUM(CK390,CK397)+SUM(CK399:CK405)</f>
        <v>#DIV/0!</v>
      </c>
      <c r="CL327" s="37" t="e">
        <f>SUM(CL390,CL397)+SUM(CL399:CL405)</f>
        <v>#DIV/0!</v>
      </c>
      <c r="CM327" s="37" t="e">
        <f>SUM(CM390,CM397)+SUM(CM399:CM405)</f>
        <v>#DIV/0!</v>
      </c>
      <c r="CN327" s="37" t="e">
        <f>SUM(CN390,CN397)+SUM(CN399:CN405)</f>
        <v>#DIV/0!</v>
      </c>
      <c r="CO327" s="3" t="n"/>
      <c r="CP327" s="37" t="e">
        <f>SUM(CP390,CP397)+SUM(CP399:CP405)</f>
        <v>#DIV/0!</v>
      </c>
      <c r="CQ327" s="37" t="e">
        <f>SUM(CQ390,CQ397)+SUM(CQ399:CQ405)</f>
        <v>#DIV/0!</v>
      </c>
      <c r="CR327" s="37" t="e">
        <f>SUM(CR390,CR397)+SUM(CR399:CR405)</f>
        <v>#DIV/0!</v>
      </c>
      <c r="CS327" s="37" t="e">
        <f>SUM(CS390,CS397)+SUM(CS399:CS405)</f>
        <v>#DIV/0!</v>
      </c>
      <c r="CT327" s="3" t="n"/>
      <c r="CU327" s="37" t="e">
        <f>SUM(CU390,CU397)+SUM(CU399:CU405)</f>
        <v>#DIV/0!</v>
      </c>
      <c r="CV327" s="37" t="e">
        <f>SUM(CV390,CV397)+SUM(CV399:CV405)</f>
        <v>#DIV/0!</v>
      </c>
      <c r="CW327" s="37" t="e">
        <f>SUM(CW390,CW397)+SUM(CW399:CW405)</f>
        <v>#DIV/0!</v>
      </c>
      <c r="CX327" s="37" t="e">
        <f>SUM(CX390,CX397)+SUM(CX399:CX405)</f>
        <v>#DIV/0!</v>
      </c>
      <c r="CY327" s="3" t="n"/>
    </row>
    <row r="328" hidden="1" outlineLevel="1">
      <c r="C328" s="34" t="inlineStr">
        <is>
          <t>Less: Minimum cash balance</t>
        </is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250" t="n"/>
      <c r="AH328" s="3">
        <f>($AG$328*AH15)</f>
        <v>0</v>
      </c>
      <c r="AI328" s="3">
        <f>($AG$328*AI15)</f>
        <v>0</v>
      </c>
      <c r="AJ328" s="3">
        <f>($AG$328*AJ15)</f>
        <v>0</v>
      </c>
      <c r="AK328" s="3">
        <f>($AG$328*AK15)</f>
        <v>0</v>
      </c>
      <c r="AL328" s="3" t="n"/>
      <c r="AM328" s="3">
        <f>($AG$328*AM15)</f>
        <v>0</v>
      </c>
      <c r="AN328" s="3">
        <f>($AG$328*AN15)</f>
        <v>0</v>
      </c>
      <c r="AO328" s="3">
        <f>($AG$328*AO15)</f>
        <v>0</v>
      </c>
      <c r="AP328" s="3">
        <f>($AG$328*AP15)</f>
        <v>0</v>
      </c>
      <c r="AQ328" s="3" t="n"/>
      <c r="AR328" s="3">
        <f>($AG$328*AR15)</f>
        <v>0</v>
      </c>
      <c r="AS328" s="3">
        <f>($AG$328*AS15)</f>
        <v>0</v>
      </c>
      <c r="AT328" s="3">
        <f>($AG$328*AT15)</f>
        <v>0</v>
      </c>
      <c r="AU328" s="3">
        <f>($AG$328*AU15)</f>
        <v>0</v>
      </c>
      <c r="AV328" s="3" t="n"/>
      <c r="AW328" s="3">
        <f>($AG$328*AW15)</f>
        <v>0</v>
      </c>
      <c r="AX328" s="3">
        <f>($AG$328*AX15)</f>
        <v>0</v>
      </c>
      <c r="AY328" s="3">
        <f>($AG$328*AY15)</f>
        <v>0</v>
      </c>
      <c r="AZ328" s="3">
        <f>($AG$328*AZ15)</f>
        <v>0</v>
      </c>
      <c r="BA328" s="3" t="n"/>
      <c r="BB328" s="3">
        <f>($AG$328*BB15)</f>
        <v>0</v>
      </c>
      <c r="BC328" s="3">
        <f>($AG$328*BC15)</f>
        <v>0</v>
      </c>
      <c r="BD328" s="3">
        <f>($AG$328*BD15)</f>
        <v>0</v>
      </c>
      <c r="BE328" s="3">
        <f>($AG$328*BE15)</f>
        <v>0</v>
      </c>
      <c r="BF328" s="3" t="n"/>
      <c r="BG328" s="3">
        <f>($AG$328*BG15)</f>
        <v>0</v>
      </c>
      <c r="BH328" s="3">
        <f>($AG$328*BH15)</f>
        <v>0</v>
      </c>
      <c r="BI328" s="3">
        <f>($AG$328*BI15)</f>
        <v>0</v>
      </c>
      <c r="BJ328" s="3">
        <f>($AG$328*BJ15)</f>
        <v>0</v>
      </c>
      <c r="BK328" s="3" t="n"/>
      <c r="BL328" s="3">
        <f>($AG$328*BL15)</f>
        <v>0</v>
      </c>
      <c r="BM328" s="3">
        <f>($AG$328*BM15)</f>
        <v>0</v>
      </c>
      <c r="BN328" s="3">
        <f>($AG$328*BN15)</f>
        <v>0</v>
      </c>
      <c r="BO328" s="3">
        <f>($AG$328*BO15)</f>
        <v>0</v>
      </c>
      <c r="BP328" s="3" t="n"/>
      <c r="BQ328" s="3">
        <f>($AG$328*BQ15)</f>
        <v>0</v>
      </c>
      <c r="BR328" s="3">
        <f>($AG$328*BR15)</f>
        <v>0</v>
      </c>
      <c r="BS328" s="3">
        <f>($AG$328*BS15)</f>
        <v>0</v>
      </c>
      <c r="BT328" s="3">
        <f>($AG$328*BT15)</f>
        <v>0</v>
      </c>
      <c r="BU328" s="3" t="n"/>
      <c r="BV328" s="3">
        <f>($AG$328*BV15)</f>
        <v>0</v>
      </c>
      <c r="BW328" s="3">
        <f>($AG$328*BW15)</f>
        <v>0</v>
      </c>
      <c r="BX328" s="3">
        <f>($AG$328*BX15)</f>
        <v>0</v>
      </c>
      <c r="BY328" s="3">
        <f>($AG$328*BY15)</f>
        <v>0</v>
      </c>
      <c r="BZ328" s="3" t="n"/>
      <c r="CA328" s="3">
        <f>($AG$328*CA15)</f>
        <v>0</v>
      </c>
      <c r="CB328" s="3">
        <f>($AG$328*CB15)</f>
        <v>0</v>
      </c>
      <c r="CC328" s="3">
        <f>($AG$328*CC15)</f>
        <v>0</v>
      </c>
      <c r="CD328" s="3">
        <f>($AG$328*CD15)</f>
        <v>0</v>
      </c>
      <c r="CE328" s="3" t="n"/>
      <c r="CF328" s="3">
        <f>($AG$328*CF15)</f>
        <v>0</v>
      </c>
      <c r="CG328" s="3">
        <f>($AG$328*CG15)</f>
        <v>0</v>
      </c>
      <c r="CH328" s="3">
        <f>($AG$328*CH15)</f>
        <v>0</v>
      </c>
      <c r="CI328" s="3">
        <f>($AG$328*CI15)</f>
        <v>0</v>
      </c>
      <c r="CJ328" s="3" t="n"/>
      <c r="CK328" s="3">
        <f>($AG$328*CK15)</f>
        <v>0</v>
      </c>
      <c r="CL328" s="3">
        <f>($AG$328*CL15)</f>
        <v>0</v>
      </c>
      <c r="CM328" s="3">
        <f>($AG$328*CM15)</f>
        <v>0</v>
      </c>
      <c r="CN328" s="3">
        <f>($AG$328*CN15)</f>
        <v>0</v>
      </c>
      <c r="CO328" s="3" t="n"/>
      <c r="CP328" s="3">
        <f>($AG$328*CP15)</f>
        <v>0</v>
      </c>
      <c r="CQ328" s="3">
        <f>($AG$328*CQ15)</f>
        <v>0</v>
      </c>
      <c r="CR328" s="3">
        <f>($AG$328*CR15)</f>
        <v>0</v>
      </c>
      <c r="CS328" s="3">
        <f>($AG$328*CS15)</f>
        <v>0</v>
      </c>
      <c r="CT328" s="3" t="n"/>
      <c r="CU328" s="3">
        <f>($AG$328*CU15)</f>
        <v>0</v>
      </c>
      <c r="CV328" s="3">
        <f>($AG$328*CV15)</f>
        <v>0</v>
      </c>
      <c r="CW328" s="3">
        <f>($AG$328*CW15)</f>
        <v>0</v>
      </c>
      <c r="CX328" s="3">
        <f>($AG$328*CX15)</f>
        <v>0</v>
      </c>
      <c r="CY328" s="3" t="n"/>
    </row>
    <row r="329" hidden="1" outlineLevel="1">
      <c r="C329" s="34" t="inlineStr">
        <is>
          <t>Total cash available / (debt required) for short term debt paydown</t>
        </is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1">
        <f>AH326+AH327-AH328-AF316+AH318+AH322</f>
        <v>3285.949</v>
      </c>
      <c r="AI329" s="1">
        <f>AI326+AI327-AI328-AG316+AI318+AI322</f>
        <v>-197.195000000002</v>
      </c>
      <c r="AJ329" s="1">
        <f>AJ326+AJ327-AJ328-AH316+AJ318+AJ322</f>
        <v>-992.348</v>
      </c>
      <c r="AK329" s="1">
        <f>AK326+AK327-AK328-AI316+AK318+AK322</f>
        <v>151.17</v>
      </c>
      <c r="AL329" s="3" t="n"/>
      <c r="AM329" s="1" t="e">
        <f>AM326+AM327-AM328-AK316+AM318+AM322</f>
        <v>#DIV/0!</v>
      </c>
      <c r="AN329" s="1" t="e">
        <f>AN326+AN327-AN328-AL316+AN318+AN322</f>
        <v>#DIV/0!</v>
      </c>
      <c r="AO329" s="1" t="e">
        <f>AO326+AO327-AO328-AM316+AO318+AO322</f>
        <v>#DIV/0!</v>
      </c>
      <c r="AP329" s="1" t="e">
        <f>AP326+AP327-AP328-AN316+AP318+AP322</f>
        <v>#DIV/0!</v>
      </c>
      <c r="AQ329" s="3" t="n"/>
      <c r="AR329" s="1" t="e">
        <f>AR326+AR327-AR328-AP316+AR318+AR322</f>
        <v>#DIV/0!</v>
      </c>
      <c r="AS329" s="1" t="e">
        <f>AS326+AS327-AS328-AQ316+AS318+AS322</f>
        <v>#DIV/0!</v>
      </c>
      <c r="AT329" s="1" t="e">
        <f>AT326+AT327-AT328-AR316+AT318+AT322</f>
        <v>#DIV/0!</v>
      </c>
      <c r="AU329" s="1" t="e">
        <f>AU326+AU327-AU328-AS316+AU318+AU322</f>
        <v>#DIV/0!</v>
      </c>
      <c r="AV329" s="3" t="n"/>
      <c r="AW329" s="1" t="e">
        <f>AW326+AW327-AW328-AU316+AW318+AW322</f>
        <v>#DIV/0!</v>
      </c>
      <c r="AX329" s="1" t="e">
        <f>AX326+AX327-AX328-AV316+AX318+AX322</f>
        <v>#DIV/0!</v>
      </c>
      <c r="AY329" s="1" t="e">
        <f>AY326+AY327-AY328-AW316+AY318+AY322</f>
        <v>#DIV/0!</v>
      </c>
      <c r="AZ329" s="1" t="e">
        <f>AZ326+AZ327-AZ328-AX316+AZ318+AZ322</f>
        <v>#DIV/0!</v>
      </c>
      <c r="BA329" s="3" t="n"/>
      <c r="BB329" s="1" t="e">
        <f>BB326+BB327-BB328-AZ316+BB318+BB322</f>
        <v>#DIV/0!</v>
      </c>
      <c r="BC329" s="1" t="e">
        <f>BC326+BC327-BC328-BA316+BC318+BC322</f>
        <v>#DIV/0!</v>
      </c>
      <c r="BD329" s="1" t="e">
        <f>BD326+BD327-BD328-BB316+BD318+BD322</f>
        <v>#DIV/0!</v>
      </c>
      <c r="BE329" s="1" t="e">
        <f>BE326+BE327-BE328-BC316+BE318+BE322</f>
        <v>#DIV/0!</v>
      </c>
      <c r="BF329" s="3" t="n"/>
      <c r="BG329" s="1" t="e">
        <f>BG326+BG327-BG328-BE316+BG318+BG322</f>
        <v>#DIV/0!</v>
      </c>
      <c r="BH329" s="1" t="e">
        <f>BH326+BH327-BH328-BF316+BH318+BH322</f>
        <v>#DIV/0!</v>
      </c>
      <c r="BI329" s="1" t="e">
        <f>BI326+BI327-BI328-BG316+BI318+BI322</f>
        <v>#DIV/0!</v>
      </c>
      <c r="BJ329" s="1" t="e">
        <f>BJ326+BJ327-BJ328-BH316+BJ318+BJ322</f>
        <v>#DIV/0!</v>
      </c>
      <c r="BK329" s="3" t="n"/>
      <c r="BL329" s="1" t="e">
        <f>BL326+BL327-BL328-BJ316+BL318+BL322</f>
        <v>#DIV/0!</v>
      </c>
      <c r="BM329" s="1" t="e">
        <f>BM326+BM327-BM328-BK316+BM318+BM322</f>
        <v>#DIV/0!</v>
      </c>
      <c r="BN329" s="1" t="e">
        <f>BN326+BN327-BN328-BL316+BN318+BN322</f>
        <v>#DIV/0!</v>
      </c>
      <c r="BO329" s="1" t="e">
        <f>BO326+BO327-BO328-BM316+BO318+BO322</f>
        <v>#DIV/0!</v>
      </c>
      <c r="BP329" s="3" t="n"/>
      <c r="BQ329" s="1" t="e">
        <f>BQ326+BQ327-BQ328-BO316+BQ318+BQ322</f>
        <v>#DIV/0!</v>
      </c>
      <c r="BR329" s="1" t="e">
        <f>BR326+BR327-BR328-BP316+BR318+BR322</f>
        <v>#DIV/0!</v>
      </c>
      <c r="BS329" s="1" t="e">
        <f>BS326+BS327-BS328-BQ316+BS318+BS322</f>
        <v>#DIV/0!</v>
      </c>
      <c r="BT329" s="1" t="e">
        <f>BT326+BT327-BT328-BR316+BT318+BT322</f>
        <v>#DIV/0!</v>
      </c>
      <c r="BU329" s="3" t="n"/>
      <c r="BV329" s="1" t="e">
        <f>BV326+BV327-BV328-BT316+BV318+BV322</f>
        <v>#DIV/0!</v>
      </c>
      <c r="BW329" s="1" t="e">
        <f>BW326+BW327-BW328-BU316+BW318+BW322</f>
        <v>#DIV/0!</v>
      </c>
      <c r="BX329" s="1" t="e">
        <f>BX326+BX327-BX328-BV316+BX318+BX322</f>
        <v>#DIV/0!</v>
      </c>
      <c r="BY329" s="1" t="e">
        <f>BY326+BY327-BY328-BW316+BY318+BY322</f>
        <v>#DIV/0!</v>
      </c>
      <c r="BZ329" s="3" t="n"/>
      <c r="CA329" s="1" t="e">
        <f>CA326+CA327-CA328-BY316+CA318+CA322</f>
        <v>#DIV/0!</v>
      </c>
      <c r="CB329" s="1" t="e">
        <f>CB326+CB327-CB328-BZ316+CB318+CB322</f>
        <v>#DIV/0!</v>
      </c>
      <c r="CC329" s="1" t="e">
        <f>CC326+CC327-CC328-CA316+CC318+CC322</f>
        <v>#DIV/0!</v>
      </c>
      <c r="CD329" s="1" t="e">
        <f>CD326+CD327-CD328-CB316+CD318+CD322</f>
        <v>#DIV/0!</v>
      </c>
      <c r="CE329" s="3" t="n"/>
      <c r="CF329" s="1" t="e">
        <f>CF326+CF327-CF328-CD316+CF318+CF322</f>
        <v>#DIV/0!</v>
      </c>
      <c r="CG329" s="1" t="e">
        <f>CG326+CG327-CG328-CE316+CG318+CG322</f>
        <v>#DIV/0!</v>
      </c>
      <c r="CH329" s="1" t="e">
        <f>CH326+CH327-CH328-CF316+CH318+CH322</f>
        <v>#DIV/0!</v>
      </c>
      <c r="CI329" s="1" t="e">
        <f>CI326+CI327-CI328-CG316+CI318+CI322</f>
        <v>#DIV/0!</v>
      </c>
      <c r="CJ329" s="3" t="n"/>
      <c r="CK329" s="1" t="e">
        <f>CK326+CK327-CK328-CI316+CK318+CK322</f>
        <v>#DIV/0!</v>
      </c>
      <c r="CL329" s="1" t="e">
        <f>CL326+CL327-CL328-CJ316+CL318+CL322</f>
        <v>#DIV/0!</v>
      </c>
      <c r="CM329" s="1" t="e">
        <f>CM326+CM327-CM328-CK316+CM318+CM322</f>
        <v>#DIV/0!</v>
      </c>
      <c r="CN329" s="1" t="e">
        <f>CN326+CN327-CN328-CL316+CN318+CN322</f>
        <v>#DIV/0!</v>
      </c>
      <c r="CO329" s="3" t="n"/>
      <c r="CP329" s="1" t="e">
        <f>CP326+CP327-CP328-CN316+CP318+CP322</f>
        <v>#DIV/0!</v>
      </c>
      <c r="CQ329" s="1" t="e">
        <f>CQ326+CQ327-CQ328-CO316+CQ318+CQ322</f>
        <v>#DIV/0!</v>
      </c>
      <c r="CR329" s="1" t="e">
        <f>CR326+CR327-CR328-CP316+CR318+CR322</f>
        <v>#DIV/0!</v>
      </c>
      <c r="CS329" s="1" t="e">
        <f>CS326+CS327-CS328-CQ316+CS318+CS322</f>
        <v>#DIV/0!</v>
      </c>
      <c r="CT329" s="3" t="n"/>
      <c r="CU329" s="1" t="e">
        <f>CU326+CU327-CU328-CS316+CU318+CU322</f>
        <v>#DIV/0!</v>
      </c>
      <c r="CV329" s="1" t="e">
        <f>CV326+CV327-CV328-CT316+CV318+CV322</f>
        <v>#DIV/0!</v>
      </c>
      <c r="CW329" s="1" t="e">
        <f>CW326+CW327-CW328-CU316+CW318+CW322</f>
        <v>#DIV/0!</v>
      </c>
      <c r="CX329" s="1" t="e">
        <f>CX326+CX327-CX328-CV316+CX318+CX322</f>
        <v>#DIV/0!</v>
      </c>
      <c r="CY329" s="3" t="n"/>
    </row>
    <row r="330" hidden="1" outlineLevel="1">
      <c r="C330" s="34" t="inlineStr">
        <is>
          <t>Short term debt</t>
        </is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>
        <f>AH310</f>
        <v>0</v>
      </c>
      <c r="AI330" s="3">
        <f>MAX(0,AH330-AI329)</f>
        <v>197.195000000002</v>
      </c>
      <c r="AJ330" s="3">
        <f>MAX(0,AI330-AJ329)</f>
        <v>1189.543</v>
      </c>
      <c r="AK330" s="3">
        <f>MAX(0,AJ330-AK329)</f>
        <v>1038.373</v>
      </c>
      <c r="AL330" s="3" t="n"/>
      <c r="AM330" s="3">
        <f>AM310</f>
        <v>0</v>
      </c>
      <c r="AN330" s="3" t="e">
        <f>MAX(0,AM330-AN329)</f>
        <v>#DIV/0!</v>
      </c>
      <c r="AO330" s="3" t="e">
        <f>MAX(0,AN330-AO329)</f>
        <v>#DIV/0!</v>
      </c>
      <c r="AP330" s="3" t="e">
        <f>MAX(0,AO330-AP329)</f>
        <v>#DIV/0!</v>
      </c>
      <c r="AQ330" s="3" t="n"/>
      <c r="AR330" s="3">
        <f>AR310</f>
        <v>0</v>
      </c>
      <c r="AS330" s="3" t="e">
        <f>MAX(0,AR330-AS329)</f>
        <v>#DIV/0!</v>
      </c>
      <c r="AT330" s="3" t="e">
        <f>MAX(0,AS330-AT329)</f>
        <v>#DIV/0!</v>
      </c>
      <c r="AU330" s="3" t="e">
        <f>MAX(0,AT330-AU329)</f>
        <v>#DIV/0!</v>
      </c>
      <c r="AV330" s="3" t="n"/>
      <c r="AW330" s="3">
        <f>AW310</f>
        <v>0</v>
      </c>
      <c r="AX330" s="3" t="e">
        <f>MAX(0,AW330-AX329)</f>
        <v>#DIV/0!</v>
      </c>
      <c r="AY330" s="3" t="e">
        <f>MAX(0,AX330-AY329)</f>
        <v>#DIV/0!</v>
      </c>
      <c r="AZ330" s="3" t="e">
        <f>MAX(0,AY330-AZ329)</f>
        <v>#DIV/0!</v>
      </c>
      <c r="BA330" s="3" t="n"/>
      <c r="BB330" s="3">
        <f>BB310</f>
        <v>0</v>
      </c>
      <c r="BC330" s="3" t="e">
        <f>MAX(0,BB330-BC329)</f>
        <v>#DIV/0!</v>
      </c>
      <c r="BD330" s="3" t="e">
        <f>MAX(0,BC330-BD329)</f>
        <v>#DIV/0!</v>
      </c>
      <c r="BE330" s="3" t="e">
        <f>MAX(0,BD330-BE329)</f>
        <v>#DIV/0!</v>
      </c>
      <c r="BF330" s="3" t="n"/>
      <c r="BG330" s="3">
        <f>BG310</f>
        <v>0</v>
      </c>
      <c r="BH330" s="3" t="e">
        <f>MAX(0,BG330-BH329)</f>
        <v>#DIV/0!</v>
      </c>
      <c r="BI330" s="3" t="e">
        <f>MAX(0,BH330-BI329)</f>
        <v>#DIV/0!</v>
      </c>
      <c r="BJ330" s="3" t="e">
        <f>MAX(0,BI330-BJ329)</f>
        <v>#DIV/0!</v>
      </c>
      <c r="BK330" s="3" t="n"/>
      <c r="BL330" s="3">
        <f>BL310</f>
        <v>0</v>
      </c>
      <c r="BM330" s="3" t="e">
        <f>MAX(0,BL330-BM329)</f>
        <v>#DIV/0!</v>
      </c>
      <c r="BN330" s="3" t="e">
        <f>MAX(0,BM330-BN329)</f>
        <v>#DIV/0!</v>
      </c>
      <c r="BO330" s="3" t="e">
        <f>MAX(0,BN330-BO329)</f>
        <v>#DIV/0!</v>
      </c>
      <c r="BP330" s="3" t="n"/>
      <c r="BQ330" s="3">
        <f>BQ310</f>
        <v>0</v>
      </c>
      <c r="BR330" s="3" t="e">
        <f>MAX(0,BQ330-BR329)</f>
        <v>#DIV/0!</v>
      </c>
      <c r="BS330" s="3" t="e">
        <f>MAX(0,BR330-BS329)</f>
        <v>#DIV/0!</v>
      </c>
      <c r="BT330" s="3" t="e">
        <f>MAX(0,BS330-BT329)</f>
        <v>#DIV/0!</v>
      </c>
      <c r="BU330" s="3" t="n"/>
      <c r="BV330" s="3">
        <f>BV310</f>
        <v>0</v>
      </c>
      <c r="BW330" s="3" t="e">
        <f>MAX(0,BV330-BW329)</f>
        <v>#DIV/0!</v>
      </c>
      <c r="BX330" s="3" t="e">
        <f>MAX(0,BW330-BX329)</f>
        <v>#DIV/0!</v>
      </c>
      <c r="BY330" s="3" t="e">
        <f>MAX(0,BX330-BY329)</f>
        <v>#DIV/0!</v>
      </c>
      <c r="BZ330" s="3" t="n"/>
      <c r="CA330" s="3">
        <f>CA310</f>
        <v>0</v>
      </c>
      <c r="CB330" s="3" t="e">
        <f>MAX(0,CA330-CB329)</f>
        <v>#DIV/0!</v>
      </c>
      <c r="CC330" s="3" t="e">
        <f>MAX(0,CB330-CC329)</f>
        <v>#DIV/0!</v>
      </c>
      <c r="CD330" s="3" t="e">
        <f>MAX(0,CC330-CD329)</f>
        <v>#DIV/0!</v>
      </c>
      <c r="CE330" s="3" t="n"/>
      <c r="CF330" s="3">
        <f>CF310</f>
        <v>0</v>
      </c>
      <c r="CG330" s="3" t="e">
        <f>MAX(0,CF330-CG329)</f>
        <v>#DIV/0!</v>
      </c>
      <c r="CH330" s="3" t="e">
        <f>MAX(0,CG330-CH329)</f>
        <v>#DIV/0!</v>
      </c>
      <c r="CI330" s="3" t="e">
        <f>MAX(0,CH330-CI329)</f>
        <v>#DIV/0!</v>
      </c>
      <c r="CJ330" s="3" t="n"/>
      <c r="CK330" s="3">
        <f>CK310</f>
        <v>0</v>
      </c>
      <c r="CL330" s="3" t="e">
        <f>MAX(0,CK330-CL329)</f>
        <v>#DIV/0!</v>
      </c>
      <c r="CM330" s="3" t="e">
        <f>MAX(0,CL330-CM329)</f>
        <v>#DIV/0!</v>
      </c>
      <c r="CN330" s="3" t="e">
        <f>MAX(0,CM330-CN329)</f>
        <v>#DIV/0!</v>
      </c>
      <c r="CO330" s="3" t="n"/>
      <c r="CP330" s="3">
        <f>CP310</f>
        <v>0</v>
      </c>
      <c r="CQ330" s="3" t="e">
        <f>MAX(0,CP330-CQ329)</f>
        <v>#DIV/0!</v>
      </c>
      <c r="CR330" s="3" t="e">
        <f>MAX(0,CQ330-CR329)</f>
        <v>#DIV/0!</v>
      </c>
      <c r="CS330" s="3" t="e">
        <f>MAX(0,CR330-CS329)</f>
        <v>#DIV/0!</v>
      </c>
      <c r="CT330" s="3" t="n"/>
      <c r="CU330" s="3">
        <f>CU310</f>
        <v>0</v>
      </c>
      <c r="CV330" s="3" t="e">
        <f>MAX(0,CU330-CV329)</f>
        <v>#DIV/0!</v>
      </c>
      <c r="CW330" s="3" t="e">
        <f>MAX(0,CV330-CW329)</f>
        <v>#DIV/0!</v>
      </c>
      <c r="CX330" s="3" t="e">
        <f>MAX(0,CW330-CX329)</f>
        <v>#DIV/0!</v>
      </c>
      <c r="CY330" s="3" t="n"/>
    </row>
    <row r="331" hidden="1" outlineLevel="1">
      <c r="C331" s="34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  <c r="CG331" s="3" t="n"/>
      <c r="CH331" s="3" t="n"/>
      <c r="CI331" s="3" t="n"/>
      <c r="CJ331" s="3" t="n"/>
      <c r="CK331" s="3" t="n"/>
      <c r="CL331" s="3" t="n"/>
      <c r="CM331" s="3" t="n"/>
      <c r="CN331" s="3" t="n"/>
      <c r="CO331" s="3" t="n"/>
      <c r="CP331" s="3" t="n"/>
      <c r="CQ331" s="3" t="n"/>
      <c r="CR331" s="3" t="n"/>
      <c r="CS331" s="3" t="n"/>
      <c r="CT331" s="3" t="n"/>
      <c r="CU331" s="3" t="n"/>
      <c r="CV331" s="3" t="n"/>
      <c r="CW331" s="3" t="n"/>
      <c r="CX331" s="3" t="n"/>
      <c r="CY331" s="3" t="n"/>
    </row>
    <row r="332" collapsed="1">
      <c r="C332" s="26" t="inlineStr">
        <is>
          <t>Long term operating leases</t>
        </is>
      </c>
      <c r="D332" s="25">
        <f>INDEX('Inputs (2)'!$D$36:$AL$36,MATCH(D$7,'Inputs (2)'!$D$2:$AL$2,0))</f>
        <v>27.026</v>
      </c>
      <c r="E332" s="25">
        <f>INDEX('Inputs (2)'!$D$36:$AL$36,MATCH(E$7,'Inputs (2)'!$D$2:$AL$2,0))</f>
        <v>30.269</v>
      </c>
      <c r="F332" s="25">
        <f>INDEX('Inputs (2)'!$D$36:$AL$36,MATCH(F$7,'Inputs (2)'!$D$2:$AL$2,0))</f>
        <v>29.22</v>
      </c>
      <c r="G332" s="25">
        <f>INDEX('Inputs (2)'!$D$36:$AL$36,MATCH(G$7,'Inputs (2)'!$D$2:$AL$2,0))</f>
        <v>28.3</v>
      </c>
      <c r="H332" s="3">
        <f>G332</f>
        <v>28.3</v>
      </c>
      <c r="I332" s="25">
        <f>INDEX('Inputs (2)'!$D$36:$AL$36,MATCH(I$7,'Inputs (2)'!$D$2:$AL$2,0))</f>
        <v>29.628</v>
      </c>
      <c r="J332" s="25">
        <f>INDEX('Inputs (2)'!$D$36:$AL$36,MATCH(J$7,'Inputs (2)'!$D$2:$AL$2,0))</f>
        <v>31.829</v>
      </c>
      <c r="K332" s="25">
        <f>INDEX('Inputs (2)'!$D$36:$AL$36,MATCH(K$7,'Inputs (2)'!$D$2:$AL$2,0))</f>
        <v>42.853</v>
      </c>
      <c r="L332" s="25">
        <f>INDEX('Inputs (2)'!$D$36:$AL$36,MATCH(L$7,'Inputs (2)'!$D$2:$AL$2,0))</f>
        <v>38.707</v>
      </c>
      <c r="M332" s="3">
        <f>L332</f>
        <v>38.707</v>
      </c>
      <c r="N332" s="25">
        <f>INDEX('Inputs (2)'!$D$36:$AL$36,MATCH(N$7,'Inputs (2)'!$D$2:$AL$2,0))</f>
        <v>34.871</v>
      </c>
      <c r="O332" s="25">
        <f>INDEX('Inputs (2)'!$D$36:$AL$36,MATCH(O$7,'Inputs (2)'!$D$2:$AL$2,0))</f>
        <v>38.958</v>
      </c>
      <c r="P332" s="25">
        <f>INDEX('Inputs (2)'!$D$36:$AL$36,MATCH(P$7,'Inputs (2)'!$D$2:$AL$2,0))</f>
        <v>37.657</v>
      </c>
      <c r="Q332" s="25">
        <f>INDEX('Inputs (2)'!$D$36:$AL$36,MATCH(Q$7,'Inputs (2)'!$D$2:$AL$2,0))</f>
        <v>36.263</v>
      </c>
      <c r="R332" s="3">
        <f>Q332</f>
        <v>36.263</v>
      </c>
      <c r="S332" s="25">
        <f>INDEX('Inputs (2)'!$D$36:$AL$36,MATCH(S$7,'Inputs (2)'!$D$2:$AL$2,0))</f>
        <v>35.228</v>
      </c>
      <c r="T332" s="25">
        <f>INDEX('Inputs (2)'!$D$36:$AL$36,MATCH(T$7,'Inputs (2)'!$D$2:$AL$2,0))</f>
        <v>30.83</v>
      </c>
      <c r="U332" s="25">
        <f>INDEX('Inputs (2)'!$D$36:$AL$36,MATCH(U$7,'Inputs (2)'!$D$2:$AL$2,0))</f>
        <v>34.263</v>
      </c>
      <c r="V332" s="25">
        <f>INDEX('Inputs (2)'!$D$36:$AL$36,MATCH(V$7,'Inputs (2)'!$D$2:$AL$2,0))</f>
        <v>38.01</v>
      </c>
      <c r="W332" s="3">
        <f>V332</f>
        <v>38.01</v>
      </c>
      <c r="X332" s="25">
        <f>INDEX('Inputs (2)'!$D$36:$AL$36,MATCH(X$7,'Inputs (2)'!$D$2:$AL$2,0))</f>
        <v>38.52</v>
      </c>
      <c r="Y332" s="25">
        <f>INDEX('Inputs (2)'!$D$36:$AL$36,MATCH(Y$7,'Inputs (2)'!$D$2:$AL$2,0))</f>
        <v>37.493</v>
      </c>
      <c r="Z332" s="25">
        <f>INDEX('Inputs (2)'!$D$36:$AL$36,MATCH(Z$7,'Inputs (2)'!$D$2:$AL$2,0))</f>
        <v>36.726</v>
      </c>
      <c r="AA332" s="25">
        <f>INDEX('Inputs (2)'!$D$36:$AL$36,MATCH(AA$7,'Inputs (2)'!$D$2:$AL$2,0))</f>
        <v>37.142</v>
      </c>
      <c r="AB332" s="3">
        <f>AA332</f>
        <v>37.142</v>
      </c>
      <c r="AC332" s="25">
        <f>INDEX('Inputs (2)'!$D$36:$AL$36,MATCH(AC$7,'Inputs (2)'!$D$2:$AL$2,0))</f>
        <v>32.379</v>
      </c>
      <c r="AD332" s="25">
        <f>INDEX('Inputs (2)'!$D$36:$AL$36,MATCH(AD$7,'Inputs (2)'!$D$2:$AL$2,0))</f>
        <v>33.248</v>
      </c>
      <c r="AE332" s="25">
        <f>INDEX('Inputs (2)'!$D$36:$AL$36,MATCH(AE$7,'Inputs (2)'!$D$2:$AL$2,0))</f>
        <v>32.32</v>
      </c>
      <c r="AF332" s="25">
        <f>INDEX('Inputs (2)'!$D$36:$AL$36,MATCH(AF$7,'Inputs (2)'!$D$2:$AL$2,0))</f>
        <v>18.089</v>
      </c>
      <c r="AG332" s="3">
        <f>AF332</f>
        <v>18.089</v>
      </c>
      <c r="AH332" s="3">
        <f>INDEX('Inputs (2)'!$D$36:$AL$36,MATCH(AH$7,'Inputs (2)'!$D$2:$AL$2,0))</f>
        <v>15.954</v>
      </c>
      <c r="AI332" s="3">
        <f>INDEX('Inputs (2)'!$D$36:$AL$36,MATCH(AI$7,'Inputs (2)'!$D$2:$AL$2,0))</f>
        <v>16.91</v>
      </c>
      <c r="AJ332" s="3">
        <f>AI332</f>
        <v>16.91</v>
      </c>
      <c r="AK332" s="3">
        <f>AJ332</f>
        <v>16.91</v>
      </c>
      <c r="AL332" s="3">
        <f>AK332</f>
        <v>16.91</v>
      </c>
      <c r="AM332" s="3">
        <f>AL332</f>
        <v>16.91</v>
      </c>
      <c r="AN332" s="3">
        <f>AM332</f>
        <v>16.91</v>
      </c>
      <c r="AO332" s="3">
        <f>AN332</f>
        <v>16.91</v>
      </c>
      <c r="AP332" s="3">
        <f>AO332</f>
        <v>16.91</v>
      </c>
      <c r="AQ332" s="3">
        <f>AP332</f>
        <v>16.91</v>
      </c>
      <c r="AR332" s="3">
        <f>AQ332</f>
        <v>16.91</v>
      </c>
      <c r="AS332" s="3">
        <f>AR332</f>
        <v>16.91</v>
      </c>
      <c r="AT332" s="3">
        <f>AS332</f>
        <v>16.91</v>
      </c>
      <c r="AU332" s="3">
        <f>AT332</f>
        <v>16.91</v>
      </c>
      <c r="AV332" s="3">
        <f>AU332</f>
        <v>16.91</v>
      </c>
      <c r="AW332" s="3">
        <f>AV332</f>
        <v>16.91</v>
      </c>
      <c r="AX332" s="3">
        <f>AW332</f>
        <v>16.91</v>
      </c>
      <c r="AY332" s="3">
        <f>AX332</f>
        <v>16.91</v>
      </c>
      <c r="AZ332" s="3">
        <f>AY332</f>
        <v>16.91</v>
      </c>
      <c r="BA332" s="3">
        <f>AZ332</f>
        <v>16.91</v>
      </c>
      <c r="BB332" s="3">
        <f>BA332</f>
        <v>16.91</v>
      </c>
      <c r="BC332" s="3">
        <f>BB332</f>
        <v>16.91</v>
      </c>
      <c r="BD332" s="3">
        <f>BC332</f>
        <v>16.91</v>
      </c>
      <c r="BE332" s="3">
        <f>BD332</f>
        <v>16.91</v>
      </c>
      <c r="BF332" s="3">
        <f>BE332</f>
        <v>16.91</v>
      </c>
      <c r="BG332" s="3">
        <f>BF332</f>
        <v>16.91</v>
      </c>
      <c r="BH332" s="3">
        <f>BG332</f>
        <v>16.91</v>
      </c>
      <c r="BI332" s="3">
        <f>BH332</f>
        <v>16.91</v>
      </c>
      <c r="BJ332" s="3">
        <f>BI332</f>
        <v>16.91</v>
      </c>
      <c r="BK332" s="3">
        <f>BJ332</f>
        <v>16.91</v>
      </c>
      <c r="BL332" s="3">
        <f>BK332</f>
        <v>16.91</v>
      </c>
      <c r="BM332" s="3">
        <f>BL332</f>
        <v>16.91</v>
      </c>
      <c r="BN332" s="3">
        <f>BM332</f>
        <v>16.91</v>
      </c>
      <c r="BO332" s="3">
        <f>BN332</f>
        <v>16.91</v>
      </c>
      <c r="BP332" s="3">
        <f>BO332</f>
        <v>16.91</v>
      </c>
      <c r="BQ332" s="3">
        <f>BP332</f>
        <v>16.91</v>
      </c>
      <c r="BR332" s="3">
        <f>BQ332</f>
        <v>16.91</v>
      </c>
      <c r="BS332" s="3">
        <f>BR332</f>
        <v>16.91</v>
      </c>
      <c r="BT332" s="3">
        <f>BS332</f>
        <v>16.91</v>
      </c>
      <c r="BU332" s="3">
        <f>BT332</f>
        <v>16.91</v>
      </c>
      <c r="BV332" s="3">
        <f>BU332</f>
        <v>16.91</v>
      </c>
      <c r="BW332" s="3">
        <f>BV332</f>
        <v>16.91</v>
      </c>
      <c r="BX332" s="3">
        <f>BW332</f>
        <v>16.91</v>
      </c>
      <c r="BY332" s="3">
        <f>BX332</f>
        <v>16.91</v>
      </c>
      <c r="BZ332" s="3">
        <f>BY332</f>
        <v>16.91</v>
      </c>
      <c r="CA332" s="3">
        <f>BZ332</f>
        <v>16.91</v>
      </c>
      <c r="CB332" s="3">
        <f>CA332</f>
        <v>16.91</v>
      </c>
      <c r="CC332" s="3">
        <f>CB332</f>
        <v>16.91</v>
      </c>
      <c r="CD332" s="3">
        <f>CC332</f>
        <v>16.91</v>
      </c>
      <c r="CE332" s="3">
        <f>CD332</f>
        <v>16.91</v>
      </c>
      <c r="CF332" s="3">
        <f>CE332</f>
        <v>16.91</v>
      </c>
      <c r="CG332" s="3">
        <f>CF332</f>
        <v>16.91</v>
      </c>
      <c r="CH332" s="3">
        <f>CG332</f>
        <v>16.91</v>
      </c>
      <c r="CI332" s="3">
        <f>CH332</f>
        <v>16.91</v>
      </c>
      <c r="CJ332" s="3">
        <f>CI332</f>
        <v>16.91</v>
      </c>
      <c r="CK332" s="3">
        <f>CJ332</f>
        <v>16.91</v>
      </c>
      <c r="CL332" s="3">
        <f>CK332</f>
        <v>16.91</v>
      </c>
      <c r="CM332" s="3">
        <f>CL332</f>
        <v>16.91</v>
      </c>
      <c r="CN332" s="3">
        <f>CM332</f>
        <v>16.91</v>
      </c>
      <c r="CO332" s="3">
        <f>CN332</f>
        <v>16.91</v>
      </c>
      <c r="CP332" s="3">
        <f>CO332</f>
        <v>16.91</v>
      </c>
      <c r="CQ332" s="3">
        <f>CP332</f>
        <v>16.91</v>
      </c>
      <c r="CR332" s="3">
        <f>CQ332</f>
        <v>16.91</v>
      </c>
      <c r="CS332" s="3">
        <f>CR332</f>
        <v>16.91</v>
      </c>
      <c r="CT332" s="3">
        <f>CS332</f>
        <v>16.91</v>
      </c>
      <c r="CU332" s="3">
        <f>CT332</f>
        <v>16.91</v>
      </c>
      <c r="CV332" s="3">
        <f>CU332</f>
        <v>16.91</v>
      </c>
      <c r="CW332" s="3">
        <f>CV332</f>
        <v>16.91</v>
      </c>
      <c r="CX332" s="3">
        <f>CW332</f>
        <v>16.91</v>
      </c>
      <c r="CY332" s="3">
        <f>CX332</f>
        <v>16.91</v>
      </c>
    </row>
    <row r="333" hidden="1" outlineLevel="1">
      <c r="C333" s="38" t="inlineStr">
        <is>
          <t>%(Var.)</t>
        </is>
      </c>
      <c r="D333" s="3" t="n"/>
      <c r="E333" s="47">
        <f>(E332-D332)/D332</f>
        <v>0.119995559831274</v>
      </c>
      <c r="F333" s="47">
        <f>(F332-E332)/E332</f>
        <v>-0.0346559185965841</v>
      </c>
      <c r="G333" s="47">
        <f>(G332-F332)/F332</f>
        <v>-0.0314852840520191</v>
      </c>
      <c r="H333" s="3" t="n"/>
      <c r="I333" s="47">
        <f>(I332-H332)/H332</f>
        <v>0.0469257950530035</v>
      </c>
      <c r="J333" s="47">
        <f>(J332-I332)/I332</f>
        <v>0.0742878358309707</v>
      </c>
      <c r="K333" s="47">
        <f>(K332-J332)/J332</f>
        <v>0.34635081215244</v>
      </c>
      <c r="L333" s="47">
        <f>(L332-K332)/K332</f>
        <v>-0.0967493524374023</v>
      </c>
      <c r="M333" s="3" t="n"/>
      <c r="N333" s="47">
        <f>(N332-M332)/M332</f>
        <v>-0.0991035213268917</v>
      </c>
      <c r="O333" s="47">
        <f>(O332-N332)/N332</f>
        <v>0.117203406842362</v>
      </c>
      <c r="P333" s="47">
        <f>(P332-O332)/O332</f>
        <v>-0.033394938138508</v>
      </c>
      <c r="Q333" s="47">
        <f>(Q332-P332)/P332</f>
        <v>-0.037018349841995</v>
      </c>
      <c r="R333" s="3" t="n"/>
      <c r="S333" s="47">
        <f>(S332-R332)/R332</f>
        <v>-0.0285414885696163</v>
      </c>
      <c r="T333" s="47">
        <f>(T332-S332)/S332</f>
        <v>-0.124843874190984</v>
      </c>
      <c r="U333" s="47">
        <f>(U332-T332)/T332</f>
        <v>0.111352578657152</v>
      </c>
      <c r="V333" s="47">
        <f>(V332-U332)/U332</f>
        <v>0.109359950967516</v>
      </c>
      <c r="W333" s="3" t="n"/>
      <c r="X333" s="47">
        <f>(X332-W332)/W332</f>
        <v>0.0134175217048147</v>
      </c>
      <c r="Y333" s="47">
        <f>(Y332-X332)/X332</f>
        <v>-0.0266614745586708</v>
      </c>
      <c r="Z333" s="47">
        <f>(Z332-Y332)/Y332</f>
        <v>-0.0204571520017071</v>
      </c>
      <c r="AA333" s="47">
        <f>(AA332-Z332)/Z332</f>
        <v>0.0113271251974079</v>
      </c>
      <c r="AB333" s="3" t="n"/>
      <c r="AC333" s="47">
        <f>(AC332-AB332)/AB332</f>
        <v>-0.128237574713263</v>
      </c>
      <c r="AD333" s="47">
        <f>(AD332-AC332)/AC332</f>
        <v>0.0268383829024985</v>
      </c>
      <c r="AE333" s="47">
        <f>(AE332-AD332)/AD332</f>
        <v>-0.0279114533205004</v>
      </c>
      <c r="AF333" s="230">
        <f>(AF332-AE332)/AE332</f>
        <v>-0.440315594059406</v>
      </c>
      <c r="AG333" s="3" t="n"/>
      <c r="AH333" s="6">
        <f>(AH332-AG332)/AG332</f>
        <v>-0.118027530543424</v>
      </c>
      <c r="AI333" s="6">
        <f>(AI332-AH332)/AH332</f>
        <v>0.059922276545067</v>
      </c>
      <c r="AJ333" s="6" t="n"/>
      <c r="AK333" s="6" t="n"/>
      <c r="AL333" s="3" t="n"/>
      <c r="AM333" s="6" t="n"/>
      <c r="AN333" s="6" t="n"/>
      <c r="AO333" s="6" t="n"/>
      <c r="AP333" s="6" t="n"/>
      <c r="AQ333" s="3" t="n"/>
      <c r="AR333" s="6" t="n"/>
      <c r="AS333" s="6" t="n"/>
      <c r="AT333" s="6" t="n"/>
      <c r="AU333" s="6" t="n"/>
      <c r="AV333" s="3" t="n"/>
      <c r="AW333" s="6" t="n"/>
      <c r="AX333" s="6" t="n"/>
      <c r="AY333" s="6" t="n"/>
      <c r="AZ333" s="6" t="n"/>
      <c r="BA333" s="3" t="n"/>
      <c r="BB333" s="6" t="n"/>
      <c r="BC333" s="6" t="n"/>
      <c r="BD333" s="6" t="n"/>
      <c r="BE333" s="6" t="n"/>
      <c r="BF333" s="3" t="n"/>
      <c r="BG333" s="6" t="n"/>
      <c r="BH333" s="6" t="n"/>
      <c r="BI333" s="6" t="n"/>
      <c r="BJ333" s="6" t="n"/>
      <c r="BK333" s="3" t="n"/>
      <c r="BL333" s="6" t="n"/>
      <c r="BM333" s="6" t="n"/>
      <c r="BN333" s="6" t="n"/>
      <c r="BO333" s="6" t="n"/>
      <c r="BP333" s="3" t="n"/>
      <c r="BQ333" s="6" t="n"/>
      <c r="BR333" s="6" t="n"/>
      <c r="BS333" s="6" t="n"/>
      <c r="BT333" s="6" t="n"/>
      <c r="BU333" s="3" t="n"/>
      <c r="BV333" s="6" t="n"/>
      <c r="BW333" s="6" t="n"/>
      <c r="BX333" s="6" t="n"/>
      <c r="BY333" s="6" t="n"/>
      <c r="BZ333" s="3" t="n"/>
      <c r="CA333" s="6" t="n"/>
      <c r="CB333" s="6" t="n"/>
      <c r="CC333" s="6" t="n"/>
      <c r="CD333" s="6" t="n"/>
      <c r="CE333" s="3" t="n"/>
      <c r="CF333" s="6" t="n"/>
      <c r="CG333" s="6" t="n"/>
      <c r="CH333" s="6" t="n"/>
      <c r="CI333" s="6" t="n"/>
      <c r="CJ333" s="3" t="n"/>
      <c r="CK333" s="6" t="n"/>
      <c r="CL333" s="6" t="n"/>
      <c r="CM333" s="6" t="n"/>
      <c r="CN333" s="6" t="n"/>
      <c r="CO333" s="3" t="n"/>
      <c r="CP333" s="6" t="n"/>
      <c r="CQ333" s="6" t="n"/>
      <c r="CR333" s="6" t="n"/>
      <c r="CS333" s="6" t="n"/>
      <c r="CT333" s="3" t="n"/>
      <c r="CU333" s="6" t="n"/>
      <c r="CV333" s="6" t="n"/>
      <c r="CW333" s="6" t="n"/>
      <c r="CX333" s="6" t="n"/>
      <c r="CY333" s="3" t="n"/>
    </row>
    <row r="334" hidden="1" outlineLevel="1">
      <c r="C334" s="34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  <c r="CG334" s="3" t="n"/>
      <c r="CH334" s="3" t="n"/>
      <c r="CI334" s="3" t="n"/>
      <c r="CJ334" s="3" t="n"/>
      <c r="CK334" s="3" t="n"/>
      <c r="CL334" s="3" t="n"/>
      <c r="CM334" s="3" t="n"/>
      <c r="CN334" s="3" t="n"/>
      <c r="CO334" s="3" t="n"/>
      <c r="CP334" s="3" t="n"/>
      <c r="CQ334" s="3" t="n"/>
      <c r="CR334" s="3" t="n"/>
      <c r="CS334" s="3" t="n"/>
      <c r="CT334" s="3" t="n"/>
      <c r="CU334" s="3" t="n"/>
      <c r="CV334" s="3" t="n"/>
      <c r="CW334" s="3" t="n"/>
      <c r="CX334" s="3" t="n"/>
      <c r="CY334" s="3" t="n"/>
    </row>
    <row r="335" collapsed="1">
      <c r="C335" s="26" t="inlineStr">
        <is>
          <t>Convertible debt</t>
        </is>
      </c>
      <c r="D335" s="25" t="n"/>
      <c r="E335" s="25" t="n"/>
      <c r="F335" s="25" t="n"/>
      <c r="G335" s="25" t="n"/>
      <c r="H335" s="3">
        <f>G335</f>
        <v>0</v>
      </c>
      <c r="I335" s="25" t="n"/>
      <c r="J335" s="25" t="n"/>
      <c r="K335" s="25" t="n"/>
      <c r="L335" s="25" t="n"/>
      <c r="M335" s="3">
        <f>L335</f>
        <v>0</v>
      </c>
      <c r="N335" s="25" t="n"/>
      <c r="O335" s="25" t="n"/>
      <c r="P335" s="25" t="n"/>
      <c r="Q335" s="25" t="n"/>
      <c r="R335" s="3">
        <f>Q335</f>
        <v>0</v>
      </c>
      <c r="S335" s="25" t="n"/>
      <c r="T335" s="25" t="n"/>
      <c r="U335" s="25" t="n"/>
      <c r="V335" s="25" t="n"/>
      <c r="W335" s="3">
        <f>V335</f>
        <v>0</v>
      </c>
      <c r="X335" s="25" t="n"/>
      <c r="Y335" s="25" t="n"/>
      <c r="Z335" s="25" t="n"/>
      <c r="AA335" s="25" t="n"/>
      <c r="AB335" s="3">
        <f>AA335</f>
        <v>0</v>
      </c>
      <c r="AC335" s="25" t="n"/>
      <c r="AD335" s="25" t="n"/>
      <c r="AE335" s="25" t="n"/>
      <c r="AF335" s="25" t="n"/>
      <c r="AG335" s="3">
        <f>AF335</f>
        <v>0</v>
      </c>
      <c r="AH335" s="3">
        <f>AG335</f>
        <v>0</v>
      </c>
      <c r="AI335" s="3">
        <f>AH335</f>
        <v>0</v>
      </c>
      <c r="AJ335" s="3">
        <f>AI335</f>
        <v>0</v>
      </c>
      <c r="AK335" s="3">
        <f>AJ335</f>
        <v>0</v>
      </c>
      <c r="AL335" s="3">
        <f>AK335</f>
        <v>0</v>
      </c>
      <c r="AM335" s="3">
        <f>AL335</f>
        <v>0</v>
      </c>
      <c r="AN335" s="3">
        <f>AM335</f>
        <v>0</v>
      </c>
      <c r="AO335" s="3">
        <f>AN335</f>
        <v>0</v>
      </c>
      <c r="AP335" s="3">
        <f>AO335</f>
        <v>0</v>
      </c>
      <c r="AQ335" s="3">
        <f>AP335</f>
        <v>0</v>
      </c>
      <c r="AR335" s="3">
        <f>AQ335</f>
        <v>0</v>
      </c>
      <c r="AS335" s="3">
        <f>AR335</f>
        <v>0</v>
      </c>
      <c r="AT335" s="3">
        <f>AS335</f>
        <v>0</v>
      </c>
      <c r="AU335" s="3">
        <f>AT335</f>
        <v>0</v>
      </c>
      <c r="AV335" s="3">
        <f>AU335</f>
        <v>0</v>
      </c>
      <c r="AW335" s="3">
        <f>AV335</f>
        <v>0</v>
      </c>
      <c r="AX335" s="3">
        <f>AW335</f>
        <v>0</v>
      </c>
      <c r="AY335" s="3">
        <f>AX335</f>
        <v>0</v>
      </c>
      <c r="AZ335" s="3">
        <f>AY335</f>
        <v>0</v>
      </c>
      <c r="BA335" s="3">
        <f>AZ335</f>
        <v>0</v>
      </c>
      <c r="BB335" s="3">
        <f>BA335</f>
        <v>0</v>
      </c>
      <c r="BC335" s="3">
        <f>BB335</f>
        <v>0</v>
      </c>
      <c r="BD335" s="3">
        <f>BC335</f>
        <v>0</v>
      </c>
      <c r="BE335" s="3">
        <f>BD335</f>
        <v>0</v>
      </c>
      <c r="BF335" s="3">
        <f>BE335</f>
        <v>0</v>
      </c>
      <c r="BG335" s="3">
        <f>BF335</f>
        <v>0</v>
      </c>
      <c r="BH335" s="3">
        <f>BG335</f>
        <v>0</v>
      </c>
      <c r="BI335" s="3">
        <f>BH335</f>
        <v>0</v>
      </c>
      <c r="BJ335" s="3">
        <f>BI335</f>
        <v>0</v>
      </c>
      <c r="BK335" s="3">
        <f>BJ335</f>
        <v>0</v>
      </c>
      <c r="BL335" s="3">
        <f>BK335</f>
        <v>0</v>
      </c>
      <c r="BM335" s="3">
        <f>BL335</f>
        <v>0</v>
      </c>
      <c r="BN335" s="3">
        <f>BM335</f>
        <v>0</v>
      </c>
      <c r="BO335" s="3">
        <f>BN335</f>
        <v>0</v>
      </c>
      <c r="BP335" s="3">
        <f>BO335</f>
        <v>0</v>
      </c>
      <c r="BQ335" s="3">
        <f>BP335</f>
        <v>0</v>
      </c>
      <c r="BR335" s="3">
        <f>BQ335</f>
        <v>0</v>
      </c>
      <c r="BS335" s="3">
        <f>BR335</f>
        <v>0</v>
      </c>
      <c r="BT335" s="3">
        <f>BS335</f>
        <v>0</v>
      </c>
      <c r="BU335" s="3">
        <f>BT335</f>
        <v>0</v>
      </c>
      <c r="BV335" s="3">
        <f>BU335</f>
        <v>0</v>
      </c>
      <c r="BW335" s="3">
        <f>BV335</f>
        <v>0</v>
      </c>
      <c r="BX335" s="3">
        <f>BW335</f>
        <v>0</v>
      </c>
      <c r="BY335" s="3">
        <f>BX335</f>
        <v>0</v>
      </c>
      <c r="BZ335" s="3">
        <f>BY335</f>
        <v>0</v>
      </c>
      <c r="CA335" s="3">
        <f>BZ335</f>
        <v>0</v>
      </c>
      <c r="CB335" s="3">
        <f>CA335</f>
        <v>0</v>
      </c>
      <c r="CC335" s="3">
        <f>CB335</f>
        <v>0</v>
      </c>
      <c r="CD335" s="3">
        <f>CC335</f>
        <v>0</v>
      </c>
      <c r="CE335" s="3">
        <f>CD335</f>
        <v>0</v>
      </c>
      <c r="CF335" s="3">
        <f>CE335</f>
        <v>0</v>
      </c>
      <c r="CG335" s="3">
        <f>CF335</f>
        <v>0</v>
      </c>
      <c r="CH335" s="3">
        <f>CG335</f>
        <v>0</v>
      </c>
      <c r="CI335" s="3">
        <f>CH335</f>
        <v>0</v>
      </c>
      <c r="CJ335" s="3">
        <f>CI335</f>
        <v>0</v>
      </c>
      <c r="CK335" s="3">
        <f>CJ335</f>
        <v>0</v>
      </c>
      <c r="CL335" s="3">
        <f>CK335</f>
        <v>0</v>
      </c>
      <c r="CM335" s="3">
        <f>CL335</f>
        <v>0</v>
      </c>
      <c r="CN335" s="3">
        <f>CM335</f>
        <v>0</v>
      </c>
      <c r="CO335" s="3">
        <f>CN335</f>
        <v>0</v>
      </c>
      <c r="CP335" s="3">
        <f>CO335</f>
        <v>0</v>
      </c>
      <c r="CQ335" s="3">
        <f>CP335</f>
        <v>0</v>
      </c>
      <c r="CR335" s="3">
        <f>CQ335</f>
        <v>0</v>
      </c>
      <c r="CS335" s="3">
        <f>CR335</f>
        <v>0</v>
      </c>
      <c r="CT335" s="3">
        <f>CS335</f>
        <v>0</v>
      </c>
      <c r="CU335" s="3">
        <f>CT335</f>
        <v>0</v>
      </c>
      <c r="CV335" s="3">
        <f>CU335</f>
        <v>0</v>
      </c>
      <c r="CW335" s="3">
        <f>CV335</f>
        <v>0</v>
      </c>
      <c r="CX335" s="3">
        <f>CW335</f>
        <v>0</v>
      </c>
      <c r="CY335" s="3">
        <f>CX335</f>
        <v>0</v>
      </c>
    </row>
    <row r="336">
      <c r="C336" s="26" t="inlineStr">
        <is>
          <t>Deferred income taxes</t>
        </is>
      </c>
      <c r="D336" s="25">
        <f>INDEX('Inputs (2)'!$D$38:$AL$38,MATCH(D$7,'Inputs (2)'!$D$2:$AL$2,0))</f>
        <v>1305.556</v>
      </c>
      <c r="E336" s="25">
        <f>INDEX('Inputs (2)'!$D$38:$AL$38,MATCH(E$7,'Inputs (2)'!$D$2:$AL$2,0))</f>
        <v>1387.454</v>
      </c>
      <c r="F336" s="25">
        <f>INDEX('Inputs (2)'!$D$38:$AL$38,MATCH(F$7,'Inputs (2)'!$D$2:$AL$2,0))</f>
        <v>1522.844</v>
      </c>
      <c r="G336" s="25">
        <f>INDEX('Inputs (2)'!$D$38:$AL$38,MATCH(G$7,'Inputs (2)'!$D$2:$AL$2,0))</f>
        <v>1925.824</v>
      </c>
      <c r="H336" s="3">
        <f>G336</f>
        <v>1925.824</v>
      </c>
      <c r="I336" s="25">
        <f>INDEX('Inputs (2)'!$D$38:$AL$38,MATCH(I$7,'Inputs (2)'!$D$2:$AL$2,0))</f>
        <v>2111.989</v>
      </c>
      <c r="J336" s="25">
        <f>INDEX('Inputs (2)'!$D$38:$AL$38,MATCH(J$7,'Inputs (2)'!$D$2:$AL$2,0))</f>
        <v>2309.438</v>
      </c>
      <c r="K336" s="25">
        <f>INDEX('Inputs (2)'!$D$38:$AL$38,MATCH(K$7,'Inputs (2)'!$D$2:$AL$2,0))</f>
        <v>2427.741</v>
      </c>
      <c r="L336" s="25">
        <f>INDEX('Inputs (2)'!$D$38:$AL$38,MATCH(L$7,'Inputs (2)'!$D$2:$AL$2,0))</f>
        <v>2571.98</v>
      </c>
      <c r="M336" s="3">
        <f>L336</f>
        <v>2571.98</v>
      </c>
      <c r="N336" s="25">
        <f>INDEX('Inputs (2)'!$D$38:$AL$38,MATCH(N$7,'Inputs (2)'!$D$2:$AL$2,0))</f>
        <v>2669.434</v>
      </c>
      <c r="O336" s="25">
        <f>INDEX('Inputs (2)'!$D$38:$AL$38,MATCH(O$7,'Inputs (2)'!$D$2:$AL$2,0))</f>
        <v>2780.91</v>
      </c>
      <c r="P336" s="25">
        <f>INDEX('Inputs (2)'!$D$38:$AL$38,MATCH(P$7,'Inputs (2)'!$D$2:$AL$2,0))</f>
        <v>2759.057</v>
      </c>
      <c r="Q336" s="25">
        <f>INDEX('Inputs (2)'!$D$38:$AL$38,MATCH(Q$7,'Inputs (2)'!$D$2:$AL$2,0))</f>
        <v>2700.528</v>
      </c>
      <c r="R336" s="3">
        <f>Q336</f>
        <v>2700.528</v>
      </c>
      <c r="S336" s="25">
        <f>INDEX('Inputs (2)'!$D$38:$AL$38,MATCH(S$7,'Inputs (2)'!$D$2:$AL$2,0))</f>
        <v>2779.092</v>
      </c>
      <c r="T336" s="25">
        <f>INDEX('Inputs (2)'!$D$38:$AL$38,MATCH(T$7,'Inputs (2)'!$D$2:$AL$2,0))</f>
        <v>2808.619</v>
      </c>
      <c r="U336" s="25">
        <f>INDEX('Inputs (2)'!$D$38:$AL$38,MATCH(U$7,'Inputs (2)'!$D$2:$AL$2,0))</f>
        <v>2795.307</v>
      </c>
      <c r="V336" s="25">
        <f>INDEX('Inputs (2)'!$D$38:$AL$38,MATCH(V$7,'Inputs (2)'!$D$2:$AL$2,0))</f>
        <v>2890.782</v>
      </c>
      <c r="W336" s="3">
        <f>V336</f>
        <v>2890.782</v>
      </c>
      <c r="X336" s="25">
        <f>INDEX('Inputs (2)'!$D$38:$AL$38,MATCH(X$7,'Inputs (2)'!$D$2:$AL$2,0))</f>
        <v>2970.165</v>
      </c>
      <c r="Y336" s="25">
        <f>INDEX('Inputs (2)'!$D$38:$AL$38,MATCH(Y$7,'Inputs (2)'!$D$2:$AL$2,0))</f>
        <v>3046.672</v>
      </c>
      <c r="Z336" s="25">
        <f>INDEX('Inputs (2)'!$D$38:$AL$38,MATCH(Z$7,'Inputs (2)'!$D$2:$AL$2,0))</f>
        <v>2835.961</v>
      </c>
      <c r="AA336" s="25">
        <f>INDEX('Inputs (2)'!$D$38:$AL$38,MATCH(AA$7,'Inputs (2)'!$D$2:$AL$2,0))</f>
        <v>2881.281</v>
      </c>
      <c r="AB336" s="3">
        <f>AA336</f>
        <v>2881.281</v>
      </c>
      <c r="AC336" s="25">
        <f>INDEX('Inputs (2)'!$D$38:$AL$38,MATCH(AC$7,'Inputs (2)'!$D$2:$AL$2,0))</f>
        <v>3038.628</v>
      </c>
      <c r="AD336" s="25">
        <f>INDEX('Inputs (2)'!$D$38:$AL$38,MATCH(AD$7,'Inputs (2)'!$D$2:$AL$2,0))</f>
        <v>3081.852</v>
      </c>
      <c r="AE336" s="25">
        <f>INDEX('Inputs (2)'!$D$38:$AL$38,MATCH(AE$7,'Inputs (2)'!$D$2:$AL$2,0))</f>
        <v>3236.041</v>
      </c>
      <c r="AF336" s="25">
        <f>INDEX('Inputs (2)'!$D$38:$AL$38,MATCH(AF$7,'Inputs (2)'!$D$2:$AL$2,0))</f>
        <v>3333.016</v>
      </c>
      <c r="AG336" s="3">
        <f>AF336</f>
        <v>3333.016</v>
      </c>
      <c r="AH336" s="3">
        <f>INDEX('Inputs (2)'!$D$38:$AL$38,MATCH(AH$7,'Inputs (2)'!$D$2:$AL$2,0))</f>
        <v>3376.715</v>
      </c>
      <c r="AI336" s="3">
        <f>INDEX('Inputs (2)'!$D$38:$AL$38,MATCH(AI$7,'Inputs (2)'!$D$2:$AL$2,0))</f>
        <v>3390.71</v>
      </c>
      <c r="AJ336" s="3">
        <f>AI336</f>
        <v>3390.71</v>
      </c>
      <c r="AK336" s="3">
        <f>AJ336</f>
        <v>3390.71</v>
      </c>
      <c r="AL336" s="3">
        <f>AK336</f>
        <v>3390.71</v>
      </c>
      <c r="AM336" s="3">
        <f>AL336</f>
        <v>3390.71</v>
      </c>
      <c r="AN336" s="3">
        <f>AM336</f>
        <v>3390.71</v>
      </c>
      <c r="AO336" s="3">
        <f>AN336</f>
        <v>3390.71</v>
      </c>
      <c r="AP336" s="3">
        <f>AO336</f>
        <v>3390.71</v>
      </c>
      <c r="AQ336" s="3">
        <f>AP336</f>
        <v>3390.71</v>
      </c>
      <c r="AR336" s="3">
        <f>AQ336</f>
        <v>3390.71</v>
      </c>
      <c r="AS336" s="3">
        <f>AR336</f>
        <v>3390.71</v>
      </c>
      <c r="AT336" s="3">
        <f>AS336</f>
        <v>3390.71</v>
      </c>
      <c r="AU336" s="3">
        <f>AT336</f>
        <v>3390.71</v>
      </c>
      <c r="AV336" s="3">
        <f>AU336</f>
        <v>3390.71</v>
      </c>
      <c r="AW336" s="3">
        <f>AV336</f>
        <v>3390.71</v>
      </c>
      <c r="AX336" s="3">
        <f>AW336</f>
        <v>3390.71</v>
      </c>
      <c r="AY336" s="3">
        <f>AX336</f>
        <v>3390.71</v>
      </c>
      <c r="AZ336" s="3">
        <f>AY336</f>
        <v>3390.71</v>
      </c>
      <c r="BA336" s="3">
        <f>AZ336</f>
        <v>3390.71</v>
      </c>
      <c r="BB336" s="3">
        <f>BA336</f>
        <v>3390.71</v>
      </c>
      <c r="BC336" s="3">
        <f>BB336</f>
        <v>3390.71</v>
      </c>
      <c r="BD336" s="3">
        <f>BC336</f>
        <v>3390.71</v>
      </c>
      <c r="BE336" s="3">
        <f>BD336</f>
        <v>3390.71</v>
      </c>
      <c r="BF336" s="3">
        <f>BE336</f>
        <v>3390.71</v>
      </c>
      <c r="BG336" s="3">
        <f>BF336</f>
        <v>3390.71</v>
      </c>
      <c r="BH336" s="3">
        <f>BG336</f>
        <v>3390.71</v>
      </c>
      <c r="BI336" s="3">
        <f>BH336</f>
        <v>3390.71</v>
      </c>
      <c r="BJ336" s="3">
        <f>BI336</f>
        <v>3390.71</v>
      </c>
      <c r="BK336" s="3">
        <f>BJ336</f>
        <v>3390.71</v>
      </c>
      <c r="BL336" s="3">
        <f>BK336</f>
        <v>3390.71</v>
      </c>
      <c r="BM336" s="3">
        <f>BL336</f>
        <v>3390.71</v>
      </c>
      <c r="BN336" s="3">
        <f>BM336</f>
        <v>3390.71</v>
      </c>
      <c r="BO336" s="3">
        <f>BN336</f>
        <v>3390.71</v>
      </c>
      <c r="BP336" s="3">
        <f>BO336</f>
        <v>3390.71</v>
      </c>
      <c r="BQ336" s="3">
        <f>BP336</f>
        <v>3390.71</v>
      </c>
      <c r="BR336" s="3">
        <f>BQ336</f>
        <v>3390.71</v>
      </c>
      <c r="BS336" s="3">
        <f>BR336</f>
        <v>3390.71</v>
      </c>
      <c r="BT336" s="3">
        <f>BS336</f>
        <v>3390.71</v>
      </c>
      <c r="BU336" s="3">
        <f>BT336</f>
        <v>3390.71</v>
      </c>
      <c r="BV336" s="3">
        <f>BU336</f>
        <v>3390.71</v>
      </c>
      <c r="BW336" s="3">
        <f>BV336</f>
        <v>3390.71</v>
      </c>
      <c r="BX336" s="3">
        <f>BW336</f>
        <v>3390.71</v>
      </c>
      <c r="BY336" s="3">
        <f>BX336</f>
        <v>3390.71</v>
      </c>
      <c r="BZ336" s="3">
        <f>BY336</f>
        <v>3390.71</v>
      </c>
      <c r="CA336" s="3">
        <f>BZ336</f>
        <v>3390.71</v>
      </c>
      <c r="CB336" s="3">
        <f>CA336</f>
        <v>3390.71</v>
      </c>
      <c r="CC336" s="3">
        <f>CB336</f>
        <v>3390.71</v>
      </c>
      <c r="CD336" s="3">
        <f>CC336</f>
        <v>3390.71</v>
      </c>
      <c r="CE336" s="3">
        <f>CD336</f>
        <v>3390.71</v>
      </c>
      <c r="CF336" s="3">
        <f>CE336</f>
        <v>3390.71</v>
      </c>
      <c r="CG336" s="3">
        <f>CF336</f>
        <v>3390.71</v>
      </c>
      <c r="CH336" s="3">
        <f>CG336</f>
        <v>3390.71</v>
      </c>
      <c r="CI336" s="3">
        <f>CH336</f>
        <v>3390.71</v>
      </c>
      <c r="CJ336" s="3">
        <f>CI336</f>
        <v>3390.71</v>
      </c>
      <c r="CK336" s="3">
        <f>CJ336</f>
        <v>3390.71</v>
      </c>
      <c r="CL336" s="3">
        <f>CK336</f>
        <v>3390.71</v>
      </c>
      <c r="CM336" s="3">
        <f>CL336</f>
        <v>3390.71</v>
      </c>
      <c r="CN336" s="3">
        <f>CM336</f>
        <v>3390.71</v>
      </c>
      <c r="CO336" s="3">
        <f>CN336</f>
        <v>3390.71</v>
      </c>
      <c r="CP336" s="3">
        <f>CO336</f>
        <v>3390.71</v>
      </c>
      <c r="CQ336" s="3">
        <f>CP336</f>
        <v>3390.71</v>
      </c>
      <c r="CR336" s="3">
        <f>CQ336</f>
        <v>3390.71</v>
      </c>
      <c r="CS336" s="3">
        <f>CR336</f>
        <v>3390.71</v>
      </c>
      <c r="CT336" s="3">
        <f>CS336</f>
        <v>3390.71</v>
      </c>
      <c r="CU336" s="3">
        <f>CT336</f>
        <v>3390.71</v>
      </c>
      <c r="CV336" s="3">
        <f>CU336</f>
        <v>3390.71</v>
      </c>
      <c r="CW336" s="3">
        <f>CV336</f>
        <v>3390.71</v>
      </c>
      <c r="CX336" s="3">
        <f>CW336</f>
        <v>3390.71</v>
      </c>
      <c r="CY336" s="3">
        <f>CX336</f>
        <v>3390.71</v>
      </c>
    </row>
    <row r="337">
      <c r="C337" s="26" t="inlineStr">
        <is>
          <t>Other non-current liabilities</t>
        </is>
      </c>
      <c r="D337" s="25">
        <f>INDEX('Inputs (2)'!$D$39:$AL$39,MATCH(D$7,'Inputs (2)'!$D$2:$AL$2,0))</f>
        <v>932.22</v>
      </c>
      <c r="E337" s="25">
        <f>INDEX('Inputs (2)'!$D$39:$AL$39,MATCH(E$7,'Inputs (2)'!$D$2:$AL$2,0))</f>
        <v>984.053</v>
      </c>
      <c r="F337" s="25">
        <f>INDEX('Inputs (2)'!$D$39:$AL$39,MATCH(F$7,'Inputs (2)'!$D$2:$AL$2,0))</f>
        <v>1082.088</v>
      </c>
      <c r="G337" s="25">
        <f>INDEX('Inputs (2)'!$D$39:$AL$39,MATCH(G$7,'Inputs (2)'!$D$2:$AL$2,0))</f>
        <v>1235.714</v>
      </c>
      <c r="H337" s="3">
        <f>G337</f>
        <v>1235.714</v>
      </c>
      <c r="I337" s="25">
        <f>INDEX('Inputs (2)'!$D$39:$AL$39,MATCH(I$7,'Inputs (2)'!$D$2:$AL$2,0))</f>
        <v>1317.15</v>
      </c>
      <c r="J337" s="25">
        <f>INDEX('Inputs (2)'!$D$39:$AL$39,MATCH(J$7,'Inputs (2)'!$D$2:$AL$2,0))</f>
        <v>1385.865</v>
      </c>
      <c r="K337" s="25">
        <f>INDEX('Inputs (2)'!$D$39:$AL$39,MATCH(K$7,'Inputs (2)'!$D$2:$AL$2,0))</f>
        <v>1428.473</v>
      </c>
      <c r="L337" s="25">
        <f>INDEX('Inputs (2)'!$D$39:$AL$39,MATCH(L$7,'Inputs (2)'!$D$2:$AL$2,0))</f>
        <v>1563.404</v>
      </c>
      <c r="M337" s="3">
        <f>L337</f>
        <v>1563.404</v>
      </c>
      <c r="N337" s="25">
        <f>INDEX('Inputs (2)'!$D$39:$AL$39,MATCH(N$7,'Inputs (2)'!$D$2:$AL$2,0))</f>
        <v>1604.766</v>
      </c>
      <c r="O337" s="25">
        <f>INDEX('Inputs (2)'!$D$39:$AL$39,MATCH(O$7,'Inputs (2)'!$D$2:$AL$2,0))</f>
        <v>1735.251</v>
      </c>
      <c r="P337" s="25">
        <f>INDEX('Inputs (2)'!$D$39:$AL$39,MATCH(P$7,'Inputs (2)'!$D$2:$AL$2,0))</f>
        <v>1766.013</v>
      </c>
      <c r="Q337" s="25">
        <f>INDEX('Inputs (2)'!$D$39:$AL$39,MATCH(Q$7,'Inputs (2)'!$D$2:$AL$2,0))</f>
        <v>1782.077</v>
      </c>
      <c r="R337" s="3">
        <f>Q337</f>
        <v>1782.077</v>
      </c>
      <c r="S337" s="25">
        <f>INDEX('Inputs (2)'!$D$39:$AL$39,MATCH(S$7,'Inputs (2)'!$D$2:$AL$2,0))</f>
        <v>1985.849</v>
      </c>
      <c r="T337" s="25">
        <f>INDEX('Inputs (2)'!$D$39:$AL$39,MATCH(T$7,'Inputs (2)'!$D$2:$AL$2,0))</f>
        <v>1907.132</v>
      </c>
      <c r="U337" s="25">
        <f>INDEX('Inputs (2)'!$D$39:$AL$39,MATCH(U$7,'Inputs (2)'!$D$2:$AL$2,0))</f>
        <v>1978.46</v>
      </c>
      <c r="V337" s="25">
        <f>INDEX('Inputs (2)'!$D$39:$AL$39,MATCH(V$7,'Inputs (2)'!$D$2:$AL$2,0))</f>
        <v>1990.907</v>
      </c>
      <c r="W337" s="3">
        <f>V337</f>
        <v>1990.907</v>
      </c>
      <c r="X337" s="25">
        <f>INDEX('Inputs (2)'!$D$39:$AL$39,MATCH(X$7,'Inputs (2)'!$D$2:$AL$2,0))</f>
        <v>2049.413</v>
      </c>
      <c r="Y337" s="25">
        <f>INDEX('Inputs (2)'!$D$39:$AL$39,MATCH(Y$7,'Inputs (2)'!$D$2:$AL$2,0))</f>
        <v>2132.389</v>
      </c>
      <c r="Z337" s="25">
        <f>INDEX('Inputs (2)'!$D$39:$AL$39,MATCH(Z$7,'Inputs (2)'!$D$2:$AL$2,0))</f>
        <v>2166.941</v>
      </c>
      <c r="AA337" s="25">
        <f>INDEX('Inputs (2)'!$D$39:$AL$39,MATCH(AA$7,'Inputs (2)'!$D$2:$AL$2,0))</f>
        <v>2279.101</v>
      </c>
      <c r="AB337" s="3">
        <f>AA337</f>
        <v>2279.101</v>
      </c>
      <c r="AC337" s="25">
        <f>INDEX('Inputs (2)'!$D$39:$AL$39,MATCH(AC$7,'Inputs (2)'!$D$2:$AL$2,0))</f>
        <v>2309.319</v>
      </c>
      <c r="AD337" s="25">
        <f>INDEX('Inputs (2)'!$D$39:$AL$39,MATCH(AD$7,'Inputs (2)'!$D$2:$AL$2,0))</f>
        <v>2347.373</v>
      </c>
      <c r="AE337" s="25">
        <f>INDEX('Inputs (2)'!$D$39:$AL$39,MATCH(AE$7,'Inputs (2)'!$D$2:$AL$2,0))</f>
        <v>2443.419</v>
      </c>
      <c r="AF337" s="25">
        <f>INDEX('Inputs (2)'!$D$39:$AL$39,MATCH(AF$7,'Inputs (2)'!$D$2:$AL$2,0))</f>
        <v>2499.63</v>
      </c>
      <c r="AG337" s="3">
        <f>AF337</f>
        <v>2499.63</v>
      </c>
      <c r="AH337" s="3">
        <f>INDEX('Inputs (2)'!$D$39:$AL$39,MATCH(AH$7,'Inputs (2)'!$D$2:$AL$2,0))</f>
        <v>2544.728</v>
      </c>
      <c r="AI337" s="3">
        <f>INDEX('Inputs (2)'!$D$39:$AL$39,MATCH(AI$7,'Inputs (2)'!$D$2:$AL$2,0))</f>
        <v>2626.736</v>
      </c>
      <c r="AJ337" s="3">
        <f>AI337</f>
        <v>2626.736</v>
      </c>
      <c r="AK337" s="3">
        <f>AJ337</f>
        <v>2626.736</v>
      </c>
      <c r="AL337" s="3">
        <f>AK337</f>
        <v>2626.736</v>
      </c>
      <c r="AM337" s="3">
        <f>AL337</f>
        <v>2626.736</v>
      </c>
      <c r="AN337" s="3">
        <f>AM337</f>
        <v>2626.736</v>
      </c>
      <c r="AO337" s="3">
        <f>AN337</f>
        <v>2626.736</v>
      </c>
      <c r="AP337" s="3">
        <f>AO337</f>
        <v>2626.736</v>
      </c>
      <c r="AQ337" s="3">
        <f>AP337</f>
        <v>2626.736</v>
      </c>
      <c r="AR337" s="3">
        <f>AQ337</f>
        <v>2626.736</v>
      </c>
      <c r="AS337" s="3">
        <f>AR337</f>
        <v>2626.736</v>
      </c>
      <c r="AT337" s="3">
        <f>AS337</f>
        <v>2626.736</v>
      </c>
      <c r="AU337" s="3">
        <f>AT337</f>
        <v>2626.736</v>
      </c>
      <c r="AV337" s="3">
        <f>AU337</f>
        <v>2626.736</v>
      </c>
      <c r="AW337" s="3">
        <f>AV337</f>
        <v>2626.736</v>
      </c>
      <c r="AX337" s="3">
        <f>AW337</f>
        <v>2626.736</v>
      </c>
      <c r="AY337" s="3">
        <f>AX337</f>
        <v>2626.736</v>
      </c>
      <c r="AZ337" s="3">
        <f>AY337</f>
        <v>2626.736</v>
      </c>
      <c r="BA337" s="3">
        <f>AZ337</f>
        <v>2626.736</v>
      </c>
      <c r="BB337" s="3">
        <f>BA337</f>
        <v>2626.736</v>
      </c>
      <c r="BC337" s="3">
        <f>BB337</f>
        <v>2626.736</v>
      </c>
      <c r="BD337" s="3">
        <f>BC337</f>
        <v>2626.736</v>
      </c>
      <c r="BE337" s="3">
        <f>BD337</f>
        <v>2626.736</v>
      </c>
      <c r="BF337" s="3">
        <f>BE337</f>
        <v>2626.736</v>
      </c>
      <c r="BG337" s="3">
        <f>BF337</f>
        <v>2626.736</v>
      </c>
      <c r="BH337" s="3">
        <f>BG337</f>
        <v>2626.736</v>
      </c>
      <c r="BI337" s="3">
        <f>BH337</f>
        <v>2626.736</v>
      </c>
      <c r="BJ337" s="3">
        <f>BI337</f>
        <v>2626.736</v>
      </c>
      <c r="BK337" s="3">
        <f>BJ337</f>
        <v>2626.736</v>
      </c>
      <c r="BL337" s="3">
        <f>BK337</f>
        <v>2626.736</v>
      </c>
      <c r="BM337" s="3">
        <f>BL337</f>
        <v>2626.736</v>
      </c>
      <c r="BN337" s="3">
        <f>BM337</f>
        <v>2626.736</v>
      </c>
      <c r="BO337" s="3">
        <f>BN337</f>
        <v>2626.736</v>
      </c>
      <c r="BP337" s="3">
        <f>BO337</f>
        <v>2626.736</v>
      </c>
      <c r="BQ337" s="3">
        <f>BP337</f>
        <v>2626.736</v>
      </c>
      <c r="BR337" s="3">
        <f>BQ337</f>
        <v>2626.736</v>
      </c>
      <c r="BS337" s="3">
        <f>BR337</f>
        <v>2626.736</v>
      </c>
      <c r="BT337" s="3">
        <f>BS337</f>
        <v>2626.736</v>
      </c>
      <c r="BU337" s="3">
        <f>BT337</f>
        <v>2626.736</v>
      </c>
      <c r="BV337" s="3">
        <f>BU337</f>
        <v>2626.736</v>
      </c>
      <c r="BW337" s="3">
        <f>BV337</f>
        <v>2626.736</v>
      </c>
      <c r="BX337" s="3">
        <f>BW337</f>
        <v>2626.736</v>
      </c>
      <c r="BY337" s="3">
        <f>BX337</f>
        <v>2626.736</v>
      </c>
      <c r="BZ337" s="3">
        <f>BY337</f>
        <v>2626.736</v>
      </c>
      <c r="CA337" s="3">
        <f>BZ337</f>
        <v>2626.736</v>
      </c>
      <c r="CB337" s="3">
        <f>CA337</f>
        <v>2626.736</v>
      </c>
      <c r="CC337" s="3">
        <f>CB337</f>
        <v>2626.736</v>
      </c>
      <c r="CD337" s="3">
        <f>CC337</f>
        <v>2626.736</v>
      </c>
      <c r="CE337" s="3">
        <f>CD337</f>
        <v>2626.736</v>
      </c>
      <c r="CF337" s="3">
        <f>CE337</f>
        <v>2626.736</v>
      </c>
      <c r="CG337" s="3">
        <f>CF337</f>
        <v>2626.736</v>
      </c>
      <c r="CH337" s="3">
        <f>CG337</f>
        <v>2626.736</v>
      </c>
      <c r="CI337" s="3">
        <f>CH337</f>
        <v>2626.736</v>
      </c>
      <c r="CJ337" s="3">
        <f>CI337</f>
        <v>2626.736</v>
      </c>
      <c r="CK337" s="3">
        <f>CJ337</f>
        <v>2626.736</v>
      </c>
      <c r="CL337" s="3">
        <f>CK337</f>
        <v>2626.736</v>
      </c>
      <c r="CM337" s="3">
        <f>CL337</f>
        <v>2626.736</v>
      </c>
      <c r="CN337" s="3">
        <f>CM337</f>
        <v>2626.736</v>
      </c>
      <c r="CO337" s="3">
        <f>CN337</f>
        <v>2626.736</v>
      </c>
      <c r="CP337" s="3">
        <f>CO337</f>
        <v>2626.736</v>
      </c>
      <c r="CQ337" s="3">
        <f>CP337</f>
        <v>2626.736</v>
      </c>
      <c r="CR337" s="3">
        <f>CQ337</f>
        <v>2626.736</v>
      </c>
      <c r="CS337" s="3">
        <f>CR337</f>
        <v>2626.736</v>
      </c>
      <c r="CT337" s="3">
        <f>CS337</f>
        <v>2626.736</v>
      </c>
      <c r="CU337" s="3">
        <f>CT337</f>
        <v>2626.736</v>
      </c>
      <c r="CV337" s="3">
        <f>CU337</f>
        <v>2626.736</v>
      </c>
      <c r="CW337" s="3">
        <f>CV337</f>
        <v>2626.736</v>
      </c>
      <c r="CX337" s="3">
        <f>CW337</f>
        <v>2626.736</v>
      </c>
      <c r="CY337" s="3">
        <f>CX337</f>
        <v>2626.736</v>
      </c>
    </row>
    <row r="338" hidden="1" outlineLevel="1" ht="12" customHeight="1">
      <c r="C338" s="38" t="inlineStr">
        <is>
          <t>%(Var.)</t>
        </is>
      </c>
      <c r="D338" s="3" t="n"/>
      <c r="E338" s="47">
        <f>(E337-D337)/D337</f>
        <v>0.0556016820063932</v>
      </c>
      <c r="F338" s="47">
        <f>(F337-E337)/E337</f>
        <v>0.0996236991300265</v>
      </c>
      <c r="G338" s="47">
        <f>(G337-F337)/F337</f>
        <v>0.141971817449228</v>
      </c>
      <c r="H338" s="3" t="n"/>
      <c r="I338" s="47">
        <f>(I337-H337)/H337</f>
        <v>0.0659019805553712</v>
      </c>
      <c r="J338" s="47">
        <f>(J337-I337)/I337</f>
        <v>0.0521694567816879</v>
      </c>
      <c r="K338" s="47">
        <f>(K337-J337)/J337</f>
        <v>0.0307446973550814</v>
      </c>
      <c r="L338" s="47">
        <f>(L337-K337)/K337</f>
        <v>0.0944582081705431</v>
      </c>
      <c r="M338" s="3" t="n"/>
      <c r="N338" s="47">
        <f>(N337-M337)/M337</f>
        <v>0.0264563734006053</v>
      </c>
      <c r="O338" s="47">
        <f>(O337-N337)/N337</f>
        <v>0.0813109200967617</v>
      </c>
      <c r="P338" s="47">
        <f>(P337-O337)/O337</f>
        <v>0.0177276947254318</v>
      </c>
      <c r="Q338" s="47">
        <f>(Q337-P337)/P337</f>
        <v>0.00909619578111817</v>
      </c>
      <c r="R338" s="3" t="n"/>
      <c r="S338" s="47">
        <f>(S337-R337)/R337</f>
        <v>0.114345227507004</v>
      </c>
      <c r="T338" s="47">
        <f>(T337-S337)/S337</f>
        <v>-0.039638965500398</v>
      </c>
      <c r="U338" s="47">
        <f>(U337-T337)/T337</f>
        <v>0.0374006623558306</v>
      </c>
      <c r="V338" s="47">
        <f>(V337-U337)/U337</f>
        <v>0.00629125683612501</v>
      </c>
      <c r="W338" s="3" t="n"/>
      <c r="X338" s="47">
        <f>(X337-W337)/W337</f>
        <v>0.0293866062051116</v>
      </c>
      <c r="Y338" s="47">
        <f>(Y337-X337)/X337</f>
        <v>0.0404876908656284</v>
      </c>
      <c r="Z338" s="47">
        <f>(Z337-Y337)/Y337</f>
        <v>0.0162034225462613</v>
      </c>
      <c r="AA338" s="47">
        <f>(AA337-Z337)/Z337</f>
        <v>0.0517596002844564</v>
      </c>
      <c r="AB338" s="3" t="n"/>
      <c r="AC338" s="47">
        <f>(AC337-AB337)/AB337</f>
        <v>0.0132587366685372</v>
      </c>
      <c r="AD338" s="47">
        <f>(AD337-AC337)/AC337</f>
        <v>0.0164784510065522</v>
      </c>
      <c r="AE338" s="47">
        <f>(AE337-AD337)/AD337</f>
        <v>0.0409163775846447</v>
      </c>
      <c r="AF338" s="230">
        <f>(AF337-AE337)/AE337</f>
        <v>0.0230050597134588</v>
      </c>
      <c r="AG338" s="3" t="n"/>
      <c r="AH338" s="230">
        <f>(AH337-AG337)/AG337</f>
        <v>0.0180418701967891</v>
      </c>
      <c r="AI338" s="230">
        <f>(AI337-AH337)/AH337</f>
        <v>0.0322266269715269</v>
      </c>
      <c r="AJ338" s="230" t="n"/>
      <c r="AK338" s="230" t="n"/>
      <c r="AL338" s="3" t="n"/>
      <c r="AM338" s="230" t="n"/>
      <c r="AN338" s="230" t="n"/>
      <c r="AO338" s="230" t="n"/>
      <c r="AP338" s="230" t="n"/>
      <c r="AQ338" s="3" t="n"/>
      <c r="AR338" s="230" t="n"/>
      <c r="AS338" s="230" t="n"/>
      <c r="AT338" s="230" t="n"/>
      <c r="AU338" s="230" t="n"/>
      <c r="AV338" s="3" t="n"/>
      <c r="AW338" s="230" t="n"/>
      <c r="AX338" s="230" t="n"/>
      <c r="AY338" s="230" t="n"/>
      <c r="AZ338" s="230" t="n"/>
      <c r="BA338" s="3" t="n"/>
      <c r="BB338" s="230" t="n"/>
      <c r="BC338" s="230" t="n"/>
      <c r="BD338" s="230" t="n"/>
      <c r="BE338" s="230" t="n"/>
      <c r="BF338" s="3" t="n"/>
      <c r="BG338" s="230" t="n"/>
      <c r="BH338" s="230" t="n"/>
      <c r="BI338" s="230" t="n"/>
      <c r="BJ338" s="230" t="n"/>
      <c r="BK338" s="3" t="n"/>
      <c r="BL338" s="230" t="n"/>
      <c r="BM338" s="230" t="n"/>
      <c r="BN338" s="230" t="n"/>
      <c r="BO338" s="230" t="n"/>
      <c r="BP338" s="3" t="n"/>
      <c r="BQ338" s="230" t="n"/>
      <c r="BR338" s="230" t="n"/>
      <c r="BS338" s="230" t="n"/>
      <c r="BT338" s="230" t="n"/>
      <c r="BU338" s="3" t="n"/>
      <c r="BV338" s="230" t="n"/>
      <c r="BW338" s="230" t="n"/>
      <c r="BX338" s="230" t="n"/>
      <c r="BY338" s="230" t="n"/>
      <c r="BZ338" s="3" t="n"/>
      <c r="CA338" s="230" t="n"/>
      <c r="CB338" s="230" t="n"/>
      <c r="CC338" s="230" t="n"/>
      <c r="CD338" s="230" t="n"/>
      <c r="CE338" s="3" t="n"/>
      <c r="CF338" s="230" t="n"/>
      <c r="CG338" s="230" t="n"/>
      <c r="CH338" s="230" t="n"/>
      <c r="CI338" s="230" t="n"/>
      <c r="CJ338" s="3" t="n"/>
      <c r="CK338" s="230" t="n"/>
      <c r="CL338" s="230" t="n"/>
      <c r="CM338" s="230" t="n"/>
      <c r="CN338" s="230" t="n"/>
      <c r="CO338" s="3" t="n"/>
      <c r="CP338" s="230" t="n"/>
      <c r="CQ338" s="230" t="n"/>
      <c r="CR338" s="230" t="n"/>
      <c r="CS338" s="230" t="n"/>
      <c r="CT338" s="3" t="n"/>
      <c r="CU338" s="230" t="n"/>
      <c r="CV338" s="230" t="n"/>
      <c r="CW338" s="230" t="n"/>
      <c r="CX338" s="230" t="n"/>
      <c r="CY338" s="3" t="n"/>
    </row>
    <row r="339" hidden="1" outlineLevel="1" ht="12" customHeight="1">
      <c r="C339" s="38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  <c r="CD339" s="3" t="n"/>
      <c r="CE339" s="3" t="n"/>
      <c r="CF339" s="3" t="n"/>
      <c r="CG339" s="3" t="n"/>
      <c r="CH339" s="3" t="n"/>
      <c r="CI339" s="3" t="n"/>
      <c r="CJ339" s="3" t="n"/>
      <c r="CK339" s="3" t="n"/>
      <c r="CL339" s="3" t="n"/>
      <c r="CM339" s="3" t="n"/>
      <c r="CN339" s="3" t="n"/>
      <c r="CO339" s="3" t="n"/>
      <c r="CP339" s="3" t="n"/>
      <c r="CQ339" s="3" t="n"/>
      <c r="CR339" s="3" t="n"/>
      <c r="CS339" s="3" t="n"/>
      <c r="CT339" s="3" t="n"/>
      <c r="CU339" s="3" t="n"/>
      <c r="CV339" s="3" t="n"/>
      <c r="CW339" s="3" t="n"/>
      <c r="CX339" s="3" t="n"/>
      <c r="CY339" s="3" t="n"/>
    </row>
    <row r="340" hidden="1" outlineLevel="1">
      <c r="C340" s="34" t="inlineStr">
        <is>
          <t>Contas a pagar pela aquisição de controladas</t>
        </is>
      </c>
      <c r="D340" s="6" t="n"/>
      <c r="E340" s="6" t="n"/>
      <c r="F340" s="6" t="n"/>
      <c r="G340" s="6" t="n"/>
      <c r="H340" s="3" t="n"/>
      <c r="I340" s="6" t="n"/>
      <c r="J340" s="6" t="n"/>
      <c r="K340" s="6" t="n"/>
      <c r="L340" s="6" t="n"/>
      <c r="M340" s="3" t="n"/>
      <c r="N340" s="6" t="n"/>
      <c r="O340" s="6" t="n"/>
      <c r="P340" s="6" t="n"/>
      <c r="Q340" s="6" t="n"/>
      <c r="R340" s="3" t="n"/>
      <c r="S340" s="6" t="n"/>
      <c r="T340" s="6" t="n"/>
      <c r="U340" s="6" t="n"/>
      <c r="V340" s="6" t="n"/>
      <c r="W340" s="3" t="n"/>
      <c r="X340" s="6" t="n"/>
      <c r="Y340" s="6" t="n"/>
      <c r="Z340" s="6" t="n"/>
      <c r="AA340" s="6" t="n"/>
      <c r="AB340" s="3" t="n"/>
      <c r="AC340" s="6" t="n"/>
      <c r="AD340" s="6" t="n"/>
      <c r="AE340" s="6" t="n"/>
      <c r="AF340" s="6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  <c r="CG340" s="3" t="n"/>
      <c r="CH340" s="3" t="n"/>
      <c r="CI340" s="3" t="n"/>
      <c r="CJ340" s="3" t="n"/>
      <c r="CK340" s="3" t="n"/>
      <c r="CL340" s="3" t="n"/>
      <c r="CM340" s="3" t="n"/>
      <c r="CN340" s="3" t="n"/>
      <c r="CO340" s="3" t="n"/>
      <c r="CP340" s="3" t="n"/>
      <c r="CQ340" s="3" t="n"/>
      <c r="CR340" s="3" t="n"/>
      <c r="CS340" s="3" t="n"/>
      <c r="CT340" s="3" t="n"/>
      <c r="CU340" s="3" t="n"/>
      <c r="CV340" s="3" t="n"/>
      <c r="CW340" s="3" t="n"/>
      <c r="CX340" s="3" t="n"/>
      <c r="CY340" s="3" t="n"/>
    </row>
    <row r="341" hidden="1" outlineLevel="1">
      <c r="C341" s="34" t="inlineStr">
        <is>
          <t xml:space="preserve">Outras Obrigações </t>
        </is>
      </c>
      <c r="D341" s="6" t="n"/>
      <c r="E341" s="6" t="n"/>
      <c r="F341" s="6" t="n"/>
      <c r="G341" s="6" t="n"/>
      <c r="H341" s="3" t="n"/>
      <c r="I341" s="6" t="n"/>
      <c r="J341" s="6" t="n"/>
      <c r="K341" s="6" t="n"/>
      <c r="L341" s="6" t="n"/>
      <c r="M341" s="3" t="n"/>
      <c r="N341" s="6" t="n"/>
      <c r="O341" s="6" t="n"/>
      <c r="P341" s="6" t="n"/>
      <c r="Q341" s="6" t="n"/>
      <c r="R341" s="3" t="n"/>
      <c r="S341" s="6" t="n"/>
      <c r="T341" s="6" t="n"/>
      <c r="U341" s="6" t="n"/>
      <c r="V341" s="6" t="n"/>
      <c r="W341" s="3" t="n"/>
      <c r="X341" s="6" t="n"/>
      <c r="Y341" s="6" t="n"/>
      <c r="Z341" s="6" t="n"/>
      <c r="AA341" s="6" t="n"/>
      <c r="AB341" s="3" t="n"/>
      <c r="AC341" s="6" t="n"/>
      <c r="AD341" s="6" t="n"/>
      <c r="AE341" s="6" t="n"/>
      <c r="AF341" s="6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  <c r="CG341" s="3" t="n"/>
      <c r="CH341" s="3" t="n"/>
      <c r="CI341" s="3" t="n"/>
      <c r="CJ341" s="3" t="n"/>
      <c r="CK341" s="3" t="n"/>
      <c r="CL341" s="3" t="n"/>
      <c r="CM341" s="3" t="n"/>
      <c r="CN341" s="3" t="n"/>
      <c r="CO341" s="3" t="n"/>
      <c r="CP341" s="3" t="n"/>
      <c r="CQ341" s="3" t="n"/>
      <c r="CR341" s="3" t="n"/>
      <c r="CS341" s="3" t="n"/>
      <c r="CT341" s="3" t="n"/>
      <c r="CU341" s="3" t="n"/>
      <c r="CV341" s="3" t="n"/>
      <c r="CW341" s="3" t="n"/>
      <c r="CX341" s="3" t="n"/>
      <c r="CY341" s="3" t="n"/>
    </row>
    <row r="342" hidden="1" outlineLevel="1">
      <c r="C342" s="34" t="inlineStr">
        <is>
          <t xml:space="preserve">Provisão de Risco Cíveis, Trabalhistas e Tributários </t>
        </is>
      </c>
      <c r="D342" s="6" t="n"/>
      <c r="E342" s="6" t="n"/>
      <c r="F342" s="6" t="n"/>
      <c r="G342" s="6" t="n"/>
      <c r="H342" s="3" t="n"/>
      <c r="I342" s="6" t="n"/>
      <c r="J342" s="6" t="n"/>
      <c r="K342" s="6" t="n"/>
      <c r="L342" s="6" t="n"/>
      <c r="M342" s="3" t="n"/>
      <c r="N342" s="6" t="n"/>
      <c r="O342" s="6" t="n"/>
      <c r="P342" s="6" t="n"/>
      <c r="Q342" s="6" t="n"/>
      <c r="R342" s="3" t="n"/>
      <c r="S342" s="6" t="n"/>
      <c r="T342" s="6" t="n"/>
      <c r="U342" s="6" t="n"/>
      <c r="V342" s="6" t="n"/>
      <c r="W342" s="3" t="n"/>
      <c r="X342" s="6" t="n"/>
      <c r="Y342" s="6" t="n"/>
      <c r="Z342" s="6" t="n"/>
      <c r="AA342" s="6" t="n"/>
      <c r="AB342" s="3" t="n"/>
      <c r="AC342" s="6" t="n"/>
      <c r="AD342" s="6" t="n"/>
      <c r="AE342" s="6" t="n"/>
      <c r="AF342" s="6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  <c r="CG342" s="3" t="n"/>
      <c r="CH342" s="3" t="n"/>
      <c r="CI342" s="3" t="n"/>
      <c r="CJ342" s="3" t="n"/>
      <c r="CK342" s="3" t="n"/>
      <c r="CL342" s="3" t="n"/>
      <c r="CM342" s="3" t="n"/>
      <c r="CN342" s="3" t="n"/>
      <c r="CO342" s="3" t="n"/>
      <c r="CP342" s="3" t="n"/>
      <c r="CQ342" s="3" t="n"/>
      <c r="CR342" s="3" t="n"/>
      <c r="CS342" s="3" t="n"/>
      <c r="CT342" s="3" t="n"/>
      <c r="CU342" s="3" t="n"/>
      <c r="CV342" s="3" t="n"/>
      <c r="CW342" s="3" t="n"/>
      <c r="CX342" s="3" t="n"/>
      <c r="CY342" s="3" t="n"/>
    </row>
    <row r="343" hidden="1" outlineLevel="1">
      <c r="C343" s="34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  <c r="CG343" s="3" t="n"/>
      <c r="CH343" s="3" t="n"/>
      <c r="CI343" s="3" t="n"/>
      <c r="CJ343" s="3" t="n"/>
      <c r="CK343" s="3" t="n"/>
      <c r="CL343" s="3" t="n"/>
      <c r="CM343" s="3" t="n"/>
      <c r="CN343" s="3" t="n"/>
      <c r="CO343" s="3" t="n"/>
      <c r="CP343" s="3" t="n"/>
      <c r="CQ343" s="3" t="n"/>
      <c r="CR343" s="3" t="n"/>
      <c r="CS343" s="3" t="n"/>
      <c r="CT343" s="3" t="n"/>
      <c r="CU343" s="3" t="n"/>
      <c r="CV343" s="3" t="n"/>
      <c r="CW343" s="3" t="n"/>
      <c r="CX343" s="3" t="n"/>
      <c r="CY343" s="3" t="n"/>
    </row>
    <row r="344" collapsed="1" customFormat="1" s="17">
      <c r="A344" s="13" t="n"/>
      <c r="B344" s="13" t="n"/>
      <c r="C344" s="27" t="inlineStr">
        <is>
          <t>Total Liabilities</t>
        </is>
      </c>
      <c r="D344" s="16">
        <f>SUM(D295+D299+D301+D302+D309+D310+D311+D314+D332+D335+D336+D337)</f>
        <v>12098.991</v>
      </c>
      <c r="E344" s="16">
        <f>SUM(E295+E299+E301+E302+E309+E310+E311+E314+E332+E335+E336+E337)</f>
        <v>11994.502</v>
      </c>
      <c r="F344" s="16">
        <f>SUM(F295+F299+F301+F302+F309+F310+F311+F314+F332+F335+F336+F337)</f>
        <v>12423.138</v>
      </c>
      <c r="G344" s="16">
        <f>SUM(G295+G299+G301+G302+G309+G310+G311+G314+G332+G335+G336+G337)</f>
        <v>13631.83</v>
      </c>
      <c r="H344" s="16">
        <f>SUM(H295,H299,H301,H302,H309,H310,H314,H311,H332,H335,H336,H337)</f>
        <v>13631.83</v>
      </c>
      <c r="I344" s="16">
        <f>SUM(I295+I299+I301+I302+I309+I310+I311+I314+I332+I335+I336+I337)</f>
        <v>13923.436</v>
      </c>
      <c r="J344" s="16">
        <f>SUM(J295+J299+J301+J302+J309+J310+J311+J314+J332+J335+J336+J337)</f>
        <v>14102.078</v>
      </c>
      <c r="K344" s="16">
        <f>SUM(K295+K299+K301+K302+K309+K310+K311+K314+K332+K335+K336+K337)</f>
        <v>14217.095</v>
      </c>
      <c r="L344" s="16">
        <f>SUM(L295+L299+L301+L302+L309+L310+L311+L314+L332+L335+L336+L337)</f>
        <v>15384.293</v>
      </c>
      <c r="M344" s="16">
        <f>SUM(M295,M299,M301,M302,M309,M310,M314,M311,M332,M335,M336,M337)</f>
        <v>15384.293</v>
      </c>
      <c r="N344" s="16">
        <f>SUM(N295+N299+N301+N302+N309+N310+N311+N314+N332+N335+N336+N337)</f>
        <v>15827.509</v>
      </c>
      <c r="O344" s="16">
        <f>SUM(O295+O299+O301+O302+O309+O310+O311+O314+O332+O335+O336+O337)</f>
        <v>16319.044</v>
      </c>
      <c r="P344" s="16">
        <f>SUM(P295+P299+P301+P302+P309+P310+P311+P314+P332+P335+P336+P337)</f>
        <v>16719.22</v>
      </c>
      <c r="Q344" s="16">
        <f>SUM(Q295+Q299+Q301+Q302+Q309+Q310+Q311+Q314+Q332+Q335+Q336+Q337)</f>
        <v>17562.14</v>
      </c>
      <c r="R344" s="16">
        <f>SUM(R295,R299,R301,R302,R309,R310,R314,R311,R332,R335,R336,R337)</f>
        <v>17562.14</v>
      </c>
      <c r="S344" s="16">
        <f>SUM(S295+S299+S301+S302+S309+S310+S311+S314+S332+S335+S336+S337)</f>
        <v>17871.566</v>
      </c>
      <c r="T344" s="16">
        <f>SUM(T295+T299+T301+T302+T309+T310+T311+T314+T332+T335+T336+T337)</f>
        <v>17262.696</v>
      </c>
      <c r="U344" s="16">
        <f>SUM(U295+U299+U301+U302+U309+U310+U311+U314+U332+U335+U336+U337)</f>
        <v>17410.671</v>
      </c>
      <c r="V344" s="16">
        <f>SUM(V295+V299+V301+V302+V309+V310+V311+V314+V332+V335+V336+V337)</f>
        <v>17807.291</v>
      </c>
      <c r="W344" s="16">
        <f>SUM(W295,W299,W301,W302,W309,W310,W314,W311,W332,W335,W336,W337)</f>
        <v>17807.291</v>
      </c>
      <c r="X344" s="16">
        <f>SUM(X295+X299+X301+X302+X309+X310+X311+X314+X332+X335+X336+X337)</f>
        <v>17850.251</v>
      </c>
      <c r="Y344" s="16">
        <f>SUM(Y295+Y299+Y301+Y302+Y309+Y310+Y311+Y314+Y332+Y335+Y336+Y337)</f>
        <v>18826.003</v>
      </c>
      <c r="Z344" s="16">
        <f>SUM(Z295+Z299+Z301+Z302+Z309+Z310+Z311+Z314+Z332+Z335+Z336+Z337)</f>
        <v>18193.579</v>
      </c>
      <c r="AA344" s="16">
        <f>SUM(AA295+AA299+AA301+AA302+AA309+AA310+AA311+AA314+AA332+AA335+AA336+AA337)</f>
        <v>18965.533</v>
      </c>
      <c r="AB344" s="16">
        <f>SUM(AB295,AB299,AB301,AB302,AB309,AB310,AB314,AB311,AB332,AB335,AB336,AB337)</f>
        <v>18965.533</v>
      </c>
      <c r="AC344" s="16">
        <f>SUM(AC295+AC299+AC301+AC302+AC309+AC310+AC311+AC314+AC332+AC335+AC336+AC337)</f>
        <v>18990.435</v>
      </c>
      <c r="AD344" s="16">
        <f>SUM(AD295+AD299+AD301+AD302+AD309+AD310+AD311+AD314+AD332+AD335+AD336+AD337)</f>
        <v>19281.289</v>
      </c>
      <c r="AE344" s="16">
        <f>SUM(AE295+AE299+AE301+AE302+AE309+AE310+AE311+AE314+AE332+AE335+AE336+AE337)</f>
        <v>19117.505</v>
      </c>
      <c r="AF344" s="16">
        <f>SUM(AF295+AF299+AF301+AF302+AF309+AF310+AF311+AF314+AF332+AF335+AF336+AF337)</f>
        <v>19537.802</v>
      </c>
      <c r="AG344" s="16">
        <f>SUM(AG295,AG299,AG301,AG302,AG309,AG310,AG314,AG311,AG332,AG335,AG336,AG337)</f>
        <v>19537.802</v>
      </c>
      <c r="AH344" s="16">
        <f>SUM(AH295+AH299+AH301+AH302+AH309+AH310+AH311+AH314+AH332+AH335+AH336+AH337)</f>
        <v>21511.944</v>
      </c>
      <c r="AI344" s="16">
        <f>SUM(AI295+AI299+AI301+AI302+AI309+AI310+AI311+AI314+AI332+AI335+AI336+AI337)</f>
        <v>22070.209</v>
      </c>
      <c r="AJ344" s="16">
        <f>SUM(AJ295+AJ299+AJ301+AJ302+AJ309+AJ310+AJ311+AJ314+AJ332+AJ335+AJ336+AJ337)</f>
        <v>21508.131</v>
      </c>
      <c r="AK344" s="16">
        <f>SUM(AK295+AK299+AK301+AK302+AK309+AK310+AK311+AK314+AK332+AK335+AK336+AK337)</f>
        <v>21508.131</v>
      </c>
      <c r="AL344" s="16">
        <f>SUM(AL295,AL299,AL301,AL302,AL309,AL310,AL314,AL311,AL332,AL335,AL336,AL337)</f>
        <v>21508.131</v>
      </c>
      <c r="AM344" s="16" t="e">
        <f>SUM(AM295+AM299+AM301+AM302+AM309+AM310+AM311+AM314+AM332+AM335+AM336+AM337)</f>
        <v>#DIV/0!</v>
      </c>
      <c r="AN344" s="16">
        <f>SUM(AN295+AN299+AN301+AN302+AN309+AN310+AN311+AN314+AN332+AN335+AN336+AN337)</f>
        <v>21508.131</v>
      </c>
      <c r="AO344" s="16" t="e">
        <f>SUM(AO295+AO299+AO301+AO302+AO309+AO310+AO311+AO314+AO332+AO335+AO336+AO337)</f>
        <v>#DIV/0!</v>
      </c>
      <c r="AP344" s="16" t="e">
        <f>SUM(AP295+AP299+AP301+AP302+AP309+AP310+AP311+AP314+AP332+AP335+AP336+AP337)</f>
        <v>#DIV/0!</v>
      </c>
      <c r="AQ344" s="16" t="e">
        <f>SUM(AQ295,AQ299,AQ301,AQ302,AQ309,AQ310,AQ314,AQ311,AQ332,AQ335,AQ336,AQ337)</f>
        <v>#DIV/0!</v>
      </c>
      <c r="AR344" s="16" t="e">
        <f>SUM(AR295+AR299+AR301+AR302+AR309+AR310+AR311+AR314+AR332+AR335+AR336+AR337)</f>
        <v>#DIV/0!</v>
      </c>
      <c r="AS344" s="16" t="e">
        <f>SUM(AS295+AS299+AS301+AS302+AS309+AS310+AS311+AS314+AS332+AS335+AS336+AS337)</f>
        <v>#DIV/0!</v>
      </c>
      <c r="AT344" s="16" t="e">
        <f>SUM(AT295+AT299+AT301+AT302+AT309+AT310+AT311+AT314+AT332+AT335+AT336+AT337)</f>
        <v>#DIV/0!</v>
      </c>
      <c r="AU344" s="16" t="e">
        <f>SUM(AU295+AU299+AU301+AU302+AU309+AU310+AU311+AU314+AU332+AU335+AU336+AU337)</f>
        <v>#DIV/0!</v>
      </c>
      <c r="AV344" s="16" t="e">
        <f>SUM(AV295,AV299,AV301,AV302,AV309,AV310,AV314,AV311,AV332,AV335,AV336,AV337)</f>
        <v>#DIV/0!</v>
      </c>
      <c r="AW344" s="16" t="e">
        <f>SUM(AW295+AW299+AW301+AW302+AW309+AW310+AW311+AW314+AW332+AW335+AW336+AW337)</f>
        <v>#DIV/0!</v>
      </c>
      <c r="AX344" s="16" t="e">
        <f>SUM(AX295+AX299+AX301+AX302+AX309+AX310+AX311+AX314+AX332+AX335+AX336+AX337)</f>
        <v>#DIV/0!</v>
      </c>
      <c r="AY344" s="16" t="e">
        <f>SUM(AY295+AY299+AY301+AY302+AY309+AY310+AY311+AY314+AY332+AY335+AY336+AY337)</f>
        <v>#DIV/0!</v>
      </c>
      <c r="AZ344" s="16" t="e">
        <f>SUM(AZ295+AZ299+AZ301+AZ302+AZ309+AZ310+AZ311+AZ314+AZ332+AZ335+AZ336+AZ337)</f>
        <v>#DIV/0!</v>
      </c>
      <c r="BA344" s="16" t="e">
        <f>SUM(BA295,BA299,BA301,BA302,BA309,BA310,BA314,BA311,BA332,BA335,BA336,BA337)</f>
        <v>#DIV/0!</v>
      </c>
      <c r="BB344" s="16" t="e">
        <f>SUM(BB295+BB299+BB301+BB302+BB309+BB310+BB311+BB314+BB332+BB335+BB336+BB337)</f>
        <v>#DIV/0!</v>
      </c>
      <c r="BC344" s="16" t="e">
        <f>SUM(BC295+BC299+BC301+BC302+BC309+BC310+BC311+BC314+BC332+BC335+BC336+BC337)</f>
        <v>#DIV/0!</v>
      </c>
      <c r="BD344" s="16" t="e">
        <f>SUM(BD295+BD299+BD301+BD302+BD309+BD310+BD311+BD314+BD332+BD335+BD336+BD337)</f>
        <v>#DIV/0!</v>
      </c>
      <c r="BE344" s="16" t="e">
        <f>SUM(BE295+BE299+BE301+BE302+BE309+BE310+BE311+BE314+BE332+BE335+BE336+BE337)</f>
        <v>#DIV/0!</v>
      </c>
      <c r="BF344" s="16" t="e">
        <f>SUM(BF295,BF299,BF301,BF302,BF309,BF310,BF314,BF311,BF332,BF335,BF336,BF337)</f>
        <v>#DIV/0!</v>
      </c>
      <c r="BG344" s="16" t="e">
        <f>SUM(BG295+BG299+BG301+BG302+BG309+BG310+BG311+BG314+BG332+BG335+BG336+BG337)</f>
        <v>#DIV/0!</v>
      </c>
      <c r="BH344" s="16" t="e">
        <f>SUM(BH295+BH299+BH301+BH302+BH309+BH310+BH311+BH314+BH332+BH335+BH336+BH337)</f>
        <v>#DIV/0!</v>
      </c>
      <c r="BI344" s="16" t="e">
        <f>SUM(BI295+BI299+BI301+BI302+BI309+BI310+BI311+BI314+BI332+BI335+BI336+BI337)</f>
        <v>#DIV/0!</v>
      </c>
      <c r="BJ344" s="16" t="e">
        <f>SUM(BJ295+BJ299+BJ301+BJ302+BJ309+BJ310+BJ311+BJ314+BJ332+BJ335+BJ336+BJ337)</f>
        <v>#DIV/0!</v>
      </c>
      <c r="BK344" s="16" t="e">
        <f>SUM(BK295,BK299,BK301,BK302,BK309,BK310,BK314,BK311,BK332,BK335,BK336,BK337)</f>
        <v>#DIV/0!</v>
      </c>
      <c r="BL344" s="16" t="e">
        <f>SUM(BL295+BL299+BL301+BL302+BL309+BL310+BL311+BL314+BL332+BL335+BL336+BL337)</f>
        <v>#DIV/0!</v>
      </c>
      <c r="BM344" s="16" t="e">
        <f>SUM(BM295+BM299+BM301+BM302+BM309+BM310+BM311+BM314+BM332+BM335+BM336+BM337)</f>
        <v>#DIV/0!</v>
      </c>
      <c r="BN344" s="16" t="e">
        <f>SUM(BN295+BN299+BN301+BN302+BN309+BN310+BN311+BN314+BN332+BN335+BN336+BN337)</f>
        <v>#DIV/0!</v>
      </c>
      <c r="BO344" s="16" t="e">
        <f>SUM(BO295+BO299+BO301+BO302+BO309+BO310+BO311+BO314+BO332+BO335+BO336+BO337)</f>
        <v>#DIV/0!</v>
      </c>
      <c r="BP344" s="16" t="e">
        <f>SUM(BP295,BP299,BP301,BP302,BP309,BP310,BP314,BP311,BP332,BP335,BP336,BP337)</f>
        <v>#DIV/0!</v>
      </c>
      <c r="BQ344" s="16" t="e">
        <f>SUM(BQ295+BQ299+BQ301+BQ302+BQ309+BQ310+BQ311+BQ314+BQ332+BQ335+BQ336+BQ337)</f>
        <v>#DIV/0!</v>
      </c>
      <c r="BR344" s="16" t="e">
        <f>SUM(BR295+BR299+BR301+BR302+BR309+BR310+BR311+BR314+BR332+BR335+BR336+BR337)</f>
        <v>#DIV/0!</v>
      </c>
      <c r="BS344" s="16" t="e">
        <f>SUM(BS295+BS299+BS301+BS302+BS309+BS310+BS311+BS314+BS332+BS335+BS336+BS337)</f>
        <v>#DIV/0!</v>
      </c>
      <c r="BT344" s="16" t="e">
        <f>SUM(BT295+BT299+BT301+BT302+BT309+BT310+BT311+BT314+BT332+BT335+BT336+BT337)</f>
        <v>#DIV/0!</v>
      </c>
      <c r="BU344" s="16" t="e">
        <f>SUM(BU295,BU299,BU301,BU302,BU309,BU310,BU314,BU311,BU332,BU335,BU336,BU337)</f>
        <v>#DIV/0!</v>
      </c>
      <c r="BV344" s="16" t="e">
        <f>SUM(BV295+BV299+BV301+BV302+BV309+BV310+BV311+BV314+BV332+BV335+BV336+BV337)</f>
        <v>#DIV/0!</v>
      </c>
      <c r="BW344" s="16" t="e">
        <f>SUM(BW295+BW299+BW301+BW302+BW309+BW310+BW311+BW314+BW332+BW335+BW336+BW337)</f>
        <v>#DIV/0!</v>
      </c>
      <c r="BX344" s="16" t="e">
        <f>SUM(BX295+BX299+BX301+BX302+BX309+BX310+BX311+BX314+BX332+BX335+BX336+BX337)</f>
        <v>#DIV/0!</v>
      </c>
      <c r="BY344" s="16" t="e">
        <f>SUM(BY295+BY299+BY301+BY302+BY309+BY310+BY311+BY314+BY332+BY335+BY336+BY337)</f>
        <v>#DIV/0!</v>
      </c>
      <c r="BZ344" s="16" t="e">
        <f>SUM(BZ295,BZ299,BZ301,BZ302,BZ309,BZ310,BZ314,BZ311,BZ332,BZ335,BZ336,BZ337)</f>
        <v>#DIV/0!</v>
      </c>
      <c r="CA344" s="16" t="e">
        <f>SUM(CA295+CA299+CA301+CA302+CA309+CA310+CA311+CA314+CA332+CA335+CA336+CA337)</f>
        <v>#DIV/0!</v>
      </c>
      <c r="CB344" s="16" t="e">
        <f>SUM(CB295+CB299+CB301+CB302+CB309+CB310+CB311+CB314+CB332+CB335+CB336+CB337)</f>
        <v>#DIV/0!</v>
      </c>
      <c r="CC344" s="16" t="e">
        <f>SUM(CC295+CC299+CC301+CC302+CC309+CC310+CC311+CC314+CC332+CC335+CC336+CC337)</f>
        <v>#DIV/0!</v>
      </c>
      <c r="CD344" s="16" t="e">
        <f>SUM(CD295+CD299+CD301+CD302+CD309+CD310+CD311+CD314+CD332+CD335+CD336+CD337)</f>
        <v>#DIV/0!</v>
      </c>
      <c r="CE344" s="16" t="e">
        <f>SUM(CE295,CE299,CE301,CE302,CE309,CE310,CE314,CE311,CE332,CE335,CE336,CE337)</f>
        <v>#DIV/0!</v>
      </c>
      <c r="CF344" s="16" t="e">
        <f>SUM(CF295+CF299+CF301+CF302+CF309+CF310+CF311+CF314+CF332+CF335+CF336+CF337)</f>
        <v>#DIV/0!</v>
      </c>
      <c r="CG344" s="16" t="e">
        <f>SUM(CG295+CG299+CG301+CG302+CG309+CG310+CG311+CG314+CG332+CG335+CG336+CG337)</f>
        <v>#DIV/0!</v>
      </c>
      <c r="CH344" s="16" t="e">
        <f>SUM(CH295+CH299+CH301+CH302+CH309+CH310+CH311+CH314+CH332+CH335+CH336+CH337)</f>
        <v>#DIV/0!</v>
      </c>
      <c r="CI344" s="16" t="e">
        <f>SUM(CI295+CI299+CI301+CI302+CI309+CI310+CI311+CI314+CI332+CI335+CI336+CI337)</f>
        <v>#DIV/0!</v>
      </c>
      <c r="CJ344" s="16" t="e">
        <f>SUM(CJ295,CJ299,CJ301,CJ302,CJ309,CJ310,CJ314,CJ311,CJ332,CJ335,CJ336,CJ337)</f>
        <v>#DIV/0!</v>
      </c>
      <c r="CK344" s="16" t="e">
        <f>SUM(CK295+CK299+CK301+CK302+CK309+CK310+CK311+CK314+CK332+CK335+CK336+CK337)</f>
        <v>#DIV/0!</v>
      </c>
      <c r="CL344" s="16" t="e">
        <f>SUM(CL295+CL299+CL301+CL302+CL309+CL310+CL311+CL314+CL332+CL335+CL336+CL337)</f>
        <v>#DIV/0!</v>
      </c>
      <c r="CM344" s="16" t="e">
        <f>SUM(CM295+CM299+CM301+CM302+CM309+CM310+CM311+CM314+CM332+CM335+CM336+CM337)</f>
        <v>#DIV/0!</v>
      </c>
      <c r="CN344" s="16" t="e">
        <f>SUM(CN295+CN299+CN301+CN302+CN309+CN310+CN311+CN314+CN332+CN335+CN336+CN337)</f>
        <v>#DIV/0!</v>
      </c>
      <c r="CO344" s="16" t="e">
        <f>SUM(CO295,CO299,CO301,CO302,CO309,CO310,CO314,CO311,CO332,CO335,CO336,CO337)</f>
        <v>#DIV/0!</v>
      </c>
      <c r="CP344" s="16" t="e">
        <f>SUM(CP295+CP299+CP301+CP302+CP309+CP310+CP311+CP314+CP332+CP335+CP336+CP337)</f>
        <v>#DIV/0!</v>
      </c>
      <c r="CQ344" s="16" t="e">
        <f>SUM(CQ295+CQ299+CQ301+CQ302+CQ309+CQ310+CQ311+CQ314+CQ332+CQ335+CQ336+CQ337)</f>
        <v>#DIV/0!</v>
      </c>
      <c r="CR344" s="16" t="e">
        <f>SUM(CR295+CR299+CR301+CR302+CR309+CR310+CR311+CR314+CR332+CR335+CR336+CR337)</f>
        <v>#DIV/0!</v>
      </c>
      <c r="CS344" s="16" t="e">
        <f>SUM(CS295+CS299+CS301+CS302+CS309+CS310+CS311+CS314+CS332+CS335+CS336+CS337)</f>
        <v>#DIV/0!</v>
      </c>
      <c r="CT344" s="16" t="e">
        <f>SUM(CT295,CT299,CT301,CT302,CT309,CT310,CT314,CT311,CT332,CT335,CT336,CT337)</f>
        <v>#DIV/0!</v>
      </c>
      <c r="CU344" s="16" t="e">
        <f>SUM(CU295+CU299+CU301+CU302+CU309+CU310+CU311+CU314+CU332+CU335+CU336+CU337)</f>
        <v>#DIV/0!</v>
      </c>
      <c r="CV344" s="16" t="e">
        <f>SUM(CV295+CV299+CV301+CV302+CV309+CV310+CV311+CV314+CV332+CV335+CV336+CV337)</f>
        <v>#DIV/0!</v>
      </c>
      <c r="CW344" s="16" t="e">
        <f>SUM(CW295+CW299+CW301+CW302+CW309+CW310+CW311+CW314+CW332+CW335+CW336+CW337)</f>
        <v>#DIV/0!</v>
      </c>
      <c r="CX344" s="16" t="e">
        <f>SUM(CX295+CX299+CX301+CX302+CX309+CX310+CX311+CX314+CX332+CX335+CX336+CX337)</f>
        <v>#DIV/0!</v>
      </c>
      <c r="CY344" s="16" t="e">
        <f>SUM(CY295,CY299,CY301,CY302,CY309,CY310,CY314,CY311,CY332,CY335,CY336,CY337)</f>
        <v>#DIV/0!</v>
      </c>
    </row>
    <row r="345">
      <c r="C345" s="26" t="inlineStr">
        <is>
          <t>Minority interest</t>
        </is>
      </c>
      <c r="D345" s="25">
        <f>INDEX('Inputs (2)'!$D$41:$AL$41,MATCH(D$7,'Inputs (2)'!$D$2:$AL$2,0))</f>
        <v>2615.278</v>
      </c>
      <c r="E345" s="25">
        <f>INDEX('Inputs (2)'!$D$41:$AL$41,MATCH(E$7,'Inputs (2)'!$D$2:$AL$2,0))</f>
        <v>2695.718</v>
      </c>
      <c r="F345" s="25">
        <f>INDEX('Inputs (2)'!$D$41:$AL$41,MATCH(F$7,'Inputs (2)'!$D$2:$AL$2,0))</f>
        <v>2904.541</v>
      </c>
      <c r="G345" s="25">
        <f>INDEX('Inputs (2)'!$D$41:$AL$41,MATCH(G$7,'Inputs (2)'!$D$2:$AL$2,0))</f>
        <v>3194.564</v>
      </c>
      <c r="H345" s="3">
        <f>G345</f>
        <v>3194.564</v>
      </c>
      <c r="I345" s="25">
        <f>INDEX('Inputs (2)'!$D$41:$AL$41,MATCH(I$7,'Inputs (2)'!$D$2:$AL$2,0))</f>
        <v>3518.758</v>
      </c>
      <c r="J345" s="25">
        <f>INDEX('Inputs (2)'!$D$41:$AL$41,MATCH(J$7,'Inputs (2)'!$D$2:$AL$2,0))</f>
        <v>3613.423</v>
      </c>
      <c r="K345" s="25">
        <f>INDEX('Inputs (2)'!$D$41:$AL$41,MATCH(K$7,'Inputs (2)'!$D$2:$AL$2,0))</f>
        <v>3681.275</v>
      </c>
      <c r="L345" s="25">
        <f>INDEX('Inputs (2)'!$D$41:$AL$41,MATCH(L$7,'Inputs (2)'!$D$2:$AL$2,0))</f>
        <v>3450.486</v>
      </c>
      <c r="M345" s="3">
        <f>L345</f>
        <v>3450.486</v>
      </c>
      <c r="N345" s="25">
        <f>INDEX('Inputs (2)'!$D$41:$AL$41,MATCH(N$7,'Inputs (2)'!$D$2:$AL$2,0))</f>
        <v>3649.408</v>
      </c>
      <c r="O345" s="25">
        <f>INDEX('Inputs (2)'!$D$41:$AL$41,MATCH(O$7,'Inputs (2)'!$D$2:$AL$2,0))</f>
        <v>3594.617</v>
      </c>
      <c r="P345" s="25">
        <f>INDEX('Inputs (2)'!$D$41:$AL$41,MATCH(P$7,'Inputs (2)'!$D$2:$AL$2,0))</f>
        <v>3476.338</v>
      </c>
      <c r="Q345" s="25">
        <f>INDEX('Inputs (2)'!$D$41:$AL$41,MATCH(Q$7,'Inputs (2)'!$D$2:$AL$2,0))</f>
        <v>3413.556</v>
      </c>
      <c r="R345" s="3">
        <f>Q345</f>
        <v>3413.556</v>
      </c>
      <c r="S345" s="25">
        <f>INDEX('Inputs (2)'!$D$41:$AL$41,MATCH(S$7,'Inputs (2)'!$D$2:$AL$2,0))</f>
        <v>3560.059</v>
      </c>
      <c r="T345" s="25">
        <f>INDEX('Inputs (2)'!$D$41:$AL$41,MATCH(T$7,'Inputs (2)'!$D$2:$AL$2,0))</f>
        <v>3384.892</v>
      </c>
      <c r="U345" s="25">
        <f>INDEX('Inputs (2)'!$D$41:$AL$41,MATCH(U$7,'Inputs (2)'!$D$2:$AL$2,0))</f>
        <v>3320.519</v>
      </c>
      <c r="V345" s="25">
        <f>INDEX('Inputs (2)'!$D$41:$AL$41,MATCH(V$7,'Inputs (2)'!$D$2:$AL$2,0))</f>
        <v>3273.249</v>
      </c>
      <c r="W345" s="3">
        <f>V345</f>
        <v>3273.249</v>
      </c>
      <c r="X345" s="25">
        <f>INDEX('Inputs (2)'!$D$41:$AL$41,MATCH(X$7,'Inputs (2)'!$D$2:$AL$2,0))</f>
        <v>3423.454</v>
      </c>
      <c r="Y345" s="25">
        <f>INDEX('Inputs (2)'!$D$41:$AL$41,MATCH(Y$7,'Inputs (2)'!$D$2:$AL$2,0))</f>
        <v>3448.681</v>
      </c>
      <c r="Z345" s="25">
        <f>INDEX('Inputs (2)'!$D$41:$AL$41,MATCH(Z$7,'Inputs (2)'!$D$2:$AL$2,0))</f>
        <v>3695.059</v>
      </c>
      <c r="AA345" s="25">
        <f>INDEX('Inputs (2)'!$D$41:$AL$41,MATCH(AA$7,'Inputs (2)'!$D$2:$AL$2,0))</f>
        <v>3483.372</v>
      </c>
      <c r="AB345" s="3">
        <f>AA345</f>
        <v>3483.372</v>
      </c>
      <c r="AC345" s="25">
        <f>INDEX('Inputs (2)'!$D$41:$AL$41,MATCH(AC$7,'Inputs (2)'!$D$2:$AL$2,0))</f>
        <v>3664.272</v>
      </c>
      <c r="AD345" s="25">
        <f>INDEX('Inputs (2)'!$D$41:$AL$41,MATCH(AD$7,'Inputs (2)'!$D$2:$AL$2,0))</f>
        <v>3483.293</v>
      </c>
      <c r="AE345" s="25">
        <f>INDEX('Inputs (2)'!$D$41:$AL$41,MATCH(AE$7,'Inputs (2)'!$D$2:$AL$2,0))</f>
        <v>3360.623</v>
      </c>
      <c r="AF345" s="25">
        <f>INDEX('Inputs (2)'!$D$41:$AL$41,MATCH(AF$7,'Inputs (2)'!$D$2:$AL$2,0))</f>
        <v>3412.62</v>
      </c>
      <c r="AG345" s="3">
        <f>AF345</f>
        <v>3412.62</v>
      </c>
      <c r="AH345" s="3">
        <f>INDEX('Inputs (2)'!$D$41:$AL$41,MATCH(AH$7,'Inputs (2)'!$D$2:$AL$2,0))</f>
        <v>3543.062</v>
      </c>
      <c r="AI345" s="3">
        <f>INDEX('Inputs (2)'!$D$41:$AL$41,MATCH(AI$7,'Inputs (2)'!$D$2:$AL$2,0))</f>
        <v>3738.333</v>
      </c>
      <c r="AJ345" s="3">
        <f>AI345-AJ233+AJ348</f>
        <v>3781.539</v>
      </c>
      <c r="AK345" s="3">
        <f>AJ345-AK233+AK348</f>
        <v>3930.478</v>
      </c>
      <c r="AL345" s="3">
        <f>AK345</f>
        <v>3930.478</v>
      </c>
      <c r="AM345" s="3">
        <f>AL345-AM233+AM348</f>
        <v>4070.257</v>
      </c>
      <c r="AN345" s="3">
        <f>AM345-AN233+AN348</f>
        <v>4366.103</v>
      </c>
      <c r="AO345" s="3">
        <f>AN345-AO233+AO348</f>
        <v>4409.309</v>
      </c>
      <c r="AP345" s="3">
        <f>AO345-AP233+AP348</f>
        <v>4558.248</v>
      </c>
      <c r="AQ345" s="3">
        <f>AP345</f>
        <v>4558.248</v>
      </c>
      <c r="AR345" s="3">
        <f>AQ345-AR233+AR348</f>
        <v>4698.027</v>
      </c>
      <c r="AS345" s="3">
        <f>AR345-AS233+AS348</f>
        <v>4993.873</v>
      </c>
      <c r="AT345" s="3">
        <f>AS345-AT233+AT348</f>
        <v>5037.079</v>
      </c>
      <c r="AU345" s="3">
        <f>AT345-AU233+AU348</f>
        <v>5186.018</v>
      </c>
      <c r="AV345" s="3">
        <f>AU345</f>
        <v>5186.018</v>
      </c>
      <c r="AW345" s="3">
        <f>AV345-AW233+AW348</f>
        <v>5325.797</v>
      </c>
      <c r="AX345" s="3">
        <f>AW345-AX233+AX348</f>
        <v>5621.643</v>
      </c>
      <c r="AY345" s="3">
        <f>AX345-AY233+AY348</f>
        <v>5664.849</v>
      </c>
      <c r="AZ345" s="3">
        <f>AY345-AZ233+AZ348</f>
        <v>5813.788</v>
      </c>
      <c r="BA345" s="3">
        <f>AZ345</f>
        <v>5813.788</v>
      </c>
      <c r="BB345" s="3">
        <f>BA345-BB233+BB348</f>
        <v>5953.567</v>
      </c>
      <c r="BC345" s="3">
        <f>BB345-BC233+BC348</f>
        <v>6249.413</v>
      </c>
      <c r="BD345" s="3">
        <f>BC345-BD233+BD348</f>
        <v>6292.619</v>
      </c>
      <c r="BE345" s="3">
        <f>BD345-BE233+BE348</f>
        <v>6441.558</v>
      </c>
      <c r="BF345" s="3">
        <f>BE345</f>
        <v>6441.558</v>
      </c>
      <c r="BG345" s="3">
        <f>BF345-BG233+BG348</f>
        <v>6581.337</v>
      </c>
      <c r="BH345" s="3">
        <f>BG345-BH233+BH348</f>
        <v>6877.183</v>
      </c>
      <c r="BI345" s="3">
        <f>BH345-BI233+BI348</f>
        <v>6920.389</v>
      </c>
      <c r="BJ345" s="3">
        <f>BI345-BJ233+BJ348</f>
        <v>7069.328</v>
      </c>
      <c r="BK345" s="3">
        <f>BJ345</f>
        <v>7069.328</v>
      </c>
      <c r="BL345" s="3">
        <f>BK345-BL233+BL348</f>
        <v>7209.107</v>
      </c>
      <c r="BM345" s="3">
        <f>BL345-BM233+BM348</f>
        <v>7504.953</v>
      </c>
      <c r="BN345" s="3">
        <f>BM345-BN233+BN348</f>
        <v>7548.159</v>
      </c>
      <c r="BO345" s="3">
        <f>BN345-BO233+BO348</f>
        <v>7697.098</v>
      </c>
      <c r="BP345" s="3">
        <f>BO345</f>
        <v>7697.098</v>
      </c>
      <c r="BQ345" s="3">
        <f>BP345-BQ233+BQ348</f>
        <v>7836.877</v>
      </c>
      <c r="BR345" s="3">
        <f>BQ345-BR233+BR348</f>
        <v>8132.723</v>
      </c>
      <c r="BS345" s="3">
        <f>BR345-BS233+BS348</f>
        <v>8175.929</v>
      </c>
      <c r="BT345" s="3">
        <f>BS345-BT233+BT348</f>
        <v>8324.868</v>
      </c>
      <c r="BU345" s="3">
        <f>BT345</f>
        <v>8324.868</v>
      </c>
      <c r="BV345" s="3">
        <f>BU345-BV233+BV348</f>
        <v>8464.647</v>
      </c>
      <c r="BW345" s="3">
        <f>BV345-BW233+BW348</f>
        <v>8760.493</v>
      </c>
      <c r="BX345" s="3">
        <f>BW345-BX233+BX348</f>
        <v>8803.699</v>
      </c>
      <c r="BY345" s="3">
        <f>BX345-BY233+BY348</f>
        <v>8952.638</v>
      </c>
      <c r="BZ345" s="3">
        <f>BY345</f>
        <v>8952.638</v>
      </c>
      <c r="CA345" s="3">
        <f>BZ345-CA233+CA348</f>
        <v>9092.417</v>
      </c>
      <c r="CB345" s="3">
        <f>CA345-CB233+CB348</f>
        <v>9388.263</v>
      </c>
      <c r="CC345" s="3">
        <f>CB345-CC233+CC348</f>
        <v>9431.469</v>
      </c>
      <c r="CD345" s="3">
        <f>CC345-CD233+CD348</f>
        <v>9580.408</v>
      </c>
      <c r="CE345" s="3">
        <f>CD345</f>
        <v>9580.408</v>
      </c>
      <c r="CF345" s="3">
        <f>CE345-CF233+CF348</f>
        <v>9720.187</v>
      </c>
      <c r="CG345" s="3">
        <f>CF345-CG233+CG348</f>
        <v>10016.033</v>
      </c>
      <c r="CH345" s="3">
        <f>CG345-CH233+CH348</f>
        <v>10059.239</v>
      </c>
      <c r="CI345" s="3">
        <f>CH345-CI233+CI348</f>
        <v>10208.178</v>
      </c>
      <c r="CJ345" s="3">
        <f>CI345</f>
        <v>10208.178</v>
      </c>
      <c r="CK345" s="3">
        <f>CJ345-CK233+CK348</f>
        <v>10347.957</v>
      </c>
      <c r="CL345" s="3">
        <f>CK345-CL233+CL348</f>
        <v>10643.803</v>
      </c>
      <c r="CM345" s="3">
        <f>CL345-CM233+CM348</f>
        <v>10687.009</v>
      </c>
      <c r="CN345" s="3">
        <f>CM345-CN233+CN348</f>
        <v>10835.948</v>
      </c>
      <c r="CO345" s="3">
        <f>CN345</f>
        <v>10835.948</v>
      </c>
      <c r="CP345" s="3">
        <f>CO345-CP233+CP348</f>
        <v>10975.727</v>
      </c>
      <c r="CQ345" s="3">
        <f>CP345-CQ233+CQ348</f>
        <v>11271.573</v>
      </c>
      <c r="CR345" s="3">
        <f>CQ345-CR233+CR348</f>
        <v>11314.779</v>
      </c>
      <c r="CS345" s="3">
        <f>CR345-CS233+CS348</f>
        <v>11463.718</v>
      </c>
      <c r="CT345" s="3">
        <f>CS345</f>
        <v>11463.718</v>
      </c>
      <c r="CU345" s="3">
        <f>CT345-CU233+CU348</f>
        <v>11603.497</v>
      </c>
      <c r="CV345" s="3">
        <f>CU345-CV233+CV348</f>
        <v>11899.343</v>
      </c>
      <c r="CW345" s="3">
        <f>CV345-CW233+CW348</f>
        <v>11942.549</v>
      </c>
      <c r="CX345" s="3">
        <f>CW345-CX233+CX348</f>
        <v>12091.488</v>
      </c>
      <c r="CY345" s="3">
        <f>CX345</f>
        <v>12091.488</v>
      </c>
    </row>
    <row r="346" hidden="1" outlineLevel="1" customFormat="1" s="39">
      <c r="A346" s="19" t="n"/>
      <c r="B346" s="19" t="n"/>
      <c r="C346" s="38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</row>
    <row r="347" hidden="1" outlineLevel="1" customFormat="1" s="39">
      <c r="A347" s="19" t="n"/>
      <c r="B347" s="19" t="n"/>
      <c r="C347" s="34" t="inlineStr">
        <is>
          <t>Minority Interest Expense - % YoY</t>
        </is>
      </c>
      <c r="D347" s="22" t="n"/>
      <c r="E347" s="40">
        <f>IF(D232=0,0,E232/D232-1)</f>
        <v>-1.64645072363889</v>
      </c>
      <c r="F347" s="22" t="n"/>
      <c r="G347" s="22" t="n"/>
      <c r="H347" s="40" t="n"/>
      <c r="I347" s="22" t="n"/>
      <c r="J347" s="40">
        <f>IF(I232=0,0,J232/I232-1)</f>
        <v>0.438608458390178</v>
      </c>
      <c r="K347" s="22" t="n"/>
      <c r="L347" s="22" t="n"/>
      <c r="M347" s="40" t="n"/>
      <c r="N347" s="40">
        <f>IF(I232=0,0,N232/I232-1)</f>
        <v>-1.07776261937244</v>
      </c>
      <c r="O347" s="40">
        <f>IF(J232=0,0,O232/J232-1)</f>
        <v>0.201043148411569</v>
      </c>
      <c r="P347" s="40">
        <f>IF(K232=0,0,P232/K232-1)</f>
        <v>0.705161854768154</v>
      </c>
      <c r="Q347" s="40">
        <f>IF(L232=0,0,Q232/L232-1)</f>
        <v>1.97579143389199</v>
      </c>
      <c r="R347" s="40" t="n"/>
      <c r="S347" s="40">
        <f>IF(N232=0,0,S232/N232-1)</f>
        <v>-8.53508771929825</v>
      </c>
      <c r="T347" s="40">
        <f>IF(O232=0,0,T232/O232-1)</f>
        <v>6.95578365574418</v>
      </c>
      <c r="U347" s="40">
        <f>IF(P232=0,0,U232/P232-1)</f>
        <v>2.20472036942022</v>
      </c>
      <c r="V347" s="40">
        <f>IF(Q232=0,0,V232/Q232-1)</f>
        <v>7.70525657071339</v>
      </c>
      <c r="W347" s="40">
        <f>IF(R233=0,0,W233/R233-1)</f>
        <v>-0.387015415739321</v>
      </c>
      <c r="X347" s="40">
        <f>IF(S232=0,0,X232/S232-1)</f>
        <v>17.8381839348079</v>
      </c>
      <c r="Y347" s="40">
        <f>IF(T232=0,0,Y232/T232-1)</f>
        <v>0.528781262405716</v>
      </c>
      <c r="Z347" s="40">
        <f>IF(U232=0,0,Z232/U232-1)</f>
        <v>6.75152097342299</v>
      </c>
      <c r="AA347" s="40">
        <f>IF(V232=0,0,AA232/V232-1)</f>
        <v>2.85285026238229</v>
      </c>
      <c r="AB347" s="40">
        <f>IF(W233=0,0,AB233/W233-1)</f>
        <v>0.693536985443937</v>
      </c>
      <c r="AC347" s="40">
        <f>IF(X232=0,0,AC232/X232-1)</f>
        <v>2.06185885551848</v>
      </c>
      <c r="AD347" s="40">
        <f>IF(Y232=0,0,AD232/Y232-1)</f>
        <v>-3.59205401194495</v>
      </c>
      <c r="AE347" s="40">
        <f>IF(Z232=0,0,AE232/Z232-1)</f>
        <v>5.63600875743556</v>
      </c>
      <c r="AF347" s="40">
        <f>IF(AA232=0,0,AF232/AA232-1)</f>
        <v>-0.809448290016232</v>
      </c>
      <c r="AG347" s="40">
        <f>IF(AB233=0,0,AG233/AB233-1)</f>
        <v>-0.331063198486462</v>
      </c>
      <c r="AH347" s="35">
        <f>IF(AC232=0,0,AH232/AC232-1)</f>
        <v>-0.495731325811855</v>
      </c>
      <c r="AI347" s="35">
        <f>IF(AD232=0,0,AI232/AD232-1)</f>
        <v>-1.37393558405129</v>
      </c>
      <c r="AJ347" s="35" t="n"/>
      <c r="AK347" s="35" t="n"/>
      <c r="AL347" s="40">
        <f>IF(AG233=0,0,AL233/AG233-1)</f>
        <v>0.212768094831483</v>
      </c>
      <c r="AM347" s="35" t="n"/>
      <c r="AN347" s="35" t="n"/>
      <c r="AO347" s="35" t="n"/>
      <c r="AP347" s="35" t="n"/>
      <c r="AQ347" s="40">
        <f>IF(AL233=0,0,AQ233/AL233-1)</f>
        <v>0</v>
      </c>
      <c r="AR347" s="35" t="n"/>
      <c r="AS347" s="35" t="n"/>
      <c r="AT347" s="35" t="n"/>
      <c r="AU347" s="35" t="n"/>
      <c r="AV347" s="40">
        <f>IF(AQ233=0,0,AV233/AQ233-1)</f>
        <v>0</v>
      </c>
      <c r="AW347" s="35" t="n"/>
      <c r="AX347" s="35" t="n"/>
      <c r="AY347" s="35" t="n"/>
      <c r="AZ347" s="35" t="n"/>
      <c r="BA347" s="40">
        <f>IF(AV233=0,0,BA233/AV233-1)</f>
        <v>0</v>
      </c>
      <c r="BB347" s="35" t="n"/>
      <c r="BC347" s="35" t="n"/>
      <c r="BD347" s="35" t="n"/>
      <c r="BE347" s="35" t="n"/>
      <c r="BF347" s="40">
        <f>IF(BA233=0,0,BF233/BA233-1)</f>
        <v>0</v>
      </c>
      <c r="BG347" s="35" t="n"/>
      <c r="BH347" s="35" t="n"/>
      <c r="BI347" s="35" t="n"/>
      <c r="BJ347" s="35" t="n"/>
      <c r="BK347" s="40">
        <f>IF(BF233=0,0,BK233/BF233-1)</f>
        <v>0</v>
      </c>
      <c r="BL347" s="35" t="n"/>
      <c r="BM347" s="35" t="n"/>
      <c r="BN347" s="35" t="n"/>
      <c r="BO347" s="35" t="n"/>
      <c r="BP347" s="40">
        <f>IF(BK233=0,0,BP233/BK233-1)</f>
        <v>0</v>
      </c>
      <c r="BQ347" s="35" t="n"/>
      <c r="BR347" s="35" t="n"/>
      <c r="BS347" s="35" t="n"/>
      <c r="BT347" s="35" t="n"/>
      <c r="BU347" s="40">
        <f>IF(BP233=0,0,BU233/BP233-1)</f>
        <v>0</v>
      </c>
      <c r="BV347" s="35" t="n"/>
      <c r="BW347" s="35" t="n"/>
      <c r="BX347" s="35" t="n"/>
      <c r="BY347" s="35" t="n"/>
      <c r="BZ347" s="40">
        <f>IF(BU233=0,0,BZ233/BU233-1)</f>
        <v>0</v>
      </c>
      <c r="CA347" s="35" t="n"/>
      <c r="CB347" s="35" t="n"/>
      <c r="CC347" s="35" t="n"/>
      <c r="CD347" s="35" t="n"/>
      <c r="CE347" s="40">
        <f>IF(BZ233=0,0,CE233/BZ233-1)</f>
        <v>0</v>
      </c>
      <c r="CF347" s="35" t="n"/>
      <c r="CG347" s="35" t="n"/>
      <c r="CH347" s="35" t="n"/>
      <c r="CI347" s="35" t="n"/>
      <c r="CJ347" s="40">
        <f>IF(CE233=0,0,CJ233/CE233-1)</f>
        <v>0</v>
      </c>
      <c r="CK347" s="35" t="n"/>
      <c r="CL347" s="35" t="n"/>
      <c r="CM347" s="35" t="n"/>
      <c r="CN347" s="35" t="n"/>
      <c r="CO347" s="40">
        <f>IF(CJ233=0,0,CO233/CJ233-1)</f>
        <v>0</v>
      </c>
      <c r="CP347" s="35" t="n"/>
      <c r="CQ347" s="35" t="n"/>
      <c r="CR347" s="35" t="n"/>
      <c r="CS347" s="35" t="n"/>
      <c r="CT347" s="40">
        <f>IF(CO233=0,0,CT233/CO233-1)</f>
        <v>0</v>
      </c>
      <c r="CU347" s="35" t="n"/>
      <c r="CV347" s="35" t="n"/>
      <c r="CW347" s="35" t="n"/>
      <c r="CX347" s="35" t="n"/>
      <c r="CY347" s="40">
        <f>IF(CT233=0,0,CY233/CT233-1)</f>
        <v>0</v>
      </c>
    </row>
    <row r="348" hidden="1" outlineLevel="1" customFormat="1" s="39">
      <c r="A348" s="19" t="n"/>
      <c r="B348" s="19" t="n"/>
      <c r="C348" s="34" t="inlineStr">
        <is>
          <t>Dividends (enter as -)</t>
        </is>
      </c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35" t="n"/>
      <c r="AI348" s="35" t="n"/>
      <c r="AJ348" s="35" t="n"/>
      <c r="AK348" s="35" t="n"/>
      <c r="AL348" s="22" t="n"/>
      <c r="AM348" s="35" t="n"/>
      <c r="AN348" s="35" t="n"/>
      <c r="AO348" s="35" t="n"/>
      <c r="AP348" s="35" t="n"/>
      <c r="AQ348" s="22" t="n"/>
      <c r="AR348" s="35" t="n"/>
      <c r="AS348" s="35" t="n"/>
      <c r="AT348" s="35" t="n"/>
      <c r="AU348" s="35" t="n"/>
      <c r="AV348" s="22" t="n"/>
      <c r="AW348" s="35" t="n"/>
      <c r="AX348" s="35" t="n"/>
      <c r="AY348" s="35" t="n"/>
      <c r="AZ348" s="35" t="n"/>
      <c r="BA348" s="22" t="n"/>
      <c r="BB348" s="35" t="n"/>
      <c r="BC348" s="35" t="n"/>
      <c r="BD348" s="35" t="n"/>
      <c r="BE348" s="35" t="n"/>
      <c r="BF348" s="22" t="n"/>
      <c r="BG348" s="35" t="n"/>
      <c r="BH348" s="35" t="n"/>
      <c r="BI348" s="35" t="n"/>
      <c r="BJ348" s="35" t="n"/>
      <c r="BK348" s="22" t="n"/>
      <c r="BL348" s="35" t="n"/>
      <c r="BM348" s="35" t="n"/>
      <c r="BN348" s="35" t="n"/>
      <c r="BO348" s="35" t="n"/>
      <c r="BP348" s="22" t="n"/>
      <c r="BQ348" s="35" t="n"/>
      <c r="BR348" s="35" t="n"/>
      <c r="BS348" s="35" t="n"/>
      <c r="BT348" s="35" t="n"/>
      <c r="BU348" s="22" t="n"/>
      <c r="BV348" s="35" t="n"/>
      <c r="BW348" s="35" t="n"/>
      <c r="BX348" s="35" t="n"/>
      <c r="BY348" s="35" t="n"/>
      <c r="BZ348" s="22" t="n"/>
      <c r="CA348" s="35" t="n"/>
      <c r="CB348" s="35" t="n"/>
      <c r="CC348" s="35" t="n"/>
      <c r="CD348" s="35" t="n"/>
      <c r="CE348" s="22" t="n"/>
      <c r="CF348" s="35" t="n"/>
      <c r="CG348" s="35" t="n"/>
      <c r="CH348" s="35" t="n"/>
      <c r="CI348" s="35" t="n"/>
      <c r="CJ348" s="22" t="n"/>
      <c r="CK348" s="35" t="n"/>
      <c r="CL348" s="35" t="n"/>
      <c r="CM348" s="35" t="n"/>
      <c r="CN348" s="35" t="n"/>
      <c r="CO348" s="22" t="n"/>
      <c r="CP348" s="35" t="n"/>
      <c r="CQ348" s="35" t="n"/>
      <c r="CR348" s="35" t="n"/>
      <c r="CS348" s="35" t="n"/>
      <c r="CT348" s="22" t="n"/>
      <c r="CU348" s="35" t="n"/>
      <c r="CV348" s="35" t="n"/>
      <c r="CW348" s="35" t="n"/>
      <c r="CX348" s="35" t="n"/>
      <c r="CY348" s="22" t="n"/>
    </row>
    <row r="349" hidden="1" outlineLevel="1" customFormat="1" s="39">
      <c r="A349" s="19" t="n"/>
      <c r="B349" s="19" t="n"/>
      <c r="C349" s="38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</row>
    <row r="350" collapsed="1">
      <c r="C350" s="26" t="inlineStr">
        <is>
          <t>Convertible Preferred Stock</t>
        </is>
      </c>
      <c r="D350" s="25" t="n"/>
      <c r="E350" s="25" t="n"/>
      <c r="F350" s="25" t="n"/>
      <c r="G350" s="25" t="n"/>
      <c r="H350" s="3">
        <f>G350</f>
        <v>0</v>
      </c>
      <c r="I350" s="25" t="n"/>
      <c r="J350" s="25" t="n"/>
      <c r="K350" s="25" t="n"/>
      <c r="L350" s="25" t="n"/>
      <c r="M350" s="3">
        <f>L350</f>
        <v>0</v>
      </c>
      <c r="N350" s="25" t="n"/>
      <c r="O350" s="25" t="n"/>
      <c r="P350" s="25" t="n"/>
      <c r="Q350" s="25" t="n"/>
      <c r="R350" s="3">
        <f>Q350</f>
        <v>0</v>
      </c>
      <c r="S350" s="25" t="n"/>
      <c r="T350" s="25" t="n"/>
      <c r="U350" s="25" t="n"/>
      <c r="V350" s="25" t="n"/>
      <c r="W350" s="3">
        <f>V350</f>
        <v>0</v>
      </c>
      <c r="X350" s="25" t="n"/>
      <c r="Y350" s="25" t="n"/>
      <c r="Z350" s="25" t="n"/>
      <c r="AA350" s="25" t="n"/>
      <c r="AB350" s="3">
        <f>AA350</f>
        <v>0</v>
      </c>
      <c r="AC350" s="25" t="n"/>
      <c r="AD350" s="25" t="n"/>
      <c r="AE350" s="25" t="n"/>
      <c r="AF350" s="25" t="n"/>
      <c r="AG350" s="3">
        <f>AF350</f>
        <v>0</v>
      </c>
      <c r="AH350" s="3">
        <f>AG350</f>
        <v>0</v>
      </c>
      <c r="AI350" s="3">
        <f>AH350</f>
        <v>0</v>
      </c>
      <c r="AJ350" s="3">
        <f>AI350</f>
        <v>0</v>
      </c>
      <c r="AK350" s="3">
        <f>AJ350</f>
        <v>0</v>
      </c>
      <c r="AL350" s="3">
        <f>AK350</f>
        <v>0</v>
      </c>
      <c r="AM350" s="3">
        <f>AL350</f>
        <v>0</v>
      </c>
      <c r="AN350" s="3">
        <f>AM350</f>
        <v>0</v>
      </c>
      <c r="AO350" s="3">
        <f>AN350</f>
        <v>0</v>
      </c>
      <c r="AP350" s="3">
        <f>AO350</f>
        <v>0</v>
      </c>
      <c r="AQ350" s="3">
        <f>AP350</f>
        <v>0</v>
      </c>
      <c r="AR350" s="3">
        <f>AQ350</f>
        <v>0</v>
      </c>
      <c r="AS350" s="3">
        <f>AR350</f>
        <v>0</v>
      </c>
      <c r="AT350" s="3">
        <f>AS350</f>
        <v>0</v>
      </c>
      <c r="AU350" s="3">
        <f>AT350</f>
        <v>0</v>
      </c>
      <c r="AV350" s="3">
        <f>AU350</f>
        <v>0</v>
      </c>
      <c r="AW350" s="3">
        <f>AV350</f>
        <v>0</v>
      </c>
      <c r="AX350" s="3">
        <f>AW350</f>
        <v>0</v>
      </c>
      <c r="AY350" s="3">
        <f>AX350</f>
        <v>0</v>
      </c>
      <c r="AZ350" s="3">
        <f>AY350</f>
        <v>0</v>
      </c>
      <c r="BA350" s="3">
        <f>AZ350</f>
        <v>0</v>
      </c>
      <c r="BB350" s="3">
        <f>BA350</f>
        <v>0</v>
      </c>
      <c r="BC350" s="3">
        <f>BB350</f>
        <v>0</v>
      </c>
      <c r="BD350" s="3">
        <f>BC350</f>
        <v>0</v>
      </c>
      <c r="BE350" s="3">
        <f>BD350</f>
        <v>0</v>
      </c>
      <c r="BF350" s="3">
        <f>BE350</f>
        <v>0</v>
      </c>
      <c r="BG350" s="3">
        <f>BF350</f>
        <v>0</v>
      </c>
      <c r="BH350" s="3">
        <f>BG350</f>
        <v>0</v>
      </c>
      <c r="BI350" s="3">
        <f>BH350</f>
        <v>0</v>
      </c>
      <c r="BJ350" s="3">
        <f>BI350</f>
        <v>0</v>
      </c>
      <c r="BK350" s="3">
        <f>BJ350</f>
        <v>0</v>
      </c>
      <c r="BL350" s="3">
        <f>BK350</f>
        <v>0</v>
      </c>
      <c r="BM350" s="3">
        <f>BL350</f>
        <v>0</v>
      </c>
      <c r="BN350" s="3">
        <f>BM350</f>
        <v>0</v>
      </c>
      <c r="BO350" s="3">
        <f>BN350</f>
        <v>0</v>
      </c>
      <c r="BP350" s="3">
        <f>BO350</f>
        <v>0</v>
      </c>
      <c r="BQ350" s="3">
        <f>BP350</f>
        <v>0</v>
      </c>
      <c r="BR350" s="3">
        <f>BQ350</f>
        <v>0</v>
      </c>
      <c r="BS350" s="3">
        <f>BR350</f>
        <v>0</v>
      </c>
      <c r="BT350" s="3">
        <f>BS350</f>
        <v>0</v>
      </c>
      <c r="BU350" s="3">
        <f>BT350</f>
        <v>0</v>
      </c>
      <c r="BV350" s="3">
        <f>BU350</f>
        <v>0</v>
      </c>
      <c r="BW350" s="3">
        <f>BV350</f>
        <v>0</v>
      </c>
      <c r="BX350" s="3">
        <f>BW350</f>
        <v>0</v>
      </c>
      <c r="BY350" s="3">
        <f>BX350</f>
        <v>0</v>
      </c>
      <c r="BZ350" s="3">
        <f>BY350</f>
        <v>0</v>
      </c>
      <c r="CA350" s="3">
        <f>BZ350</f>
        <v>0</v>
      </c>
      <c r="CB350" s="3">
        <f>CA350</f>
        <v>0</v>
      </c>
      <c r="CC350" s="3">
        <f>CB350</f>
        <v>0</v>
      </c>
      <c r="CD350" s="3">
        <f>CC350</f>
        <v>0</v>
      </c>
      <c r="CE350" s="3">
        <f>CD350</f>
        <v>0</v>
      </c>
      <c r="CF350" s="3">
        <f>CE350</f>
        <v>0</v>
      </c>
      <c r="CG350" s="3">
        <f>CF350</f>
        <v>0</v>
      </c>
      <c r="CH350" s="3">
        <f>CG350</f>
        <v>0</v>
      </c>
      <c r="CI350" s="3">
        <f>CH350</f>
        <v>0</v>
      </c>
      <c r="CJ350" s="3">
        <f>CI350</f>
        <v>0</v>
      </c>
      <c r="CK350" s="3">
        <f>CJ350</f>
        <v>0</v>
      </c>
      <c r="CL350" s="3">
        <f>CK350</f>
        <v>0</v>
      </c>
      <c r="CM350" s="3">
        <f>CL350</f>
        <v>0</v>
      </c>
      <c r="CN350" s="3">
        <f>CM350</f>
        <v>0</v>
      </c>
      <c r="CO350" s="3">
        <f>CN350</f>
        <v>0</v>
      </c>
      <c r="CP350" s="3">
        <f>CO350</f>
        <v>0</v>
      </c>
      <c r="CQ350" s="3">
        <f>CP350</f>
        <v>0</v>
      </c>
      <c r="CR350" s="3">
        <f>CQ350</f>
        <v>0</v>
      </c>
      <c r="CS350" s="3">
        <f>CR350</f>
        <v>0</v>
      </c>
      <c r="CT350" s="3">
        <f>CS350</f>
        <v>0</v>
      </c>
      <c r="CU350" s="3">
        <f>CT350</f>
        <v>0</v>
      </c>
      <c r="CV350" s="3">
        <f>CU350</f>
        <v>0</v>
      </c>
      <c r="CW350" s="3">
        <f>CV350</f>
        <v>0</v>
      </c>
      <c r="CX350" s="3">
        <f>CW350</f>
        <v>0</v>
      </c>
      <c r="CY350" s="3">
        <f>CX350</f>
        <v>0</v>
      </c>
    </row>
    <row r="351">
      <c r="C351" s="24" t="inlineStr">
        <is>
          <t>Common Stock and APIC</t>
        </is>
      </c>
      <c r="D351" s="25">
        <f>INDEX('Inputs (2)'!$D$43:$AL$43,MATCH(D$7,'Inputs (2)'!$D$2:$AL$2,0))</f>
        <v>2932.221</v>
      </c>
      <c r="E351" s="25">
        <f>INDEX('Inputs (2)'!$D$43:$AL$43,MATCH(E$7,'Inputs (2)'!$D$2:$AL$2,0))</f>
        <v>2932.221</v>
      </c>
      <c r="F351" s="25">
        <f>INDEX('Inputs (2)'!$D$43:$AL$43,MATCH(F$7,'Inputs (2)'!$D$2:$AL$2,0))</f>
        <v>2936.252</v>
      </c>
      <c r="G351" s="25">
        <f>INDEX('Inputs (2)'!$D$43:$AL$43,MATCH(G$7,'Inputs (2)'!$D$2:$AL$2,0))</f>
        <v>2937.286</v>
      </c>
      <c r="H351" s="3">
        <f>G351</f>
        <v>2937.286</v>
      </c>
      <c r="I351" s="25">
        <f>INDEX('Inputs (2)'!$D$43:$AL$43,MATCH(I$7,'Inputs (2)'!$D$2:$AL$2,0))</f>
        <v>2937.286</v>
      </c>
      <c r="J351" s="25">
        <f>INDEX('Inputs (2)'!$D$43:$AL$43,MATCH(J$7,'Inputs (2)'!$D$2:$AL$2,0))</f>
        <v>2937.286</v>
      </c>
      <c r="K351" s="25">
        <f>INDEX('Inputs (2)'!$D$43:$AL$43,MATCH(K$7,'Inputs (2)'!$D$2:$AL$2,0))</f>
        <v>2918.42</v>
      </c>
      <c r="L351" s="25">
        <f>INDEX('Inputs (2)'!$D$43:$AL$43,MATCH(L$7,'Inputs (2)'!$D$2:$AL$2,0))</f>
        <v>2998.03</v>
      </c>
      <c r="M351" s="3">
        <f>L351</f>
        <v>2998.03</v>
      </c>
      <c r="N351" s="25">
        <f>INDEX('Inputs (2)'!$D$43:$AL$43,MATCH(N$7,'Inputs (2)'!$D$2:$AL$2,0))</f>
        <v>3135.312</v>
      </c>
      <c r="O351" s="25">
        <f>INDEX('Inputs (2)'!$D$43:$AL$43,MATCH(O$7,'Inputs (2)'!$D$2:$AL$2,0))</f>
        <v>3135.312</v>
      </c>
      <c r="P351" s="25">
        <f>INDEX('Inputs (2)'!$D$43:$AL$43,MATCH(P$7,'Inputs (2)'!$D$2:$AL$2,0))</f>
        <v>2933.737</v>
      </c>
      <c r="Q351" s="25">
        <f>INDEX('Inputs (2)'!$D$43:$AL$43,MATCH(Q$7,'Inputs (2)'!$D$2:$AL$2,0))</f>
        <v>2933.737</v>
      </c>
      <c r="R351" s="3">
        <f>Q351</f>
        <v>2933.737</v>
      </c>
      <c r="S351" s="25">
        <f>INDEX('Inputs (2)'!$D$43:$AL$43,MATCH(S$7,'Inputs (2)'!$D$2:$AL$2,0))</f>
        <v>2933.737</v>
      </c>
      <c r="T351" s="25">
        <f>INDEX('Inputs (2)'!$D$43:$AL$43,MATCH(T$7,'Inputs (2)'!$D$2:$AL$2,0))</f>
        <v>3312.918</v>
      </c>
      <c r="U351" s="25">
        <f>INDEX('Inputs (2)'!$D$43:$AL$43,MATCH(U$7,'Inputs (2)'!$D$2:$AL$2,0))</f>
        <v>3312.918</v>
      </c>
      <c r="V351" s="25">
        <f>INDEX('Inputs (2)'!$D$43:$AL$43,MATCH(V$7,'Inputs (2)'!$D$2:$AL$2,0))</f>
        <v>3312.918</v>
      </c>
      <c r="W351" s="3">
        <f>V351</f>
        <v>3312.918</v>
      </c>
      <c r="X351" s="25">
        <f>INDEX('Inputs (2)'!$D$43:$AL$43,MATCH(X$7,'Inputs (2)'!$D$2:$AL$2,0))</f>
        <v>3312.918</v>
      </c>
      <c r="Y351" s="25">
        <f>INDEX('Inputs (2)'!$D$43:$AL$43,MATCH(Y$7,'Inputs (2)'!$D$2:$AL$2,0))</f>
        <v>3675.703</v>
      </c>
      <c r="Z351" s="25">
        <f>INDEX('Inputs (2)'!$D$43:$AL$43,MATCH(Z$7,'Inputs (2)'!$D$2:$AL$2,0))</f>
        <v>3675.703</v>
      </c>
      <c r="AA351" s="25">
        <f>INDEX('Inputs (2)'!$D$43:$AL$43,MATCH(AA$7,'Inputs (2)'!$D$2:$AL$2,0))</f>
        <v>3675.703</v>
      </c>
      <c r="AB351" s="3">
        <f>AA351</f>
        <v>3675.703</v>
      </c>
      <c r="AC351" s="25">
        <f>INDEX('Inputs (2)'!$D$43:$AL$43,MATCH(AC$7,'Inputs (2)'!$D$2:$AL$2,0))</f>
        <v>3675.703</v>
      </c>
      <c r="AD351" s="25">
        <f>INDEX('Inputs (2)'!$D$43:$AL$43,MATCH(AD$7,'Inputs (2)'!$D$2:$AL$2,0))</f>
        <v>4025.234</v>
      </c>
      <c r="AE351" s="25">
        <f>INDEX('Inputs (2)'!$D$43:$AL$43,MATCH(AE$7,'Inputs (2)'!$D$2:$AL$2,0))</f>
        <v>4025.234</v>
      </c>
      <c r="AF351" s="25">
        <f>INDEX('Inputs (2)'!$D$43:$AL$43,MATCH(AF$7,'Inputs (2)'!$D$2:$AL$2,0))</f>
        <v>4025.234</v>
      </c>
      <c r="AG351" s="3">
        <f>AF351</f>
        <v>4025.234</v>
      </c>
      <c r="AH351" s="3">
        <f>INDEX('Inputs (2)'!$D$43:$AL$43,MATCH(AH$7,'Inputs (2)'!$D$2:$AL$2,0))</f>
        <v>4025.234</v>
      </c>
      <c r="AI351" s="3">
        <f>INDEX('Inputs (2)'!$D$43:$AL$43,MATCH(AI$7,'Inputs (2)'!$D$2:$AL$2,0))</f>
        <v>4025.234</v>
      </c>
      <c r="AJ351" s="3">
        <f>AI351+AJ355</f>
        <v>4025.234</v>
      </c>
      <c r="AK351" s="3">
        <f>AJ351+AK355</f>
        <v>4025.234</v>
      </c>
      <c r="AL351" s="3">
        <f>AK351</f>
        <v>4025.234</v>
      </c>
      <c r="AM351" s="3">
        <f>AL351+AM355</f>
        <v>4025.234</v>
      </c>
      <c r="AN351" s="3">
        <f>AM351+AN355</f>
        <v>4025.234</v>
      </c>
      <c r="AO351" s="3">
        <f>AN351+AO355</f>
        <v>4025.234</v>
      </c>
      <c r="AP351" s="3">
        <f>AO351+AP355</f>
        <v>4025.234</v>
      </c>
      <c r="AQ351" s="3">
        <f>AP351</f>
        <v>4025.234</v>
      </c>
      <c r="AR351" s="3">
        <f>AQ351+AR355</f>
        <v>4025.234</v>
      </c>
      <c r="AS351" s="3">
        <f>AR351+AS355</f>
        <v>4025.234</v>
      </c>
      <c r="AT351" s="3">
        <f>AS351+AT355</f>
        <v>4025.234</v>
      </c>
      <c r="AU351" s="3">
        <f>AT351+AU355</f>
        <v>4025.234</v>
      </c>
      <c r="AV351" s="3">
        <f>AU351</f>
        <v>4025.234</v>
      </c>
      <c r="AW351" s="3">
        <f>AV351+AW355</f>
        <v>4025.234</v>
      </c>
      <c r="AX351" s="3">
        <f>AW351+AX355</f>
        <v>4025.234</v>
      </c>
      <c r="AY351" s="3">
        <f>AX351+AY355</f>
        <v>4025.234</v>
      </c>
      <c r="AZ351" s="3">
        <f>AY351+AZ355</f>
        <v>4025.234</v>
      </c>
      <c r="BA351" s="3">
        <f>AZ351</f>
        <v>4025.234</v>
      </c>
      <c r="BB351" s="3">
        <f>BA351+BB355</f>
        <v>4025.234</v>
      </c>
      <c r="BC351" s="3">
        <f>BB351+BC355</f>
        <v>4025.234</v>
      </c>
      <c r="BD351" s="3">
        <f>BC351+BD355</f>
        <v>4025.234</v>
      </c>
      <c r="BE351" s="3">
        <f>BD351+BE355</f>
        <v>4025.234</v>
      </c>
      <c r="BF351" s="3">
        <f>BE351</f>
        <v>4025.234</v>
      </c>
      <c r="BG351" s="3">
        <f>BF351+BG355</f>
        <v>4025.234</v>
      </c>
      <c r="BH351" s="3">
        <f>BG351+BH355</f>
        <v>4025.234</v>
      </c>
      <c r="BI351" s="3">
        <f>BH351+BI355</f>
        <v>4025.234</v>
      </c>
      <c r="BJ351" s="3">
        <f>BI351+BJ355</f>
        <v>4025.234</v>
      </c>
      <c r="BK351" s="3">
        <f>BJ351</f>
        <v>4025.234</v>
      </c>
      <c r="BL351" s="3">
        <f>BK351+BL355</f>
        <v>4025.234</v>
      </c>
      <c r="BM351" s="3">
        <f>BL351+BM355</f>
        <v>4025.234</v>
      </c>
      <c r="BN351" s="3">
        <f>BM351+BN355</f>
        <v>4025.234</v>
      </c>
      <c r="BO351" s="3">
        <f>BN351+BO355</f>
        <v>4025.234</v>
      </c>
      <c r="BP351" s="3">
        <f>BO351</f>
        <v>4025.234</v>
      </c>
      <c r="BQ351" s="3">
        <f>BP351+BQ355</f>
        <v>4025.234</v>
      </c>
      <c r="BR351" s="3">
        <f>BQ351+BR355</f>
        <v>4025.234</v>
      </c>
      <c r="BS351" s="3">
        <f>BR351+BS355</f>
        <v>4025.234</v>
      </c>
      <c r="BT351" s="3">
        <f>BS351+BT355</f>
        <v>4025.234</v>
      </c>
      <c r="BU351" s="3">
        <f>BT351</f>
        <v>4025.234</v>
      </c>
      <c r="BV351" s="3">
        <f>BU351+BV355</f>
        <v>4025.234</v>
      </c>
      <c r="BW351" s="3">
        <f>BV351+BW355</f>
        <v>4025.234</v>
      </c>
      <c r="BX351" s="3">
        <f>BW351+BX355</f>
        <v>4025.234</v>
      </c>
      <c r="BY351" s="3">
        <f>BX351+BY355</f>
        <v>4025.234</v>
      </c>
      <c r="BZ351" s="3">
        <f>BY351</f>
        <v>4025.234</v>
      </c>
      <c r="CA351" s="3">
        <f>BZ351+CA355</f>
        <v>4025.234</v>
      </c>
      <c r="CB351" s="3">
        <f>CA351+CB355</f>
        <v>4025.234</v>
      </c>
      <c r="CC351" s="3">
        <f>CB351+CC355</f>
        <v>4025.234</v>
      </c>
      <c r="CD351" s="3">
        <f>CC351+CD355</f>
        <v>4025.234</v>
      </c>
      <c r="CE351" s="3">
        <f>CD351</f>
        <v>4025.234</v>
      </c>
      <c r="CF351" s="3">
        <f>CE351+CF355</f>
        <v>4025.234</v>
      </c>
      <c r="CG351" s="3">
        <f>CF351+CG355</f>
        <v>4025.234</v>
      </c>
      <c r="CH351" s="3">
        <f>CG351+CH355</f>
        <v>4025.234</v>
      </c>
      <c r="CI351" s="3">
        <f>CH351+CI355</f>
        <v>4025.234</v>
      </c>
      <c r="CJ351" s="3">
        <f>CI351</f>
        <v>4025.234</v>
      </c>
      <c r="CK351" s="3">
        <f>CJ351+CK355</f>
        <v>4025.234</v>
      </c>
      <c r="CL351" s="3">
        <f>CK351+CL355</f>
        <v>4025.234</v>
      </c>
      <c r="CM351" s="3">
        <f>CL351+CM355</f>
        <v>4025.234</v>
      </c>
      <c r="CN351" s="3">
        <f>CM351+CN355</f>
        <v>4025.234</v>
      </c>
      <c r="CO351" s="3">
        <f>CN351</f>
        <v>4025.234</v>
      </c>
      <c r="CP351" s="3">
        <f>CO351+CP355</f>
        <v>4025.234</v>
      </c>
      <c r="CQ351" s="3">
        <f>CP351+CQ355</f>
        <v>4025.234</v>
      </c>
      <c r="CR351" s="3">
        <f>CQ351+CR355</f>
        <v>4025.234</v>
      </c>
      <c r="CS351" s="3">
        <f>CR351+CS355</f>
        <v>4025.234</v>
      </c>
      <c r="CT351" s="3">
        <f>CS351</f>
        <v>4025.234</v>
      </c>
      <c r="CU351" s="3">
        <f>CT351+CU355</f>
        <v>4025.234</v>
      </c>
      <c r="CV351" s="3">
        <f>CU351+CV355</f>
        <v>4025.234</v>
      </c>
      <c r="CW351" s="3">
        <f>CV351+CW355</f>
        <v>4025.234</v>
      </c>
      <c r="CX351" s="3">
        <f>CW351+CX355</f>
        <v>4025.234</v>
      </c>
      <c r="CY351" s="3">
        <f>CX351</f>
        <v>4025.234</v>
      </c>
    </row>
    <row r="352" hidden="1" outlineLevel="1" customFormat="1" s="39">
      <c r="A352" s="19" t="n"/>
      <c r="B352" s="19" t="n"/>
      <c r="C352" s="41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</row>
    <row r="353" hidden="1" outlineLevel="1" customFormat="1" s="39">
      <c r="A353" s="19" t="n"/>
      <c r="B353" s="19" t="n"/>
      <c r="C353" s="41" t="inlineStr">
        <is>
          <t>Diluted Shares outstanding</t>
        </is>
      </c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</row>
    <row r="354" hidden="1" outlineLevel="1" customFormat="1" s="39">
      <c r="A354" s="19" t="n"/>
      <c r="B354" s="19" t="n"/>
      <c r="C354" s="41" t="inlineStr">
        <is>
          <t>Treasury share $ repurchases</t>
        </is>
      </c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6" t="n"/>
      <c r="AI354" s="6" t="n"/>
      <c r="AJ354" s="6" t="n"/>
      <c r="AK354" s="6" t="n"/>
      <c r="AL354" s="22" t="n"/>
      <c r="AM354" s="6" t="n"/>
      <c r="AN354" s="6" t="n"/>
      <c r="AO354" s="6" t="n"/>
      <c r="AP354" s="6" t="n"/>
      <c r="AQ354" s="22" t="n"/>
      <c r="AR354" s="6" t="n"/>
      <c r="AS354" s="6" t="n"/>
      <c r="AT354" s="6" t="n"/>
      <c r="AU354" s="6" t="n"/>
      <c r="AV354" s="22" t="n"/>
      <c r="AW354" s="6" t="n"/>
      <c r="AX354" s="6" t="n"/>
      <c r="AY354" s="6" t="n"/>
      <c r="AZ354" s="6" t="n"/>
      <c r="BA354" s="22" t="n"/>
      <c r="BB354" s="6" t="n"/>
      <c r="BC354" s="6" t="n"/>
      <c r="BD354" s="6" t="n"/>
      <c r="BE354" s="6" t="n"/>
      <c r="BF354" s="22" t="n"/>
      <c r="BG354" s="6" t="n"/>
      <c r="BH354" s="6" t="n"/>
      <c r="BI354" s="6" t="n"/>
      <c r="BJ354" s="6" t="n"/>
      <c r="BK354" s="22" t="n"/>
      <c r="BL354" s="6" t="n"/>
      <c r="BM354" s="6" t="n"/>
      <c r="BN354" s="6" t="n"/>
      <c r="BO354" s="6" t="n"/>
      <c r="BP354" s="22" t="n"/>
      <c r="BQ354" s="6" t="n"/>
      <c r="BR354" s="6" t="n"/>
      <c r="BS354" s="6" t="n"/>
      <c r="BT354" s="6" t="n"/>
      <c r="BU354" s="22" t="n"/>
      <c r="BV354" s="6" t="n"/>
      <c r="BW354" s="6" t="n"/>
      <c r="BX354" s="6" t="n"/>
      <c r="BY354" s="6" t="n"/>
      <c r="BZ354" s="22" t="n"/>
      <c r="CA354" s="6" t="n"/>
      <c r="CB354" s="6" t="n"/>
      <c r="CC354" s="6" t="n"/>
      <c r="CD354" s="6" t="n"/>
      <c r="CE354" s="22" t="n"/>
      <c r="CF354" s="6" t="n"/>
      <c r="CG354" s="6" t="n"/>
      <c r="CH354" s="6" t="n"/>
      <c r="CI354" s="6" t="n"/>
      <c r="CJ354" s="22" t="n"/>
      <c r="CK354" s="6" t="n"/>
      <c r="CL354" s="6" t="n"/>
      <c r="CM354" s="6" t="n"/>
      <c r="CN354" s="6" t="n"/>
      <c r="CO354" s="22" t="n"/>
      <c r="CP354" s="6" t="n"/>
      <c r="CQ354" s="6" t="n"/>
      <c r="CR354" s="6" t="n"/>
      <c r="CS354" s="6" t="n"/>
      <c r="CT354" s="22" t="n"/>
      <c r="CU354" s="6" t="n"/>
      <c r="CV354" s="6" t="n"/>
      <c r="CW354" s="6" t="n"/>
      <c r="CX354" s="6" t="n"/>
      <c r="CY354" s="22" t="n"/>
    </row>
    <row r="355" hidden="1" outlineLevel="1" customFormat="1" s="39">
      <c r="A355" s="19" t="n"/>
      <c r="B355" s="19" t="n"/>
      <c r="C355" s="41" t="inlineStr">
        <is>
          <t>Value of shares issued</t>
        </is>
      </c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6" t="n"/>
      <c r="AI355" s="6" t="n"/>
      <c r="AJ355" s="6" t="n"/>
      <c r="AK355" s="6" t="n"/>
      <c r="AL355" s="22" t="n"/>
      <c r="AM355" s="6" t="n"/>
      <c r="AN355" s="6" t="n"/>
      <c r="AO355" s="6" t="n"/>
      <c r="AP355" s="6" t="n"/>
      <c r="AQ355" s="22" t="n"/>
      <c r="AR355" s="6" t="n"/>
      <c r="AS355" s="6" t="n"/>
      <c r="AT355" s="6" t="n"/>
      <c r="AU355" s="6" t="n"/>
      <c r="AV355" s="22" t="n"/>
      <c r="AW355" s="6" t="n"/>
      <c r="AX355" s="6" t="n"/>
      <c r="AY355" s="6" t="n"/>
      <c r="AZ355" s="6" t="n"/>
      <c r="BA355" s="22" t="n"/>
      <c r="BB355" s="6" t="n"/>
      <c r="BC355" s="6" t="n"/>
      <c r="BD355" s="6" t="n"/>
      <c r="BE355" s="6" t="n"/>
      <c r="BF355" s="22" t="n"/>
      <c r="BG355" s="6" t="n"/>
      <c r="BH355" s="6" t="n"/>
      <c r="BI355" s="6" t="n"/>
      <c r="BJ355" s="6" t="n"/>
      <c r="BK355" s="22" t="n"/>
      <c r="BL355" s="6" t="n"/>
      <c r="BM355" s="6" t="n"/>
      <c r="BN355" s="6" t="n"/>
      <c r="BO355" s="6" t="n"/>
      <c r="BP355" s="22" t="n"/>
      <c r="BQ355" s="6" t="n"/>
      <c r="BR355" s="6" t="n"/>
      <c r="BS355" s="6" t="n"/>
      <c r="BT355" s="6" t="n"/>
      <c r="BU355" s="22" t="n"/>
      <c r="BV355" s="6" t="n"/>
      <c r="BW355" s="6" t="n"/>
      <c r="BX355" s="6" t="n"/>
      <c r="BY355" s="6" t="n"/>
      <c r="BZ355" s="22" t="n"/>
      <c r="CA355" s="6" t="n"/>
      <c r="CB355" s="6" t="n"/>
      <c r="CC355" s="6" t="n"/>
      <c r="CD355" s="6" t="n"/>
      <c r="CE355" s="22" t="n"/>
      <c r="CF355" s="6" t="n"/>
      <c r="CG355" s="6" t="n"/>
      <c r="CH355" s="6" t="n"/>
      <c r="CI355" s="6" t="n"/>
      <c r="CJ355" s="22" t="n"/>
      <c r="CK355" s="6" t="n"/>
      <c r="CL355" s="6" t="n"/>
      <c r="CM355" s="6" t="n"/>
      <c r="CN355" s="6" t="n"/>
      <c r="CO355" s="22" t="n"/>
      <c r="CP355" s="6" t="n"/>
      <c r="CQ355" s="6" t="n"/>
      <c r="CR355" s="6" t="n"/>
      <c r="CS355" s="6" t="n"/>
      <c r="CT355" s="22" t="n"/>
      <c r="CU355" s="6" t="n"/>
      <c r="CV355" s="6" t="n"/>
      <c r="CW355" s="6" t="n"/>
      <c r="CX355" s="6" t="n"/>
      <c r="CY355" s="22" t="n"/>
    </row>
    <row r="356" hidden="1" outlineLevel="1" customFormat="1" s="39">
      <c r="A356" s="19" t="n"/>
      <c r="B356" s="19" t="n"/>
      <c r="C356" s="41" t="inlineStr">
        <is>
          <t>Expected average share price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51" t="n"/>
      <c r="AH356" s="42">
        <f>AG356*(1+AH357)</f>
        <v>0</v>
      </c>
      <c r="AI356" s="42">
        <f>AH356*(1+AI357)</f>
        <v>0</v>
      </c>
      <c r="AJ356" s="42">
        <f>AI356*(1+AJ357)</f>
        <v>0</v>
      </c>
      <c r="AK356" s="42">
        <f>AJ356*(1+AK357)</f>
        <v>0</v>
      </c>
      <c r="AL356" s="22" t="n"/>
      <c r="AM356" s="42">
        <f>AK356*(1+AM357)</f>
        <v>0</v>
      </c>
      <c r="AN356" s="42">
        <f>AM356*(1+AN357)</f>
        <v>0</v>
      </c>
      <c r="AO356" s="42">
        <f>AN356*(1+AO357)</f>
        <v>0</v>
      </c>
      <c r="AP356" s="42">
        <f>AO356*(1+AP357)</f>
        <v>0</v>
      </c>
      <c r="AQ356" s="22" t="n"/>
      <c r="AR356" s="42">
        <f>AP356*(1+AR357)</f>
        <v>0</v>
      </c>
      <c r="AS356" s="42">
        <f>AR356*(1+AS357)</f>
        <v>0</v>
      </c>
      <c r="AT356" s="42">
        <f>AS356*(1+AT357)</f>
        <v>0</v>
      </c>
      <c r="AU356" s="42">
        <f>AT356*(1+AU357)</f>
        <v>0</v>
      </c>
      <c r="AV356" s="22" t="n"/>
      <c r="AW356" s="42">
        <f>AU356*(1+AW357)</f>
        <v>0</v>
      </c>
      <c r="AX356" s="42">
        <f>AW356*(1+AX357)</f>
        <v>0</v>
      </c>
      <c r="AY356" s="42">
        <f>AX356*(1+AY357)</f>
        <v>0</v>
      </c>
      <c r="AZ356" s="42">
        <f>AY356*(1+AZ357)</f>
        <v>0</v>
      </c>
      <c r="BA356" s="22" t="n"/>
      <c r="BB356" s="42">
        <f>AZ356*(1+BB357)</f>
        <v>0</v>
      </c>
      <c r="BC356" s="42">
        <f>BB356*(1+BC357)</f>
        <v>0</v>
      </c>
      <c r="BD356" s="42">
        <f>BC356*(1+BD357)</f>
        <v>0</v>
      </c>
      <c r="BE356" s="42">
        <f>BD356*(1+BE357)</f>
        <v>0</v>
      </c>
      <c r="BF356" s="22" t="n"/>
      <c r="BG356" s="42">
        <f>BE356*(1+BG357)</f>
        <v>0</v>
      </c>
      <c r="BH356" s="42">
        <f>BG356*(1+BH357)</f>
        <v>0</v>
      </c>
      <c r="BI356" s="42">
        <f>BH356*(1+BI357)</f>
        <v>0</v>
      </c>
      <c r="BJ356" s="42">
        <f>BI356*(1+BJ357)</f>
        <v>0</v>
      </c>
      <c r="BK356" s="22" t="n"/>
      <c r="BL356" s="42">
        <f>BJ356*(1+BL357)</f>
        <v>0</v>
      </c>
      <c r="BM356" s="42">
        <f>BL356*(1+BM357)</f>
        <v>0</v>
      </c>
      <c r="BN356" s="42">
        <f>BM356*(1+BN357)</f>
        <v>0</v>
      </c>
      <c r="BO356" s="42">
        <f>BN356*(1+BO357)</f>
        <v>0</v>
      </c>
      <c r="BP356" s="22" t="n"/>
      <c r="BQ356" s="42">
        <f>BO356*(1+BQ357)</f>
        <v>0</v>
      </c>
      <c r="BR356" s="42">
        <f>BQ356*(1+BR357)</f>
        <v>0</v>
      </c>
      <c r="BS356" s="42">
        <f>BR356*(1+BS357)</f>
        <v>0</v>
      </c>
      <c r="BT356" s="42">
        <f>BS356*(1+BT357)</f>
        <v>0</v>
      </c>
      <c r="BU356" s="22" t="n"/>
      <c r="BV356" s="42">
        <f>BT356*(1+BV357)</f>
        <v>0</v>
      </c>
      <c r="BW356" s="42">
        <f>BV356*(1+BW357)</f>
        <v>0</v>
      </c>
      <c r="BX356" s="42">
        <f>BW356*(1+BX357)</f>
        <v>0</v>
      </c>
      <c r="BY356" s="42">
        <f>BX356*(1+BY357)</f>
        <v>0</v>
      </c>
      <c r="BZ356" s="22" t="n"/>
      <c r="CA356" s="42">
        <f>BY356*(1+CA357)</f>
        <v>0</v>
      </c>
      <c r="CB356" s="42">
        <f>CA356*(1+CB357)</f>
        <v>0</v>
      </c>
      <c r="CC356" s="42">
        <f>CB356*(1+CC357)</f>
        <v>0</v>
      </c>
      <c r="CD356" s="42">
        <f>CC356*(1+CD357)</f>
        <v>0</v>
      </c>
      <c r="CE356" s="22" t="n"/>
      <c r="CF356" s="42">
        <f>CD356*(1+CF357)</f>
        <v>0</v>
      </c>
      <c r="CG356" s="42">
        <f>CF356*(1+CG357)</f>
        <v>0</v>
      </c>
      <c r="CH356" s="42">
        <f>CG356*(1+CH357)</f>
        <v>0</v>
      </c>
      <c r="CI356" s="42">
        <f>CH356*(1+CI357)</f>
        <v>0</v>
      </c>
      <c r="CJ356" s="22" t="n"/>
      <c r="CK356" s="42">
        <f>CI356*(1+CK357)</f>
        <v>0</v>
      </c>
      <c r="CL356" s="42">
        <f>CK356*(1+CL357)</f>
        <v>0</v>
      </c>
      <c r="CM356" s="42">
        <f>CL356*(1+CM357)</f>
        <v>0</v>
      </c>
      <c r="CN356" s="42">
        <f>CM356*(1+CN357)</f>
        <v>0</v>
      </c>
      <c r="CO356" s="22" t="n"/>
      <c r="CP356" s="42">
        <f>CN356*(1+CP357)</f>
        <v>0</v>
      </c>
      <c r="CQ356" s="42">
        <f>CP356*(1+CQ357)</f>
        <v>0</v>
      </c>
      <c r="CR356" s="42">
        <f>CQ356*(1+CR357)</f>
        <v>0</v>
      </c>
      <c r="CS356" s="42">
        <f>CR356*(1+CS357)</f>
        <v>0</v>
      </c>
      <c r="CT356" s="22" t="n"/>
      <c r="CU356" s="42">
        <f>CS356*(1+CU357)</f>
        <v>0</v>
      </c>
      <c r="CV356" s="42">
        <f>CU356*(1+CV357)</f>
        <v>0</v>
      </c>
      <c r="CW356" s="42">
        <f>CV356*(1+CW357)</f>
        <v>0</v>
      </c>
      <c r="CX356" s="42">
        <f>CW356*(1+CX357)</f>
        <v>0</v>
      </c>
      <c r="CY356" s="22" t="n"/>
      <c r="CZ356">
        <f>CX356*(1+CZ357)</f>
        <v>0</v>
      </c>
      <c r="DA356">
        <f>CZ356*(1+DA357)</f>
        <v>0</v>
      </c>
      <c r="DB356">
        <f>DA356*(1+DB357)</f>
        <v>0</v>
      </c>
      <c r="DC356">
        <f>DB356*(1+DC357)</f>
        <v>0</v>
      </c>
    </row>
    <row r="357" hidden="1" outlineLevel="1" customFormat="1" s="39">
      <c r="A357" s="19" t="n"/>
      <c r="B357" s="19" t="n"/>
      <c r="C357" s="41" t="inlineStr">
        <is>
          <t>Consensus EPS growth</t>
        </is>
      </c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40">
        <f>$AL$362</f>
        <v>0</v>
      </c>
      <c r="AI357" s="40">
        <f>$AL$362</f>
        <v>0</v>
      </c>
      <c r="AJ357" s="40">
        <f>$AL$362</f>
        <v>0</v>
      </c>
      <c r="AK357" s="40">
        <f>$AL$362</f>
        <v>0</v>
      </c>
      <c r="AL357" s="22" t="n"/>
      <c r="AM357" s="40">
        <f>$AL$362</f>
        <v>0</v>
      </c>
      <c r="AN357" s="40">
        <f>$AL$362</f>
        <v>0</v>
      </c>
      <c r="AO357" s="40">
        <f>$AL$362</f>
        <v>0</v>
      </c>
      <c r="AP357" s="40">
        <f>$AL$362</f>
        <v>0</v>
      </c>
      <c r="AQ357" s="22" t="n"/>
      <c r="AR357" s="40">
        <f>$AL$362</f>
        <v>0</v>
      </c>
      <c r="AS357" s="40">
        <f>$AL$362</f>
        <v>0</v>
      </c>
      <c r="AT357" s="40">
        <f>$AL$362</f>
        <v>0</v>
      </c>
      <c r="AU357" s="40">
        <f>$AL$362</f>
        <v>0</v>
      </c>
      <c r="AV357" s="22" t="n"/>
      <c r="AW357" s="40">
        <f>$AL$362</f>
        <v>0</v>
      </c>
      <c r="AX357" s="40">
        <f>$AL$362</f>
        <v>0</v>
      </c>
      <c r="AY357" s="40">
        <f>$AL$362</f>
        <v>0</v>
      </c>
      <c r="AZ357" s="40">
        <f>$AL$362</f>
        <v>0</v>
      </c>
      <c r="BA357" s="22" t="n"/>
      <c r="BB357" s="40">
        <f>$AL$362</f>
        <v>0</v>
      </c>
      <c r="BC357" s="40">
        <f>$AL$362</f>
        <v>0</v>
      </c>
      <c r="BD357" s="40">
        <f>$AL$362</f>
        <v>0</v>
      </c>
      <c r="BE357" s="40">
        <f>$AL$362</f>
        <v>0</v>
      </c>
      <c r="BF357" s="22" t="n"/>
      <c r="BG357" s="40">
        <f>$AL$362</f>
        <v>0</v>
      </c>
      <c r="BH357" s="40">
        <f>$AL$362</f>
        <v>0</v>
      </c>
      <c r="BI357" s="40">
        <f>$AL$362</f>
        <v>0</v>
      </c>
      <c r="BJ357" s="40">
        <f>$AL$362</f>
        <v>0</v>
      </c>
      <c r="BK357" s="22" t="n"/>
      <c r="BL357" s="40">
        <f>$AL$362</f>
        <v>0</v>
      </c>
      <c r="BM357" s="40">
        <f>$AL$362</f>
        <v>0</v>
      </c>
      <c r="BN357" s="40">
        <f>$AL$362</f>
        <v>0</v>
      </c>
      <c r="BO357" s="40">
        <f>$AL$362</f>
        <v>0</v>
      </c>
      <c r="BP357" s="22" t="n"/>
      <c r="BQ357" s="40">
        <f>$AL$362</f>
        <v>0</v>
      </c>
      <c r="BR357" s="40">
        <f>$AL$362</f>
        <v>0</v>
      </c>
      <c r="BS357" s="40">
        <f>$AL$362</f>
        <v>0</v>
      </c>
      <c r="BT357" s="40">
        <f>$AL$362</f>
        <v>0</v>
      </c>
      <c r="BU357" s="22" t="n"/>
      <c r="BV357" s="40">
        <f>$AL$362</f>
        <v>0</v>
      </c>
      <c r="BW357" s="40">
        <f>$AL$362</f>
        <v>0</v>
      </c>
      <c r="BX357" s="40">
        <f>$AL$362</f>
        <v>0</v>
      </c>
      <c r="BY357" s="40">
        <f>$AL$362</f>
        <v>0</v>
      </c>
      <c r="BZ357" s="22" t="n"/>
      <c r="CA357" s="40">
        <f>$AL$362</f>
        <v>0</v>
      </c>
      <c r="CB357" s="40">
        <f>$AL$362</f>
        <v>0</v>
      </c>
      <c r="CC357" s="40">
        <f>$AL$362</f>
        <v>0</v>
      </c>
      <c r="CD357" s="40">
        <f>$AL$362</f>
        <v>0</v>
      </c>
      <c r="CE357" s="22" t="n"/>
      <c r="CF357" s="40">
        <f>$AL$362</f>
        <v>0</v>
      </c>
      <c r="CG357" s="40">
        <f>$AL$362</f>
        <v>0</v>
      </c>
      <c r="CH357" s="40">
        <f>$AL$362</f>
        <v>0</v>
      </c>
      <c r="CI357" s="40">
        <f>$AL$362</f>
        <v>0</v>
      </c>
      <c r="CJ357" s="22" t="n"/>
      <c r="CK357" s="40">
        <f>$AL$362</f>
        <v>0</v>
      </c>
      <c r="CL357" s="40">
        <f>$AL$362</f>
        <v>0</v>
      </c>
      <c r="CM357" s="40">
        <f>$AL$362</f>
        <v>0</v>
      </c>
      <c r="CN357" s="40">
        <f>$AL$362</f>
        <v>0</v>
      </c>
      <c r="CO357" s="22" t="n"/>
      <c r="CP357" s="40">
        <f>$AL$362</f>
        <v>0</v>
      </c>
      <c r="CQ357" s="40">
        <f>$AL$362</f>
        <v>0</v>
      </c>
      <c r="CR357" s="40">
        <f>$AL$362</f>
        <v>0</v>
      </c>
      <c r="CS357" s="40">
        <f>$AL$362</f>
        <v>0</v>
      </c>
      <c r="CT357" s="22" t="n"/>
      <c r="CU357" s="40">
        <f>$AL$362</f>
        <v>0</v>
      </c>
      <c r="CV357" s="40">
        <f>$AL$362</f>
        <v>0</v>
      </c>
      <c r="CW357" s="40">
        <f>$AL$362</f>
        <v>0</v>
      </c>
      <c r="CX357" s="40">
        <f>$AL$362</f>
        <v>0</v>
      </c>
      <c r="CY357" s="22" t="n"/>
    </row>
    <row r="358" hidden="1" outlineLevel="1" customFormat="1" s="39">
      <c r="A358" s="19" t="n"/>
      <c r="B358" s="19" t="n"/>
      <c r="C358" s="41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3" t="n"/>
      <c r="AI358" s="3" t="n"/>
      <c r="AJ358" s="3" t="n"/>
      <c r="AK358" s="3" t="n"/>
      <c r="AL358" s="22" t="n"/>
      <c r="AM358" s="3" t="n"/>
      <c r="AN358" s="3" t="n"/>
      <c r="AO358" s="3" t="n"/>
      <c r="AP358" s="3" t="n"/>
      <c r="AQ358" s="22" t="n"/>
      <c r="AR358" s="3" t="n"/>
      <c r="AS358" s="3" t="n"/>
      <c r="AT358" s="3" t="n"/>
      <c r="AU358" s="3" t="n"/>
      <c r="AV358" s="22" t="n"/>
      <c r="AW358" s="3" t="n"/>
      <c r="AX358" s="3" t="n"/>
      <c r="AY358" s="3" t="n"/>
      <c r="AZ358" s="3" t="n"/>
      <c r="BA358" s="22" t="n"/>
      <c r="BB358" s="3" t="n"/>
      <c r="BC358" s="3" t="n"/>
      <c r="BD358" s="3" t="n"/>
      <c r="BE358" s="3" t="n"/>
      <c r="BF358" s="22" t="n"/>
      <c r="BG358" s="3" t="n"/>
      <c r="BH358" s="3" t="n"/>
      <c r="BI358" s="3" t="n"/>
      <c r="BJ358" s="3" t="n"/>
      <c r="BK358" s="22" t="n"/>
      <c r="BL358" s="3" t="n"/>
      <c r="BM358" s="3" t="n"/>
      <c r="BN358" s="3" t="n"/>
      <c r="BO358" s="3" t="n"/>
      <c r="BP358" s="22" t="n"/>
      <c r="BQ358" s="3" t="n"/>
      <c r="BR358" s="3" t="n"/>
      <c r="BS358" s="3" t="n"/>
      <c r="BT358" s="3" t="n"/>
      <c r="BU358" s="22" t="n"/>
      <c r="BV358" s="3" t="n"/>
      <c r="BW358" s="3" t="n"/>
      <c r="BX358" s="3" t="n"/>
      <c r="BY358" s="3" t="n"/>
      <c r="BZ358" s="22" t="n"/>
      <c r="CA358" s="3" t="n"/>
      <c r="CB358" s="3" t="n"/>
      <c r="CC358" s="3" t="n"/>
      <c r="CD358" s="3" t="n"/>
      <c r="CE358" s="22" t="n"/>
      <c r="CF358" s="3" t="n"/>
      <c r="CG358" s="3" t="n"/>
      <c r="CH358" s="3" t="n"/>
      <c r="CI358" s="3" t="n"/>
      <c r="CJ358" s="22" t="n"/>
      <c r="CK358" s="3" t="n"/>
      <c r="CL358" s="3" t="n"/>
      <c r="CM358" s="3" t="n"/>
      <c r="CN358" s="3" t="n"/>
      <c r="CO358" s="22" t="n"/>
      <c r="CP358" s="3" t="n"/>
      <c r="CQ358" s="3" t="n"/>
      <c r="CR358" s="3" t="n"/>
      <c r="CS358" s="3" t="n"/>
      <c r="CT358" s="22" t="n"/>
      <c r="CU358" s="3" t="n"/>
      <c r="CV358" s="3" t="n"/>
      <c r="CW358" s="3" t="n"/>
      <c r="CX358" s="3" t="n"/>
      <c r="CY358" s="22" t="n"/>
    </row>
    <row r="359" hidden="1" outlineLevel="1" customFormat="1" s="39">
      <c r="A359" s="19" t="n"/>
      <c r="B359" s="19" t="n"/>
      <c r="C359" s="41" t="inlineStr">
        <is>
          <t>Shares repurchased</t>
        </is>
      </c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43" t="n"/>
      <c r="AI359" s="43" t="n"/>
      <c r="AJ359" s="43" t="e">
        <f>-AJ354/AJ356</f>
        <v>#DIV/0!</v>
      </c>
      <c r="AK359" s="43" t="e">
        <f>-AK354/AK356</f>
        <v>#DIV/0!</v>
      </c>
      <c r="AL359" s="22" t="n"/>
      <c r="AM359" s="43" t="e">
        <f>-AM354/AM356</f>
        <v>#DIV/0!</v>
      </c>
      <c r="AN359" s="43" t="e">
        <f>-AN354/AN356</f>
        <v>#DIV/0!</v>
      </c>
      <c r="AO359" s="43" t="e">
        <f>-AO354/AO356</f>
        <v>#DIV/0!</v>
      </c>
      <c r="AP359" s="43" t="e">
        <f>-AP354/AP356</f>
        <v>#DIV/0!</v>
      </c>
      <c r="AQ359" s="22" t="n"/>
      <c r="AR359" s="43" t="e">
        <f>-AR354/AR356</f>
        <v>#DIV/0!</v>
      </c>
      <c r="AS359" s="43" t="e">
        <f>-AS354/AS356</f>
        <v>#DIV/0!</v>
      </c>
      <c r="AT359" s="43" t="e">
        <f>-AT354/AT356</f>
        <v>#DIV/0!</v>
      </c>
      <c r="AU359" s="43" t="e">
        <f>-AU354/AU356</f>
        <v>#DIV/0!</v>
      </c>
      <c r="AV359" s="22" t="n"/>
      <c r="AW359" s="43" t="e">
        <f>-AW354/AW356</f>
        <v>#DIV/0!</v>
      </c>
      <c r="AX359" s="43" t="e">
        <f>-AX354/AX356</f>
        <v>#DIV/0!</v>
      </c>
      <c r="AY359" s="43" t="e">
        <f>-AY354/AY356</f>
        <v>#DIV/0!</v>
      </c>
      <c r="AZ359" s="43" t="e">
        <f>-AZ354/AZ356</f>
        <v>#DIV/0!</v>
      </c>
      <c r="BA359" s="22" t="n"/>
      <c r="BB359" s="43" t="e">
        <f>-BB354/BB356</f>
        <v>#DIV/0!</v>
      </c>
      <c r="BC359" s="43" t="e">
        <f>-BC354/BC356</f>
        <v>#DIV/0!</v>
      </c>
      <c r="BD359" s="43" t="e">
        <f>-BD354/BD356</f>
        <v>#DIV/0!</v>
      </c>
      <c r="BE359" s="43" t="e">
        <f>-BE354/BE356</f>
        <v>#DIV/0!</v>
      </c>
      <c r="BF359" s="22" t="n"/>
      <c r="BG359" s="43" t="e">
        <f>-BG354/BG356</f>
        <v>#DIV/0!</v>
      </c>
      <c r="BH359" s="43" t="e">
        <f>-BH354/BH356</f>
        <v>#DIV/0!</v>
      </c>
      <c r="BI359" s="43" t="e">
        <f>-BI354/BI356</f>
        <v>#DIV/0!</v>
      </c>
      <c r="BJ359" s="43" t="e">
        <f>-BJ354/BJ356</f>
        <v>#DIV/0!</v>
      </c>
      <c r="BK359" s="22" t="n"/>
      <c r="BL359" s="43" t="e">
        <f>-BL354/BL356</f>
        <v>#DIV/0!</v>
      </c>
      <c r="BM359" s="43" t="e">
        <f>-BM354/BM356</f>
        <v>#DIV/0!</v>
      </c>
      <c r="BN359" s="43" t="e">
        <f>-BN354/BN356</f>
        <v>#DIV/0!</v>
      </c>
      <c r="BO359" s="43" t="e">
        <f>-BO354/BO356</f>
        <v>#DIV/0!</v>
      </c>
      <c r="BP359" s="22" t="n"/>
      <c r="BQ359" s="43" t="e">
        <f>-BQ354/BQ356</f>
        <v>#DIV/0!</v>
      </c>
      <c r="BR359" s="43" t="e">
        <f>-BR354/BR356</f>
        <v>#DIV/0!</v>
      </c>
      <c r="BS359" s="43" t="e">
        <f>-BS354/BS356</f>
        <v>#DIV/0!</v>
      </c>
      <c r="BT359" s="43" t="e">
        <f>-BT354/BT356</f>
        <v>#DIV/0!</v>
      </c>
      <c r="BU359" s="22" t="n"/>
      <c r="BV359" s="43" t="e">
        <f>-BV354/BV356</f>
        <v>#DIV/0!</v>
      </c>
      <c r="BW359" s="43" t="e">
        <f>-BW354/BW356</f>
        <v>#DIV/0!</v>
      </c>
      <c r="BX359" s="43" t="e">
        <f>-BX354/BX356</f>
        <v>#DIV/0!</v>
      </c>
      <c r="BY359" s="43" t="e">
        <f>-BY354/BY356</f>
        <v>#DIV/0!</v>
      </c>
      <c r="BZ359" s="22" t="n"/>
      <c r="CA359" s="43" t="e">
        <f>-CA354/CA356</f>
        <v>#DIV/0!</v>
      </c>
      <c r="CB359" s="43" t="e">
        <f>-CB354/CB356</f>
        <v>#DIV/0!</v>
      </c>
      <c r="CC359" s="43" t="e">
        <f>-CC354/CC356</f>
        <v>#DIV/0!</v>
      </c>
      <c r="CD359" s="43" t="e">
        <f>-CD354/CD356</f>
        <v>#DIV/0!</v>
      </c>
      <c r="CE359" s="22" t="n"/>
      <c r="CF359" s="43" t="e">
        <f>-CF354/CF356</f>
        <v>#DIV/0!</v>
      </c>
      <c r="CG359" s="43" t="e">
        <f>-CG354/CG356</f>
        <v>#DIV/0!</v>
      </c>
      <c r="CH359" s="43" t="e">
        <f>-CH354/CH356</f>
        <v>#DIV/0!</v>
      </c>
      <c r="CI359" s="43" t="e">
        <f>-CI354/CI356</f>
        <v>#DIV/0!</v>
      </c>
      <c r="CJ359" s="22" t="n"/>
      <c r="CK359" s="43" t="e">
        <f>-CK354/CK356</f>
        <v>#DIV/0!</v>
      </c>
      <c r="CL359" s="43" t="e">
        <f>-CL354/CL356</f>
        <v>#DIV/0!</v>
      </c>
      <c r="CM359" s="43" t="e">
        <f>-CM354/CM356</f>
        <v>#DIV/0!</v>
      </c>
      <c r="CN359" s="43" t="e">
        <f>-CN354/CN356</f>
        <v>#DIV/0!</v>
      </c>
      <c r="CO359" s="22" t="n"/>
      <c r="CP359" s="43" t="e">
        <f>-CP354/CP356</f>
        <v>#DIV/0!</v>
      </c>
      <c r="CQ359" s="43" t="e">
        <f>-CQ354/CQ356</f>
        <v>#DIV/0!</v>
      </c>
      <c r="CR359" s="43" t="e">
        <f>-CR354/CR356</f>
        <v>#DIV/0!</v>
      </c>
      <c r="CS359" s="43" t="e">
        <f>-CS354/CS356</f>
        <v>#DIV/0!</v>
      </c>
      <c r="CT359" s="22" t="n"/>
      <c r="CU359" s="43" t="e">
        <f>-CU354/CU356</f>
        <v>#DIV/0!</v>
      </c>
      <c r="CV359" s="43" t="e">
        <f>-CV354/CV356</f>
        <v>#DIV/0!</v>
      </c>
      <c r="CW359" s="43" t="e">
        <f>-CW354/CW356</f>
        <v>#DIV/0!</v>
      </c>
      <c r="CX359" s="43" t="e">
        <f>-CX354/CX356</f>
        <v>#DIV/0!</v>
      </c>
      <c r="CY359" s="22" t="n"/>
    </row>
    <row r="360" hidden="1" outlineLevel="1" customFormat="1" s="39">
      <c r="A360" s="19" t="n"/>
      <c r="B360" s="19" t="n"/>
      <c r="C360" s="41" t="inlineStr">
        <is>
          <t>Shares issued</t>
        </is>
      </c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46" t="n"/>
      <c r="AG360" s="22" t="n"/>
      <c r="AH360" s="43" t="n"/>
      <c r="AI360" s="43" t="n"/>
      <c r="AJ360" s="43" t="e">
        <f>AJ355/AJ356</f>
        <v>#DIV/0!</v>
      </c>
      <c r="AK360" s="43" t="e">
        <f>AK355/AK356</f>
        <v>#DIV/0!</v>
      </c>
      <c r="AL360" s="22" t="n"/>
      <c r="AM360" s="43" t="e">
        <f>AM355/AM356</f>
        <v>#DIV/0!</v>
      </c>
      <c r="AN360" s="43" t="e">
        <f>AN355/AN356</f>
        <v>#DIV/0!</v>
      </c>
      <c r="AO360" s="43" t="e">
        <f>AO355/AO356</f>
        <v>#DIV/0!</v>
      </c>
      <c r="AP360" s="43" t="e">
        <f>AP355/AP356</f>
        <v>#DIV/0!</v>
      </c>
      <c r="AQ360" s="22" t="n"/>
      <c r="AR360" s="43" t="e">
        <f>AR355/AR356</f>
        <v>#DIV/0!</v>
      </c>
      <c r="AS360" s="43" t="e">
        <f>AS355/AS356</f>
        <v>#DIV/0!</v>
      </c>
      <c r="AT360" s="43" t="e">
        <f>AT355/AT356</f>
        <v>#DIV/0!</v>
      </c>
      <c r="AU360" s="43" t="e">
        <f>AU355/AU356</f>
        <v>#DIV/0!</v>
      </c>
      <c r="AV360" s="22" t="n"/>
      <c r="AW360" s="43" t="e">
        <f>AW355/AW356</f>
        <v>#DIV/0!</v>
      </c>
      <c r="AX360" s="43" t="e">
        <f>AX355/AX356</f>
        <v>#DIV/0!</v>
      </c>
      <c r="AY360" s="43" t="e">
        <f>AY355/AY356</f>
        <v>#DIV/0!</v>
      </c>
      <c r="AZ360" s="43" t="e">
        <f>AZ355/AZ356</f>
        <v>#DIV/0!</v>
      </c>
      <c r="BA360" s="22" t="n"/>
      <c r="BB360" s="43" t="e">
        <f>BB355/BB356</f>
        <v>#DIV/0!</v>
      </c>
      <c r="BC360" s="43" t="e">
        <f>BC355/BC356</f>
        <v>#DIV/0!</v>
      </c>
      <c r="BD360" s="43" t="e">
        <f>BD355/BD356</f>
        <v>#DIV/0!</v>
      </c>
      <c r="BE360" s="43" t="e">
        <f>BE355/BE356</f>
        <v>#DIV/0!</v>
      </c>
      <c r="BF360" s="22" t="n"/>
      <c r="BG360" s="43" t="e">
        <f>BG355/BG356</f>
        <v>#DIV/0!</v>
      </c>
      <c r="BH360" s="43" t="e">
        <f>BH355/BH356</f>
        <v>#DIV/0!</v>
      </c>
      <c r="BI360" s="43" t="e">
        <f>BI355/BI356</f>
        <v>#DIV/0!</v>
      </c>
      <c r="BJ360" s="43" t="e">
        <f>BJ355/BJ356</f>
        <v>#DIV/0!</v>
      </c>
      <c r="BK360" s="22" t="n"/>
      <c r="BL360" s="43" t="e">
        <f>BL355/BL356</f>
        <v>#DIV/0!</v>
      </c>
      <c r="BM360" s="43" t="e">
        <f>BM355/BM356</f>
        <v>#DIV/0!</v>
      </c>
      <c r="BN360" s="43" t="e">
        <f>BN355/BN356</f>
        <v>#DIV/0!</v>
      </c>
      <c r="BO360" s="43" t="e">
        <f>BO355/BO356</f>
        <v>#DIV/0!</v>
      </c>
      <c r="BP360" s="22" t="n"/>
      <c r="BQ360" s="43" t="e">
        <f>BQ355/BQ356</f>
        <v>#DIV/0!</v>
      </c>
      <c r="BR360" s="43" t="e">
        <f>BR355/BR356</f>
        <v>#DIV/0!</v>
      </c>
      <c r="BS360" s="43" t="e">
        <f>BS355/BS356</f>
        <v>#DIV/0!</v>
      </c>
      <c r="BT360" s="43" t="e">
        <f>BT355/BT356</f>
        <v>#DIV/0!</v>
      </c>
      <c r="BU360" s="22" t="n"/>
      <c r="BV360" s="43" t="e">
        <f>BV355/BV356</f>
        <v>#DIV/0!</v>
      </c>
      <c r="BW360" s="43" t="e">
        <f>BW355/BW356</f>
        <v>#DIV/0!</v>
      </c>
      <c r="BX360" s="43" t="e">
        <f>BX355/BX356</f>
        <v>#DIV/0!</v>
      </c>
      <c r="BY360" s="43" t="e">
        <f>BY355/BY356</f>
        <v>#DIV/0!</v>
      </c>
      <c r="BZ360" s="22" t="n"/>
      <c r="CA360" s="43" t="e">
        <f>CA355/CA356</f>
        <v>#DIV/0!</v>
      </c>
      <c r="CB360" s="43" t="e">
        <f>CB355/CB356</f>
        <v>#DIV/0!</v>
      </c>
      <c r="CC360" s="43" t="e">
        <f>CC355/CC356</f>
        <v>#DIV/0!</v>
      </c>
      <c r="CD360" s="43" t="e">
        <f>CD355/CD356</f>
        <v>#DIV/0!</v>
      </c>
      <c r="CE360" s="22" t="n"/>
      <c r="CF360" s="43" t="e">
        <f>CF355/CF356</f>
        <v>#DIV/0!</v>
      </c>
      <c r="CG360" s="43" t="e">
        <f>CG355/CG356</f>
        <v>#DIV/0!</v>
      </c>
      <c r="CH360" s="43" t="e">
        <f>CH355/CH356</f>
        <v>#DIV/0!</v>
      </c>
      <c r="CI360" s="43" t="e">
        <f>CI355/CI356</f>
        <v>#DIV/0!</v>
      </c>
      <c r="CJ360" s="22" t="n"/>
      <c r="CK360" s="43" t="e">
        <f>CK355/CK356</f>
        <v>#DIV/0!</v>
      </c>
      <c r="CL360" s="43" t="e">
        <f>CL355/CL356</f>
        <v>#DIV/0!</v>
      </c>
      <c r="CM360" s="43" t="e">
        <f>CM355/CM356</f>
        <v>#DIV/0!</v>
      </c>
      <c r="CN360" s="43" t="e">
        <f>CN355/CN356</f>
        <v>#DIV/0!</v>
      </c>
      <c r="CO360" s="22" t="n"/>
      <c r="CP360" s="43" t="e">
        <f>CP355/CP356</f>
        <v>#DIV/0!</v>
      </c>
      <c r="CQ360" s="43" t="e">
        <f>CQ355/CQ356</f>
        <v>#DIV/0!</v>
      </c>
      <c r="CR360" s="43" t="e">
        <f>CR355/CR356</f>
        <v>#DIV/0!</v>
      </c>
      <c r="CS360" s="43" t="e">
        <f>CS355/CS356</f>
        <v>#DIV/0!</v>
      </c>
      <c r="CT360" s="22" t="n"/>
      <c r="CU360" s="43" t="e">
        <f>CU355/CU356</f>
        <v>#DIV/0!</v>
      </c>
      <c r="CV360" s="43" t="e">
        <f>CV355/CV356</f>
        <v>#DIV/0!</v>
      </c>
      <c r="CW360" s="43" t="e">
        <f>CW355/CW356</f>
        <v>#DIV/0!</v>
      </c>
      <c r="CX360" s="43" t="e">
        <f>CX355/CX356</f>
        <v>#DIV/0!</v>
      </c>
      <c r="CY360" s="22" t="n"/>
    </row>
    <row r="361" hidden="1" outlineLevel="1" customFormat="1" s="39">
      <c r="A361" s="19" t="n"/>
      <c r="B361" s="19" t="n"/>
      <c r="C361" s="41" t="inlineStr">
        <is>
          <t>End of period basic shares outstanding</t>
        </is>
      </c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51" t="n"/>
      <c r="AH361" s="1">
        <f>AG361+AH360-AH359</f>
        <v>0</v>
      </c>
      <c r="AI361" s="1">
        <f>AH361+AI360-AI359</f>
        <v>0</v>
      </c>
      <c r="AJ361" s="43" t="e">
        <f>AI361+AJ360-AJ359</f>
        <v>#DIV/0!</v>
      </c>
      <c r="AK361" s="43" t="e">
        <f>AJ361+AK360-AK359</f>
        <v>#DIV/0!</v>
      </c>
      <c r="AL361" s="22" t="n"/>
      <c r="AM361" s="1" t="e">
        <f>AK361+AM360-AM359</f>
        <v>#DIV/0!</v>
      </c>
      <c r="AN361" s="1" t="e">
        <f>AM361+AN360-AN359</f>
        <v>#DIV/0!</v>
      </c>
      <c r="AO361" s="43" t="e">
        <f>AN361+AO360-AO359</f>
        <v>#DIV/0!</v>
      </c>
      <c r="AP361" s="43" t="e">
        <f>AO361+AP360-AP359</f>
        <v>#DIV/0!</v>
      </c>
      <c r="AQ361" s="22" t="n"/>
      <c r="AR361" s="1" t="e">
        <f>AP361+AR360-AR359</f>
        <v>#DIV/0!</v>
      </c>
      <c r="AS361" s="1" t="e">
        <f>AR361+AS360-AS359</f>
        <v>#DIV/0!</v>
      </c>
      <c r="AT361" s="43" t="e">
        <f>AS361+AT360-AT359</f>
        <v>#DIV/0!</v>
      </c>
      <c r="AU361" s="43" t="e">
        <f>AT361+AU360-AU359</f>
        <v>#DIV/0!</v>
      </c>
      <c r="AV361" s="22" t="n"/>
      <c r="AW361" s="1" t="e">
        <f>AU361+AW360-AW359</f>
        <v>#DIV/0!</v>
      </c>
      <c r="AX361" s="1" t="e">
        <f>AW361+AX360-AX359</f>
        <v>#DIV/0!</v>
      </c>
      <c r="AY361" s="43" t="e">
        <f>AX361+AY360-AY359</f>
        <v>#DIV/0!</v>
      </c>
      <c r="AZ361" s="43" t="e">
        <f>AY361+AZ360-AZ359</f>
        <v>#DIV/0!</v>
      </c>
      <c r="BA361" s="22" t="n"/>
      <c r="BB361" s="1" t="e">
        <f>AZ361+BB360-BB359</f>
        <v>#DIV/0!</v>
      </c>
      <c r="BC361" s="1" t="e">
        <f>BB361+BC360-BC359</f>
        <v>#DIV/0!</v>
      </c>
      <c r="BD361" s="43" t="e">
        <f>BC361+BD360-BD359</f>
        <v>#DIV/0!</v>
      </c>
      <c r="BE361" s="43" t="e">
        <f>BD361+BE360-BE359</f>
        <v>#DIV/0!</v>
      </c>
      <c r="BF361" s="22" t="n"/>
      <c r="BG361" s="1" t="e">
        <f>BE361+BG360-BG359</f>
        <v>#DIV/0!</v>
      </c>
      <c r="BH361" s="1" t="e">
        <f>BG361+BH360-BH359</f>
        <v>#DIV/0!</v>
      </c>
      <c r="BI361" s="43" t="e">
        <f>BH361+BI360-BI359</f>
        <v>#DIV/0!</v>
      </c>
      <c r="BJ361" s="43" t="e">
        <f>BI361+BJ360-BJ359</f>
        <v>#DIV/0!</v>
      </c>
      <c r="BK361" s="22" t="n"/>
      <c r="BL361" s="1" t="e">
        <f>BJ361+BL360-BL359</f>
        <v>#DIV/0!</v>
      </c>
      <c r="BM361" s="1" t="e">
        <f>BL361+BM360-BM359</f>
        <v>#DIV/0!</v>
      </c>
      <c r="BN361" s="43" t="e">
        <f>BM361+BN360-BN359</f>
        <v>#DIV/0!</v>
      </c>
      <c r="BO361" s="43" t="e">
        <f>BN361+BO360-BO359</f>
        <v>#DIV/0!</v>
      </c>
      <c r="BP361" s="22" t="n"/>
      <c r="BQ361" s="1" t="e">
        <f>BO361+BQ360-BQ359</f>
        <v>#DIV/0!</v>
      </c>
      <c r="BR361" s="1" t="e">
        <f>BQ361+BR360-BR359</f>
        <v>#DIV/0!</v>
      </c>
      <c r="BS361" s="43" t="e">
        <f>BR361+BS360-BS359</f>
        <v>#DIV/0!</v>
      </c>
      <c r="BT361" s="43" t="e">
        <f>BS361+BT360-BT359</f>
        <v>#DIV/0!</v>
      </c>
      <c r="BU361" s="22" t="n"/>
      <c r="BV361" s="1" t="e">
        <f>BT361+BV360-BV359</f>
        <v>#DIV/0!</v>
      </c>
      <c r="BW361" s="1" t="e">
        <f>BV361+BW360-BW359</f>
        <v>#DIV/0!</v>
      </c>
      <c r="BX361" s="43" t="e">
        <f>BW361+BX360-BX359</f>
        <v>#DIV/0!</v>
      </c>
      <c r="BY361" s="43" t="e">
        <f>BX361+BY360-BY359</f>
        <v>#DIV/0!</v>
      </c>
      <c r="BZ361" s="22" t="n"/>
      <c r="CA361" s="1" t="e">
        <f>BY361+CA360-CA359</f>
        <v>#DIV/0!</v>
      </c>
      <c r="CB361" s="1" t="e">
        <f>CA361+CB360-CB359</f>
        <v>#DIV/0!</v>
      </c>
      <c r="CC361" s="43" t="e">
        <f>CB361+CC360-CC359</f>
        <v>#DIV/0!</v>
      </c>
      <c r="CD361" s="43" t="e">
        <f>CC361+CD360-CD359</f>
        <v>#DIV/0!</v>
      </c>
      <c r="CE361" s="22" t="n"/>
      <c r="CF361" s="1" t="e">
        <f>CD361+CF360-CF359</f>
        <v>#DIV/0!</v>
      </c>
      <c r="CG361" s="1" t="e">
        <f>CF361+CG360-CG359</f>
        <v>#DIV/0!</v>
      </c>
      <c r="CH361" s="43" t="e">
        <f>CG361+CH360-CH359</f>
        <v>#DIV/0!</v>
      </c>
      <c r="CI361" s="43" t="e">
        <f>CH361+CI360-CI359</f>
        <v>#DIV/0!</v>
      </c>
      <c r="CJ361" s="22" t="n"/>
      <c r="CK361" s="1" t="e">
        <f>CI361+CK360-CK359</f>
        <v>#DIV/0!</v>
      </c>
      <c r="CL361" s="1" t="e">
        <f>CK361+CL360-CL359</f>
        <v>#DIV/0!</v>
      </c>
      <c r="CM361" s="43" t="e">
        <f>CL361+CM360-CM359</f>
        <v>#DIV/0!</v>
      </c>
      <c r="CN361" s="43" t="e">
        <f>CM361+CN360-CN359</f>
        <v>#DIV/0!</v>
      </c>
      <c r="CO361" s="22" t="n"/>
      <c r="CP361" s="1" t="e">
        <f>CN361+CP360-CP359</f>
        <v>#DIV/0!</v>
      </c>
      <c r="CQ361" s="1" t="e">
        <f>CP361+CQ360-CQ359</f>
        <v>#DIV/0!</v>
      </c>
      <c r="CR361" s="43" t="e">
        <f>CQ361+CR360-CR359</f>
        <v>#DIV/0!</v>
      </c>
      <c r="CS361" s="43" t="e">
        <f>CR361+CS360-CS359</f>
        <v>#DIV/0!</v>
      </c>
      <c r="CT361" s="22" t="n"/>
      <c r="CU361" s="1" t="e">
        <f>CS361+CU360-CU359</f>
        <v>#DIV/0!</v>
      </c>
      <c r="CV361" s="1" t="e">
        <f>CU361+CV360-CV359</f>
        <v>#DIV/0!</v>
      </c>
      <c r="CW361" s="43" t="e">
        <f>CV361+CW360-CW359</f>
        <v>#DIV/0!</v>
      </c>
      <c r="CX361" s="43" t="e">
        <f>CW361+CX360-CX359</f>
        <v>#DIV/0!</v>
      </c>
      <c r="CY361" s="22" t="n"/>
      <c r="CZ361" t="e">
        <f>CX361+CZ360-CZ359</f>
        <v>#DIV/0!</v>
      </c>
      <c r="DA361" t="e">
        <f>CZ361+DA360-DA359</f>
        <v>#DIV/0!</v>
      </c>
      <c r="DB361" t="e">
        <f>DA361+DB360-DB359</f>
        <v>#DIV/0!</v>
      </c>
      <c r="DC361" t="e">
        <f>DB361+DC360-DC359</f>
        <v>#DIV/0!</v>
      </c>
    </row>
    <row r="362" hidden="1" outlineLevel="1" customFormat="1" s="39">
      <c r="A362" s="19" t="n"/>
      <c r="B362" s="19" t="n"/>
      <c r="C362" s="41" t="inlineStr">
        <is>
          <t>Weighted average basic shares outstanding</t>
        </is>
      </c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43">
        <f>AVERAGE(AG361,AH361)</f>
        <v>0</v>
      </c>
      <c r="AI362" s="43">
        <f>AVERAGE(AH361,AI361)</f>
        <v>0</v>
      </c>
      <c r="AJ362" s="43" t="e">
        <f>AVERAGE(AI361,AJ361)</f>
        <v>#DIV/0!</v>
      </c>
      <c r="AK362" s="43" t="e">
        <f>AVERAGE(AJ361,AK361)</f>
        <v>#DIV/0!</v>
      </c>
      <c r="AL362" s="22" t="n"/>
      <c r="AM362" s="43" t="e">
        <f>AVERAGE(AK361,AM361)</f>
        <v>#DIV/0!</v>
      </c>
      <c r="AN362" s="43" t="e">
        <f>AVERAGE(AM361,AN361)</f>
        <v>#DIV/0!</v>
      </c>
      <c r="AO362" s="43" t="e">
        <f>AVERAGE(AN361,AO361)</f>
        <v>#DIV/0!</v>
      </c>
      <c r="AP362" s="43" t="e">
        <f>AVERAGE(AO361,AP361)</f>
        <v>#DIV/0!</v>
      </c>
      <c r="AQ362" s="22" t="n"/>
      <c r="AR362" s="43" t="e">
        <f>AVERAGE(AP361,AR361)</f>
        <v>#DIV/0!</v>
      </c>
      <c r="AS362" s="43" t="e">
        <f>AVERAGE(AR361,AS361)</f>
        <v>#DIV/0!</v>
      </c>
      <c r="AT362" s="43" t="e">
        <f>AVERAGE(AS361,AT361)</f>
        <v>#DIV/0!</v>
      </c>
      <c r="AU362" s="43" t="e">
        <f>AVERAGE(AT361,AU361)</f>
        <v>#DIV/0!</v>
      </c>
      <c r="AV362" s="22" t="n"/>
      <c r="AW362" s="43" t="e">
        <f>AVERAGE(AU361,AW361)</f>
        <v>#DIV/0!</v>
      </c>
      <c r="AX362" s="43" t="e">
        <f>AVERAGE(AW361,AX361)</f>
        <v>#DIV/0!</v>
      </c>
      <c r="AY362" s="43" t="e">
        <f>AVERAGE(AX361,AY361)</f>
        <v>#DIV/0!</v>
      </c>
      <c r="AZ362" s="43" t="e">
        <f>AVERAGE(AY361,AZ361)</f>
        <v>#DIV/0!</v>
      </c>
      <c r="BA362" s="22" t="n"/>
      <c r="BB362" s="43" t="e">
        <f>AVERAGE(AZ361,BB361)</f>
        <v>#DIV/0!</v>
      </c>
      <c r="BC362" s="43" t="e">
        <f>AVERAGE(BB361,BC361)</f>
        <v>#DIV/0!</v>
      </c>
      <c r="BD362" s="43" t="e">
        <f>AVERAGE(BC361,BD361)</f>
        <v>#DIV/0!</v>
      </c>
      <c r="BE362" s="43" t="e">
        <f>AVERAGE(BD361,BE361)</f>
        <v>#DIV/0!</v>
      </c>
      <c r="BF362" s="22" t="n"/>
      <c r="BG362" s="43" t="e">
        <f>AVERAGE(BE361,BG361)</f>
        <v>#DIV/0!</v>
      </c>
      <c r="BH362" s="43" t="e">
        <f>AVERAGE(BG361,BH361)</f>
        <v>#DIV/0!</v>
      </c>
      <c r="BI362" s="43" t="e">
        <f>AVERAGE(BH361,BI361)</f>
        <v>#DIV/0!</v>
      </c>
      <c r="BJ362" s="43" t="e">
        <f>AVERAGE(BI361,BJ361)</f>
        <v>#DIV/0!</v>
      </c>
      <c r="BK362" s="22" t="n"/>
      <c r="BL362" s="43" t="e">
        <f>AVERAGE(BJ361,BL361)</f>
        <v>#DIV/0!</v>
      </c>
      <c r="BM362" s="43" t="e">
        <f>AVERAGE(BL361,BM361)</f>
        <v>#DIV/0!</v>
      </c>
      <c r="BN362" s="43" t="e">
        <f>AVERAGE(BM361,BN361)</f>
        <v>#DIV/0!</v>
      </c>
      <c r="BO362" s="43" t="e">
        <f>AVERAGE(BN361,BO361)</f>
        <v>#DIV/0!</v>
      </c>
      <c r="BP362" s="22" t="n"/>
      <c r="BQ362" s="43" t="e">
        <f>AVERAGE(BO361,BQ361)</f>
        <v>#DIV/0!</v>
      </c>
      <c r="BR362" s="43" t="e">
        <f>AVERAGE(BQ361,BR361)</f>
        <v>#DIV/0!</v>
      </c>
      <c r="BS362" s="43" t="e">
        <f>AVERAGE(BR361,BS361)</f>
        <v>#DIV/0!</v>
      </c>
      <c r="BT362" s="43" t="e">
        <f>AVERAGE(BS361,BT361)</f>
        <v>#DIV/0!</v>
      </c>
      <c r="BU362" s="22" t="n"/>
      <c r="BV362" s="43" t="e">
        <f>AVERAGE(BT361,BV361)</f>
        <v>#DIV/0!</v>
      </c>
      <c r="BW362" s="43" t="e">
        <f>AVERAGE(BV361,BW361)</f>
        <v>#DIV/0!</v>
      </c>
      <c r="BX362" s="43" t="e">
        <f>AVERAGE(BW361,BX361)</f>
        <v>#DIV/0!</v>
      </c>
      <c r="BY362" s="43" t="e">
        <f>AVERAGE(BX361,BY361)</f>
        <v>#DIV/0!</v>
      </c>
      <c r="BZ362" s="22" t="n"/>
      <c r="CA362" s="43" t="e">
        <f>AVERAGE(BY361,CA361)</f>
        <v>#DIV/0!</v>
      </c>
      <c r="CB362" s="43" t="e">
        <f>AVERAGE(CA361,CB361)</f>
        <v>#DIV/0!</v>
      </c>
      <c r="CC362" s="43" t="e">
        <f>AVERAGE(CB361,CC361)</f>
        <v>#DIV/0!</v>
      </c>
      <c r="CD362" s="43" t="e">
        <f>AVERAGE(CC361,CD361)</f>
        <v>#DIV/0!</v>
      </c>
      <c r="CE362" s="22" t="n"/>
      <c r="CF362" s="43" t="e">
        <f>AVERAGE(CD361,CF361)</f>
        <v>#DIV/0!</v>
      </c>
      <c r="CG362" s="43" t="e">
        <f>AVERAGE(CF361,CG361)</f>
        <v>#DIV/0!</v>
      </c>
      <c r="CH362" s="43" t="e">
        <f>AVERAGE(CG361,CH361)</f>
        <v>#DIV/0!</v>
      </c>
      <c r="CI362" s="43" t="e">
        <f>AVERAGE(CH361,CI361)</f>
        <v>#DIV/0!</v>
      </c>
      <c r="CJ362" s="22" t="n"/>
      <c r="CK362" s="43" t="e">
        <f>AVERAGE(CI361,CK361)</f>
        <v>#DIV/0!</v>
      </c>
      <c r="CL362" s="43" t="e">
        <f>AVERAGE(CK361,CL361)</f>
        <v>#DIV/0!</v>
      </c>
      <c r="CM362" s="43" t="e">
        <f>AVERAGE(CL361,CM361)</f>
        <v>#DIV/0!</v>
      </c>
      <c r="CN362" s="43" t="e">
        <f>AVERAGE(CM361,CN361)</f>
        <v>#DIV/0!</v>
      </c>
      <c r="CO362" s="22" t="n"/>
      <c r="CP362" s="43" t="e">
        <f>AVERAGE(CN361,CP361)</f>
        <v>#DIV/0!</v>
      </c>
      <c r="CQ362" s="43" t="e">
        <f>AVERAGE(CP361,CQ361)</f>
        <v>#DIV/0!</v>
      </c>
      <c r="CR362" s="43" t="e">
        <f>AVERAGE(CQ361,CR361)</f>
        <v>#DIV/0!</v>
      </c>
      <c r="CS362" s="43" t="e">
        <f>AVERAGE(CR361,CS361)</f>
        <v>#DIV/0!</v>
      </c>
      <c r="CT362" s="22" t="n"/>
      <c r="CU362" s="43" t="e">
        <f>AVERAGE(CS361,CU361)</f>
        <v>#DIV/0!</v>
      </c>
      <c r="CV362" s="43" t="e">
        <f>AVERAGE(CU361,CV361)</f>
        <v>#DIV/0!</v>
      </c>
      <c r="CW362" s="43" t="e">
        <f>AVERAGE(CV361,CW361)</f>
        <v>#DIV/0!</v>
      </c>
      <c r="CX362" s="43" t="e">
        <f>AVERAGE(CW361,CX361)</f>
        <v>#DIV/0!</v>
      </c>
      <c r="CY362" s="22" t="n"/>
      <c r="CZ362" t="e">
        <f>AVERAGE(CX361,CZ361)</f>
        <v>#DIV/0!</v>
      </c>
      <c r="DA362" t="e">
        <f>AVERAGE(CZ361,DA361)</f>
        <v>#DIV/0!</v>
      </c>
      <c r="DB362" t="e">
        <f>AVERAGE(DA361,DB361)</f>
        <v>#DIV/0!</v>
      </c>
      <c r="DC362" t="e">
        <f>AVERAGE(DB361,DC361)</f>
        <v>#DIV/0!</v>
      </c>
    </row>
    <row r="363" hidden="1" outlineLevel="1" customFormat="1" s="39">
      <c r="A363" s="19" t="n"/>
      <c r="B363" s="19" t="n"/>
      <c r="C363" s="41" t="n"/>
      <c r="D363" s="22" t="n"/>
      <c r="E363" s="22" t="n"/>
      <c r="F363" s="22" t="n"/>
      <c r="G363" s="22" t="n"/>
      <c r="H363" s="3" t="n"/>
      <c r="I363" s="22" t="n"/>
      <c r="J363" s="22" t="n"/>
      <c r="K363" s="22" t="n"/>
      <c r="L363" s="22" t="n"/>
      <c r="M363" s="3" t="n"/>
      <c r="N363" s="22" t="n"/>
      <c r="O363" s="22" t="n"/>
      <c r="P363" s="22" t="n"/>
      <c r="Q363" s="22" t="n"/>
      <c r="R363" s="3" t="n"/>
      <c r="S363" s="22" t="n"/>
      <c r="T363" s="22" t="n"/>
      <c r="U363" s="22" t="n"/>
      <c r="V363" s="22" t="n"/>
      <c r="W363" s="3" t="n"/>
      <c r="X363" s="22" t="n"/>
      <c r="Y363" s="22" t="n"/>
      <c r="Z363" s="22" t="n"/>
      <c r="AA363" s="22" t="n"/>
      <c r="AB363" s="3" t="n"/>
      <c r="AC363" s="22" t="n"/>
      <c r="AD363" s="22" t="n"/>
      <c r="AE363" s="22" t="n"/>
      <c r="AF363" s="22" t="n"/>
      <c r="AG363" s="3" t="n"/>
      <c r="AH363" s="22" t="n"/>
      <c r="AI363" s="22" t="n"/>
      <c r="AJ363" s="22" t="n"/>
      <c r="AK363" s="22" t="n"/>
      <c r="AL363" s="3" t="n"/>
      <c r="AM363" s="22" t="n"/>
      <c r="AN363" s="22" t="n"/>
      <c r="AO363" s="22" t="n"/>
      <c r="AP363" s="22" t="n"/>
      <c r="AQ363" s="3" t="n"/>
      <c r="AR363" s="22" t="n"/>
      <c r="AS363" s="22" t="n"/>
      <c r="AT363" s="22" t="n"/>
      <c r="AU363" s="22" t="n"/>
      <c r="AV363" s="3" t="n"/>
      <c r="AW363" s="22" t="n"/>
      <c r="AX363" s="22" t="n"/>
      <c r="AY363" s="22" t="n"/>
      <c r="AZ363" s="22" t="n"/>
      <c r="BA363" s="3" t="n"/>
      <c r="BB363" s="22" t="n"/>
      <c r="BC363" s="22" t="n"/>
      <c r="BD363" s="22" t="n"/>
      <c r="BE363" s="22" t="n"/>
      <c r="BF363" s="3" t="n"/>
      <c r="BG363" s="22" t="n"/>
      <c r="BH363" s="22" t="n"/>
      <c r="BI363" s="22" t="n"/>
      <c r="BJ363" s="22" t="n"/>
      <c r="BK363" s="3" t="n"/>
      <c r="BL363" s="22" t="n"/>
      <c r="BM363" s="22" t="n"/>
      <c r="BN363" s="22" t="n"/>
      <c r="BO363" s="22" t="n"/>
      <c r="BP363" s="3" t="n"/>
      <c r="BQ363" s="22" t="n"/>
      <c r="BR363" s="22" t="n"/>
      <c r="BS363" s="22" t="n"/>
      <c r="BT363" s="22" t="n"/>
      <c r="BU363" s="3" t="n"/>
      <c r="BV363" s="22" t="n"/>
      <c r="BW363" s="22" t="n"/>
      <c r="BX363" s="22" t="n"/>
      <c r="BY363" s="22" t="n"/>
      <c r="BZ363" s="3" t="n"/>
      <c r="CA363" s="22" t="n"/>
      <c r="CB363" s="22" t="n"/>
      <c r="CC363" s="22" t="n"/>
      <c r="CD363" s="22" t="n"/>
      <c r="CE363" s="3" t="n"/>
      <c r="CF363" s="22" t="n"/>
      <c r="CG363" s="22" t="n"/>
      <c r="CH363" s="22" t="n"/>
      <c r="CI363" s="22" t="n"/>
      <c r="CJ363" s="3" t="n"/>
      <c r="CK363" s="22" t="n"/>
      <c r="CL363" s="22" t="n"/>
      <c r="CM363" s="22" t="n"/>
      <c r="CN363" s="22" t="n"/>
      <c r="CO363" s="3" t="n"/>
      <c r="CP363" s="22" t="n"/>
      <c r="CQ363" s="22" t="n"/>
      <c r="CR363" s="22" t="n"/>
      <c r="CS363" s="22" t="n"/>
      <c r="CT363" s="3" t="n"/>
      <c r="CU363" s="22" t="n"/>
      <c r="CV363" s="22" t="n"/>
      <c r="CW363" s="22" t="n"/>
      <c r="CX363" s="22" t="n"/>
      <c r="CY363" s="3" t="n"/>
    </row>
    <row r="364" collapsed="1">
      <c r="C364" s="26" t="inlineStr">
        <is>
          <t>Treasury stock (contra account)</t>
        </is>
      </c>
      <c r="D364" s="25" t="n"/>
      <c r="E364" s="25" t="n"/>
      <c r="F364" s="25" t="n"/>
      <c r="G364" s="25" t="n"/>
      <c r="H364" s="3">
        <f>G364</f>
        <v>0</v>
      </c>
      <c r="I364" s="25" t="n"/>
      <c r="J364" s="25" t="n"/>
      <c r="K364" s="25" t="n"/>
      <c r="L364" s="25" t="n"/>
      <c r="M364" s="3">
        <f>L364</f>
        <v>0</v>
      </c>
      <c r="N364" s="25" t="n"/>
      <c r="O364" s="25" t="n"/>
      <c r="P364" s="25" t="n"/>
      <c r="Q364" s="25" t="n"/>
      <c r="R364" s="3">
        <f>Q364</f>
        <v>0</v>
      </c>
      <c r="S364" s="25" t="n"/>
      <c r="T364" s="25" t="n"/>
      <c r="U364" s="25" t="n"/>
      <c r="V364" s="25" t="n"/>
      <c r="W364" s="3">
        <f>V364</f>
        <v>0</v>
      </c>
      <c r="X364" s="25" t="n"/>
      <c r="Y364" s="25" t="n"/>
      <c r="Z364" s="25" t="n"/>
      <c r="AA364" s="25" t="n"/>
      <c r="AB364" s="3">
        <f>AA364</f>
        <v>0</v>
      </c>
      <c r="AC364" s="25" t="n"/>
      <c r="AD364" s="25" t="n"/>
      <c r="AE364" s="25" t="n"/>
      <c r="AF364" s="25" t="n"/>
      <c r="AG364" s="3">
        <f>AF364</f>
        <v>0</v>
      </c>
      <c r="AH364" s="3">
        <f>AG364+AH354</f>
        <v>0</v>
      </c>
      <c r="AI364" s="3">
        <f>AH364+AI354</f>
        <v>0</v>
      </c>
      <c r="AJ364" s="3">
        <f>AI364+AJ354</f>
        <v>0</v>
      </c>
      <c r="AK364" s="3">
        <f>AJ364+AK354</f>
        <v>0</v>
      </c>
      <c r="AL364" s="3">
        <f>AK364</f>
        <v>0</v>
      </c>
      <c r="AM364" s="3">
        <f>AL364+AM354</f>
        <v>0</v>
      </c>
      <c r="AN364" s="3">
        <f>AM364+AN354</f>
        <v>0</v>
      </c>
      <c r="AO364" s="3">
        <f>AN364+AO354</f>
        <v>0</v>
      </c>
      <c r="AP364" s="3">
        <f>AO364+AP354</f>
        <v>0</v>
      </c>
      <c r="AQ364" s="3">
        <f>AP364</f>
        <v>0</v>
      </c>
      <c r="AR364" s="3">
        <f>AQ364+AR354</f>
        <v>0</v>
      </c>
      <c r="AS364" s="3">
        <f>AR364+AS354</f>
        <v>0</v>
      </c>
      <c r="AT364" s="3">
        <f>AS364+AT354</f>
        <v>0</v>
      </c>
      <c r="AU364" s="3">
        <f>AT364+AU354</f>
        <v>0</v>
      </c>
      <c r="AV364" s="3">
        <f>AU364</f>
        <v>0</v>
      </c>
      <c r="AW364" s="3">
        <f>AV364+AW354</f>
        <v>0</v>
      </c>
      <c r="AX364" s="3">
        <f>AW364+AX354</f>
        <v>0</v>
      </c>
      <c r="AY364" s="3">
        <f>AX364+AY354</f>
        <v>0</v>
      </c>
      <c r="AZ364" s="3">
        <f>AY364+AZ354</f>
        <v>0</v>
      </c>
      <c r="BA364" s="3">
        <f>AZ364</f>
        <v>0</v>
      </c>
      <c r="BB364" s="3">
        <f>BA364+BB354</f>
        <v>0</v>
      </c>
      <c r="BC364" s="3">
        <f>BB364+BC354</f>
        <v>0</v>
      </c>
      <c r="BD364" s="3">
        <f>BC364+BD354</f>
        <v>0</v>
      </c>
      <c r="BE364" s="3">
        <f>BD364+BE354</f>
        <v>0</v>
      </c>
      <c r="BF364" s="3">
        <f>BE364</f>
        <v>0</v>
      </c>
      <c r="BG364" s="3">
        <f>BF364+BG354</f>
        <v>0</v>
      </c>
      <c r="BH364" s="3">
        <f>BG364+BH354</f>
        <v>0</v>
      </c>
      <c r="BI364" s="3">
        <f>BH364+BI354</f>
        <v>0</v>
      </c>
      <c r="BJ364" s="3">
        <f>BI364+BJ354</f>
        <v>0</v>
      </c>
      <c r="BK364" s="3">
        <f>BJ364</f>
        <v>0</v>
      </c>
      <c r="BL364" s="3">
        <f>BK364+BL354</f>
        <v>0</v>
      </c>
      <c r="BM364" s="3">
        <f>BL364+BM354</f>
        <v>0</v>
      </c>
      <c r="BN364" s="3">
        <f>BM364+BN354</f>
        <v>0</v>
      </c>
      <c r="BO364" s="3">
        <f>BN364+BO354</f>
        <v>0</v>
      </c>
      <c r="BP364" s="3">
        <f>BO364</f>
        <v>0</v>
      </c>
      <c r="BQ364" s="3">
        <f>BP364+BQ354</f>
        <v>0</v>
      </c>
      <c r="BR364" s="3">
        <f>BQ364+BR354</f>
        <v>0</v>
      </c>
      <c r="BS364" s="3">
        <f>BR364+BS354</f>
        <v>0</v>
      </c>
      <c r="BT364" s="3">
        <f>BS364+BT354</f>
        <v>0</v>
      </c>
      <c r="BU364" s="3">
        <f>BT364</f>
        <v>0</v>
      </c>
      <c r="BV364" s="3">
        <f>BU364+BV354</f>
        <v>0</v>
      </c>
      <c r="BW364" s="3">
        <f>BV364+BW354</f>
        <v>0</v>
      </c>
      <c r="BX364" s="3">
        <f>BW364+BX354</f>
        <v>0</v>
      </c>
      <c r="BY364" s="3">
        <f>BX364+BY354</f>
        <v>0</v>
      </c>
      <c r="BZ364" s="3">
        <f>BY364</f>
        <v>0</v>
      </c>
      <c r="CA364" s="3">
        <f>BZ364+CA354</f>
        <v>0</v>
      </c>
      <c r="CB364" s="3">
        <f>CA364+CB354</f>
        <v>0</v>
      </c>
      <c r="CC364" s="3">
        <f>CB364+CC354</f>
        <v>0</v>
      </c>
      <c r="CD364" s="3">
        <f>CC364+CD354</f>
        <v>0</v>
      </c>
      <c r="CE364" s="3">
        <f>CD364</f>
        <v>0</v>
      </c>
      <c r="CF364" s="3">
        <f>CE364+CF354</f>
        <v>0</v>
      </c>
      <c r="CG364" s="3">
        <f>CF364+CG354</f>
        <v>0</v>
      </c>
      <c r="CH364" s="3">
        <f>CG364+CH354</f>
        <v>0</v>
      </c>
      <c r="CI364" s="3">
        <f>CH364+CI354</f>
        <v>0</v>
      </c>
      <c r="CJ364" s="3">
        <f>CI364</f>
        <v>0</v>
      </c>
      <c r="CK364" s="3">
        <f>CJ364+CK354</f>
        <v>0</v>
      </c>
      <c r="CL364" s="3">
        <f>CK364+CL354</f>
        <v>0</v>
      </c>
      <c r="CM364" s="3">
        <f>CL364+CM354</f>
        <v>0</v>
      </c>
      <c r="CN364" s="3">
        <f>CM364+CN354</f>
        <v>0</v>
      </c>
      <c r="CO364" s="3">
        <f>CN364</f>
        <v>0</v>
      </c>
      <c r="CP364" s="3">
        <f>CO364+CP354</f>
        <v>0</v>
      </c>
      <c r="CQ364" s="3">
        <f>CP364+CQ354</f>
        <v>0</v>
      </c>
      <c r="CR364" s="3">
        <f>CQ364+CR354</f>
        <v>0</v>
      </c>
      <c r="CS364" s="3">
        <f>CR364+CS354</f>
        <v>0</v>
      </c>
      <c r="CT364" s="3">
        <f>CS364</f>
        <v>0</v>
      </c>
      <c r="CU364" s="3">
        <f>CT364+CU354</f>
        <v>0</v>
      </c>
      <c r="CV364" s="3">
        <f>CU364+CV354</f>
        <v>0</v>
      </c>
      <c r="CW364" s="3">
        <f>CV364+CW354</f>
        <v>0</v>
      </c>
      <c r="CX364" s="3">
        <f>CW364+CX354</f>
        <v>0</v>
      </c>
      <c r="CY364" s="3">
        <f>CX364</f>
        <v>0</v>
      </c>
    </row>
    <row r="365">
      <c r="C365" s="26" t="inlineStr">
        <is>
          <t>Comprehensive (accumulated) loss</t>
        </is>
      </c>
      <c r="D365" s="25">
        <f>INDEX('Inputs (2)'!$D$45:$AL$45,MATCH(D$7,'Inputs (2)'!$D$2:$AL$2,0))</f>
        <v>63.399</v>
      </c>
      <c r="E365" s="25">
        <f>INDEX('Inputs (2)'!$D$45:$AL$45,MATCH(E$7,'Inputs (2)'!$D$2:$AL$2,0))</f>
        <v>96.487</v>
      </c>
      <c r="F365" s="25">
        <f>INDEX('Inputs (2)'!$D$45:$AL$45,MATCH(F$7,'Inputs (2)'!$D$2:$AL$2,0))</f>
        <v>101.566</v>
      </c>
      <c r="G365" s="25">
        <f>INDEX('Inputs (2)'!$D$45:$AL$45,MATCH(G$7,'Inputs (2)'!$D$2:$AL$2,0))</f>
        <v>85.453</v>
      </c>
      <c r="H365" s="3">
        <f>G365</f>
        <v>85.453</v>
      </c>
      <c r="I365" s="25">
        <f>INDEX('Inputs (2)'!$D$45:$AL$45,MATCH(I$7,'Inputs (2)'!$D$2:$AL$2,0))</f>
        <v>103.694</v>
      </c>
      <c r="J365" s="25">
        <f>INDEX('Inputs (2)'!$D$45:$AL$45,MATCH(J$7,'Inputs (2)'!$D$2:$AL$2,0))</f>
        <v>51.922</v>
      </c>
      <c r="K365" s="25">
        <f>INDEX('Inputs (2)'!$D$45:$AL$45,MATCH(K$7,'Inputs (2)'!$D$2:$AL$2,0))</f>
        <v>62.016</v>
      </c>
      <c r="L365" s="25">
        <f>INDEX('Inputs (2)'!$D$45:$AL$45,MATCH(L$7,'Inputs (2)'!$D$2:$AL$2,0))</f>
        <v>70.865</v>
      </c>
      <c r="M365" s="3">
        <f>L365</f>
        <v>70.865</v>
      </c>
      <c r="N365" s="25">
        <f>INDEX('Inputs (2)'!$D$45:$AL$45,MATCH(N$7,'Inputs (2)'!$D$2:$AL$2,0))</f>
        <v>35.501</v>
      </c>
      <c r="O365" s="25">
        <f>INDEX('Inputs (2)'!$D$45:$AL$45,MATCH(O$7,'Inputs (2)'!$D$2:$AL$2,0))</f>
        <v>54.159</v>
      </c>
      <c r="P365" s="25">
        <f>INDEX('Inputs (2)'!$D$45:$AL$45,MATCH(P$7,'Inputs (2)'!$D$2:$AL$2,0))</f>
        <v>45.86</v>
      </c>
      <c r="Q365" s="25">
        <f>INDEX('Inputs (2)'!$D$45:$AL$45,MATCH(Q$7,'Inputs (2)'!$D$2:$AL$2,0))</f>
        <v>45.492</v>
      </c>
      <c r="R365" s="3">
        <f>Q365</f>
        <v>45.492</v>
      </c>
      <c r="S365" s="25">
        <f>INDEX('Inputs (2)'!$D$45:$AL$45,MATCH(S$7,'Inputs (2)'!$D$2:$AL$2,0))</f>
        <v>39.811</v>
      </c>
      <c r="T365" s="25">
        <f>INDEX('Inputs (2)'!$D$45:$AL$45,MATCH(T$7,'Inputs (2)'!$D$2:$AL$2,0))</f>
        <v>48.546</v>
      </c>
      <c r="U365" s="25">
        <f>INDEX('Inputs (2)'!$D$45:$AL$45,MATCH(U$7,'Inputs (2)'!$D$2:$AL$2,0))</f>
        <v>62.164</v>
      </c>
      <c r="V365" s="25">
        <f>INDEX('Inputs (2)'!$D$45:$AL$45,MATCH(V$7,'Inputs (2)'!$D$2:$AL$2,0))</f>
        <v>45.937</v>
      </c>
      <c r="W365" s="3">
        <f>V365</f>
        <v>45.937</v>
      </c>
      <c r="X365" s="25">
        <f>INDEX('Inputs (2)'!$D$45:$AL$45,MATCH(X$7,'Inputs (2)'!$D$2:$AL$2,0))</f>
        <v>57.65</v>
      </c>
      <c r="Y365" s="25">
        <f>INDEX('Inputs (2)'!$D$45:$AL$45,MATCH(Y$7,'Inputs (2)'!$D$2:$AL$2,0))</f>
        <v>79.027</v>
      </c>
      <c r="Z365" s="25">
        <f>INDEX('Inputs (2)'!$D$45:$AL$45,MATCH(Z$7,'Inputs (2)'!$D$2:$AL$2,0))</f>
        <v>72.596</v>
      </c>
      <c r="AA365" s="25">
        <f>INDEX('Inputs (2)'!$D$45:$AL$45,MATCH(AA$7,'Inputs (2)'!$D$2:$AL$2,0))</f>
        <v>104.372</v>
      </c>
      <c r="AB365" s="3">
        <f>AA365</f>
        <v>104.372</v>
      </c>
      <c r="AC365" s="25">
        <f>INDEX('Inputs (2)'!$D$45:$AL$45,MATCH(AC$7,'Inputs (2)'!$D$2:$AL$2,0))</f>
        <v>84.44</v>
      </c>
      <c r="AD365" s="25">
        <f>INDEX('Inputs (2)'!$D$45:$AL$45,MATCH(AD$7,'Inputs (2)'!$D$2:$AL$2,0))</f>
        <v>-50.354</v>
      </c>
      <c r="AE365" s="25">
        <f>INDEX('Inputs (2)'!$D$45:$AL$45,MATCH(AE$7,'Inputs (2)'!$D$2:$AL$2,0))</f>
        <v>85.109</v>
      </c>
      <c r="AF365" s="25">
        <f>INDEX('Inputs (2)'!$D$45:$AL$45,MATCH(AF$7,'Inputs (2)'!$D$2:$AL$2,0))</f>
        <v>174.494</v>
      </c>
      <c r="AG365" s="3">
        <f>AF365</f>
        <v>174.494</v>
      </c>
      <c r="AH365" s="3">
        <f>INDEX('Inputs (2)'!$D$45:$AL$45,MATCH(AH$7,'Inputs (2)'!$D$2:$AL$2,0))</f>
        <v>99.329</v>
      </c>
      <c r="AI365" s="3">
        <f>INDEX('Inputs (2)'!$D$45:$AL$45,MATCH(AI$7,'Inputs (2)'!$D$2:$AL$2,0))</f>
        <v>115.567</v>
      </c>
      <c r="AJ365" s="3">
        <f>AI365</f>
        <v>115.567</v>
      </c>
      <c r="AK365" s="3">
        <f>AJ365</f>
        <v>115.567</v>
      </c>
      <c r="AL365" s="3">
        <f>AK365</f>
        <v>115.567</v>
      </c>
      <c r="AM365" s="3">
        <f>AL365</f>
        <v>115.567</v>
      </c>
      <c r="AN365" s="3">
        <f>AM365</f>
        <v>115.567</v>
      </c>
      <c r="AO365" s="3">
        <f>AN365</f>
        <v>115.567</v>
      </c>
      <c r="AP365" s="3">
        <f>AO365</f>
        <v>115.567</v>
      </c>
      <c r="AQ365" s="3">
        <f>AP365</f>
        <v>115.567</v>
      </c>
      <c r="AR365" s="3">
        <f>AQ365</f>
        <v>115.567</v>
      </c>
      <c r="AS365" s="3">
        <f>AR365</f>
        <v>115.567</v>
      </c>
      <c r="AT365" s="3">
        <f>AS365</f>
        <v>115.567</v>
      </c>
      <c r="AU365" s="3">
        <f>AT365</f>
        <v>115.567</v>
      </c>
      <c r="AV365" s="3">
        <f>AU365</f>
        <v>115.567</v>
      </c>
      <c r="AW365" s="3">
        <f>AV365</f>
        <v>115.567</v>
      </c>
      <c r="AX365" s="3">
        <f>AW365</f>
        <v>115.567</v>
      </c>
      <c r="AY365" s="3">
        <f>AX365</f>
        <v>115.567</v>
      </c>
      <c r="AZ365" s="3">
        <f>AY365</f>
        <v>115.567</v>
      </c>
      <c r="BA365" s="3">
        <f>AZ365</f>
        <v>115.567</v>
      </c>
      <c r="BB365" s="3">
        <f>BA365</f>
        <v>115.567</v>
      </c>
      <c r="BC365" s="3">
        <f>BB365</f>
        <v>115.567</v>
      </c>
      <c r="BD365" s="3">
        <f>BC365</f>
        <v>115.567</v>
      </c>
      <c r="BE365" s="3">
        <f>BD365</f>
        <v>115.567</v>
      </c>
      <c r="BF365" s="3">
        <f>BE365</f>
        <v>115.567</v>
      </c>
      <c r="BG365" s="3">
        <f>BF365</f>
        <v>115.567</v>
      </c>
      <c r="BH365" s="3">
        <f>BG365</f>
        <v>115.567</v>
      </c>
      <c r="BI365" s="3">
        <f>BH365</f>
        <v>115.567</v>
      </c>
      <c r="BJ365" s="3">
        <f>BI365</f>
        <v>115.567</v>
      </c>
      <c r="BK365" s="3">
        <f>BJ365</f>
        <v>115.567</v>
      </c>
      <c r="BL365" s="3">
        <f>BK365</f>
        <v>115.567</v>
      </c>
      <c r="BM365" s="3">
        <f>BL365</f>
        <v>115.567</v>
      </c>
      <c r="BN365" s="3">
        <f>BM365</f>
        <v>115.567</v>
      </c>
      <c r="BO365" s="3">
        <f>BN365</f>
        <v>115.567</v>
      </c>
      <c r="BP365" s="3">
        <f>BO365</f>
        <v>115.567</v>
      </c>
      <c r="BQ365" s="3">
        <f>BP365</f>
        <v>115.567</v>
      </c>
      <c r="BR365" s="3">
        <f>BQ365</f>
        <v>115.567</v>
      </c>
      <c r="BS365" s="3">
        <f>BR365</f>
        <v>115.567</v>
      </c>
      <c r="BT365" s="3">
        <f>BS365</f>
        <v>115.567</v>
      </c>
      <c r="BU365" s="3">
        <f>BT365</f>
        <v>115.567</v>
      </c>
      <c r="BV365" s="3">
        <f>BU365</f>
        <v>115.567</v>
      </c>
      <c r="BW365" s="3">
        <f>BV365</f>
        <v>115.567</v>
      </c>
      <c r="BX365" s="3">
        <f>BW365</f>
        <v>115.567</v>
      </c>
      <c r="BY365" s="3">
        <f>BX365</f>
        <v>115.567</v>
      </c>
      <c r="BZ365" s="3">
        <f>BY365</f>
        <v>115.567</v>
      </c>
      <c r="CA365" s="3">
        <f>BZ365</f>
        <v>115.567</v>
      </c>
      <c r="CB365" s="3">
        <f>CA365</f>
        <v>115.567</v>
      </c>
      <c r="CC365" s="3">
        <f>CB365</f>
        <v>115.567</v>
      </c>
      <c r="CD365" s="3">
        <f>CC365</f>
        <v>115.567</v>
      </c>
      <c r="CE365" s="3">
        <f>CD365</f>
        <v>115.567</v>
      </c>
      <c r="CF365" s="3">
        <f>CE365</f>
        <v>115.567</v>
      </c>
      <c r="CG365" s="3">
        <f>CF365</f>
        <v>115.567</v>
      </c>
      <c r="CH365" s="3">
        <f>CG365</f>
        <v>115.567</v>
      </c>
      <c r="CI365" s="3">
        <f>CH365</f>
        <v>115.567</v>
      </c>
      <c r="CJ365" s="3">
        <f>CI365</f>
        <v>115.567</v>
      </c>
      <c r="CK365" s="3">
        <f>CJ365</f>
        <v>115.567</v>
      </c>
      <c r="CL365" s="3">
        <f>CK365</f>
        <v>115.567</v>
      </c>
      <c r="CM365" s="3">
        <f>CL365</f>
        <v>115.567</v>
      </c>
      <c r="CN365" s="3">
        <f>CM365</f>
        <v>115.567</v>
      </c>
      <c r="CO365" s="3">
        <f>CN365</f>
        <v>115.567</v>
      </c>
      <c r="CP365" s="3">
        <f>CO365</f>
        <v>115.567</v>
      </c>
      <c r="CQ365" s="3">
        <f>CP365</f>
        <v>115.567</v>
      </c>
      <c r="CR365" s="3">
        <f>CQ365</f>
        <v>115.567</v>
      </c>
      <c r="CS365" s="3">
        <f>CR365</f>
        <v>115.567</v>
      </c>
      <c r="CT365" s="3">
        <f>CS365</f>
        <v>115.567</v>
      </c>
      <c r="CU365" s="3">
        <f>CT365</f>
        <v>115.567</v>
      </c>
      <c r="CV365" s="3">
        <f>CU365</f>
        <v>115.567</v>
      </c>
      <c r="CW365" s="3">
        <f>CV365</f>
        <v>115.567</v>
      </c>
      <c r="CX365" s="3">
        <f>CW365</f>
        <v>115.567</v>
      </c>
      <c r="CY365" s="3">
        <f>CX365</f>
        <v>115.567</v>
      </c>
    </row>
    <row r="366">
      <c r="C366" s="26" t="inlineStr">
        <is>
          <t>Other equity account</t>
        </is>
      </c>
      <c r="D366" s="25">
        <f>INDEX('Inputs (2)'!$D$46:$AL$46,MATCH(D$7,'Inputs (2)'!$D$2:$AL$2,0))</f>
        <v>2031.442</v>
      </c>
      <c r="E366" s="25">
        <f>INDEX('Inputs (2)'!$D$46:$AL$46,MATCH(E$7,'Inputs (2)'!$D$2:$AL$2,0))</f>
        <v>2031.442</v>
      </c>
      <c r="F366" s="25">
        <f>INDEX('Inputs (2)'!$D$46:$AL$46,MATCH(F$7,'Inputs (2)'!$D$2:$AL$2,0))</f>
        <v>2031.442</v>
      </c>
      <c r="G366" s="25">
        <f>INDEX('Inputs (2)'!$D$46:$AL$46,MATCH(G$7,'Inputs (2)'!$D$2:$AL$2,0))</f>
        <v>2727.377</v>
      </c>
      <c r="H366" s="3">
        <f>G366</f>
        <v>2727.377</v>
      </c>
      <c r="I366" s="25">
        <f>INDEX('Inputs (2)'!$D$46:$AL$46,MATCH(I$7,'Inputs (2)'!$D$2:$AL$2,0))</f>
        <v>2727.377</v>
      </c>
      <c r="J366" s="25">
        <f>INDEX('Inputs (2)'!$D$46:$AL$46,MATCH(J$7,'Inputs (2)'!$D$2:$AL$2,0))</f>
        <v>2727.377</v>
      </c>
      <c r="K366" s="25">
        <f>INDEX('Inputs (2)'!$D$46:$AL$46,MATCH(K$7,'Inputs (2)'!$D$2:$AL$2,0))</f>
        <v>2727.377</v>
      </c>
      <c r="L366" s="25">
        <f>INDEX('Inputs (2)'!$D$46:$AL$46,MATCH(L$7,'Inputs (2)'!$D$2:$AL$2,0))</f>
        <v>2727.377</v>
      </c>
      <c r="M366" s="3">
        <f>L366</f>
        <v>2727.377</v>
      </c>
      <c r="N366" s="25">
        <f>INDEX('Inputs (2)'!$D$46:$AL$46,MATCH(N$7,'Inputs (2)'!$D$2:$AL$2,0))</f>
        <v>3482.342</v>
      </c>
      <c r="O366" s="25">
        <f>INDEX('Inputs (2)'!$D$46:$AL$46,MATCH(O$7,'Inputs (2)'!$D$2:$AL$2,0))</f>
        <v>3482.342</v>
      </c>
      <c r="P366" s="25">
        <f>INDEX('Inputs (2)'!$D$46:$AL$46,MATCH(P$7,'Inputs (2)'!$D$2:$AL$2,0))</f>
        <v>3482.342</v>
      </c>
      <c r="Q366" s="25">
        <f>INDEX('Inputs (2)'!$D$46:$AL$46,MATCH(Q$7,'Inputs (2)'!$D$2:$AL$2,0))</f>
        <v>3978.834</v>
      </c>
      <c r="R366" s="3">
        <f>Q366</f>
        <v>3978.834</v>
      </c>
      <c r="S366" s="25">
        <f>INDEX('Inputs (2)'!$D$46:$AL$46,MATCH(S$7,'Inputs (2)'!$D$2:$AL$2,0))</f>
        <v>3978.834</v>
      </c>
      <c r="T366" s="25">
        <f>INDEX('Inputs (2)'!$D$46:$AL$46,MATCH(T$7,'Inputs (2)'!$D$2:$AL$2,0))</f>
        <v>3650.047</v>
      </c>
      <c r="U366" s="25">
        <f>INDEX('Inputs (2)'!$D$46:$AL$46,MATCH(U$7,'Inputs (2)'!$D$2:$AL$2,0))</f>
        <v>3650.047</v>
      </c>
      <c r="V366" s="25">
        <f>INDEX('Inputs (2)'!$D$46:$AL$46,MATCH(V$7,'Inputs (2)'!$D$2:$AL$2,0))</f>
        <v>3996.686</v>
      </c>
      <c r="W366" s="3">
        <f>V366</f>
        <v>3996.686</v>
      </c>
      <c r="X366" s="25">
        <f>INDEX('Inputs (2)'!$D$46:$AL$46,MATCH(X$7,'Inputs (2)'!$D$2:$AL$2,0))</f>
        <v>3996.686</v>
      </c>
      <c r="Y366" s="25">
        <f>INDEX('Inputs (2)'!$D$46:$AL$46,MATCH(Y$7,'Inputs (2)'!$D$2:$AL$2,0))</f>
        <v>3633.902</v>
      </c>
      <c r="Z366" s="25">
        <f>INDEX('Inputs (2)'!$D$46:$AL$46,MATCH(Z$7,'Inputs (2)'!$D$2:$AL$2,0))</f>
        <v>3633.902</v>
      </c>
      <c r="AA366" s="25">
        <f>INDEX('Inputs (2)'!$D$46:$AL$46,MATCH(AA$7,'Inputs (2)'!$D$2:$AL$2,0))</f>
        <v>4460.056</v>
      </c>
      <c r="AB366" s="3">
        <f>AA366</f>
        <v>4460.056</v>
      </c>
      <c r="AC366" s="25">
        <f>INDEX('Inputs (2)'!$D$46:$AL$46,MATCH(AC$7,'Inputs (2)'!$D$2:$AL$2,0))</f>
        <v>4460.056</v>
      </c>
      <c r="AD366" s="25">
        <f>INDEX('Inputs (2)'!$D$46:$AL$46,MATCH(AD$7,'Inputs (2)'!$D$2:$AL$2,0))</f>
        <v>4094.715</v>
      </c>
      <c r="AE366" s="25">
        <f>INDEX('Inputs (2)'!$D$46:$AL$46,MATCH(AE$7,'Inputs (2)'!$D$2:$AL$2,0))</f>
        <v>4094.715</v>
      </c>
      <c r="AF366" s="25">
        <f>INDEX('Inputs (2)'!$D$46:$AL$46,MATCH(AF$7,'Inputs (2)'!$D$2:$AL$2,0))</f>
        <v>4964.166</v>
      </c>
      <c r="AG366" s="3">
        <f>AF366</f>
        <v>4964.166</v>
      </c>
      <c r="AH366" s="3">
        <f>INDEX('Inputs (2)'!$D$46:$AL$46,MATCH(AH$7,'Inputs (2)'!$D$2:$AL$2,0))</f>
        <v>4964.166</v>
      </c>
      <c r="AI366" s="3">
        <f>INDEX('Inputs (2)'!$D$46:$AL$46,MATCH(AI$7,'Inputs (2)'!$D$2:$AL$2,0))</f>
        <v>4954.277</v>
      </c>
      <c r="AJ366" s="3">
        <f>AI366</f>
        <v>4954.277</v>
      </c>
      <c r="AK366" s="3">
        <f>AJ366</f>
        <v>4954.277</v>
      </c>
      <c r="AL366" s="3">
        <f>AK366</f>
        <v>4954.277</v>
      </c>
      <c r="AM366" s="3">
        <f>AL366</f>
        <v>4954.277</v>
      </c>
      <c r="AN366" s="3">
        <f>AM366</f>
        <v>4954.277</v>
      </c>
      <c r="AO366" s="3">
        <f>AN366</f>
        <v>4954.277</v>
      </c>
      <c r="AP366" s="3">
        <f>AO366</f>
        <v>4954.277</v>
      </c>
      <c r="AQ366" s="3">
        <f>AP366</f>
        <v>4954.277</v>
      </c>
      <c r="AR366" s="3">
        <f>AQ366</f>
        <v>4954.277</v>
      </c>
      <c r="AS366" s="3">
        <f>AR366</f>
        <v>4954.277</v>
      </c>
      <c r="AT366" s="3">
        <f>AS366</f>
        <v>4954.277</v>
      </c>
      <c r="AU366" s="3">
        <f>AT366</f>
        <v>4954.277</v>
      </c>
      <c r="AV366" s="3">
        <f>AU366</f>
        <v>4954.277</v>
      </c>
      <c r="AW366" s="3">
        <f>AV366</f>
        <v>4954.277</v>
      </c>
      <c r="AX366" s="3">
        <f>AW366</f>
        <v>4954.277</v>
      </c>
      <c r="AY366" s="3">
        <f>AX366</f>
        <v>4954.277</v>
      </c>
      <c r="AZ366" s="3">
        <f>AY366</f>
        <v>4954.277</v>
      </c>
      <c r="BA366" s="3">
        <f>AZ366</f>
        <v>4954.277</v>
      </c>
      <c r="BB366" s="3">
        <f>BA366</f>
        <v>4954.277</v>
      </c>
      <c r="BC366" s="3">
        <f>BB366</f>
        <v>4954.277</v>
      </c>
      <c r="BD366" s="3">
        <f>BC366</f>
        <v>4954.277</v>
      </c>
      <c r="BE366" s="3">
        <f>BD366</f>
        <v>4954.277</v>
      </c>
      <c r="BF366" s="3">
        <f>BE366</f>
        <v>4954.277</v>
      </c>
      <c r="BG366" s="3">
        <f>BF366</f>
        <v>4954.277</v>
      </c>
      <c r="BH366" s="3">
        <f>BG366</f>
        <v>4954.277</v>
      </c>
      <c r="BI366" s="3">
        <f>BH366</f>
        <v>4954.277</v>
      </c>
      <c r="BJ366" s="3">
        <f>BI366</f>
        <v>4954.277</v>
      </c>
      <c r="BK366" s="3">
        <f>BJ366</f>
        <v>4954.277</v>
      </c>
      <c r="BL366" s="3">
        <f>BK366</f>
        <v>4954.277</v>
      </c>
      <c r="BM366" s="3">
        <f>BL366</f>
        <v>4954.277</v>
      </c>
      <c r="BN366" s="3">
        <f>BM366</f>
        <v>4954.277</v>
      </c>
      <c r="BO366" s="3">
        <f>BN366</f>
        <v>4954.277</v>
      </c>
      <c r="BP366" s="3">
        <f>BO366</f>
        <v>4954.277</v>
      </c>
      <c r="BQ366" s="3">
        <f>BP366</f>
        <v>4954.277</v>
      </c>
      <c r="BR366" s="3">
        <f>BQ366</f>
        <v>4954.277</v>
      </c>
      <c r="BS366" s="3">
        <f>BR366</f>
        <v>4954.277</v>
      </c>
      <c r="BT366" s="3">
        <f>BS366</f>
        <v>4954.277</v>
      </c>
      <c r="BU366" s="3">
        <f>BT366</f>
        <v>4954.277</v>
      </c>
      <c r="BV366" s="3">
        <f>BU366</f>
        <v>4954.277</v>
      </c>
      <c r="BW366" s="3">
        <f>BV366</f>
        <v>4954.277</v>
      </c>
      <c r="BX366" s="3">
        <f>BW366</f>
        <v>4954.277</v>
      </c>
      <c r="BY366" s="3">
        <f>BX366</f>
        <v>4954.277</v>
      </c>
      <c r="BZ366" s="3">
        <f>BY366</f>
        <v>4954.277</v>
      </c>
      <c r="CA366" s="3">
        <f>BZ366</f>
        <v>4954.277</v>
      </c>
      <c r="CB366" s="3">
        <f>CA366</f>
        <v>4954.277</v>
      </c>
      <c r="CC366" s="3">
        <f>CB366</f>
        <v>4954.277</v>
      </c>
      <c r="CD366" s="3">
        <f>CC366</f>
        <v>4954.277</v>
      </c>
      <c r="CE366" s="3">
        <f>CD366</f>
        <v>4954.277</v>
      </c>
      <c r="CF366" s="3">
        <f>CE366</f>
        <v>4954.277</v>
      </c>
      <c r="CG366" s="3">
        <f>CF366</f>
        <v>4954.277</v>
      </c>
      <c r="CH366" s="3">
        <f>CG366</f>
        <v>4954.277</v>
      </c>
      <c r="CI366" s="3">
        <f>CH366</f>
        <v>4954.277</v>
      </c>
      <c r="CJ366" s="3">
        <f>CI366</f>
        <v>4954.277</v>
      </c>
      <c r="CK366" s="3">
        <f>CJ366</f>
        <v>4954.277</v>
      </c>
      <c r="CL366" s="3">
        <f>CK366</f>
        <v>4954.277</v>
      </c>
      <c r="CM366" s="3">
        <f>CL366</f>
        <v>4954.277</v>
      </c>
      <c r="CN366" s="3">
        <f>CM366</f>
        <v>4954.277</v>
      </c>
      <c r="CO366" s="3">
        <f>CN366</f>
        <v>4954.277</v>
      </c>
      <c r="CP366" s="3">
        <f>CO366</f>
        <v>4954.277</v>
      </c>
      <c r="CQ366" s="3">
        <f>CP366</f>
        <v>4954.277</v>
      </c>
      <c r="CR366" s="3">
        <f>CQ366</f>
        <v>4954.277</v>
      </c>
      <c r="CS366" s="3">
        <f>CR366</f>
        <v>4954.277</v>
      </c>
      <c r="CT366" s="3">
        <f>CS366</f>
        <v>4954.277</v>
      </c>
      <c r="CU366" s="3">
        <f>CT366</f>
        <v>4954.277</v>
      </c>
      <c r="CV366" s="3">
        <f>CU366</f>
        <v>4954.277</v>
      </c>
      <c r="CW366" s="3">
        <f>CV366</f>
        <v>4954.277</v>
      </c>
      <c r="CX366" s="3">
        <f>CW366</f>
        <v>4954.277</v>
      </c>
      <c r="CY366" s="3">
        <f>CX366</f>
        <v>4954.277</v>
      </c>
    </row>
    <row r="367">
      <c r="C367" s="28" t="inlineStr">
        <is>
          <t>Retained earnings</t>
        </is>
      </c>
      <c r="D367" s="25">
        <f>INDEX('Inputs (2)'!$D$47:$AL$47,MATCH(D$7,'Inputs (2)'!$D$2:$AL$2,0))</f>
        <v>179.149</v>
      </c>
      <c r="E367" s="25">
        <f>INDEX('Inputs (2)'!$D$47:$AL$47,MATCH(E$7,'Inputs (2)'!$D$2:$AL$2,0))</f>
        <v>251.258</v>
      </c>
      <c r="F367" s="25">
        <f>INDEX('Inputs (2)'!$D$47:$AL$47,MATCH(F$7,'Inputs (2)'!$D$2:$AL$2,0))</f>
        <v>432.472</v>
      </c>
      <c r="G367" s="25">
        <f>INDEX('Inputs (2)'!$D$47:$AL$47,MATCH(G$7,'Inputs (2)'!$D$2:$AL$2,0))</f>
        <v>0</v>
      </c>
      <c r="H367" s="3">
        <f>G367</f>
        <v>0</v>
      </c>
      <c r="I367" s="25">
        <f>INDEX('Inputs (2)'!$D$47:$AL$47,MATCH(I$7,'Inputs (2)'!$D$2:$AL$2,0))</f>
        <v>323.416</v>
      </c>
      <c r="J367" s="25">
        <f>INDEX('Inputs (2)'!$D$47:$AL$47,MATCH(J$7,'Inputs (2)'!$D$2:$AL$2,0))</f>
        <v>655.761</v>
      </c>
      <c r="K367" s="25">
        <f>INDEX('Inputs (2)'!$D$47:$AL$47,MATCH(K$7,'Inputs (2)'!$D$2:$AL$2,0))</f>
        <v>896.077</v>
      </c>
      <c r="L367" s="25">
        <f>INDEX('Inputs (2)'!$D$47:$AL$47,MATCH(L$7,'Inputs (2)'!$D$2:$AL$2,0))</f>
        <v>1115.401</v>
      </c>
      <c r="M367" s="3">
        <f>L367</f>
        <v>1115.401</v>
      </c>
      <c r="N367" s="25">
        <f>INDEX('Inputs (2)'!$D$47:$AL$47,MATCH(N$7,'Inputs (2)'!$D$2:$AL$2,0))</f>
        <v>430.979</v>
      </c>
      <c r="O367" s="25">
        <f>INDEX('Inputs (2)'!$D$47:$AL$47,MATCH(O$7,'Inputs (2)'!$D$2:$AL$2,0))</f>
        <v>610.987</v>
      </c>
      <c r="P367" s="25">
        <f>INDEX('Inputs (2)'!$D$47:$AL$47,MATCH(P$7,'Inputs (2)'!$D$2:$AL$2,0))</f>
        <v>726.663</v>
      </c>
      <c r="Q367" s="25">
        <f>INDEX('Inputs (2)'!$D$47:$AL$47,MATCH(Q$7,'Inputs (2)'!$D$2:$AL$2,0))</f>
        <v>0</v>
      </c>
      <c r="R367" s="3">
        <f>Q367</f>
        <v>0</v>
      </c>
      <c r="S367" s="25">
        <f>INDEX('Inputs (2)'!$D$47:$AL$47,MATCH(S$7,'Inputs (2)'!$D$2:$AL$2,0))</f>
        <v>230.71</v>
      </c>
      <c r="T367" s="25">
        <f>INDEX('Inputs (2)'!$D$47:$AL$47,MATCH(T$7,'Inputs (2)'!$D$2:$AL$2,0))</f>
        <v>452.896</v>
      </c>
      <c r="U367" s="25">
        <f>INDEX('Inputs (2)'!$D$47:$AL$47,MATCH(U$7,'Inputs (2)'!$D$2:$AL$2,0))</f>
        <v>516.33</v>
      </c>
      <c r="V367" s="25">
        <f>INDEX('Inputs (2)'!$D$47:$AL$47,MATCH(V$7,'Inputs (2)'!$D$2:$AL$2,0))</f>
        <v>0</v>
      </c>
      <c r="W367" s="3">
        <f>V367</f>
        <v>0</v>
      </c>
      <c r="X367" s="25">
        <f>INDEX('Inputs (2)'!$D$47:$AL$47,MATCH(X$7,'Inputs (2)'!$D$2:$AL$2,0))</f>
        <v>254.944</v>
      </c>
      <c r="Y367" s="25">
        <f>INDEX('Inputs (2)'!$D$47:$AL$47,MATCH(Y$7,'Inputs (2)'!$D$2:$AL$2,0))</f>
        <v>425.455</v>
      </c>
      <c r="Z367" s="25">
        <f>INDEX('Inputs (2)'!$D$47:$AL$47,MATCH(Z$7,'Inputs (2)'!$D$2:$AL$2,0))</f>
        <v>732.158</v>
      </c>
      <c r="AA367" s="25">
        <f>INDEX('Inputs (2)'!$D$47:$AL$47,MATCH(AA$7,'Inputs (2)'!$D$2:$AL$2,0))</f>
        <v>0</v>
      </c>
      <c r="AB367" s="3">
        <f>AA367</f>
        <v>0</v>
      </c>
      <c r="AC367" s="25">
        <f>INDEX('Inputs (2)'!$D$47:$AL$47,MATCH(AC$7,'Inputs (2)'!$D$2:$AL$2,0))</f>
        <v>298.777</v>
      </c>
      <c r="AD367" s="25">
        <f>INDEX('Inputs (2)'!$D$47:$AL$47,MATCH(AD$7,'Inputs (2)'!$D$2:$AL$2,0))</f>
        <v>374.422</v>
      </c>
      <c r="AE367" s="25">
        <f>INDEX('Inputs (2)'!$D$47:$AL$47,MATCH(AE$7,'Inputs (2)'!$D$2:$AL$2,0))</f>
        <v>794.591</v>
      </c>
      <c r="AF367" s="25">
        <f>INDEX('Inputs (2)'!$D$47:$AL$47,MATCH(AF$7,'Inputs (2)'!$D$2:$AL$2,0))</f>
        <v>0</v>
      </c>
      <c r="AG367" s="3">
        <f>AF367</f>
        <v>0</v>
      </c>
      <c r="AH367" s="3">
        <f>INDEX('Inputs (2)'!$D$47:$AL$47,MATCH(AH$7,'Inputs (2)'!$D$2:$AL$2,0))</f>
        <v>198.067</v>
      </c>
      <c r="AI367" s="3">
        <f>INDEX('Inputs (2)'!$D$47:$AL$47,MATCH(AI$7,'Inputs (2)'!$D$2:$AL$2,0))</f>
        <v>545.471</v>
      </c>
      <c r="AJ367" s="3">
        <f>AI367+AJ234+AJ235</f>
        <v>884.238</v>
      </c>
      <c r="AK367" s="3">
        <f>AJ367+AK234+AK235</f>
        <v>896.682</v>
      </c>
      <c r="AL367" s="3">
        <f>AK367</f>
        <v>896.682</v>
      </c>
      <c r="AM367" s="3">
        <f>AL367+AM234+AM235</f>
        <v>933.058</v>
      </c>
      <c r="AN367" s="3">
        <f>AM367+AN234+AN235</f>
        <v>1090.781</v>
      </c>
      <c r="AO367" s="3">
        <f>AN367+AO234+AO235</f>
        <v>1520.034</v>
      </c>
      <c r="AP367" s="3">
        <f>AO367+AP234+AP235</f>
        <v>1805.016</v>
      </c>
      <c r="AQ367" s="3">
        <f>AP367</f>
        <v>1805.016</v>
      </c>
      <c r="AR367" s="3">
        <f>AQ367+AR234+AR235</f>
        <v>2113.93</v>
      </c>
      <c r="AS367" s="3">
        <f>AR367+AS234+AS235</f>
        <v>2997.701</v>
      </c>
      <c r="AT367" s="3">
        <f>AS367+AT234+AT235</f>
        <v>3699.492</v>
      </c>
      <c r="AU367" s="3">
        <f>AT367+AU234+AU235</f>
        <v>4710.522</v>
      </c>
      <c r="AV367" s="3">
        <f>AU367</f>
        <v>4710.522</v>
      </c>
      <c r="AW367" s="3">
        <f>AV367+AW234+AW235</f>
        <v>5745.484</v>
      </c>
      <c r="AX367" s="3">
        <f>AW367+AX234+AX235</f>
        <v>8626.427</v>
      </c>
      <c r="AY367" s="3">
        <f>AX367+AY234+AY235</f>
        <v>10054.266</v>
      </c>
      <c r="AZ367" s="3">
        <f>AY367+AZ234+AZ235</f>
        <v>13062.468</v>
      </c>
      <c r="BA367" s="3">
        <f>AZ367</f>
        <v>13062.468</v>
      </c>
      <c r="BB367" s="3">
        <f>BA367+BB234+BB235</f>
        <v>16094.602</v>
      </c>
      <c r="BC367" s="3">
        <f>BB367+BC234+BC235</f>
        <v>24421.985</v>
      </c>
      <c r="BD367" s="3">
        <f>BC367+BD234+BD235</f>
        <v>27846.996</v>
      </c>
      <c r="BE367" s="3">
        <f>BD367+BE234+BE235</f>
        <v>36301.638</v>
      </c>
      <c r="BF367" s="3">
        <f>BE367</f>
        <v>36301.638</v>
      </c>
      <c r="BG367" s="3">
        <f>BF367+BG234+BG235</f>
        <v>44780.212</v>
      </c>
      <c r="BH367" s="3">
        <f>BG367+BH234+BH235</f>
        <v>67994.819</v>
      </c>
      <c r="BI367" s="3">
        <f>BH367+BI234+BI235</f>
        <v>76866.27</v>
      </c>
      <c r="BJ367" s="3">
        <f>BI367+BJ234+BJ235</f>
        <v>100208.136</v>
      </c>
      <c r="BK367" s="3">
        <f>BJ367</f>
        <v>100208.136</v>
      </c>
      <c r="BL367" s="3">
        <f>BK367+BL234+BL235</f>
        <v>123573.934</v>
      </c>
      <c r="BM367" s="3">
        <f>BL367+BM234+BM235</f>
        <v>187455.869</v>
      </c>
      <c r="BN367" s="3">
        <f>BM367+BN234+BN235</f>
        <v>211214.544</v>
      </c>
      <c r="BO367" s="3">
        <f>BN367+BO234+BO235</f>
        <v>275223.738</v>
      </c>
      <c r="BP367" s="3">
        <f>BO367</f>
        <v>275223.738</v>
      </c>
      <c r="BQ367" s="3">
        <f>BP367+BQ234+BQ235</f>
        <v>339256.864</v>
      </c>
      <c r="BR367" s="3">
        <f>BQ367+BR234+BR235</f>
        <v>514247.903</v>
      </c>
      <c r="BS367" s="3">
        <f>BR367+BS234+BS235</f>
        <v>578673.906</v>
      </c>
      <c r="BT367" s="3">
        <f>BS367+BT234+BT235</f>
        <v>753792.204</v>
      </c>
      <c r="BU367" s="3">
        <f>BT367</f>
        <v>753792.204</v>
      </c>
      <c r="BV367" s="3">
        <f>BU367+BV234+BV235</f>
        <v>928934.434</v>
      </c>
      <c r="BW367" s="3">
        <f>BV367+BW234+BW235</f>
        <v>1407478.337</v>
      </c>
      <c r="BX367" s="3">
        <f>BW367+BX234+BX235</f>
        <v>1583013.444</v>
      </c>
      <c r="BY367" s="3">
        <f>BX367+BY234+BY235</f>
        <v>2061684.606</v>
      </c>
      <c r="BZ367" s="3">
        <f>BY367</f>
        <v>2061684.606</v>
      </c>
      <c r="CA367" s="3">
        <f>BZ367+CA234+CA235</f>
        <v>2540379.7</v>
      </c>
      <c r="CB367" s="3">
        <f>CA367+CB234+CB235</f>
        <v>3848247.539</v>
      </c>
      <c r="CC367" s="3">
        <f>CB367+CC234+CC235</f>
        <v>4327335.51</v>
      </c>
      <c r="CD367" s="3">
        <f>CC367+CD234+CD235</f>
        <v>5635330.608</v>
      </c>
      <c r="CE367" s="3">
        <f>CD367</f>
        <v>5635330.608</v>
      </c>
      <c r="CF367" s="3">
        <f>CE367+CF234+CF235</f>
        <v>6943349.638</v>
      </c>
      <c r="CG367" s="3">
        <f>CF367+CG234+CG235</f>
        <v>10516971.077</v>
      </c>
      <c r="CH367" s="3">
        <f>CG367+CH234+CH235</f>
        <v>11825382.984</v>
      </c>
      <c r="CI367" s="3">
        <f>CH367+CI234+CI235</f>
        <v>15399131.682</v>
      </c>
      <c r="CJ367" s="3">
        <f>CI367</f>
        <v>15399131.682</v>
      </c>
      <c r="CK367" s="3">
        <f>CJ367+CK234+CK235</f>
        <v>18972904.312</v>
      </c>
      <c r="CL367" s="3">
        <f>CK367+CL234+CL235</f>
        <v>28736680.823</v>
      </c>
      <c r="CM367" s="3">
        <f>CL367+CM234+CM235</f>
        <v>32310846.33</v>
      </c>
      <c r="CN367" s="3">
        <f>CM367+CN234+CN235</f>
        <v>42074750.1</v>
      </c>
      <c r="CO367" s="3">
        <f>CN367</f>
        <v>42074750.1</v>
      </c>
      <c r="CP367" s="3">
        <f>CO367+CP234+CP235</f>
        <v>51838677.802</v>
      </c>
      <c r="CQ367" s="3">
        <f>CP367+CQ234+CQ235</f>
        <v>78514271.657</v>
      </c>
      <c r="CR367" s="3">
        <f>CQ367+CR234+CR235</f>
        <v>88278592.236</v>
      </c>
      <c r="CS367" s="3">
        <f>CR367+CS234+CS235</f>
        <v>114954313.35</v>
      </c>
      <c r="CT367" s="3">
        <f>CS367</f>
        <v>114954313.35</v>
      </c>
      <c r="CU367" s="3">
        <f>CT367+CU234+CU235</f>
        <v>141630058.396</v>
      </c>
      <c r="CV367" s="3">
        <f>CU367+CV234+CV235</f>
        <v>214509597.083</v>
      </c>
      <c r="CW367" s="3">
        <f>CV367+CW234+CW235</f>
        <v>241185735.006</v>
      </c>
      <c r="CX367" s="3">
        <f>CW367+CX234+CX235</f>
        <v>314065400.952</v>
      </c>
      <c r="CY367" s="3">
        <f>CX367</f>
        <v>314065400.952</v>
      </c>
    </row>
    <row r="368" customFormat="1" s="17">
      <c r="A368" s="13" t="inlineStr">
        <is>
          <t xml:space="preserve"> </t>
        </is>
      </c>
      <c r="B368" s="13" t="n"/>
      <c r="C368" s="27" t="inlineStr">
        <is>
          <t>Total Shareholders' Equity</t>
        </is>
      </c>
      <c r="D368" s="16">
        <f>SUM(D345+D350+D351+D364+D365+D366+D367)</f>
        <v>7821.489</v>
      </c>
      <c r="E368" s="16">
        <f>SUM(E345+E350+E351+E364+E365+E366+E367)</f>
        <v>8007.126</v>
      </c>
      <c r="F368" s="16">
        <f>SUM(F345+F350+F351+F364+F365+F366+F367)</f>
        <v>8406.273</v>
      </c>
      <c r="G368" s="16">
        <f>SUM(G345+G350+G351+G364+G365+G366+G367)</f>
        <v>8944.68</v>
      </c>
      <c r="H368" s="16">
        <f>SUM(H345,H350,H351,H364,H365,H366,H367)</f>
        <v>8944.68</v>
      </c>
      <c r="I368" s="16">
        <f>SUM(I345+I350+I351+I364+I365+I366+I367)</f>
        <v>9610.531</v>
      </c>
      <c r="J368" s="16">
        <f>SUM(J345+J350+J351+J364+J365+J366+J367)</f>
        <v>9985.769</v>
      </c>
      <c r="K368" s="16">
        <f>SUM(K345+K350+K351+K364+K365+K366+K367)</f>
        <v>10285.165</v>
      </c>
      <c r="L368" s="16">
        <f>SUM(L345+L350+L351+L364+L365+L366+L367)</f>
        <v>10362.159</v>
      </c>
      <c r="M368" s="16">
        <f>SUM(M345,M350,M351,M364,M365,M366,M367)</f>
        <v>10362.159</v>
      </c>
      <c r="N368" s="16">
        <f>SUM(N345+N350+N351+N364+N365+N366+N367)</f>
        <v>10733.542</v>
      </c>
      <c r="O368" s="16">
        <f>SUM(O345+O350+O351+O364+O365+O366+O367)</f>
        <v>10877.417</v>
      </c>
      <c r="P368" s="16">
        <f>SUM(P345+P350+P351+P364+P365+P366+P367)</f>
        <v>10664.94</v>
      </c>
      <c r="Q368" s="16">
        <f>SUM(Q345+Q350+Q351+Q364+Q365+Q366+Q367)</f>
        <v>10371.619</v>
      </c>
      <c r="R368" s="16">
        <f>SUM(R345,R350,R351,R364,R365,R366,R367)</f>
        <v>10371.619</v>
      </c>
      <c r="S368" s="16">
        <f>SUM(S345+S350+S351+S364+S365+S366+S367)</f>
        <v>10743.151</v>
      </c>
      <c r="T368" s="16">
        <f>SUM(T345+T350+T351+T364+T365+T366+T367)</f>
        <v>10849.299</v>
      </c>
      <c r="U368" s="16">
        <f>SUM(U345+U350+U351+U364+U365+U366+U367)</f>
        <v>10861.978</v>
      </c>
      <c r="V368" s="16">
        <f>SUM(V345+V350+V351+V364+V365+V366+V367)</f>
        <v>10628.79</v>
      </c>
      <c r="W368" s="16">
        <f>SUM(W345,W350,W351,W364,W365,W366,W367)</f>
        <v>10628.79</v>
      </c>
      <c r="X368" s="16">
        <f>SUM(X345+X350+X351+X364+X365+X366+X367)</f>
        <v>11045.652</v>
      </c>
      <c r="Y368" s="16">
        <f>SUM(Y345+Y350+Y351+Y364+Y365+Y366+Y367)</f>
        <v>11262.768</v>
      </c>
      <c r="Z368" s="16">
        <f>SUM(Z345+Z350+Z351+Z364+Z365+Z366+Z367)</f>
        <v>11809.418</v>
      </c>
      <c r="AA368" s="16">
        <f>SUM(AA345+AA350+AA351+AA364+AA365+AA366+AA367)</f>
        <v>11723.503</v>
      </c>
      <c r="AB368" s="16">
        <f>SUM(AB345,AB350,AB351,AB364,AB365,AB366,AB367)</f>
        <v>11723.503</v>
      </c>
      <c r="AC368" s="16">
        <f>SUM(AC345+AC350+AC351+AC364+AC365+AC366+AC367)</f>
        <v>12183.248</v>
      </c>
      <c r="AD368" s="16">
        <f>SUM(AD345+AD350+AD351+AD364+AD365+AD366+AD367)</f>
        <v>11927.31</v>
      </c>
      <c r="AE368" s="16">
        <f>SUM(AE345+AE350+AE351+AE364+AE365+AE366+AE367)</f>
        <v>12360.272</v>
      </c>
      <c r="AF368" s="16">
        <f>SUM(AF345+AF350+AF351+AF364+AF365+AF366+AF367)</f>
        <v>12576.514</v>
      </c>
      <c r="AG368" s="16">
        <f>SUM(AG345,AG350,AG351,AG364,AG365,AG366,AG367)</f>
        <v>12576.514</v>
      </c>
      <c r="AH368" s="16">
        <f>SUM(AH345+AH350+AH351+AH364+AH365+AH366+AH367)</f>
        <v>12829.858</v>
      </c>
      <c r="AI368" s="16">
        <f>SUM(AI345+AI350+AI351+AI364+AI365+AI366+AI367)</f>
        <v>13378.882</v>
      </c>
      <c r="AJ368" s="16">
        <f>SUM(AJ345+AJ350+AJ351+AJ364+AJ365+AJ366+AJ367)</f>
        <v>13760.855</v>
      </c>
      <c r="AK368" s="16">
        <f>SUM(AK345+AK350+AK351+AK364+AK365+AK366+AK367)</f>
        <v>13922.238</v>
      </c>
      <c r="AL368" s="16">
        <f>SUM(AL345,AL350,AL351,AL364,AL365,AL366,AL367)</f>
        <v>13922.238</v>
      </c>
      <c r="AM368" s="16">
        <f>SUM(AM345+AM350+AM351+AM364+AM365+AM366+AM367)</f>
        <v>14098.393</v>
      </c>
      <c r="AN368" s="16">
        <f>SUM(AN345+AN350+AN351+AN364+AN365+AN366+AN367)</f>
        <v>14551.962</v>
      </c>
      <c r="AO368" s="16">
        <f>SUM(AO345+AO350+AO351+AO364+AO365+AO366+AO367)</f>
        <v>15024.421</v>
      </c>
      <c r="AP368" s="16">
        <f>SUM(AP345+AP350+AP351+AP364+AP365+AP366+AP367)</f>
        <v>15458.342</v>
      </c>
      <c r="AQ368" s="16">
        <f>SUM(AQ345,AQ350,AQ351,AQ364,AQ365,AQ366,AQ367)</f>
        <v>15458.342</v>
      </c>
      <c r="AR368" s="16">
        <f>SUM(AR345+AR350+AR351+AR364+AR365+AR366+AR367)</f>
        <v>15907.035</v>
      </c>
      <c r="AS368" s="16">
        <f>SUM(AS345+AS350+AS351+AS364+AS365+AS366+AS367)</f>
        <v>17086.652</v>
      </c>
      <c r="AT368" s="16">
        <f>SUM(AT345+AT350+AT351+AT364+AT365+AT366+AT367)</f>
        <v>17831.649</v>
      </c>
      <c r="AU368" s="16">
        <f>SUM(AU345+AU350+AU351+AU364+AU365+AU366+AU367)</f>
        <v>18991.618</v>
      </c>
      <c r="AV368" s="16">
        <f>SUM(AV345,AV350,AV351,AV364,AV365,AV366,AV367)</f>
        <v>18991.618</v>
      </c>
      <c r="AW368" s="16">
        <f>SUM(AW345+AW350+AW351+AW364+AW365+AW366+AW367)</f>
        <v>20166.359</v>
      </c>
      <c r="AX368" s="16">
        <f>SUM(AX345+AX350+AX351+AX364+AX365+AX366+AX367)</f>
        <v>23343.148</v>
      </c>
      <c r="AY368" s="16">
        <f>SUM(AY345+AY350+AY351+AY364+AY365+AY366+AY367)</f>
        <v>24814.193</v>
      </c>
      <c r="AZ368" s="16">
        <f>SUM(AZ345+AZ350+AZ351+AZ364+AZ365+AZ366+AZ367)</f>
        <v>27971.334</v>
      </c>
      <c r="BA368" s="16">
        <f>SUM(BA345,BA350,BA351,BA364,BA365,BA366,BA367)</f>
        <v>27971.334</v>
      </c>
      <c r="BB368" s="16">
        <f>SUM(BB345+BB350+BB351+BB364+BB365+BB366+BB367)</f>
        <v>31143.247</v>
      </c>
      <c r="BC368" s="16">
        <f>SUM(BC345+BC350+BC351+BC364+BC365+BC366+BC367)</f>
        <v>39766.476</v>
      </c>
      <c r="BD368" s="16">
        <f>SUM(BD345+BD350+BD351+BD364+BD365+BD366+BD367)</f>
        <v>43234.693</v>
      </c>
      <c r="BE368" s="16">
        <f>SUM(BE345+BE350+BE351+BE364+BE365+BE366+BE367)</f>
        <v>51838.274</v>
      </c>
      <c r="BF368" s="16">
        <f>SUM(BF345,BF350,BF351,BF364,BF365,BF366,BF367)</f>
        <v>51838.274</v>
      </c>
      <c r="BG368" s="16">
        <f>SUM(BG345+BG350+BG351+BG364+BG365+BG366+BG367)</f>
        <v>60456.627</v>
      </c>
      <c r="BH368" s="16">
        <f>SUM(BH345+BH350+BH351+BH364+BH365+BH366+BH367)</f>
        <v>83967.08</v>
      </c>
      <c r="BI368" s="16">
        <f>SUM(BI345+BI350+BI351+BI364+BI365+BI366+BI367)</f>
        <v>92881.737</v>
      </c>
      <c r="BJ368" s="16">
        <f>SUM(BJ345+BJ350+BJ351+BJ364+BJ365+BJ366+BJ367)</f>
        <v>116372.542</v>
      </c>
      <c r="BK368" s="16">
        <f>SUM(BK345,BK350,BK351,BK364,BK365,BK366,BK367)</f>
        <v>116372.542</v>
      </c>
      <c r="BL368" s="16">
        <f>SUM(BL345+BL350+BL351+BL364+BL365+BL366+BL367)</f>
        <v>139878.119</v>
      </c>
      <c r="BM368" s="16">
        <f>SUM(BM345+BM350+BM351+BM364+BM365+BM366+BM367)</f>
        <v>204055.9</v>
      </c>
      <c r="BN368" s="16">
        <f>SUM(BN345+BN350+BN351+BN364+BN365+BN366+BN367)</f>
        <v>227857.781</v>
      </c>
      <c r="BO368" s="16">
        <f>SUM(BO345+BO350+BO351+BO364+BO365+BO366+BO367)</f>
        <v>292015.914</v>
      </c>
      <c r="BP368" s="16">
        <f>SUM(BP345,BP350,BP351,BP364,BP365,BP366,BP367)</f>
        <v>292015.914</v>
      </c>
      <c r="BQ368" s="16">
        <f>SUM(BQ345+BQ350+BQ351+BQ364+BQ365+BQ366+BQ367)</f>
        <v>356188.819</v>
      </c>
      <c r="BR368" s="16">
        <f>SUM(BR345+BR350+BR351+BR364+BR365+BR366+BR367)</f>
        <v>531475.704</v>
      </c>
      <c r="BS368" s="16">
        <f>SUM(BS345+BS350+BS351+BS364+BS365+BS366+BS367)</f>
        <v>595944.913</v>
      </c>
      <c r="BT368" s="16">
        <f>SUM(BT345+BT350+BT351+BT364+BT365+BT366+BT367)</f>
        <v>771212.15</v>
      </c>
      <c r="BU368" s="16">
        <f>SUM(BU345,BU350,BU351,BU364,BU365,BU366,BU367)</f>
        <v>771212.15</v>
      </c>
      <c r="BV368" s="16">
        <f>SUM(BV345+BV350+BV351+BV364+BV365+BV366+BV367)</f>
        <v>946494.159</v>
      </c>
      <c r="BW368" s="16">
        <f>SUM(BW345+BW350+BW351+BW364+BW365+BW366+BW367)</f>
        <v>1425333.908</v>
      </c>
      <c r="BX368" s="16">
        <f>SUM(BX345+BX350+BX351+BX364+BX365+BX366+BX367)</f>
        <v>1600912.221</v>
      </c>
      <c r="BY368" s="16">
        <f>SUM(BY345+BY350+BY351+BY364+BY365+BY366+BY367)</f>
        <v>2079732.322</v>
      </c>
      <c r="BZ368" s="16">
        <f>SUM(BZ345,BZ350,BZ351,BZ364,BZ365,BZ366,BZ367)</f>
        <v>2079732.322</v>
      </c>
      <c r="CA368" s="16">
        <f>SUM(CA345+CA350+CA351+CA364+CA365+CA366+CA367)</f>
        <v>2558567.195</v>
      </c>
      <c r="CB368" s="16">
        <f>SUM(CB345+CB350+CB351+CB364+CB365+CB366+CB367)</f>
        <v>3866730.88</v>
      </c>
      <c r="CC368" s="16">
        <f>SUM(CC345+CC350+CC351+CC364+CC365+CC366+CC367)</f>
        <v>4345862.057</v>
      </c>
      <c r="CD368" s="16">
        <f>SUM(CD345+CD350+CD351+CD364+CD365+CD366+CD367)</f>
        <v>5654006.094</v>
      </c>
      <c r="CE368" s="16">
        <f>SUM(CE345,CE350,CE351,CE364,CE365,CE366,CE367)</f>
        <v>5654006.094</v>
      </c>
      <c r="CF368" s="16">
        <f>SUM(CF345+CF350+CF351+CF364+CF365+CF366+CF367)</f>
        <v>6962164.903</v>
      </c>
      <c r="CG368" s="16">
        <f>SUM(CG345+CG350+CG351+CG364+CG365+CG366+CG367)</f>
        <v>10536082.188</v>
      </c>
      <c r="CH368" s="16">
        <f>SUM(CH345+CH350+CH351+CH364+CH365+CH366+CH367)</f>
        <v>11844537.301</v>
      </c>
      <c r="CI368" s="16">
        <f>SUM(CI345+CI350+CI351+CI364+CI365+CI366+CI367)</f>
        <v>15418434.938</v>
      </c>
      <c r="CJ368" s="16">
        <f>SUM(CJ345,CJ350,CJ351,CJ364,CJ365,CJ366,CJ367)</f>
        <v>15418434.938</v>
      </c>
      <c r="CK368" s="16">
        <f>SUM(CK345+CK350+CK351+CK364+CK365+CK366+CK367)</f>
        <v>18992347.347</v>
      </c>
      <c r="CL368" s="16">
        <f>SUM(CL345+CL350+CL351+CL364+CL365+CL366+CL367)</f>
        <v>28756419.704</v>
      </c>
      <c r="CM368" s="16">
        <f>SUM(CM345+CM350+CM351+CM364+CM365+CM366+CM367)</f>
        <v>32330628.417</v>
      </c>
      <c r="CN368" s="16">
        <f>SUM(CN345+CN350+CN351+CN364+CN365+CN366+CN367)</f>
        <v>42094681.126</v>
      </c>
      <c r="CO368" s="16">
        <f>SUM(CO345,CO350,CO351,CO364,CO365,CO366,CO367)</f>
        <v>42094681.126</v>
      </c>
      <c r="CP368" s="16">
        <f>SUM(CP345+CP350+CP351+CP364+CP365+CP366+CP367)</f>
        <v>51858748.607</v>
      </c>
      <c r="CQ368" s="16">
        <f>SUM(CQ345+CQ350+CQ351+CQ364+CQ365+CQ366+CQ367)</f>
        <v>78534638.308</v>
      </c>
      <c r="CR368" s="16">
        <f>SUM(CR345+CR350+CR351+CR364+CR365+CR366+CR367)</f>
        <v>88299002.093</v>
      </c>
      <c r="CS368" s="16">
        <f>SUM(CS345+CS350+CS351+CS364+CS365+CS366+CS367)</f>
        <v>114974872.146</v>
      </c>
      <c r="CT368" s="16">
        <f>SUM(CT345,CT350,CT351,CT364,CT365,CT366,CT367)</f>
        <v>114974872.146</v>
      </c>
      <c r="CU368" s="16">
        <f>SUM(CU345+CU350+CU351+CU364+CU365+CU366+CU367)</f>
        <v>141650756.971</v>
      </c>
      <c r="CV368" s="16">
        <f>SUM(CV345+CV350+CV351+CV364+CV365+CV366+CV367)</f>
        <v>214530591.504</v>
      </c>
      <c r="CW368" s="16">
        <f>SUM(CW345+CW350+CW351+CW364+CW365+CW366+CW367)</f>
        <v>241206772.633</v>
      </c>
      <c r="CX368" s="16">
        <f>SUM(CX345+CX350+CX351+CX364+CX365+CX366+CX367)</f>
        <v>314086587.518</v>
      </c>
      <c r="CY368" s="16">
        <f>SUM(CY345,CY350,CY351,CY364,CY365,CY366,CY367)</f>
        <v>314086587.518</v>
      </c>
    </row>
    <row r="369">
      <c r="C369" s="29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  <c r="CG369" s="3" t="n"/>
      <c r="CH369" s="3" t="n"/>
      <c r="CI369" s="3" t="n"/>
      <c r="CJ369" s="3" t="n"/>
      <c r="CK369" s="3" t="n"/>
      <c r="CL369" s="3" t="n"/>
      <c r="CM369" s="3" t="n"/>
      <c r="CN369" s="3" t="n"/>
      <c r="CO369" s="3" t="n"/>
      <c r="CP369" s="3" t="n"/>
      <c r="CQ369" s="3" t="n"/>
      <c r="CR369" s="3" t="n"/>
      <c r="CS369" s="3" t="n"/>
      <c r="CT369" s="3" t="n"/>
      <c r="CU369" s="3" t="n"/>
      <c r="CV369" s="3" t="n"/>
      <c r="CW369" s="3" t="n"/>
      <c r="CX369" s="3" t="n"/>
      <c r="CY369" s="3" t="n"/>
    </row>
    <row r="370" customFormat="1" s="17">
      <c r="A370" s="13" t="n"/>
      <c r="B370" s="1" t="n"/>
      <c r="C370" s="14" t="inlineStr">
        <is>
          <t>Total Liabilities + Shareholders' Equity</t>
        </is>
      </c>
      <c r="D370" s="16">
        <f>D368+D344</f>
        <v>19920.48</v>
      </c>
      <c r="E370" s="16">
        <f>E368+E344</f>
        <v>20001.628</v>
      </c>
      <c r="F370" s="16">
        <f>F368+F344</f>
        <v>20829.411</v>
      </c>
      <c r="G370" s="16">
        <f>G368+G344</f>
        <v>22576.51</v>
      </c>
      <c r="H370" s="16">
        <f>H368+H344</f>
        <v>22576.51</v>
      </c>
      <c r="I370" s="16">
        <f>I368+I344</f>
        <v>23533.967</v>
      </c>
      <c r="J370" s="16">
        <f>J368+J344</f>
        <v>24087.847</v>
      </c>
      <c r="K370" s="16">
        <f>K368+K344</f>
        <v>24502.26</v>
      </c>
      <c r="L370" s="16">
        <f>L368+L344</f>
        <v>25746.452</v>
      </c>
      <c r="M370" s="16">
        <f>M368+M344</f>
        <v>25746.452</v>
      </c>
      <c r="N370" s="16">
        <f>N368+N344</f>
        <v>26561.051</v>
      </c>
      <c r="O370" s="16">
        <f>O368+O344</f>
        <v>27196.461</v>
      </c>
      <c r="P370" s="16">
        <f>P368+P344</f>
        <v>27384.16</v>
      </c>
      <c r="Q370" s="16">
        <f>Q368+Q344</f>
        <v>27933.759</v>
      </c>
      <c r="R370" s="16">
        <f>R368+R344</f>
        <v>27933.759</v>
      </c>
      <c r="S370" s="16">
        <f>S368+S344</f>
        <v>28614.717</v>
      </c>
      <c r="T370" s="16">
        <f>T368+T344</f>
        <v>28111.995</v>
      </c>
      <c r="U370" s="16">
        <f>U368+U344</f>
        <v>28272.649</v>
      </c>
      <c r="V370" s="16">
        <f>V368+V344</f>
        <v>28436.081</v>
      </c>
      <c r="W370" s="16">
        <f>W368+W344</f>
        <v>28436.081</v>
      </c>
      <c r="X370" s="16">
        <f>X368+X344</f>
        <v>28895.903</v>
      </c>
      <c r="Y370" s="16">
        <f>Y368+Y344</f>
        <v>30088.771</v>
      </c>
      <c r="Z370" s="16">
        <f>Z368+Z344</f>
        <v>30002.997</v>
      </c>
      <c r="AA370" s="16">
        <f>AA368+AA344</f>
        <v>30689.036</v>
      </c>
      <c r="AB370" s="16">
        <f>AB368+AB344</f>
        <v>30689.036</v>
      </c>
      <c r="AC370" s="16">
        <f>AC368+AC344</f>
        <v>31173.683</v>
      </c>
      <c r="AD370" s="16">
        <f>AD368+AD344</f>
        <v>31208.599</v>
      </c>
      <c r="AE370" s="16">
        <f>AE368+AE344</f>
        <v>31477.777</v>
      </c>
      <c r="AF370" s="16">
        <f>AF368+AF344</f>
        <v>32114.316</v>
      </c>
      <c r="AG370" s="16">
        <f>AG368+AG344</f>
        <v>32114.316</v>
      </c>
      <c r="AH370" s="16">
        <f>AH368+AH344</f>
        <v>34341.802</v>
      </c>
      <c r="AI370" s="16">
        <f>AI368+AI344</f>
        <v>35449.091</v>
      </c>
      <c r="AJ370" s="16">
        <f>AJ368+AJ344</f>
        <v>35268.986</v>
      </c>
      <c r="AK370" s="16">
        <f>AK368+AK344</f>
        <v>35430.369</v>
      </c>
      <c r="AL370" s="16">
        <f>AL368+AL344</f>
        <v>35430.369</v>
      </c>
      <c r="AM370" s="16" t="e">
        <f>AM368+AM344</f>
        <v>#DIV/0!</v>
      </c>
      <c r="AN370" s="16">
        <f>AN368+AN344</f>
        <v>36060.093</v>
      </c>
      <c r="AO370" s="16" t="e">
        <f>AO368+AO344</f>
        <v>#DIV/0!</v>
      </c>
      <c r="AP370" s="16" t="e">
        <f>AP368+AP344</f>
        <v>#DIV/0!</v>
      </c>
      <c r="AQ370" s="16" t="e">
        <f>AQ368+AQ344</f>
        <v>#DIV/0!</v>
      </c>
      <c r="AR370" s="16" t="e">
        <f>AR368+AR344</f>
        <v>#DIV/0!</v>
      </c>
      <c r="AS370" s="16" t="e">
        <f>AS368+AS344</f>
        <v>#DIV/0!</v>
      </c>
      <c r="AT370" s="16" t="e">
        <f>AT368+AT344</f>
        <v>#DIV/0!</v>
      </c>
      <c r="AU370" s="16" t="e">
        <f>AU368+AU344</f>
        <v>#DIV/0!</v>
      </c>
      <c r="AV370" s="16" t="e">
        <f>AV368+AV344</f>
        <v>#DIV/0!</v>
      </c>
      <c r="AW370" s="16" t="e">
        <f>AW368+AW344</f>
        <v>#DIV/0!</v>
      </c>
      <c r="AX370" s="16" t="e">
        <f>AX368+AX344</f>
        <v>#DIV/0!</v>
      </c>
      <c r="AY370" s="16" t="e">
        <f>AY368+AY344</f>
        <v>#DIV/0!</v>
      </c>
      <c r="AZ370" s="16" t="e">
        <f>AZ368+AZ344</f>
        <v>#DIV/0!</v>
      </c>
      <c r="BA370" s="16" t="e">
        <f>BA368+BA344</f>
        <v>#DIV/0!</v>
      </c>
      <c r="BB370" s="16" t="e">
        <f>BB368+BB344</f>
        <v>#DIV/0!</v>
      </c>
      <c r="BC370" s="16" t="e">
        <f>BC368+BC344</f>
        <v>#DIV/0!</v>
      </c>
      <c r="BD370" s="16" t="e">
        <f>BD368+BD344</f>
        <v>#DIV/0!</v>
      </c>
      <c r="BE370" s="16" t="e">
        <f>BE368+BE344</f>
        <v>#DIV/0!</v>
      </c>
      <c r="BF370" s="16" t="e">
        <f>BF368+BF344</f>
        <v>#DIV/0!</v>
      </c>
      <c r="BG370" s="16" t="e">
        <f>BG368+BG344</f>
        <v>#DIV/0!</v>
      </c>
      <c r="BH370" s="16" t="e">
        <f>BH368+BH344</f>
        <v>#DIV/0!</v>
      </c>
      <c r="BI370" s="16" t="e">
        <f>BI368+BI344</f>
        <v>#DIV/0!</v>
      </c>
      <c r="BJ370" s="16" t="e">
        <f>BJ368+BJ344</f>
        <v>#DIV/0!</v>
      </c>
      <c r="BK370" s="16" t="e">
        <f>BK368+BK344</f>
        <v>#DIV/0!</v>
      </c>
      <c r="BL370" s="16" t="e">
        <f>BL368+BL344</f>
        <v>#DIV/0!</v>
      </c>
      <c r="BM370" s="16" t="e">
        <f>BM368+BM344</f>
        <v>#DIV/0!</v>
      </c>
      <c r="BN370" s="16" t="e">
        <f>BN368+BN344</f>
        <v>#DIV/0!</v>
      </c>
      <c r="BO370" s="16" t="e">
        <f>BO368+BO344</f>
        <v>#DIV/0!</v>
      </c>
      <c r="BP370" s="16" t="e">
        <f>BP368+BP344</f>
        <v>#DIV/0!</v>
      </c>
      <c r="BQ370" s="16" t="e">
        <f>BQ368+BQ344</f>
        <v>#DIV/0!</v>
      </c>
      <c r="BR370" s="16" t="e">
        <f>BR368+BR344</f>
        <v>#DIV/0!</v>
      </c>
      <c r="BS370" s="16" t="e">
        <f>BS368+BS344</f>
        <v>#DIV/0!</v>
      </c>
      <c r="BT370" s="16" t="e">
        <f>BT368+BT344</f>
        <v>#DIV/0!</v>
      </c>
      <c r="BU370" s="16" t="e">
        <f>BU368+BU344</f>
        <v>#DIV/0!</v>
      </c>
      <c r="BV370" s="16" t="e">
        <f>BV368+BV344</f>
        <v>#DIV/0!</v>
      </c>
      <c r="BW370" s="16" t="e">
        <f>BW368+BW344</f>
        <v>#DIV/0!</v>
      </c>
      <c r="BX370" s="16" t="e">
        <f>BX368+BX344</f>
        <v>#DIV/0!</v>
      </c>
      <c r="BY370" s="16" t="e">
        <f>BY368+BY344</f>
        <v>#DIV/0!</v>
      </c>
      <c r="BZ370" s="16" t="e">
        <f>BZ368+BZ344</f>
        <v>#DIV/0!</v>
      </c>
      <c r="CA370" s="16" t="e">
        <f>CA368+CA344</f>
        <v>#DIV/0!</v>
      </c>
      <c r="CB370" s="16" t="e">
        <f>CB368+CB344</f>
        <v>#DIV/0!</v>
      </c>
      <c r="CC370" s="16" t="e">
        <f>CC368+CC344</f>
        <v>#DIV/0!</v>
      </c>
      <c r="CD370" s="16" t="e">
        <f>CD368+CD344</f>
        <v>#DIV/0!</v>
      </c>
      <c r="CE370" s="16" t="e">
        <f>CE368+CE344</f>
        <v>#DIV/0!</v>
      </c>
      <c r="CF370" s="16" t="e">
        <f>CF368+CF344</f>
        <v>#DIV/0!</v>
      </c>
      <c r="CG370" s="16" t="e">
        <f>CG368+CG344</f>
        <v>#DIV/0!</v>
      </c>
      <c r="CH370" s="16" t="e">
        <f>CH368+CH344</f>
        <v>#DIV/0!</v>
      </c>
      <c r="CI370" s="16" t="e">
        <f>CI368+CI344</f>
        <v>#DIV/0!</v>
      </c>
      <c r="CJ370" s="16" t="e">
        <f>CJ368+CJ344</f>
        <v>#DIV/0!</v>
      </c>
      <c r="CK370" s="16" t="e">
        <f>CK368+CK344</f>
        <v>#DIV/0!</v>
      </c>
      <c r="CL370" s="16" t="e">
        <f>CL368+CL344</f>
        <v>#DIV/0!</v>
      </c>
      <c r="CM370" s="16" t="e">
        <f>CM368+CM344</f>
        <v>#DIV/0!</v>
      </c>
      <c r="CN370" s="16" t="e">
        <f>CN368+CN344</f>
        <v>#DIV/0!</v>
      </c>
      <c r="CO370" s="16" t="e">
        <f>CO368+CO344</f>
        <v>#DIV/0!</v>
      </c>
      <c r="CP370" s="16" t="e">
        <f>CP368+CP344</f>
        <v>#DIV/0!</v>
      </c>
      <c r="CQ370" s="16" t="e">
        <f>CQ368+CQ344</f>
        <v>#DIV/0!</v>
      </c>
      <c r="CR370" s="16" t="e">
        <f>CR368+CR344</f>
        <v>#DIV/0!</v>
      </c>
      <c r="CS370" s="16" t="e">
        <f>CS368+CS344</f>
        <v>#DIV/0!</v>
      </c>
      <c r="CT370" s="16" t="e">
        <f>CT368+CT344</f>
        <v>#DIV/0!</v>
      </c>
      <c r="CU370" s="16" t="e">
        <f>CU368+CU344</f>
        <v>#DIV/0!</v>
      </c>
      <c r="CV370" s="16" t="e">
        <f>CV368+CV344</f>
        <v>#DIV/0!</v>
      </c>
      <c r="CW370" s="16" t="e">
        <f>CW368+CW344</f>
        <v>#DIV/0!</v>
      </c>
      <c r="CX370" s="16" t="e">
        <f>CX368+CX344</f>
        <v>#DIV/0!</v>
      </c>
      <c r="CY370" s="16" t="e">
        <f>CY368+CY344</f>
        <v>#DIV/0!</v>
      </c>
    </row>
    <row r="371">
      <c r="C371" s="5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  <c r="BJ371" s="1" t="n"/>
      <c r="BK371" s="1" t="n"/>
      <c r="BL371" s="1" t="n"/>
      <c r="BM371" s="1" t="n"/>
      <c r="BN371" s="1" t="n"/>
      <c r="BO371" s="1" t="n"/>
      <c r="BP371" s="1" t="n"/>
      <c r="BQ371" s="1" t="n"/>
      <c r="BR371" s="1" t="n"/>
      <c r="BS371" s="1" t="n"/>
      <c r="BT371" s="1" t="n"/>
      <c r="BU371" s="1" t="n"/>
      <c r="BV371" s="1" t="n"/>
      <c r="BW371" s="1" t="n"/>
      <c r="BX371" s="1" t="n"/>
      <c r="BY371" s="1" t="n"/>
      <c r="BZ371" s="1" t="n"/>
      <c r="CA371" s="1" t="n"/>
      <c r="CB371" s="1" t="n"/>
      <c r="CC371" s="1" t="n"/>
      <c r="CD371" s="1" t="n"/>
      <c r="CE371" s="1" t="n"/>
      <c r="CF371" s="1" t="n"/>
      <c r="CG371" s="1" t="n"/>
      <c r="CH371" s="1" t="n"/>
      <c r="CI371" s="1" t="n"/>
      <c r="CJ371" s="1" t="n"/>
      <c r="CK371" s="1" t="n"/>
      <c r="CL371" s="1" t="n"/>
      <c r="CM371" s="1" t="n"/>
      <c r="CN371" s="1" t="n"/>
      <c r="CO371" s="1" t="n"/>
      <c r="CP371" s="1" t="n"/>
      <c r="CQ371" s="1" t="n"/>
      <c r="CR371" s="1" t="n"/>
      <c r="CS371" s="1" t="n"/>
      <c r="CT371" s="1" t="n"/>
      <c r="CU371" s="1" t="n"/>
      <c r="CV371" s="1" t="n"/>
      <c r="CW371" s="1" t="n"/>
      <c r="CX371" s="1" t="n"/>
      <c r="CY371" s="1" t="n"/>
    </row>
    <row r="372" customFormat="1" s="17">
      <c r="A372" s="13" t="n"/>
      <c r="B372" s="13" t="n"/>
      <c r="C372" s="12" t="inlineStr">
        <is>
          <t>Cash Flow Statement</t>
        </is>
      </c>
      <c r="D372" s="232" t="str">
        <f>D239</f>
        <v>1Q20</v>
      </c>
      <c r="E372" s="232" t="str">
        <f>E239</f>
        <v>2Q20</v>
      </c>
      <c r="F372" s="232" t="str">
        <f>F239</f>
        <v>3Q20</v>
      </c>
      <c r="G372" s="232" t="str">
        <f>G239</f>
        <v>4Q20</v>
      </c>
      <c r="H372" s="232">
        <f>H239</f>
        <v>2020</v>
      </c>
      <c r="I372" s="232" t="str">
        <f>I239</f>
        <v>1Q21</v>
      </c>
      <c r="J372" s="232" t="str">
        <f>J239</f>
        <v>2Q21</v>
      </c>
      <c r="K372" s="232" t="str">
        <f>K239</f>
        <v>3Q21</v>
      </c>
      <c r="L372" s="232" t="str">
        <f>L239</f>
        <v>4Q21</v>
      </c>
      <c r="M372" s="232">
        <f>M239</f>
        <v>2021</v>
      </c>
      <c r="N372" s="232" t="str">
        <f>N239</f>
        <v>1Q22</v>
      </c>
      <c r="O372" s="232" t="str">
        <f>O239</f>
        <v>2Q22</v>
      </c>
      <c r="P372" s="232" t="str">
        <f>P239</f>
        <v>3Q22</v>
      </c>
      <c r="Q372" s="232" t="str">
        <f>Q239</f>
        <v>4Q22</v>
      </c>
      <c r="R372" s="232">
        <f>R239</f>
        <v>2022</v>
      </c>
      <c r="S372" s="232" t="str">
        <f>S239</f>
        <v>1Q23</v>
      </c>
      <c r="T372" s="232" t="str">
        <f>T239</f>
        <v>2Q23</v>
      </c>
      <c r="U372" s="232" t="str">
        <f>U239</f>
        <v>3Q23</v>
      </c>
      <c r="V372" s="232" t="str">
        <f>V239</f>
        <v>4Q23</v>
      </c>
      <c r="W372" s="232">
        <f>W239</f>
        <v>2023</v>
      </c>
      <c r="X372" s="232" t="str">
        <f>X239</f>
        <v>1Q24</v>
      </c>
      <c r="Y372" s="232" t="str">
        <f>Y239</f>
        <v>2Q24</v>
      </c>
      <c r="Z372" s="232" t="str">
        <f>Z239</f>
        <v>3Q24</v>
      </c>
      <c r="AA372" s="232" t="str">
        <f>AA239</f>
        <v>4Q24</v>
      </c>
      <c r="AB372" s="232">
        <f>AB239</f>
        <v>2024</v>
      </c>
      <c r="AC372" s="232" t="str">
        <f>AC239</f>
        <v>1Q25</v>
      </c>
      <c r="AD372" s="232" t="str">
        <f>AD239</f>
        <v>2Q25</v>
      </c>
      <c r="AE372" s="232" t="str">
        <f>AE239</f>
        <v>3Q25</v>
      </c>
      <c r="AF372" s="232" t="str">
        <f>AF239</f>
        <v>4Q25</v>
      </c>
      <c r="AG372" s="232">
        <f>AG239</f>
        <v>2025</v>
      </c>
      <c r="AH372" s="232" t="str">
        <f>AH239</f>
        <v>1Q26</v>
      </c>
      <c r="AI372" s="232" t="str">
        <f>AI239</f>
        <v>2Q26</v>
      </c>
      <c r="AJ372" s="232" t="str">
        <f>AJ239</f>
        <v>3Q26</v>
      </c>
      <c r="AK372" s="232" t="str">
        <f>AK239</f>
        <v>4Q26</v>
      </c>
      <c r="AL372" s="232">
        <f>AL239</f>
        <v>2026</v>
      </c>
      <c r="AM372" s="232" t="str">
        <f>AM239</f>
        <v>1Q27</v>
      </c>
      <c r="AN372" s="232" t="str">
        <f>AN239</f>
        <v>2Q27</v>
      </c>
      <c r="AO372" s="232" t="str">
        <f>AO239</f>
        <v>3Q27</v>
      </c>
      <c r="AP372" s="232" t="str">
        <f>AP239</f>
        <v>4Q27</v>
      </c>
      <c r="AQ372" s="232">
        <f>AQ239</f>
        <v>2027</v>
      </c>
      <c r="AR372" s="232" t="str">
        <f>AR239</f>
        <v>1Q28</v>
      </c>
      <c r="AS372" s="232" t="str">
        <f>AS239</f>
        <v>2Q28</v>
      </c>
      <c r="AT372" s="232" t="str">
        <f>AT239</f>
        <v>3Q28</v>
      </c>
      <c r="AU372" s="232" t="str">
        <f>AU239</f>
        <v>4Q28</v>
      </c>
      <c r="AV372" s="232">
        <f>AV239</f>
        <v>2028</v>
      </c>
      <c r="AW372" s="232" t="str">
        <f>AW239</f>
        <v>1Q29</v>
      </c>
      <c r="AX372" s="232" t="str">
        <f>AX239</f>
        <v>2Q29</v>
      </c>
      <c r="AY372" s="232" t="str">
        <f>AY239</f>
        <v>3Q29</v>
      </c>
      <c r="AZ372" s="232" t="str">
        <f>AZ239</f>
        <v>4Q29</v>
      </c>
      <c r="BA372" s="232">
        <f>BA239</f>
        <v>2029</v>
      </c>
      <c r="BB372" s="232" t="str">
        <f>BB239</f>
        <v>1Q30</v>
      </c>
      <c r="BC372" s="232" t="str">
        <f>BC239</f>
        <v>2Q30</v>
      </c>
      <c r="BD372" s="232" t="str">
        <f>BD239</f>
        <v>3Q30</v>
      </c>
      <c r="BE372" s="232" t="str">
        <f>BE239</f>
        <v>4Q30</v>
      </c>
      <c r="BF372" s="232">
        <f>BF239</f>
        <v>2030</v>
      </c>
      <c r="BG372" s="232" t="str">
        <f>BG239</f>
        <v>1Q31</v>
      </c>
      <c r="BH372" s="232" t="str">
        <f>BH239</f>
        <v>2Q31</v>
      </c>
      <c r="BI372" s="232" t="str">
        <f>BI239</f>
        <v>3Q31</v>
      </c>
      <c r="BJ372" s="232" t="str">
        <f>BJ239</f>
        <v>4Q31</v>
      </c>
      <c r="BK372" s="232">
        <f>BK239</f>
        <v>2031</v>
      </c>
      <c r="BL372" s="232" t="str">
        <f>BL239</f>
        <v>1Q32</v>
      </c>
      <c r="BM372" s="232" t="str">
        <f>BM239</f>
        <v>2Q32</v>
      </c>
      <c r="BN372" s="232" t="str">
        <f>BN239</f>
        <v>3Q32</v>
      </c>
      <c r="BO372" s="232" t="str">
        <f>BO239</f>
        <v>4Q32</v>
      </c>
      <c r="BP372" s="232">
        <f>BP239</f>
        <v>2032</v>
      </c>
      <c r="BQ372" s="232" t="str">
        <f>BQ239</f>
        <v>1Q33</v>
      </c>
      <c r="BR372" s="232" t="str">
        <f>BR239</f>
        <v>2Q33</v>
      </c>
      <c r="BS372" s="232" t="str">
        <f>BS239</f>
        <v>3Q33</v>
      </c>
      <c r="BT372" s="232" t="str">
        <f>BT239</f>
        <v>4Q33</v>
      </c>
      <c r="BU372" s="232">
        <f>BU239</f>
        <v>2033</v>
      </c>
      <c r="BV372" s="232" t="str">
        <f>BV239</f>
        <v>1Q34</v>
      </c>
      <c r="BW372" s="232" t="str">
        <f>BW239</f>
        <v>2Q34</v>
      </c>
      <c r="BX372" s="232" t="str">
        <f>BX239</f>
        <v>3Q34</v>
      </c>
      <c r="BY372" s="232" t="str">
        <f>BY239</f>
        <v>4Q34</v>
      </c>
      <c r="BZ372" s="232">
        <f>BZ239</f>
        <v>2034</v>
      </c>
      <c r="CA372" s="232" t="str">
        <f>CA239</f>
        <v>1Q35</v>
      </c>
      <c r="CB372" s="232" t="str">
        <f>CB239</f>
        <v>2Q35</v>
      </c>
      <c r="CC372" s="232" t="str">
        <f>CC239</f>
        <v>3Q35</v>
      </c>
      <c r="CD372" s="232" t="str">
        <f>CD239</f>
        <v>4Q35</v>
      </c>
      <c r="CE372" s="232">
        <f>CE239</f>
        <v>2035</v>
      </c>
      <c r="CF372" s="232" t="str">
        <f>CF239</f>
        <v>1Q36</v>
      </c>
      <c r="CG372" s="232" t="str">
        <f>CG239</f>
        <v>2Q36</v>
      </c>
      <c r="CH372" s="232" t="str">
        <f>CH239</f>
        <v>3Q36</v>
      </c>
      <c r="CI372" s="232" t="str">
        <f>CI239</f>
        <v>4Q36</v>
      </c>
      <c r="CJ372" s="232">
        <f>CJ239</f>
        <v>2036</v>
      </c>
      <c r="CK372" s="232" t="str">
        <f>CK239</f>
        <v>1Q37</v>
      </c>
      <c r="CL372" s="232" t="str">
        <f>CL239</f>
        <v>2Q37</v>
      </c>
      <c r="CM372" s="232" t="str">
        <f>CM239</f>
        <v>3Q37</v>
      </c>
      <c r="CN372" s="232" t="str">
        <f>CN239</f>
        <v>4Q37</v>
      </c>
      <c r="CO372" s="232">
        <f>CO239</f>
        <v>2037</v>
      </c>
      <c r="CP372" s="232" t="str">
        <f>CP239</f>
        <v>1Q38</v>
      </c>
      <c r="CQ372" s="232" t="str">
        <f>CQ239</f>
        <v>2Q38</v>
      </c>
      <c r="CR372" s="232" t="str">
        <f>CR239</f>
        <v>3Q38</v>
      </c>
      <c r="CS372" s="232" t="str">
        <f>CS239</f>
        <v>4Q38</v>
      </c>
      <c r="CT372" s="232">
        <f>CT239</f>
        <v>2038</v>
      </c>
      <c r="CU372" s="232" t="str">
        <f>CU239</f>
        <v>1Q39</v>
      </c>
      <c r="CV372" s="232" t="str">
        <f>CV239</f>
        <v>2Q39</v>
      </c>
      <c r="CW372" s="232" t="str">
        <f>CW239</f>
        <v>3Q39</v>
      </c>
      <c r="CX372" s="232" t="str">
        <f>CX239</f>
        <v>4Q39</v>
      </c>
      <c r="CY372" s="232">
        <f>CY239</f>
        <v>2039</v>
      </c>
    </row>
    <row r="373">
      <c r="C373" s="5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  <c r="BJ373" s="1" t="n"/>
      <c r="BK373" s="1" t="n"/>
      <c r="BL373" s="1" t="n"/>
      <c r="BM373" s="1" t="n"/>
      <c r="BN373" s="1" t="n"/>
      <c r="BO373" s="1" t="n"/>
      <c r="BP373" s="1" t="n"/>
      <c r="BQ373" s="1" t="n"/>
      <c r="BR373" s="1" t="n"/>
      <c r="BS373" s="1" t="n"/>
      <c r="BT373" s="1" t="n"/>
      <c r="BU373" s="1" t="n"/>
      <c r="BV373" s="1" t="n"/>
      <c r="BW373" s="1" t="n"/>
      <c r="BX373" s="1" t="n"/>
      <c r="BY373" s="1" t="n"/>
      <c r="BZ373" s="1" t="n"/>
      <c r="CA373" s="1" t="n"/>
      <c r="CB373" s="1" t="n"/>
      <c r="CC373" s="1" t="n"/>
      <c r="CD373" s="1" t="n"/>
      <c r="CE373" s="1" t="n"/>
      <c r="CF373" s="1" t="n"/>
      <c r="CG373" s="1" t="n"/>
      <c r="CH373" s="1" t="n"/>
      <c r="CI373" s="1" t="n"/>
      <c r="CJ373" s="1" t="n"/>
      <c r="CK373" s="1" t="n"/>
      <c r="CL373" s="1" t="n"/>
      <c r="CM373" s="1" t="n"/>
      <c r="CN373" s="1" t="n"/>
      <c r="CO373" s="1" t="n"/>
      <c r="CP373" s="1" t="n"/>
      <c r="CQ373" s="1" t="n"/>
      <c r="CR373" s="1" t="n"/>
      <c r="CS373" s="1" t="n"/>
      <c r="CT373" s="1" t="n"/>
      <c r="CU373" s="1" t="n"/>
      <c r="CV373" s="1" t="n"/>
      <c r="CW373" s="1" t="n"/>
      <c r="CX373" s="1" t="n"/>
      <c r="CY373" s="1" t="n"/>
    </row>
    <row r="374">
      <c r="C374" s="29" t="inlineStr">
        <is>
          <t>Net Income</t>
        </is>
      </c>
      <c r="D374" s="3" t="n"/>
      <c r="E374" s="3">
        <f>E234</f>
        <v>72.109</v>
      </c>
      <c r="F374" s="3">
        <f>F234</f>
        <v>181.214</v>
      </c>
      <c r="G374" s="3">
        <f>G234</f>
        <v>509.616</v>
      </c>
      <c r="H374" s="3">
        <f>SUM(D374:G374)</f>
        <v>762.939</v>
      </c>
      <c r="I374" s="3">
        <f>I234</f>
        <v>323.416</v>
      </c>
      <c r="J374" s="3">
        <f>J234</f>
        <v>332.345</v>
      </c>
      <c r="K374" s="3">
        <f>K234</f>
        <v>240.316</v>
      </c>
      <c r="L374" s="3">
        <f>L234</f>
        <v>219.324</v>
      </c>
      <c r="M374" s="3">
        <f>SUM(I374:L374)</f>
        <v>1115.401</v>
      </c>
      <c r="N374" s="3">
        <f>N234</f>
        <v>430.979</v>
      </c>
      <c r="O374" s="3">
        <f>O234</f>
        <v>180.008</v>
      </c>
      <c r="P374" s="3">
        <f>P234</f>
        <v>115.676</v>
      </c>
      <c r="Q374" s="3">
        <f>Q234</f>
        <v>191.803</v>
      </c>
      <c r="R374" s="3">
        <f>SUM(N374:Q374)</f>
        <v>918.466</v>
      </c>
      <c r="S374" s="3">
        <f>S234</f>
        <v>230.71</v>
      </c>
      <c r="T374" s="3">
        <f>T234</f>
        <v>222.186</v>
      </c>
      <c r="U374" s="3">
        <f>U234</f>
        <v>100.005</v>
      </c>
      <c r="V374" s="3">
        <f>V234</f>
        <v>141.162</v>
      </c>
      <c r="W374" s="3">
        <f>SUM(S374:V374)</f>
        <v>694.063</v>
      </c>
      <c r="X374" s="3">
        <f>X234</f>
        <v>254.944</v>
      </c>
      <c r="Y374" s="3">
        <f>Y234</f>
        <v>237.07</v>
      </c>
      <c r="Z374" s="3">
        <f>Z234</f>
        <v>363.754</v>
      </c>
      <c r="AA374" s="3">
        <f>AA234</f>
        <v>230.322</v>
      </c>
      <c r="AB374" s="3">
        <f>SUM(X374:AA374)</f>
        <v>1086.09</v>
      </c>
      <c r="AC374" s="3">
        <f>AC234</f>
        <v>298.777</v>
      </c>
      <c r="AD374" s="3">
        <f>AD234</f>
        <v>144.867</v>
      </c>
      <c r="AE374" s="3">
        <f>AE234</f>
        <v>489.39</v>
      </c>
      <c r="AF374" s="3">
        <f>AF234</f>
        <v>282.525</v>
      </c>
      <c r="AG374" s="3">
        <f>SUM(AC374:AF374)</f>
        <v>1215.559</v>
      </c>
      <c r="AH374" s="3">
        <f>AH234</f>
        <v>198.067</v>
      </c>
      <c r="AI374" s="3">
        <f>AI234</f>
        <v>416.626</v>
      </c>
      <c r="AJ374" s="3">
        <f>AJ234</f>
        <v>338.767</v>
      </c>
      <c r="AK374" s="3">
        <f>AK234</f>
        <v>12.444</v>
      </c>
      <c r="AL374" s="3">
        <f>SUM(AH374:AK374)</f>
        <v>965.904</v>
      </c>
      <c r="AM374" s="3">
        <f>AM234</f>
        <v>36.376</v>
      </c>
      <c r="AN374" s="3">
        <f>AN234</f>
        <v>157.723</v>
      </c>
      <c r="AO374" s="3">
        <f>AO234</f>
        <v>429.253</v>
      </c>
      <c r="AP374" s="3">
        <f>AP234</f>
        <v>284.982</v>
      </c>
      <c r="AQ374" s="3">
        <f>SUM(AM374:AP374)</f>
        <v>908.334</v>
      </c>
      <c r="AR374" s="3">
        <f>AR234</f>
        <v>308.914</v>
      </c>
      <c r="AS374" s="3">
        <f>AS234</f>
        <v>883.771</v>
      </c>
      <c r="AT374" s="3">
        <f>AT234</f>
        <v>701.791</v>
      </c>
      <c r="AU374" s="3">
        <f>AU234</f>
        <v>1011.03</v>
      </c>
      <c r="AV374" s="3">
        <f>SUM(AR374:AU374)</f>
        <v>2905.506</v>
      </c>
      <c r="AW374" s="3">
        <f>AW234</f>
        <v>1034.962</v>
      </c>
      <c r="AX374" s="3">
        <f>AX234</f>
        <v>2880.943</v>
      </c>
      <c r="AY374" s="3">
        <f>AY234</f>
        <v>1427.839</v>
      </c>
      <c r="AZ374" s="3">
        <f>AZ234</f>
        <v>3008.202</v>
      </c>
      <c r="BA374" s="3">
        <f>SUM(AW374:AZ374)</f>
        <v>8351.946</v>
      </c>
      <c r="BB374" s="3">
        <f>BB234</f>
        <v>3032.134</v>
      </c>
      <c r="BC374" s="3">
        <f>BC234</f>
        <v>8327.383</v>
      </c>
      <c r="BD374" s="3">
        <f>BD234</f>
        <v>3425.011</v>
      </c>
      <c r="BE374" s="3">
        <f>BE234</f>
        <v>8454.642</v>
      </c>
      <c r="BF374" s="3">
        <f>SUM(BB374:BE374)</f>
        <v>23239.17</v>
      </c>
      <c r="BG374" s="3">
        <f>BG234</f>
        <v>8478.574</v>
      </c>
      <c r="BH374" s="3">
        <f>BH234</f>
        <v>23214.607</v>
      </c>
      <c r="BI374" s="3">
        <f>BI234</f>
        <v>8871.451</v>
      </c>
      <c r="BJ374" s="3">
        <f>BJ234</f>
        <v>23341.866</v>
      </c>
      <c r="BK374" s="3">
        <f>SUM(BG374:BJ374)</f>
        <v>63906.498</v>
      </c>
      <c r="BL374" s="3">
        <f>BL234</f>
        <v>23365.798</v>
      </c>
      <c r="BM374" s="3">
        <f>BM234</f>
        <v>63881.935</v>
      </c>
      <c r="BN374" s="3">
        <f>BN234</f>
        <v>23758.675</v>
      </c>
      <c r="BO374" s="3">
        <f>BO234</f>
        <v>64009.194</v>
      </c>
      <c r="BP374" s="3">
        <f>SUM(BL374:BO374)</f>
        <v>175015.602</v>
      </c>
      <c r="BQ374" s="3">
        <f>BQ234</f>
        <v>64033.126</v>
      </c>
      <c r="BR374" s="3">
        <f>BR234</f>
        <v>174991.039</v>
      </c>
      <c r="BS374" s="3">
        <f>BS234</f>
        <v>64426.003</v>
      </c>
      <c r="BT374" s="3">
        <f>BT234</f>
        <v>175118.298</v>
      </c>
      <c r="BU374" s="3">
        <f>SUM(BQ374:BT374)</f>
        <v>478568.466</v>
      </c>
      <c r="BV374" s="3">
        <f>BV234</f>
        <v>175142.23</v>
      </c>
      <c r="BW374" s="3">
        <f>BW234</f>
        <v>478543.903</v>
      </c>
      <c r="BX374" s="3">
        <f>BX234</f>
        <v>175535.107</v>
      </c>
      <c r="BY374" s="3">
        <f>BY234</f>
        <v>478671.162</v>
      </c>
      <c r="BZ374" s="3">
        <f>SUM(BV374:BY374)</f>
        <v>1307892.402</v>
      </c>
      <c r="CA374" s="3">
        <f>CA234</f>
        <v>478695.094</v>
      </c>
      <c r="CB374" s="3">
        <f>CB234</f>
        <v>1307867.839</v>
      </c>
      <c r="CC374" s="3">
        <f>CC234</f>
        <v>479087.971</v>
      </c>
      <c r="CD374" s="3">
        <f>CD234</f>
        <v>1307995.098</v>
      </c>
      <c r="CE374" s="3">
        <f>SUM(CA374:CD374)</f>
        <v>3573646.002</v>
      </c>
      <c r="CF374" s="3">
        <f>CF234</f>
        <v>1308019.03</v>
      </c>
      <c r="CG374" s="3">
        <f>CG234</f>
        <v>3573621.439</v>
      </c>
      <c r="CH374" s="3">
        <f>CH234</f>
        <v>1308411.907</v>
      </c>
      <c r="CI374" s="3">
        <f>CI234</f>
        <v>3573748.698</v>
      </c>
      <c r="CJ374" s="3">
        <f>SUM(CF374:CI374)</f>
        <v>9763801.074</v>
      </c>
      <c r="CK374" s="3">
        <f>CK234</f>
        <v>3573772.63</v>
      </c>
      <c r="CL374" s="3">
        <f>CL234</f>
        <v>9763776.511</v>
      </c>
      <c r="CM374" s="3">
        <f>CM234</f>
        <v>3574165.507</v>
      </c>
      <c r="CN374" s="3">
        <f>CN234</f>
        <v>9763903.77</v>
      </c>
      <c r="CO374" s="3">
        <f>SUM(CK374:CN374)</f>
        <v>26675618.418</v>
      </c>
      <c r="CP374" s="3">
        <f>CP234</f>
        <v>9763927.702</v>
      </c>
      <c r="CQ374" s="3">
        <f>CQ234</f>
        <v>26675593.855</v>
      </c>
      <c r="CR374" s="3">
        <f>CR234</f>
        <v>9764320.579</v>
      </c>
      <c r="CS374" s="3">
        <f>CS234</f>
        <v>26675721.114</v>
      </c>
      <c r="CT374" s="3">
        <f>SUM(CP374:CS374)</f>
        <v>72879563.25</v>
      </c>
      <c r="CU374" s="3">
        <f>CU234</f>
        <v>26675745.046</v>
      </c>
      <c r="CV374" s="3">
        <f>CV234</f>
        <v>72879538.687</v>
      </c>
      <c r="CW374" s="3">
        <f>CW234</f>
        <v>26676137.923</v>
      </c>
      <c r="CX374" s="3">
        <f>CX234</f>
        <v>72879665.946</v>
      </c>
      <c r="CY374" s="3">
        <f>SUM(CU374:CX374)</f>
        <v>199111087.602</v>
      </c>
    </row>
    <row r="375">
      <c r="C375" s="29" t="inlineStr">
        <is>
          <t>Depreciation &amp; amortization</t>
        </is>
      </c>
      <c r="D375" s="3" t="n"/>
      <c r="E375" s="3">
        <f>-E167</f>
        <v>49.987</v>
      </c>
      <c r="F375" s="3">
        <f>-F167</f>
        <v>28.455</v>
      </c>
      <c r="G375" s="3">
        <f>-G167</f>
        <v>28.779</v>
      </c>
      <c r="H375" s="3">
        <f>SUM(D375:G375)</f>
        <v>107.221</v>
      </c>
      <c r="I375" s="3">
        <f>-I167</f>
        <v>29.436</v>
      </c>
      <c r="J375" s="3">
        <f>-J167</f>
        <v>29.857</v>
      </c>
      <c r="K375" s="3">
        <f>-K167</f>
        <v>44.401</v>
      </c>
      <c r="L375" s="3">
        <f>-L167</f>
        <v>35.869</v>
      </c>
      <c r="M375" s="3">
        <f>SUM(I375:L375)</f>
        <v>139.563</v>
      </c>
      <c r="N375" s="3">
        <f>-N167</f>
        <v>38.507</v>
      </c>
      <c r="O375" s="3">
        <f>-O167</f>
        <v>36.456</v>
      </c>
      <c r="P375" s="3">
        <f>-P167</f>
        <v>36.74</v>
      </c>
      <c r="Q375" s="3">
        <f>-Q167</f>
        <v>37.879</v>
      </c>
      <c r="R375" s="3">
        <f>SUM(N375:Q375)</f>
        <v>149.582</v>
      </c>
      <c r="S375" s="3">
        <f>-S167</f>
        <v>34.786</v>
      </c>
      <c r="T375" s="3">
        <f>-T167</f>
        <v>36.346</v>
      </c>
      <c r="U375" s="3">
        <f>-U167</f>
        <v>40.913</v>
      </c>
      <c r="V375" s="3">
        <f>-V167</f>
        <v>41.867</v>
      </c>
      <c r="W375" s="3">
        <f>SUM(S375:V375)</f>
        <v>153.912</v>
      </c>
      <c r="X375" s="3">
        <f>-X167</f>
        <v>42.888</v>
      </c>
      <c r="Y375" s="3">
        <f>-Y167</f>
        <v>43.985</v>
      </c>
      <c r="Z375" s="3">
        <f>-Z167</f>
        <v>45.859</v>
      </c>
      <c r="AA375" s="3">
        <f>-AA167</f>
        <v>45.423</v>
      </c>
      <c r="AB375" s="3">
        <f>SUM(X375:AA375)</f>
        <v>178.155</v>
      </c>
      <c r="AC375" s="3">
        <f>-AC167</f>
        <v>41.263</v>
      </c>
      <c r="AD375" s="3">
        <f>-AD167</f>
        <v>45.418</v>
      </c>
      <c r="AE375" s="3">
        <f>-AE167</f>
        <v>47.651</v>
      </c>
      <c r="AF375" s="3">
        <f>-AF167</f>
        <v>51.46</v>
      </c>
      <c r="AG375" s="3">
        <f>SUM(AC375:AF375)</f>
        <v>185.792</v>
      </c>
      <c r="AH375" s="3">
        <f>-AH167</f>
        <v>56.114</v>
      </c>
      <c r="AI375" s="3">
        <f>-AI167</f>
        <v>51.589</v>
      </c>
      <c r="AJ375" s="3">
        <f>-AJ167</f>
        <v>0</v>
      </c>
      <c r="AK375" s="3">
        <f>-AK167</f>
        <v>0</v>
      </c>
      <c r="AL375" s="3">
        <f>SUM(AH375:AK375)</f>
        <v>107.703</v>
      </c>
      <c r="AM375" s="3">
        <f>-AM167</f>
        <v>0</v>
      </c>
      <c r="AN375" s="3">
        <f>-AN167</f>
        <v>0</v>
      </c>
      <c r="AO375" s="3">
        <f>-AO167</f>
        <v>0</v>
      </c>
      <c r="AP375" s="3">
        <f>-AP167</f>
        <v>0</v>
      </c>
      <c r="AQ375" s="3">
        <f>SUM(AM375:AP375)</f>
        <v>0</v>
      </c>
      <c r="AR375" s="3">
        <f>-AR167</f>
        <v>0</v>
      </c>
      <c r="AS375" s="3">
        <f>-AS167</f>
        <v>0</v>
      </c>
      <c r="AT375" s="3">
        <f>-AT167</f>
        <v>0</v>
      </c>
      <c r="AU375" s="3">
        <f>-AU167</f>
        <v>0</v>
      </c>
      <c r="AV375" s="3">
        <f>SUM(AR375:AU375)</f>
        <v>0</v>
      </c>
      <c r="AW375" s="3">
        <f>-AW167</f>
        <v>0</v>
      </c>
      <c r="AX375" s="3">
        <f>-AX167</f>
        <v>0</v>
      </c>
      <c r="AY375" s="3">
        <f>-AY167</f>
        <v>0</v>
      </c>
      <c r="AZ375" s="3">
        <f>-AZ167</f>
        <v>0</v>
      </c>
      <c r="BA375" s="3">
        <f>SUM(AW375:AZ375)</f>
        <v>0</v>
      </c>
      <c r="BB375" s="3">
        <f>-BB167</f>
        <v>0</v>
      </c>
      <c r="BC375" s="3">
        <f>-BC167</f>
        <v>0</v>
      </c>
      <c r="BD375" s="3">
        <f>-BD167</f>
        <v>0</v>
      </c>
      <c r="BE375" s="3">
        <f>-BE167</f>
        <v>0</v>
      </c>
      <c r="BF375" s="3">
        <f>SUM(BB375:BE375)</f>
        <v>0</v>
      </c>
      <c r="BG375" s="3">
        <f>-BG167</f>
        <v>0</v>
      </c>
      <c r="BH375" s="3">
        <f>-BH167</f>
        <v>0</v>
      </c>
      <c r="BI375" s="3">
        <f>-BI167</f>
        <v>0</v>
      </c>
      <c r="BJ375" s="3">
        <f>-BJ167</f>
        <v>0</v>
      </c>
      <c r="BK375" s="3">
        <f>SUM(BG375:BJ375)</f>
        <v>0</v>
      </c>
      <c r="BL375" s="3">
        <f>-BL167</f>
        <v>0</v>
      </c>
      <c r="BM375" s="3">
        <f>-BM167</f>
        <v>0</v>
      </c>
      <c r="BN375" s="3">
        <f>-BN167</f>
        <v>0</v>
      </c>
      <c r="BO375" s="3">
        <f>-BO167</f>
        <v>0</v>
      </c>
      <c r="BP375" s="3">
        <f>SUM(BL375:BO375)</f>
        <v>0</v>
      </c>
      <c r="BQ375" s="3">
        <f>-BQ167</f>
        <v>0</v>
      </c>
      <c r="BR375" s="3">
        <f>-BR167</f>
        <v>0</v>
      </c>
      <c r="BS375" s="3">
        <f>-BS167</f>
        <v>0</v>
      </c>
      <c r="BT375" s="3">
        <f>-BT167</f>
        <v>0</v>
      </c>
      <c r="BU375" s="3">
        <f>SUM(BQ375:BT375)</f>
        <v>0</v>
      </c>
      <c r="BV375" s="3">
        <f>-BV167</f>
        <v>0</v>
      </c>
      <c r="BW375" s="3">
        <f>-BW167</f>
        <v>0</v>
      </c>
      <c r="BX375" s="3">
        <f>-BX167</f>
        <v>0</v>
      </c>
      <c r="BY375" s="3">
        <f>-BY167</f>
        <v>0</v>
      </c>
      <c r="BZ375" s="3">
        <f>SUM(BV375:BY375)</f>
        <v>0</v>
      </c>
      <c r="CA375" s="3">
        <f>-CA167</f>
        <v>0</v>
      </c>
      <c r="CB375" s="3">
        <f>-CB167</f>
        <v>0</v>
      </c>
      <c r="CC375" s="3">
        <f>-CC167</f>
        <v>0</v>
      </c>
      <c r="CD375" s="3">
        <f>-CD167</f>
        <v>0</v>
      </c>
      <c r="CE375" s="3">
        <f>SUM(CA375:CD375)</f>
        <v>0</v>
      </c>
      <c r="CF375" s="3">
        <f>-CF167</f>
        <v>0</v>
      </c>
      <c r="CG375" s="3">
        <f>-CG167</f>
        <v>0</v>
      </c>
      <c r="CH375" s="3">
        <f>-CH167</f>
        <v>0</v>
      </c>
      <c r="CI375" s="3">
        <f>-CI167</f>
        <v>0</v>
      </c>
      <c r="CJ375" s="3">
        <f>SUM(CF375:CI375)</f>
        <v>0</v>
      </c>
      <c r="CK375" s="3">
        <f>-CK167</f>
        <v>0</v>
      </c>
      <c r="CL375" s="3">
        <f>-CL167</f>
        <v>0</v>
      </c>
      <c r="CM375" s="3">
        <f>-CM167</f>
        <v>0</v>
      </c>
      <c r="CN375" s="3">
        <f>-CN167</f>
        <v>0</v>
      </c>
      <c r="CO375" s="3">
        <f>SUM(CK375:CN375)</f>
        <v>0</v>
      </c>
      <c r="CP375" s="3">
        <f>-CP167</f>
        <v>0</v>
      </c>
      <c r="CQ375" s="3">
        <f>-CQ167</f>
        <v>0</v>
      </c>
      <c r="CR375" s="3">
        <f>-CR167</f>
        <v>0</v>
      </c>
      <c r="CS375" s="3">
        <f>-CS167</f>
        <v>0</v>
      </c>
      <c r="CT375" s="3">
        <f>SUM(CP375:CS375)</f>
        <v>0</v>
      </c>
      <c r="CU375" s="3">
        <f>-CU167</f>
        <v>0</v>
      </c>
      <c r="CV375" s="3">
        <f>-CV167</f>
        <v>0</v>
      </c>
      <c r="CW375" s="3">
        <f>-CW167</f>
        <v>0</v>
      </c>
      <c r="CX375" s="3">
        <f>-CX167</f>
        <v>0</v>
      </c>
      <c r="CY375" s="3">
        <f>SUM(CU375:CX375)</f>
        <v>0</v>
      </c>
    </row>
    <row r="376">
      <c r="C376" s="29" t="inlineStr">
        <is>
          <t xml:space="preserve">Changes in working capital </t>
        </is>
      </c>
      <c r="D376" s="3" t="n"/>
      <c r="E376" s="3">
        <f>SUM(E377:E386)</f>
        <v>-10.5190000000001</v>
      </c>
      <c r="F376" s="3">
        <f>SUM(F377:F386)</f>
        <v>-110.112</v>
      </c>
      <c r="G376" s="3">
        <f>SUM(G377:G386)</f>
        <v>515.771</v>
      </c>
      <c r="H376" s="3">
        <f>SUM(D376:G376)</f>
        <v>395.14</v>
      </c>
      <c r="I376" s="3">
        <f>SUM(I377:I386)</f>
        <v>-65.738</v>
      </c>
      <c r="J376" s="3">
        <f>SUM(J377:J386)</f>
        <v>-150.999</v>
      </c>
      <c r="K376" s="3">
        <f>SUM(K377:K386)</f>
        <v>-111.401</v>
      </c>
      <c r="L376" s="3">
        <f>SUM(L377:L386)</f>
        <v>188.799</v>
      </c>
      <c r="M376" s="3">
        <f>SUM(I376:L376)</f>
        <v>-139.339</v>
      </c>
      <c r="N376" s="3">
        <f>SUM(N377:N386)</f>
        <v>485.012000000001</v>
      </c>
      <c r="O376" s="3">
        <f>SUM(O377:O386)</f>
        <v>-547.003000000001</v>
      </c>
      <c r="P376" s="3">
        <f>SUM(P377:P386)</f>
        <v>84.6020000000003</v>
      </c>
      <c r="Q376" s="3">
        <f>SUM(Q377:Q386)</f>
        <v>102.798</v>
      </c>
      <c r="R376" s="3">
        <f>SUM(N376:Q376)</f>
        <v>125.409000000001</v>
      </c>
      <c r="S376" s="3">
        <f>SUM(S377:S386)</f>
        <v>-64.7790000000002</v>
      </c>
      <c r="T376" s="3">
        <f>SUM(T377:T386)</f>
        <v>-320.589</v>
      </c>
      <c r="U376" s="3">
        <f>SUM(U377:U386)</f>
        <v>114.452</v>
      </c>
      <c r="V376" s="3">
        <f>SUM(V377:V386)</f>
        <v>259.056</v>
      </c>
      <c r="W376" s="3">
        <f>SUM(S376:V376)</f>
        <v>-11.8600000000002</v>
      </c>
      <c r="X376" s="3">
        <f>SUM(X377:X386)</f>
        <v>12.1979999999996</v>
      </c>
      <c r="Y376" s="3">
        <f>SUM(Y377:Y386)</f>
        <v>129.42</v>
      </c>
      <c r="Z376" s="3">
        <f>SUM(Z377:Z386)</f>
        <v>-533.603</v>
      </c>
      <c r="AA376" s="3">
        <f>SUM(AA377:AA386)</f>
        <v>189.325</v>
      </c>
      <c r="AB376" s="3">
        <f>SUM(X376:AA376)</f>
        <v>-202.66</v>
      </c>
      <c r="AC376" s="3">
        <f>SUM(AC377:AC386)</f>
        <v>-10.1369999999999</v>
      </c>
      <c r="AD376" s="3">
        <f>SUM(AD377:AD386)</f>
        <v>-12.4630000000003</v>
      </c>
      <c r="AE376" s="3">
        <f>SUM(AE377:AE386)</f>
        <v>32.5720000000004</v>
      </c>
      <c r="AF376" s="3">
        <f>SUM(AF377:AF386)</f>
        <v>99.4479999999998</v>
      </c>
      <c r="AG376" s="3">
        <f>SUM(AC376:AF376)</f>
        <v>109.42</v>
      </c>
      <c r="AH376" s="3">
        <f>SUM(AH377:AH386)</f>
        <v>-87.2359999999997</v>
      </c>
      <c r="AI376" s="3">
        <f>SUM(AI377:AI386)</f>
        <v>-228.674000000001</v>
      </c>
      <c r="AJ376" s="3">
        <f>SUM(AJ377:AJ386)</f>
        <v>-201.81</v>
      </c>
      <c r="AK376" s="3">
        <f>SUM(AK377:AK386)</f>
        <v>0</v>
      </c>
      <c r="AL376" s="3">
        <f>SUM(AH376:AK376)</f>
        <v>-517.72</v>
      </c>
      <c r="AM376" s="3" t="e">
        <f>SUM(AM377:AM386)</f>
        <v>#DIV/0!</v>
      </c>
      <c r="AN376" s="3" t="e">
        <f>SUM(AN377:AN386)</f>
        <v>#DIV/0!</v>
      </c>
      <c r="AO376" s="3" t="e">
        <f>SUM(AO377:AO386)</f>
        <v>#DIV/0!</v>
      </c>
      <c r="AP376" s="3" t="e">
        <f>SUM(AP377:AP386)</f>
        <v>#DIV/0!</v>
      </c>
      <c r="AQ376" s="3" t="e">
        <f>SUM(AM376:AP376)</f>
        <v>#DIV/0!</v>
      </c>
      <c r="AR376" s="3" t="e">
        <f>SUM(AR377:AR386)</f>
        <v>#DIV/0!</v>
      </c>
      <c r="AS376" s="3" t="e">
        <f>SUM(AS377:AS386)</f>
        <v>#DIV/0!</v>
      </c>
      <c r="AT376" s="3" t="e">
        <f>SUM(AT377:AT386)</f>
        <v>#DIV/0!</v>
      </c>
      <c r="AU376" s="3" t="e">
        <f>SUM(AU377:AU386)</f>
        <v>#DIV/0!</v>
      </c>
      <c r="AV376" s="3" t="e">
        <f>SUM(AR376:AU376)</f>
        <v>#DIV/0!</v>
      </c>
      <c r="AW376" s="3" t="e">
        <f>SUM(AW377:AW386)</f>
        <v>#DIV/0!</v>
      </c>
      <c r="AX376" s="3" t="e">
        <f>SUM(AX377:AX386)</f>
        <v>#DIV/0!</v>
      </c>
      <c r="AY376" s="3" t="e">
        <f>SUM(AY377:AY386)</f>
        <v>#DIV/0!</v>
      </c>
      <c r="AZ376" s="3" t="e">
        <f>SUM(AZ377:AZ386)</f>
        <v>#DIV/0!</v>
      </c>
      <c r="BA376" s="3" t="e">
        <f>SUM(AW376:AZ376)</f>
        <v>#DIV/0!</v>
      </c>
      <c r="BB376" s="3" t="e">
        <f>SUM(BB377:BB386)</f>
        <v>#DIV/0!</v>
      </c>
      <c r="BC376" s="3" t="e">
        <f>SUM(BC377:BC386)</f>
        <v>#DIV/0!</v>
      </c>
      <c r="BD376" s="3" t="e">
        <f>SUM(BD377:BD386)</f>
        <v>#DIV/0!</v>
      </c>
      <c r="BE376" s="3" t="e">
        <f>SUM(BE377:BE386)</f>
        <v>#DIV/0!</v>
      </c>
      <c r="BF376" s="3" t="e">
        <f>SUM(BB376:BE376)</f>
        <v>#DIV/0!</v>
      </c>
      <c r="BG376" s="3" t="e">
        <f>SUM(BG377:BG386)</f>
        <v>#DIV/0!</v>
      </c>
      <c r="BH376" s="3" t="e">
        <f>SUM(BH377:BH386)</f>
        <v>#DIV/0!</v>
      </c>
      <c r="BI376" s="3" t="e">
        <f>SUM(BI377:BI386)</f>
        <v>#DIV/0!</v>
      </c>
      <c r="BJ376" s="3" t="e">
        <f>SUM(BJ377:BJ386)</f>
        <v>#DIV/0!</v>
      </c>
      <c r="BK376" s="3" t="e">
        <f>SUM(BG376:BJ376)</f>
        <v>#DIV/0!</v>
      </c>
      <c r="BL376" s="3" t="e">
        <f>SUM(BL377:BL386)</f>
        <v>#DIV/0!</v>
      </c>
      <c r="BM376" s="3" t="e">
        <f>SUM(BM377:BM386)</f>
        <v>#DIV/0!</v>
      </c>
      <c r="BN376" s="3" t="e">
        <f>SUM(BN377:BN386)</f>
        <v>#DIV/0!</v>
      </c>
      <c r="BO376" s="3" t="e">
        <f>SUM(BO377:BO386)</f>
        <v>#DIV/0!</v>
      </c>
      <c r="BP376" s="3" t="e">
        <f>SUM(BL376:BO376)</f>
        <v>#DIV/0!</v>
      </c>
      <c r="BQ376" s="3" t="e">
        <f>SUM(BQ377:BQ386)</f>
        <v>#DIV/0!</v>
      </c>
      <c r="BR376" s="3" t="e">
        <f>SUM(BR377:BR386)</f>
        <v>#DIV/0!</v>
      </c>
      <c r="BS376" s="3" t="e">
        <f>SUM(BS377:BS386)</f>
        <v>#DIV/0!</v>
      </c>
      <c r="BT376" s="3" t="e">
        <f>SUM(BT377:BT386)</f>
        <v>#DIV/0!</v>
      </c>
      <c r="BU376" s="3" t="e">
        <f>SUM(BQ376:BT376)</f>
        <v>#DIV/0!</v>
      </c>
      <c r="BV376" s="3" t="e">
        <f>SUM(BV377:BV386)</f>
        <v>#DIV/0!</v>
      </c>
      <c r="BW376" s="3" t="e">
        <f>SUM(BW377:BW386)</f>
        <v>#DIV/0!</v>
      </c>
      <c r="BX376" s="3" t="e">
        <f>SUM(BX377:BX386)</f>
        <v>#DIV/0!</v>
      </c>
      <c r="BY376" s="3" t="e">
        <f>SUM(BY377:BY386)</f>
        <v>#DIV/0!</v>
      </c>
      <c r="BZ376" s="3" t="e">
        <f>SUM(BV376:BY376)</f>
        <v>#DIV/0!</v>
      </c>
      <c r="CA376" s="3" t="e">
        <f>SUM(CA377:CA386)</f>
        <v>#DIV/0!</v>
      </c>
      <c r="CB376" s="3" t="e">
        <f>SUM(CB377:CB386)</f>
        <v>#DIV/0!</v>
      </c>
      <c r="CC376" s="3" t="e">
        <f>SUM(CC377:CC386)</f>
        <v>#DIV/0!</v>
      </c>
      <c r="CD376" s="3" t="e">
        <f>SUM(CD377:CD386)</f>
        <v>#DIV/0!</v>
      </c>
      <c r="CE376" s="3" t="e">
        <f>SUM(CA376:CD376)</f>
        <v>#DIV/0!</v>
      </c>
      <c r="CF376" s="3" t="e">
        <f>SUM(CF377:CF386)</f>
        <v>#DIV/0!</v>
      </c>
      <c r="CG376" s="3" t="e">
        <f>SUM(CG377:CG386)</f>
        <v>#DIV/0!</v>
      </c>
      <c r="CH376" s="3" t="e">
        <f>SUM(CH377:CH386)</f>
        <v>#DIV/0!</v>
      </c>
      <c r="CI376" s="3" t="e">
        <f>SUM(CI377:CI386)</f>
        <v>#DIV/0!</v>
      </c>
      <c r="CJ376" s="3" t="e">
        <f>SUM(CF376:CI376)</f>
        <v>#DIV/0!</v>
      </c>
      <c r="CK376" s="3" t="e">
        <f>SUM(CK377:CK386)</f>
        <v>#DIV/0!</v>
      </c>
      <c r="CL376" s="3" t="e">
        <f>SUM(CL377:CL386)</f>
        <v>#DIV/0!</v>
      </c>
      <c r="CM376" s="3" t="e">
        <f>SUM(CM377:CM386)</f>
        <v>#DIV/0!</v>
      </c>
      <c r="CN376" s="3" t="e">
        <f>SUM(CN377:CN386)</f>
        <v>#DIV/0!</v>
      </c>
      <c r="CO376" s="3" t="e">
        <f>SUM(CK376:CN376)</f>
        <v>#DIV/0!</v>
      </c>
      <c r="CP376" s="3" t="e">
        <f>SUM(CP377:CP386)</f>
        <v>#DIV/0!</v>
      </c>
      <c r="CQ376" s="3" t="e">
        <f>SUM(CQ377:CQ386)</f>
        <v>#DIV/0!</v>
      </c>
      <c r="CR376" s="3" t="e">
        <f>SUM(CR377:CR386)</f>
        <v>#DIV/0!</v>
      </c>
      <c r="CS376" s="3" t="e">
        <f>SUM(CS377:CS386)</f>
        <v>#DIV/0!</v>
      </c>
      <c r="CT376" s="3" t="e">
        <f>SUM(CP376:CS376)</f>
        <v>#DIV/0!</v>
      </c>
      <c r="CU376" s="3" t="e">
        <f>SUM(CU377:CU386)</f>
        <v>#DIV/0!</v>
      </c>
      <c r="CV376" s="3" t="e">
        <f>SUM(CV377:CV386)</f>
        <v>#DIV/0!</v>
      </c>
      <c r="CW376" s="3" t="e">
        <f>SUM(CW377:CW386)</f>
        <v>#DIV/0!</v>
      </c>
      <c r="CX376" s="3" t="e">
        <f>SUM(CX377:CX386)</f>
        <v>#DIV/0!</v>
      </c>
      <c r="CY376" s="3" t="e">
        <f>SUM(CU376:CX376)</f>
        <v>#DIV/0!</v>
      </c>
    </row>
    <row r="377" hidden="1" outlineLevel="1">
      <c r="C377" s="29" t="inlineStr">
        <is>
          <t>Accounts receivable</t>
        </is>
      </c>
      <c r="D377" s="3" t="n"/>
      <c r="E377" s="3">
        <f>(E242-D242)*-1</f>
        <v>2.33800000000002</v>
      </c>
      <c r="F377" s="3">
        <f>(F242-E242)*-1</f>
        <v>-37.319</v>
      </c>
      <c r="G377" s="3">
        <f>(G242-F242)*-1</f>
        <v>-49.973</v>
      </c>
      <c r="H377" s="3">
        <f>SUM(D377:G377)</f>
        <v>-84.954</v>
      </c>
      <c r="I377" s="3">
        <f>(I242-H242)*-1</f>
        <v>76.671</v>
      </c>
      <c r="J377" s="3">
        <f>(J242-I242)*-1</f>
        <v>-7.20299999999997</v>
      </c>
      <c r="K377" s="3">
        <f>(K242-J242)*-1</f>
        <v>-32.741</v>
      </c>
      <c r="L377" s="3">
        <f>(L242-K242)*-1</f>
        <v>-13.072</v>
      </c>
      <c r="M377" s="3">
        <f>SUM(I377:L377)</f>
        <v>23.655</v>
      </c>
      <c r="N377" s="3">
        <f>(N242-M242)*-1</f>
        <v>28.4210000000001</v>
      </c>
      <c r="O377" s="3">
        <f>(O242-N242)*-1</f>
        <v>-14.409</v>
      </c>
      <c r="P377" s="3">
        <f>(P242-O242)*-1</f>
        <v>-35.05</v>
      </c>
      <c r="Q377" s="3">
        <f>(Q242-P242)*-1</f>
        <v>-35.543</v>
      </c>
      <c r="R377" s="3">
        <f>SUM(N377:Q377)</f>
        <v>-56.581</v>
      </c>
      <c r="S377" s="3">
        <f>(S242-R242)*-1</f>
        <v>-28.26</v>
      </c>
      <c r="T377" s="3">
        <f>(T242-S242)*-1</f>
        <v>183.84</v>
      </c>
      <c r="U377" s="3">
        <f>(U242-T242)*-1</f>
        <v>-45.938</v>
      </c>
      <c r="V377" s="3">
        <f>(V242-U242)*-1</f>
        <v>49.935</v>
      </c>
      <c r="W377" s="3">
        <f>SUM(S377:V377)</f>
        <v>159.577</v>
      </c>
      <c r="X377" s="3">
        <f>(X242-W242)*-1</f>
        <v>25.813</v>
      </c>
      <c r="Y377" s="3">
        <f>(Y242-X242)*-1</f>
        <v>-7.51400000000001</v>
      </c>
      <c r="Z377" s="3">
        <f>(Z242-Y242)*-1</f>
        <v>-3.88999999999999</v>
      </c>
      <c r="AA377" s="3">
        <f>(AA242-Z242)*-1</f>
        <v>-9.63</v>
      </c>
      <c r="AB377" s="3">
        <f>SUM(X377:AA377)</f>
        <v>4.779</v>
      </c>
      <c r="AC377" s="3">
        <f>(AC242-AB242)*-1</f>
        <v>24.238</v>
      </c>
      <c r="AD377" s="3">
        <f>(AD242-AC242)*-1</f>
        <v>11.839</v>
      </c>
      <c r="AE377" s="3">
        <f>(AE242-AD242)*-1</f>
        <v>35.485</v>
      </c>
      <c r="AF377" s="3">
        <f>(AF242-AE242)*-1</f>
        <v>25.563</v>
      </c>
      <c r="AG377" s="3">
        <f>SUM(AC377:AF377)</f>
        <v>97.125</v>
      </c>
      <c r="AH377" s="3">
        <f>(AH242-AG242)*-1</f>
        <v>-4.487</v>
      </c>
      <c r="AI377" s="3">
        <f>(AI242-AH242)*-1</f>
        <v>-157.842</v>
      </c>
      <c r="AJ377" s="3">
        <f>(AJ242-AI242)*-1</f>
        <v>349.127</v>
      </c>
      <c r="AK377" s="3">
        <f>(AK242-AJ242)*-1</f>
        <v>0</v>
      </c>
      <c r="AL377" s="3">
        <f>SUM(AH377:AK377)</f>
        <v>186.798</v>
      </c>
      <c r="AM377" s="3">
        <f>(AM242-AL242)*-1</f>
        <v>0</v>
      </c>
      <c r="AN377" s="3">
        <f>(AN242-AM242)*-1</f>
        <v>0</v>
      </c>
      <c r="AO377" s="3">
        <f>(AO242-AN242)*-1</f>
        <v>0</v>
      </c>
      <c r="AP377" s="3">
        <f>(AP242-AO242)*-1</f>
        <v>0</v>
      </c>
      <c r="AQ377" s="3">
        <f>SUM(AM377:AP377)</f>
        <v>0</v>
      </c>
      <c r="AR377" s="3">
        <f>(AR242-AQ242)*-1</f>
        <v>0</v>
      </c>
      <c r="AS377" s="3">
        <f>(AS242-AR242)*-1</f>
        <v>0</v>
      </c>
      <c r="AT377" s="3">
        <f>(AT242-AS242)*-1</f>
        <v>0</v>
      </c>
      <c r="AU377" s="3">
        <f>(AU242-AT242)*-1</f>
        <v>0</v>
      </c>
      <c r="AV377" s="3">
        <f>SUM(AR377:AU377)</f>
        <v>0</v>
      </c>
      <c r="AW377" s="3">
        <f>(AW242-AV242)*-1</f>
        <v>0</v>
      </c>
      <c r="AX377" s="3">
        <f>(AX242-AW242)*-1</f>
        <v>0</v>
      </c>
      <c r="AY377" s="3">
        <f>(AY242-AX242)*-1</f>
        <v>0</v>
      </c>
      <c r="AZ377" s="3">
        <f>(AZ242-AY242)*-1</f>
        <v>0</v>
      </c>
      <c r="BA377" s="3">
        <f>SUM(AW377:AZ377)</f>
        <v>0</v>
      </c>
      <c r="BB377" s="3">
        <f>(BB242-BA242)*-1</f>
        <v>0</v>
      </c>
      <c r="BC377" s="3">
        <f>(BC242-BB242)*-1</f>
        <v>0</v>
      </c>
      <c r="BD377" s="3">
        <f>(BD242-BC242)*-1</f>
        <v>0</v>
      </c>
      <c r="BE377" s="3">
        <f>(BE242-BD242)*-1</f>
        <v>0</v>
      </c>
      <c r="BF377" s="3">
        <f>SUM(BB377:BE377)</f>
        <v>0</v>
      </c>
      <c r="BG377" s="3">
        <f>(BG242-BF242)*-1</f>
        <v>0</v>
      </c>
      <c r="BH377" s="3">
        <f>(BH242-BG242)*-1</f>
        <v>0</v>
      </c>
      <c r="BI377" s="3">
        <f>(BI242-BH242)*-1</f>
        <v>0</v>
      </c>
      <c r="BJ377" s="3">
        <f>(BJ242-BI242)*-1</f>
        <v>0</v>
      </c>
      <c r="BK377" s="3">
        <f>SUM(BG377:BJ377)</f>
        <v>0</v>
      </c>
      <c r="BL377" s="3">
        <f>(BL242-BK242)*-1</f>
        <v>0</v>
      </c>
      <c r="BM377" s="3">
        <f>(BM242-BL242)*-1</f>
        <v>0</v>
      </c>
      <c r="BN377" s="3">
        <f>(BN242-BM242)*-1</f>
        <v>0</v>
      </c>
      <c r="BO377" s="3">
        <f>(BO242-BN242)*-1</f>
        <v>0</v>
      </c>
      <c r="BP377" s="3">
        <f>SUM(BL377:BO377)</f>
        <v>0</v>
      </c>
      <c r="BQ377" s="3">
        <f>(BQ242-BP242)*-1</f>
        <v>0</v>
      </c>
      <c r="BR377" s="3">
        <f>(BR242-BQ242)*-1</f>
        <v>0</v>
      </c>
      <c r="BS377" s="3">
        <f>(BS242-BR242)*-1</f>
        <v>0</v>
      </c>
      <c r="BT377" s="3">
        <f>(BT242-BS242)*-1</f>
        <v>0</v>
      </c>
      <c r="BU377" s="3">
        <f>SUM(BQ377:BT377)</f>
        <v>0</v>
      </c>
      <c r="BV377" s="3">
        <f>(BV242-BU242)*-1</f>
        <v>0</v>
      </c>
      <c r="BW377" s="3">
        <f>(BW242-BV242)*-1</f>
        <v>0</v>
      </c>
      <c r="BX377" s="3">
        <f>(BX242-BW242)*-1</f>
        <v>0</v>
      </c>
      <c r="BY377" s="3">
        <f>(BY242-BX242)*-1</f>
        <v>0</v>
      </c>
      <c r="BZ377" s="3">
        <f>SUM(BV377:BY377)</f>
        <v>0</v>
      </c>
      <c r="CA377" s="3">
        <f>(CA242-BZ242)*-1</f>
        <v>0</v>
      </c>
      <c r="CB377" s="3">
        <f>(CB242-CA242)*-1</f>
        <v>0</v>
      </c>
      <c r="CC377" s="3">
        <f>(CC242-CB242)*-1</f>
        <v>0</v>
      </c>
      <c r="CD377" s="3">
        <f>(CD242-CC242)*-1</f>
        <v>0</v>
      </c>
      <c r="CE377" s="3">
        <f>SUM(CA377:CD377)</f>
        <v>0</v>
      </c>
      <c r="CF377" s="3">
        <f>(CF242-CE242)*-1</f>
        <v>0</v>
      </c>
      <c r="CG377" s="3">
        <f>(CG242-CF242)*-1</f>
        <v>0</v>
      </c>
      <c r="CH377" s="3">
        <f>(CH242-CG242)*-1</f>
        <v>0</v>
      </c>
      <c r="CI377" s="3">
        <f>(CI242-CH242)*-1</f>
        <v>0</v>
      </c>
      <c r="CJ377" s="3">
        <f>SUM(CF377:CI377)</f>
        <v>0</v>
      </c>
      <c r="CK377" s="3">
        <f>(CK242-CJ242)*-1</f>
        <v>0</v>
      </c>
      <c r="CL377" s="3">
        <f>(CL242-CK242)*-1</f>
        <v>0</v>
      </c>
      <c r="CM377" s="3">
        <f>(CM242-CL242)*-1</f>
        <v>0</v>
      </c>
      <c r="CN377" s="3">
        <f>(CN242-CM242)*-1</f>
        <v>0</v>
      </c>
      <c r="CO377" s="3">
        <f>SUM(CK377:CN377)</f>
        <v>0</v>
      </c>
      <c r="CP377" s="3">
        <f>(CP242-CO242)*-1</f>
        <v>0</v>
      </c>
      <c r="CQ377" s="3">
        <f>(CQ242-CP242)*-1</f>
        <v>0</v>
      </c>
      <c r="CR377" s="3">
        <f>(CR242-CQ242)*-1</f>
        <v>0</v>
      </c>
      <c r="CS377" s="3">
        <f>(CS242-CR242)*-1</f>
        <v>0</v>
      </c>
      <c r="CT377" s="3">
        <f>SUM(CP377:CS377)</f>
        <v>0</v>
      </c>
      <c r="CU377" s="3">
        <f>(CU242-CT242)*-1</f>
        <v>0</v>
      </c>
      <c r="CV377" s="3">
        <f>(CV242-CU242)*-1</f>
        <v>0</v>
      </c>
      <c r="CW377" s="3">
        <f>(CW242-CV242)*-1</f>
        <v>0</v>
      </c>
      <c r="CX377" s="3">
        <f>(CX242-CW242)*-1</f>
        <v>0</v>
      </c>
      <c r="CY377" s="3">
        <f>SUM(CU377:CX377)</f>
        <v>0</v>
      </c>
    </row>
    <row r="378" hidden="1" outlineLevel="1">
      <c r="C378" s="29" t="inlineStr">
        <is>
          <t>Inventories</t>
        </is>
      </c>
      <c r="D378" s="3" t="n"/>
      <c r="E378" s="3">
        <f>(E246-D246)*-1</f>
        <v>1.641</v>
      </c>
      <c r="F378" s="3">
        <f>(F246-E246)*-1</f>
        <v>-0.161999999999999</v>
      </c>
      <c r="G378" s="3">
        <f>(G246-F246)*-1</f>
        <v>0.388</v>
      </c>
      <c r="H378" s="3">
        <f>SUM(D378:G378)</f>
        <v>1.867</v>
      </c>
      <c r="I378" s="3">
        <f>(I246-H246)*-1</f>
        <v>-0.113</v>
      </c>
      <c r="J378" s="3">
        <f>(J246-I246)*-1</f>
        <v>-0.417000000000001</v>
      </c>
      <c r="K378" s="3">
        <f>(K246-J246)*-1</f>
        <v>-0.00299999999999834</v>
      </c>
      <c r="L378" s="3">
        <f>(L246-K246)*-1</f>
        <v>0.143999999999998</v>
      </c>
      <c r="M378" s="3">
        <f>SUM(I378:L378)</f>
        <v>-0.389000000000001</v>
      </c>
      <c r="N378" s="3">
        <f>(N246-M246)*-1</f>
        <v>-0.122999999999999</v>
      </c>
      <c r="O378" s="3">
        <f>(O246-N246)*-1</f>
        <v>-0.0869999999999997</v>
      </c>
      <c r="P378" s="3">
        <f>(P246-O246)*-1</f>
        <v>-0.497</v>
      </c>
      <c r="Q378" s="3">
        <f>(Q246-P246)*-1</f>
        <v>-0.249000000000001</v>
      </c>
      <c r="R378" s="3">
        <f>SUM(N378:Q378)</f>
        <v>-0.956</v>
      </c>
      <c r="S378" s="3">
        <f>(S246-R246)*-1</f>
        <v>0.140000000000001</v>
      </c>
      <c r="T378" s="3">
        <f>(T246-S246)*-1</f>
        <v>-0.336</v>
      </c>
      <c r="U378" s="3">
        <f>(U246-T246)*-1</f>
        <v>-8.049</v>
      </c>
      <c r="V378" s="3">
        <f>(V246-U246)*-1</f>
        <v>7.168</v>
      </c>
      <c r="W378" s="3">
        <f>SUM(S378:V378)</f>
        <v>-1.077</v>
      </c>
      <c r="X378" s="3">
        <f>(X246-W246)*-1</f>
        <v>0.404</v>
      </c>
      <c r="Y378" s="3">
        <f>(Y246-X246)*-1</f>
        <v>0.645</v>
      </c>
      <c r="Z378" s="3">
        <f>(Z246-Y246)*-1</f>
        <v>-0.257</v>
      </c>
      <c r="AA378" s="3">
        <f>(AA246-Z246)*-1</f>
        <v>-0.279999999999999</v>
      </c>
      <c r="AB378" s="3">
        <f>SUM(X378:AA378)</f>
        <v>0.512000000000001</v>
      </c>
      <c r="AC378" s="3">
        <f>(AC246-AB246)*-1</f>
        <v>-0.341000000000001</v>
      </c>
      <c r="AD378" s="3">
        <f>(AD246-AC246)*-1</f>
        <v>0.274000000000001</v>
      </c>
      <c r="AE378" s="3">
        <f>(AE246-AD246)*-1</f>
        <v>0.141</v>
      </c>
      <c r="AF378" s="3">
        <f>(AF246-AE246)*-1</f>
        <v>-0.779999999999999</v>
      </c>
      <c r="AG378" s="3">
        <f>SUM(AC378:AF378)</f>
        <v>-0.706</v>
      </c>
      <c r="AH378" s="3">
        <f>(AH246-AG246)*-1</f>
        <v>-0.308</v>
      </c>
      <c r="AI378" s="3">
        <f>(AI246-AH246)*-1</f>
        <v>-0.361000000000001</v>
      </c>
      <c r="AJ378" s="3">
        <f>(AJ246-AI246)*-1</f>
        <v>11.141</v>
      </c>
      <c r="AK378" s="3">
        <f>(AK246-AJ246)*-1</f>
        <v>0</v>
      </c>
      <c r="AL378" s="3">
        <f>SUM(AH378:AK378)</f>
        <v>10.472</v>
      </c>
      <c r="AM378" s="3">
        <f>(AM246-AL246)*-1</f>
        <v>0</v>
      </c>
      <c r="AN378" s="3">
        <f>(AN246-AM246)*-1</f>
        <v>0</v>
      </c>
      <c r="AO378" s="3">
        <f>(AO246-AN246)*-1</f>
        <v>0</v>
      </c>
      <c r="AP378" s="3">
        <f>(AP246-AO246)*-1</f>
        <v>0</v>
      </c>
      <c r="AQ378" s="3">
        <f>SUM(AM378:AP378)</f>
        <v>0</v>
      </c>
      <c r="AR378" s="3">
        <f>(AR246-AQ246)*-1</f>
        <v>0</v>
      </c>
      <c r="AS378" s="3">
        <f>(AS246-AR246)*-1</f>
        <v>0</v>
      </c>
      <c r="AT378" s="3">
        <f>(AT246-AS246)*-1</f>
        <v>0</v>
      </c>
      <c r="AU378" s="3">
        <f>(AU246-AT246)*-1</f>
        <v>0</v>
      </c>
      <c r="AV378" s="3">
        <f>SUM(AR378:AU378)</f>
        <v>0</v>
      </c>
      <c r="AW378" s="3">
        <f>(AW246-AV246)*-1</f>
        <v>0</v>
      </c>
      <c r="AX378" s="3">
        <f>(AX246-AW246)*-1</f>
        <v>0</v>
      </c>
      <c r="AY378" s="3">
        <f>(AY246-AX246)*-1</f>
        <v>0</v>
      </c>
      <c r="AZ378" s="3">
        <f>(AZ246-AY246)*-1</f>
        <v>0</v>
      </c>
      <c r="BA378" s="3">
        <f>SUM(AW378:AZ378)</f>
        <v>0</v>
      </c>
      <c r="BB378" s="3">
        <f>(BB246-BA246)*-1</f>
        <v>0</v>
      </c>
      <c r="BC378" s="3">
        <f>(BC246-BB246)*-1</f>
        <v>0</v>
      </c>
      <c r="BD378" s="3">
        <f>(BD246-BC246)*-1</f>
        <v>0</v>
      </c>
      <c r="BE378" s="3">
        <f>(BE246-BD246)*-1</f>
        <v>0</v>
      </c>
      <c r="BF378" s="3">
        <f>SUM(BB378:BE378)</f>
        <v>0</v>
      </c>
      <c r="BG378" s="3">
        <f>(BG246-BF246)*-1</f>
        <v>0</v>
      </c>
      <c r="BH378" s="3">
        <f>(BH246-BG246)*-1</f>
        <v>0</v>
      </c>
      <c r="BI378" s="3">
        <f>(BI246-BH246)*-1</f>
        <v>0</v>
      </c>
      <c r="BJ378" s="3">
        <f>(BJ246-BI246)*-1</f>
        <v>0</v>
      </c>
      <c r="BK378" s="3">
        <f>SUM(BG378:BJ378)</f>
        <v>0</v>
      </c>
      <c r="BL378" s="3">
        <f>(BL246-BK246)*-1</f>
        <v>0</v>
      </c>
      <c r="BM378" s="3">
        <f>(BM246-BL246)*-1</f>
        <v>0</v>
      </c>
      <c r="BN378" s="3">
        <f>(BN246-BM246)*-1</f>
        <v>0</v>
      </c>
      <c r="BO378" s="3">
        <f>(BO246-BN246)*-1</f>
        <v>0</v>
      </c>
      <c r="BP378" s="3">
        <f>SUM(BL378:BO378)</f>
        <v>0</v>
      </c>
      <c r="BQ378" s="3">
        <f>(BQ246-BP246)*-1</f>
        <v>0</v>
      </c>
      <c r="BR378" s="3">
        <f>(BR246-BQ246)*-1</f>
        <v>0</v>
      </c>
      <c r="BS378" s="3">
        <f>(BS246-BR246)*-1</f>
        <v>0</v>
      </c>
      <c r="BT378" s="3">
        <f>(BT246-BS246)*-1</f>
        <v>0</v>
      </c>
      <c r="BU378" s="3">
        <f>SUM(BQ378:BT378)</f>
        <v>0</v>
      </c>
      <c r="BV378" s="3">
        <f>(BV246-BU246)*-1</f>
        <v>0</v>
      </c>
      <c r="BW378" s="3">
        <f>(BW246-BV246)*-1</f>
        <v>0</v>
      </c>
      <c r="BX378" s="3">
        <f>(BX246-BW246)*-1</f>
        <v>0</v>
      </c>
      <c r="BY378" s="3">
        <f>(BY246-BX246)*-1</f>
        <v>0</v>
      </c>
      <c r="BZ378" s="3">
        <f>SUM(BV378:BY378)</f>
        <v>0</v>
      </c>
      <c r="CA378" s="3">
        <f>(CA246-BZ246)*-1</f>
        <v>0</v>
      </c>
      <c r="CB378" s="3">
        <f>(CB246-CA246)*-1</f>
        <v>0</v>
      </c>
      <c r="CC378" s="3">
        <f>(CC246-CB246)*-1</f>
        <v>0</v>
      </c>
      <c r="CD378" s="3">
        <f>(CD246-CC246)*-1</f>
        <v>0</v>
      </c>
      <c r="CE378" s="3">
        <f>SUM(CA378:CD378)</f>
        <v>0</v>
      </c>
      <c r="CF378" s="3">
        <f>(CF246-CE246)*-1</f>
        <v>0</v>
      </c>
      <c r="CG378" s="3">
        <f>(CG246-CF246)*-1</f>
        <v>0</v>
      </c>
      <c r="CH378" s="3">
        <f>(CH246-CG246)*-1</f>
        <v>0</v>
      </c>
      <c r="CI378" s="3">
        <f>(CI246-CH246)*-1</f>
        <v>0</v>
      </c>
      <c r="CJ378" s="3">
        <f>SUM(CF378:CI378)</f>
        <v>0</v>
      </c>
      <c r="CK378" s="3">
        <f>(CK246-CJ246)*-1</f>
        <v>0</v>
      </c>
      <c r="CL378" s="3">
        <f>(CL246-CK246)*-1</f>
        <v>0</v>
      </c>
      <c r="CM378" s="3">
        <f>(CM246-CL246)*-1</f>
        <v>0</v>
      </c>
      <c r="CN378" s="3">
        <f>(CN246-CM246)*-1</f>
        <v>0</v>
      </c>
      <c r="CO378" s="3">
        <f>SUM(CK378:CN378)</f>
        <v>0</v>
      </c>
      <c r="CP378" s="3">
        <f>(CP246-CO246)*-1</f>
        <v>0</v>
      </c>
      <c r="CQ378" s="3">
        <f>(CQ246-CP246)*-1</f>
        <v>0</v>
      </c>
      <c r="CR378" s="3">
        <f>(CR246-CQ246)*-1</f>
        <v>0</v>
      </c>
      <c r="CS378" s="3">
        <f>(CS246-CR246)*-1</f>
        <v>0</v>
      </c>
      <c r="CT378" s="3">
        <f>SUM(CP378:CS378)</f>
        <v>0</v>
      </c>
      <c r="CU378" s="3">
        <f>(CU246-CT246)*-1</f>
        <v>0</v>
      </c>
      <c r="CV378" s="3">
        <f>(CV246-CU246)*-1</f>
        <v>0</v>
      </c>
      <c r="CW378" s="3">
        <f>(CW246-CV246)*-1</f>
        <v>0</v>
      </c>
      <c r="CX378" s="3">
        <f>(CX246-CW246)*-1</f>
        <v>0</v>
      </c>
      <c r="CY378" s="3">
        <f>SUM(CU378:CX378)</f>
        <v>0</v>
      </c>
    </row>
    <row r="379" hidden="1" outlineLevel="1">
      <c r="C379" s="29" t="inlineStr">
        <is>
          <t>Deferred income taxes</t>
        </is>
      </c>
      <c r="D379" s="3" t="n"/>
      <c r="E379" s="3">
        <f>(E250-D250)*-1</f>
        <v>0.0150000000000006</v>
      </c>
      <c r="F379" s="3">
        <f>(F250-E250)*-1</f>
        <v>-1.678</v>
      </c>
      <c r="G379" s="3">
        <f>(G250-F250)*-1</f>
        <v>1.144</v>
      </c>
      <c r="H379" s="3">
        <f>SUM(D379:G379)</f>
        <v>-0.518999999999999</v>
      </c>
      <c r="I379" s="3">
        <f>(I250-H250)*-1</f>
        <v>-3.447</v>
      </c>
      <c r="J379" s="3">
        <f>(J250-I250)*-1</f>
        <v>-2.042</v>
      </c>
      <c r="K379" s="3">
        <f>(K250-J250)*-1</f>
        <v>-3.251</v>
      </c>
      <c r="L379" s="3">
        <f>(L250-K250)*-1</f>
        <v>-4.779</v>
      </c>
      <c r="M379" s="3">
        <f>SUM(I379:L379)</f>
        <v>-13.519</v>
      </c>
      <c r="N379" s="3">
        <f>(N250-M250)*-1</f>
        <v>0.919000000000001</v>
      </c>
      <c r="O379" s="3">
        <f>(O250-N250)*-1</f>
        <v>-7.848</v>
      </c>
      <c r="P379" s="3">
        <f>(P250-O250)*-1</f>
        <v>-7.438</v>
      </c>
      <c r="Q379" s="3">
        <f>(Q250-P250)*-1</f>
        <v>-18.698</v>
      </c>
      <c r="R379" s="3">
        <f>SUM(N379:Q379)</f>
        <v>-33.065</v>
      </c>
      <c r="S379" s="3">
        <f>(S250-R250)*-1</f>
        <v>-7.733</v>
      </c>
      <c r="T379" s="3">
        <f>(T250-S250)*-1</f>
        <v>2.382</v>
      </c>
      <c r="U379" s="3">
        <f>(U250-T250)*-1</f>
        <v>2.535</v>
      </c>
      <c r="V379" s="3">
        <f>(V250-U250)*-1</f>
        <v>-2.712</v>
      </c>
      <c r="W379" s="3">
        <f>SUM(S379:V379)</f>
        <v>-5.52800000000001</v>
      </c>
      <c r="X379" s="3">
        <f>(X250-W250)*-1</f>
        <v>-9.49399999999999</v>
      </c>
      <c r="Y379" s="3">
        <f>(Y250-X250)*-1</f>
        <v>-10.473</v>
      </c>
      <c r="Z379" s="3">
        <f>(Z250-Y250)*-1</f>
        <v>-7.691</v>
      </c>
      <c r="AA379" s="3">
        <f>(AA250-Z250)*-1</f>
        <v>-24.15</v>
      </c>
      <c r="AB379" s="3">
        <f>SUM(X379:AA379)</f>
        <v>-51.808</v>
      </c>
      <c r="AC379" s="3">
        <f>(AC250-AB250)*-1</f>
        <v>-69.514</v>
      </c>
      <c r="AD379" s="3">
        <f>(AD250-AC250)*-1</f>
        <v>5.12700000000001</v>
      </c>
      <c r="AE379" s="3">
        <f>(AE250-AD250)*-1</f>
        <v>-2.28100000000001</v>
      </c>
      <c r="AF379" s="3">
        <f>(AF250-AE250)*-1</f>
        <v>3.49000000000001</v>
      </c>
      <c r="AG379" s="3">
        <f>SUM(AC379:AF379)</f>
        <v>-63.178</v>
      </c>
      <c r="AH379" s="3">
        <f>(AH250-AG250)*-1</f>
        <v>-1.523</v>
      </c>
      <c r="AI379" s="3">
        <f>(AI250-AH250)*-1</f>
        <v>1.72</v>
      </c>
      <c r="AJ379" s="3">
        <f>(AJ250-AI250)*-1</f>
        <v>0</v>
      </c>
      <c r="AK379" s="3">
        <f>(AK250-AJ250)*-1</f>
        <v>0</v>
      </c>
      <c r="AL379" s="3">
        <f>SUM(AH379:AK379)</f>
        <v>0.197000000000003</v>
      </c>
      <c r="AM379" s="3">
        <f>(AM250-AL250)*-1</f>
        <v>0</v>
      </c>
      <c r="AN379" s="3">
        <f>(AN250-AM250)*-1</f>
        <v>0</v>
      </c>
      <c r="AO379" s="3">
        <f>(AO250-AN250)*-1</f>
        <v>0</v>
      </c>
      <c r="AP379" s="3">
        <f>(AP250-AO250)*-1</f>
        <v>0</v>
      </c>
      <c r="AQ379" s="3">
        <f>SUM(AM379:AP379)</f>
        <v>0</v>
      </c>
      <c r="AR379" s="3">
        <f>(AR250-AQ250)*-1</f>
        <v>0</v>
      </c>
      <c r="AS379" s="3">
        <f>(AS250-AR250)*-1</f>
        <v>0</v>
      </c>
      <c r="AT379" s="3">
        <f>(AT250-AS250)*-1</f>
        <v>0</v>
      </c>
      <c r="AU379" s="3">
        <f>(AU250-AT250)*-1</f>
        <v>0</v>
      </c>
      <c r="AV379" s="3">
        <f>SUM(AR379:AU379)</f>
        <v>0</v>
      </c>
      <c r="AW379" s="3">
        <f>(AW250-AV250)*-1</f>
        <v>0</v>
      </c>
      <c r="AX379" s="3">
        <f>(AX250-AW250)*-1</f>
        <v>0</v>
      </c>
      <c r="AY379" s="3">
        <f>(AY250-AX250)*-1</f>
        <v>0</v>
      </c>
      <c r="AZ379" s="3">
        <f>(AZ250-AY250)*-1</f>
        <v>0</v>
      </c>
      <c r="BA379" s="3">
        <f>SUM(AW379:AZ379)</f>
        <v>0</v>
      </c>
      <c r="BB379" s="3">
        <f>(BB250-BA250)*-1</f>
        <v>0</v>
      </c>
      <c r="BC379" s="3">
        <f>(BC250-BB250)*-1</f>
        <v>0</v>
      </c>
      <c r="BD379" s="3">
        <f>(BD250-BC250)*-1</f>
        <v>0</v>
      </c>
      <c r="BE379" s="3">
        <f>(BE250-BD250)*-1</f>
        <v>0</v>
      </c>
      <c r="BF379" s="3">
        <f>SUM(BB379:BE379)</f>
        <v>0</v>
      </c>
      <c r="BG379" s="3">
        <f>(BG250-BF250)*-1</f>
        <v>0</v>
      </c>
      <c r="BH379" s="3">
        <f>(BH250-BG250)*-1</f>
        <v>0</v>
      </c>
      <c r="BI379" s="3">
        <f>(BI250-BH250)*-1</f>
        <v>0</v>
      </c>
      <c r="BJ379" s="3">
        <f>(BJ250-BI250)*-1</f>
        <v>0</v>
      </c>
      <c r="BK379" s="3">
        <f>SUM(BG379:BJ379)</f>
        <v>0</v>
      </c>
      <c r="BL379" s="3">
        <f>(BL250-BK250)*-1</f>
        <v>0</v>
      </c>
      <c r="BM379" s="3">
        <f>(BM250-BL250)*-1</f>
        <v>0</v>
      </c>
      <c r="BN379" s="3">
        <f>(BN250-BM250)*-1</f>
        <v>0</v>
      </c>
      <c r="BO379" s="3">
        <f>(BO250-BN250)*-1</f>
        <v>0</v>
      </c>
      <c r="BP379" s="3">
        <f>SUM(BL379:BO379)</f>
        <v>0</v>
      </c>
      <c r="BQ379" s="3">
        <f>(BQ250-BP250)*-1</f>
        <v>0</v>
      </c>
      <c r="BR379" s="3">
        <f>(BR250-BQ250)*-1</f>
        <v>0</v>
      </c>
      <c r="BS379" s="3">
        <f>(BS250-BR250)*-1</f>
        <v>0</v>
      </c>
      <c r="BT379" s="3">
        <f>(BT250-BS250)*-1</f>
        <v>0</v>
      </c>
      <c r="BU379" s="3">
        <f>SUM(BQ379:BT379)</f>
        <v>0</v>
      </c>
      <c r="BV379" s="3">
        <f>(BV250-BU250)*-1</f>
        <v>0</v>
      </c>
      <c r="BW379" s="3">
        <f>(BW250-BV250)*-1</f>
        <v>0</v>
      </c>
      <c r="BX379" s="3">
        <f>(BX250-BW250)*-1</f>
        <v>0</v>
      </c>
      <c r="BY379" s="3">
        <f>(BY250-BX250)*-1</f>
        <v>0</v>
      </c>
      <c r="BZ379" s="3">
        <f>SUM(BV379:BY379)</f>
        <v>0</v>
      </c>
      <c r="CA379" s="3">
        <f>(CA250-BZ250)*-1</f>
        <v>0</v>
      </c>
      <c r="CB379" s="3">
        <f>(CB250-CA250)*-1</f>
        <v>0</v>
      </c>
      <c r="CC379" s="3">
        <f>(CC250-CB250)*-1</f>
        <v>0</v>
      </c>
      <c r="CD379" s="3">
        <f>(CD250-CC250)*-1</f>
        <v>0</v>
      </c>
      <c r="CE379" s="3">
        <f>SUM(CA379:CD379)</f>
        <v>0</v>
      </c>
      <c r="CF379" s="3">
        <f>(CF250-CE250)*-1</f>
        <v>0</v>
      </c>
      <c r="CG379" s="3">
        <f>(CG250-CF250)*-1</f>
        <v>0</v>
      </c>
      <c r="CH379" s="3">
        <f>(CH250-CG250)*-1</f>
        <v>0</v>
      </c>
      <c r="CI379" s="3">
        <f>(CI250-CH250)*-1</f>
        <v>0</v>
      </c>
      <c r="CJ379" s="3">
        <f>SUM(CF379:CI379)</f>
        <v>0</v>
      </c>
      <c r="CK379" s="3">
        <f>(CK250-CJ250)*-1</f>
        <v>0</v>
      </c>
      <c r="CL379" s="3">
        <f>(CL250-CK250)*-1</f>
        <v>0</v>
      </c>
      <c r="CM379" s="3">
        <f>(CM250-CL250)*-1</f>
        <v>0</v>
      </c>
      <c r="CN379" s="3">
        <f>(CN250-CM250)*-1</f>
        <v>0</v>
      </c>
      <c r="CO379" s="3">
        <f>SUM(CK379:CN379)</f>
        <v>0</v>
      </c>
      <c r="CP379" s="3">
        <f>(CP250-CO250)*-1</f>
        <v>0</v>
      </c>
      <c r="CQ379" s="3">
        <f>(CQ250-CP250)*-1</f>
        <v>0</v>
      </c>
      <c r="CR379" s="3">
        <f>(CR250-CQ250)*-1</f>
        <v>0</v>
      </c>
      <c r="CS379" s="3">
        <f>(CS250-CR250)*-1</f>
        <v>0</v>
      </c>
      <c r="CT379" s="3">
        <f>SUM(CP379:CS379)</f>
        <v>0</v>
      </c>
      <c r="CU379" s="3">
        <f>(CU250-CT250)*-1</f>
        <v>0</v>
      </c>
      <c r="CV379" s="3">
        <f>(CV250-CU250)*-1</f>
        <v>0</v>
      </c>
      <c r="CW379" s="3">
        <f>(CW250-CV250)*-1</f>
        <v>0</v>
      </c>
      <c r="CX379" s="3">
        <f>(CX250-CW250)*-1</f>
        <v>0</v>
      </c>
      <c r="CY379" s="3">
        <f>SUM(CU379:CX379)</f>
        <v>0</v>
      </c>
    </row>
    <row r="380" hidden="1" outlineLevel="1">
      <c r="C380" s="29" t="inlineStr">
        <is>
          <t>Prepaid expenses</t>
        </is>
      </c>
      <c r="D380" s="3" t="n"/>
      <c r="E380" s="3">
        <f>(E251-D251)*-1</f>
        <v>2.162</v>
      </c>
      <c r="F380" s="3">
        <f>(F251-E251)*-1</f>
        <v>-4.937</v>
      </c>
      <c r="G380" s="3">
        <f>(G251-F251)*-1</f>
        <v>0.563</v>
      </c>
      <c r="H380" s="3">
        <f>SUM(D380:G380)</f>
        <v>-2.212</v>
      </c>
      <c r="I380" s="3">
        <f>(I251-H251)*-1</f>
        <v>0.849</v>
      </c>
      <c r="J380" s="3">
        <f>(J251-I251)*-1</f>
        <v>-5.458</v>
      </c>
      <c r="K380" s="3">
        <f>(K251-J251)*-1</f>
        <v>0.492999999999999</v>
      </c>
      <c r="L380" s="3">
        <f>(L251-K251)*-1</f>
        <v>1.693</v>
      </c>
      <c r="M380" s="3">
        <f>SUM(I380:L380)</f>
        <v>-2.423</v>
      </c>
      <c r="N380" s="3">
        <f>(N251-M251)*-1</f>
        <v>1.141</v>
      </c>
      <c r="O380" s="3">
        <f>(O251-N251)*-1</f>
        <v>-4.568</v>
      </c>
      <c r="P380" s="3">
        <f>(P251-O251)*-1</f>
        <v>-1.442</v>
      </c>
      <c r="Q380" s="3">
        <f>(Q251-P251)*-1</f>
        <v>-0.481999999999999</v>
      </c>
      <c r="R380" s="3">
        <f>SUM(N380:Q380)</f>
        <v>-5.351</v>
      </c>
      <c r="S380" s="3">
        <f>(S251-R251)*-1</f>
        <v>6.398</v>
      </c>
      <c r="T380" s="3">
        <f>(T251-S251)*-1</f>
        <v>-2.779</v>
      </c>
      <c r="U380" s="3">
        <f>(U251-T251)*-1</f>
        <v>0.794000000000001</v>
      </c>
      <c r="V380" s="3">
        <f>(V251-U251)*-1</f>
        <v>-2.952</v>
      </c>
      <c r="W380" s="3">
        <f>SUM(S380:V380)</f>
        <v>1.461</v>
      </c>
      <c r="X380" s="3">
        <f>(X251-W251)*-1</f>
        <v>4.177</v>
      </c>
      <c r="Y380" s="3">
        <f>(Y251-X251)*-1</f>
        <v>-3.126</v>
      </c>
      <c r="Z380" s="3">
        <f>(Z251-Y251)*-1</f>
        <v>0.760999999999999</v>
      </c>
      <c r="AA380" s="3">
        <f>(AA251-Z251)*-1</f>
        <v>0.368</v>
      </c>
      <c r="AB380" s="3">
        <f>SUM(X380:AA380)</f>
        <v>2.18</v>
      </c>
      <c r="AC380" s="3">
        <f>(AC251-AB251)*-1</f>
        <v>1.462</v>
      </c>
      <c r="AD380" s="3">
        <f>(AD251-AC251)*-1</f>
        <v>-0.842000000000001</v>
      </c>
      <c r="AE380" s="3">
        <f>(AE251-AD251)*-1</f>
        <v>-3.114</v>
      </c>
      <c r="AF380" s="3">
        <f>(AF251-AE251)*-1</f>
        <v>1.555</v>
      </c>
      <c r="AG380" s="3">
        <f>SUM(AC380:AF380)</f>
        <v>-0.939</v>
      </c>
      <c r="AH380" s="3">
        <f>(AH251-AG251)*-1</f>
        <v>-0.231</v>
      </c>
      <c r="AI380" s="3">
        <f>(AI251-AH251)*-1</f>
        <v>-1.63</v>
      </c>
      <c r="AJ380" s="3">
        <f>(AJ251-AI251)*-1</f>
        <v>0</v>
      </c>
      <c r="AK380" s="3">
        <f>(AK251-AJ251)*-1</f>
        <v>0</v>
      </c>
      <c r="AL380" s="3">
        <f>SUM(AH380:AK380)</f>
        <v>-1.861</v>
      </c>
      <c r="AM380" s="3">
        <f>(AM251-AL251)*-1</f>
        <v>0</v>
      </c>
      <c r="AN380" s="3">
        <f>(AN251-AM251)*-1</f>
        <v>0</v>
      </c>
      <c r="AO380" s="3">
        <f>(AO251-AN251)*-1</f>
        <v>0</v>
      </c>
      <c r="AP380" s="3">
        <f>(AP251-AO251)*-1</f>
        <v>0</v>
      </c>
      <c r="AQ380" s="3">
        <f>SUM(AM380:AP380)</f>
        <v>0</v>
      </c>
      <c r="AR380" s="3">
        <f>(AR251-AQ251)*-1</f>
        <v>0</v>
      </c>
      <c r="AS380" s="3">
        <f>(AS251-AR251)*-1</f>
        <v>0</v>
      </c>
      <c r="AT380" s="3">
        <f>(AT251-AS251)*-1</f>
        <v>0</v>
      </c>
      <c r="AU380" s="3">
        <f>(AU251-AT251)*-1</f>
        <v>0</v>
      </c>
      <c r="AV380" s="3">
        <f>SUM(AR380:AU380)</f>
        <v>0</v>
      </c>
      <c r="AW380" s="3">
        <f>(AW251-AV251)*-1</f>
        <v>0</v>
      </c>
      <c r="AX380" s="3">
        <f>(AX251-AW251)*-1</f>
        <v>0</v>
      </c>
      <c r="AY380" s="3">
        <f>(AY251-AX251)*-1</f>
        <v>0</v>
      </c>
      <c r="AZ380" s="3">
        <f>(AZ251-AY251)*-1</f>
        <v>0</v>
      </c>
      <c r="BA380" s="3">
        <f>SUM(AW380:AZ380)</f>
        <v>0</v>
      </c>
      <c r="BB380" s="3">
        <f>(BB251-BA251)*-1</f>
        <v>0</v>
      </c>
      <c r="BC380" s="3">
        <f>(BC251-BB251)*-1</f>
        <v>0</v>
      </c>
      <c r="BD380" s="3">
        <f>(BD251-BC251)*-1</f>
        <v>0</v>
      </c>
      <c r="BE380" s="3">
        <f>(BE251-BD251)*-1</f>
        <v>0</v>
      </c>
      <c r="BF380" s="3">
        <f>SUM(BB380:BE380)</f>
        <v>0</v>
      </c>
      <c r="BG380" s="3">
        <f>(BG251-BF251)*-1</f>
        <v>0</v>
      </c>
      <c r="BH380" s="3">
        <f>(BH251-BG251)*-1</f>
        <v>0</v>
      </c>
      <c r="BI380" s="3">
        <f>(BI251-BH251)*-1</f>
        <v>0</v>
      </c>
      <c r="BJ380" s="3">
        <f>(BJ251-BI251)*-1</f>
        <v>0</v>
      </c>
      <c r="BK380" s="3">
        <f>SUM(BG380:BJ380)</f>
        <v>0</v>
      </c>
      <c r="BL380" s="3">
        <f>(BL251-BK251)*-1</f>
        <v>0</v>
      </c>
      <c r="BM380" s="3">
        <f>(BM251-BL251)*-1</f>
        <v>0</v>
      </c>
      <c r="BN380" s="3">
        <f>(BN251-BM251)*-1</f>
        <v>0</v>
      </c>
      <c r="BO380" s="3">
        <f>(BO251-BN251)*-1</f>
        <v>0</v>
      </c>
      <c r="BP380" s="3">
        <f>SUM(BL380:BO380)</f>
        <v>0</v>
      </c>
      <c r="BQ380" s="3">
        <f>(BQ251-BP251)*-1</f>
        <v>0</v>
      </c>
      <c r="BR380" s="3">
        <f>(BR251-BQ251)*-1</f>
        <v>0</v>
      </c>
      <c r="BS380" s="3">
        <f>(BS251-BR251)*-1</f>
        <v>0</v>
      </c>
      <c r="BT380" s="3">
        <f>(BT251-BS251)*-1</f>
        <v>0</v>
      </c>
      <c r="BU380" s="3">
        <f>SUM(BQ380:BT380)</f>
        <v>0</v>
      </c>
      <c r="BV380" s="3">
        <f>(BV251-BU251)*-1</f>
        <v>0</v>
      </c>
      <c r="BW380" s="3">
        <f>(BW251-BV251)*-1</f>
        <v>0</v>
      </c>
      <c r="BX380" s="3">
        <f>(BX251-BW251)*-1</f>
        <v>0</v>
      </c>
      <c r="BY380" s="3">
        <f>(BY251-BX251)*-1</f>
        <v>0</v>
      </c>
      <c r="BZ380" s="3">
        <f>SUM(BV380:BY380)</f>
        <v>0</v>
      </c>
      <c r="CA380" s="3">
        <f>(CA251-BZ251)*-1</f>
        <v>0</v>
      </c>
      <c r="CB380" s="3">
        <f>(CB251-CA251)*-1</f>
        <v>0</v>
      </c>
      <c r="CC380" s="3">
        <f>(CC251-CB251)*-1</f>
        <v>0</v>
      </c>
      <c r="CD380" s="3">
        <f>(CD251-CC251)*-1</f>
        <v>0</v>
      </c>
      <c r="CE380" s="3">
        <f>SUM(CA380:CD380)</f>
        <v>0</v>
      </c>
      <c r="CF380" s="3">
        <f>(CF251-CE251)*-1</f>
        <v>0</v>
      </c>
      <c r="CG380" s="3">
        <f>(CG251-CF251)*-1</f>
        <v>0</v>
      </c>
      <c r="CH380" s="3">
        <f>(CH251-CG251)*-1</f>
        <v>0</v>
      </c>
      <c r="CI380" s="3">
        <f>(CI251-CH251)*-1</f>
        <v>0</v>
      </c>
      <c r="CJ380" s="3">
        <f>SUM(CF380:CI380)</f>
        <v>0</v>
      </c>
      <c r="CK380" s="3">
        <f>(CK251-CJ251)*-1</f>
        <v>0</v>
      </c>
      <c r="CL380" s="3">
        <f>(CL251-CK251)*-1</f>
        <v>0</v>
      </c>
      <c r="CM380" s="3">
        <f>(CM251-CL251)*-1</f>
        <v>0</v>
      </c>
      <c r="CN380" s="3">
        <f>(CN251-CM251)*-1</f>
        <v>0</v>
      </c>
      <c r="CO380" s="3">
        <f>SUM(CK380:CN380)</f>
        <v>0</v>
      </c>
      <c r="CP380" s="3">
        <f>(CP251-CO251)*-1</f>
        <v>0</v>
      </c>
      <c r="CQ380" s="3">
        <f>(CQ251-CP251)*-1</f>
        <v>0</v>
      </c>
      <c r="CR380" s="3">
        <f>(CR251-CQ251)*-1</f>
        <v>0</v>
      </c>
      <c r="CS380" s="3">
        <f>(CS251-CR251)*-1</f>
        <v>0</v>
      </c>
      <c r="CT380" s="3">
        <f>SUM(CP380:CS380)</f>
        <v>0</v>
      </c>
      <c r="CU380" s="3">
        <f>(CU251-CT251)*-1</f>
        <v>0</v>
      </c>
      <c r="CV380" s="3">
        <f>(CV251-CU251)*-1</f>
        <v>0</v>
      </c>
      <c r="CW380" s="3">
        <f>(CW251-CV251)*-1</f>
        <v>0</v>
      </c>
      <c r="CX380" s="3">
        <f>(CX251-CW251)*-1</f>
        <v>0</v>
      </c>
      <c r="CY380" s="3">
        <f>SUM(CU380:CX380)</f>
        <v>0</v>
      </c>
    </row>
    <row r="381" hidden="1" outlineLevel="1">
      <c r="C381" s="29" t="inlineStr">
        <is>
          <t>Other current assets</t>
        </is>
      </c>
      <c r="D381" s="3" t="n"/>
      <c r="E381" s="3">
        <f>(E252-D252)*-1</f>
        <v>13.508</v>
      </c>
      <c r="F381" s="3">
        <f>(F252-E252)*-1</f>
        <v>-128.843</v>
      </c>
      <c r="G381" s="3">
        <f>(G252-F252)*-1</f>
        <v>-256.761</v>
      </c>
      <c r="H381" s="3">
        <f>SUM(D381:G381)</f>
        <v>-372.096</v>
      </c>
      <c r="I381" s="3">
        <f>(I252-H252)*-1</f>
        <v>-206.813</v>
      </c>
      <c r="J381" s="3">
        <f>(J252-I252)*-1</f>
        <v>-76.377</v>
      </c>
      <c r="K381" s="3">
        <f>(K252-J252)*-1</f>
        <v>-24.6000000000001</v>
      </c>
      <c r="L381" s="3">
        <f>(L252-K252)*-1</f>
        <v>-178.625</v>
      </c>
      <c r="M381" s="3">
        <f>SUM(I381:L381)</f>
        <v>-486.415</v>
      </c>
      <c r="N381" s="3">
        <f>(N252-M252)*-1</f>
        <v>-60.7009999999996</v>
      </c>
      <c r="O381" s="3">
        <f>(O252-N252)*-1</f>
        <v>-81.7870000000003</v>
      </c>
      <c r="P381" s="3">
        <f>(P252-O252)*-1</f>
        <v>38.8589999999999</v>
      </c>
      <c r="Q381" s="3">
        <f>(Q252-P252)*-1</f>
        <v>-49.4519999999998</v>
      </c>
      <c r="R381" s="3">
        <f>SUM(N381:Q381)</f>
        <v>-153.081</v>
      </c>
      <c r="S381" s="3">
        <f>(S252-R252)*-1</f>
        <v>-49.8240000000001</v>
      </c>
      <c r="T381" s="3">
        <f>(T252-S252)*-1</f>
        <v>-58.2460000000001</v>
      </c>
      <c r="U381" s="3">
        <f>(U252-T252)*-1</f>
        <v>21.2290000000003</v>
      </c>
      <c r="V381" s="3">
        <f>(V252-U252)*-1</f>
        <v>23.8429999999998</v>
      </c>
      <c r="W381" s="3">
        <f>SUM(S381:V381)</f>
        <v>-62.9980000000001</v>
      </c>
      <c r="X381" s="3">
        <f>(X252-W252)*-1</f>
        <v>-41.0720000000001</v>
      </c>
      <c r="Y381" s="3">
        <f>(Y252-X252)*-1</f>
        <v>-35.4969999999998</v>
      </c>
      <c r="Z381" s="3">
        <f>(Z252-Y252)*-1</f>
        <v>-18.9120000000003</v>
      </c>
      <c r="AA381" s="3">
        <f>(AA252-Z252)*-1</f>
        <v>-23.7799999999997</v>
      </c>
      <c r="AB381" s="3">
        <f>SUM(X381:AA381)</f>
        <v>-119.261</v>
      </c>
      <c r="AC381" s="3">
        <f>(AC252-AB252)*-1</f>
        <v>-60.7660000000001</v>
      </c>
      <c r="AD381" s="3">
        <f>(AD252-AC252)*-1</f>
        <v>-136.112</v>
      </c>
      <c r="AE381" s="3">
        <f>(AE252-AD252)*-1</f>
        <v>-35.3649999999998</v>
      </c>
      <c r="AF381" s="3">
        <f>(AF252-AE252)*-1</f>
        <v>-160.57</v>
      </c>
      <c r="AG381" s="3">
        <f>SUM(AC381:AF381)</f>
        <v>-392.813</v>
      </c>
      <c r="AH381" s="3">
        <f>(AH252-AG252)*-1</f>
        <v>-49.5229999999997</v>
      </c>
      <c r="AI381" s="3">
        <f>(AI252-AH252)*-1</f>
        <v>-223.859</v>
      </c>
      <c r="AJ381" s="3">
        <f>(AJ252-AI252)*-1</f>
        <v>0</v>
      </c>
      <c r="AK381" s="3">
        <f>(AK252-AJ252)*-1</f>
        <v>0</v>
      </c>
      <c r="AL381" s="3">
        <f>SUM(AH381:AK381)</f>
        <v>-273.382</v>
      </c>
      <c r="AM381" s="3">
        <f>(AM252-AL252)*-1</f>
        <v>0</v>
      </c>
      <c r="AN381" s="3">
        <f>(AN252-AM252)*-1</f>
        <v>0</v>
      </c>
      <c r="AO381" s="3">
        <f>(AO252-AN252)*-1</f>
        <v>0</v>
      </c>
      <c r="AP381" s="3">
        <f>(AP252-AO252)*-1</f>
        <v>0</v>
      </c>
      <c r="AQ381" s="3">
        <f>SUM(AM381:AP381)</f>
        <v>0</v>
      </c>
      <c r="AR381" s="3">
        <f>(AR252-AQ252)*-1</f>
        <v>0</v>
      </c>
      <c r="AS381" s="3">
        <f>(AS252-AR252)*-1</f>
        <v>0</v>
      </c>
      <c r="AT381" s="3">
        <f>(AT252-AS252)*-1</f>
        <v>0</v>
      </c>
      <c r="AU381" s="3">
        <f>(AU252-AT252)*-1</f>
        <v>0</v>
      </c>
      <c r="AV381" s="3">
        <f>SUM(AR381:AU381)</f>
        <v>0</v>
      </c>
      <c r="AW381" s="3">
        <f>(AW252-AV252)*-1</f>
        <v>0</v>
      </c>
      <c r="AX381" s="3">
        <f>(AX252-AW252)*-1</f>
        <v>0</v>
      </c>
      <c r="AY381" s="3">
        <f>(AY252-AX252)*-1</f>
        <v>0</v>
      </c>
      <c r="AZ381" s="3">
        <f>(AZ252-AY252)*-1</f>
        <v>0</v>
      </c>
      <c r="BA381" s="3">
        <f>SUM(AW381:AZ381)</f>
        <v>0</v>
      </c>
      <c r="BB381" s="3">
        <f>(BB252-BA252)*-1</f>
        <v>0</v>
      </c>
      <c r="BC381" s="3">
        <f>(BC252-BB252)*-1</f>
        <v>0</v>
      </c>
      <c r="BD381" s="3">
        <f>(BD252-BC252)*-1</f>
        <v>0</v>
      </c>
      <c r="BE381" s="3">
        <f>(BE252-BD252)*-1</f>
        <v>0</v>
      </c>
      <c r="BF381" s="3">
        <f>SUM(BB381:BE381)</f>
        <v>0</v>
      </c>
      <c r="BG381" s="3">
        <f>(BG252-BF252)*-1</f>
        <v>0</v>
      </c>
      <c r="BH381" s="3">
        <f>(BH252-BG252)*-1</f>
        <v>0</v>
      </c>
      <c r="BI381" s="3">
        <f>(BI252-BH252)*-1</f>
        <v>0</v>
      </c>
      <c r="BJ381" s="3">
        <f>(BJ252-BI252)*-1</f>
        <v>0</v>
      </c>
      <c r="BK381" s="3">
        <f>SUM(BG381:BJ381)</f>
        <v>0</v>
      </c>
      <c r="BL381" s="3">
        <f>(BL252-BK252)*-1</f>
        <v>0</v>
      </c>
      <c r="BM381" s="3">
        <f>(BM252-BL252)*-1</f>
        <v>0</v>
      </c>
      <c r="BN381" s="3">
        <f>(BN252-BM252)*-1</f>
        <v>0</v>
      </c>
      <c r="BO381" s="3">
        <f>(BO252-BN252)*-1</f>
        <v>0</v>
      </c>
      <c r="BP381" s="3">
        <f>SUM(BL381:BO381)</f>
        <v>0</v>
      </c>
      <c r="BQ381" s="3">
        <f>(BQ252-BP252)*-1</f>
        <v>0</v>
      </c>
      <c r="BR381" s="3">
        <f>(BR252-BQ252)*-1</f>
        <v>0</v>
      </c>
      <c r="BS381" s="3">
        <f>(BS252-BR252)*-1</f>
        <v>0</v>
      </c>
      <c r="BT381" s="3">
        <f>(BT252-BS252)*-1</f>
        <v>0</v>
      </c>
      <c r="BU381" s="3">
        <f>SUM(BQ381:BT381)</f>
        <v>0</v>
      </c>
      <c r="BV381" s="3">
        <f>(BV252-BU252)*-1</f>
        <v>0</v>
      </c>
      <c r="BW381" s="3">
        <f>(BW252-BV252)*-1</f>
        <v>0</v>
      </c>
      <c r="BX381" s="3">
        <f>(BX252-BW252)*-1</f>
        <v>0</v>
      </c>
      <c r="BY381" s="3">
        <f>(BY252-BX252)*-1</f>
        <v>0</v>
      </c>
      <c r="BZ381" s="3">
        <f>SUM(BV381:BY381)</f>
        <v>0</v>
      </c>
      <c r="CA381" s="3">
        <f>(CA252-BZ252)*-1</f>
        <v>0</v>
      </c>
      <c r="CB381" s="3">
        <f>(CB252-CA252)*-1</f>
        <v>0</v>
      </c>
      <c r="CC381" s="3">
        <f>(CC252-CB252)*-1</f>
        <v>0</v>
      </c>
      <c r="CD381" s="3">
        <f>(CD252-CC252)*-1</f>
        <v>0</v>
      </c>
      <c r="CE381" s="3">
        <f>SUM(CA381:CD381)</f>
        <v>0</v>
      </c>
      <c r="CF381" s="3">
        <f>(CF252-CE252)*-1</f>
        <v>0</v>
      </c>
      <c r="CG381" s="3">
        <f>(CG252-CF252)*-1</f>
        <v>0</v>
      </c>
      <c r="CH381" s="3">
        <f>(CH252-CG252)*-1</f>
        <v>0</v>
      </c>
      <c r="CI381" s="3">
        <f>(CI252-CH252)*-1</f>
        <v>0</v>
      </c>
      <c r="CJ381" s="3">
        <f>SUM(CF381:CI381)</f>
        <v>0</v>
      </c>
      <c r="CK381" s="3">
        <f>(CK252-CJ252)*-1</f>
        <v>0</v>
      </c>
      <c r="CL381" s="3">
        <f>(CL252-CK252)*-1</f>
        <v>0</v>
      </c>
      <c r="CM381" s="3">
        <f>(CM252-CL252)*-1</f>
        <v>0</v>
      </c>
      <c r="CN381" s="3">
        <f>(CN252-CM252)*-1</f>
        <v>0</v>
      </c>
      <c r="CO381" s="3">
        <f>SUM(CK381:CN381)</f>
        <v>0</v>
      </c>
      <c r="CP381" s="3">
        <f>(CP252-CO252)*-1</f>
        <v>0</v>
      </c>
      <c r="CQ381" s="3">
        <f>(CQ252-CP252)*-1</f>
        <v>0</v>
      </c>
      <c r="CR381" s="3">
        <f>(CR252-CQ252)*-1</f>
        <v>0</v>
      </c>
      <c r="CS381" s="3">
        <f>(CS252-CR252)*-1</f>
        <v>0</v>
      </c>
      <c r="CT381" s="3">
        <f>SUM(CP381:CS381)</f>
        <v>0</v>
      </c>
      <c r="CU381" s="3">
        <f>(CU252-CT252)*-1</f>
        <v>0</v>
      </c>
      <c r="CV381" s="3">
        <f>(CV252-CU252)*-1</f>
        <v>0</v>
      </c>
      <c r="CW381" s="3">
        <f>(CW252-CV252)*-1</f>
        <v>0</v>
      </c>
      <c r="CX381" s="3">
        <f>(CX252-CW252)*-1</f>
        <v>0</v>
      </c>
      <c r="CY381" s="3">
        <f>SUM(CU381:CX381)</f>
        <v>0</v>
      </c>
    </row>
    <row r="382" hidden="1" outlineLevel="1">
      <c r="C382" s="29" t="inlineStr">
        <is>
          <t>Accounts payable</t>
        </is>
      </c>
      <c r="D382" s="3" t="n"/>
      <c r="E382" s="3">
        <f>E295-D295</f>
        <v>18.22</v>
      </c>
      <c r="F382" s="3">
        <f>F295-E295</f>
        <v>6.09500000000003</v>
      </c>
      <c r="G382" s="3">
        <f>G295-F295</f>
        <v>18.445</v>
      </c>
      <c r="H382" s="3">
        <f>SUM(D382:G382)</f>
        <v>42.76</v>
      </c>
      <c r="I382" s="3">
        <f>I295-H295</f>
        <v>-188.551</v>
      </c>
      <c r="J382" s="3">
        <f>J295-I295</f>
        <v>49.111</v>
      </c>
      <c r="K382" s="3">
        <f>K295-J295</f>
        <v>-27.949</v>
      </c>
      <c r="L382" s="3">
        <f>L295-K295</f>
        <v>-13.751</v>
      </c>
      <c r="M382" s="3">
        <f>SUM(I382:L382)</f>
        <v>-181.14</v>
      </c>
      <c r="N382" s="3">
        <f>N295-M295</f>
        <v>256.835</v>
      </c>
      <c r="O382" s="3">
        <f>O295-N295</f>
        <v>-265.315</v>
      </c>
      <c r="P382" s="3">
        <f>P295-O295</f>
        <v>104.303</v>
      </c>
      <c r="Q382" s="3">
        <f>Q295-P295</f>
        <v>-60.691</v>
      </c>
      <c r="R382" s="3">
        <f>SUM(N382:Q382)</f>
        <v>35.132</v>
      </c>
      <c r="S382" s="3">
        <f>S295-R295</f>
        <v>-46.072</v>
      </c>
      <c r="T382" s="3">
        <f>T295-S295</f>
        <v>-10</v>
      </c>
      <c r="U382" s="3">
        <f>U295-T295</f>
        <v>-9.31399999999999</v>
      </c>
      <c r="V382" s="3">
        <f>V295-U295</f>
        <v>17.887</v>
      </c>
      <c r="W382" s="3">
        <f>SUM(S382:V382)</f>
        <v>-47.499</v>
      </c>
      <c r="X382" s="3">
        <f>X295-W295</f>
        <v>-1.90000000000001</v>
      </c>
      <c r="Y382" s="3">
        <f>Y295-X295</f>
        <v>-3.899</v>
      </c>
      <c r="Z382" s="3">
        <f>Z295-Y295</f>
        <v>-3.06999999999999</v>
      </c>
      <c r="AA382" s="3">
        <f>AA295-Z295</f>
        <v>12.62</v>
      </c>
      <c r="AB382" s="3">
        <f>SUM(X382:AA382)</f>
        <v>3.751</v>
      </c>
      <c r="AC382" s="3">
        <f>AC295-AB295</f>
        <v>23.976</v>
      </c>
      <c r="AD382" s="3">
        <f>AD295-AC295</f>
        <v>-7.40899999999999</v>
      </c>
      <c r="AE382" s="3">
        <f>AE295-AD295</f>
        <v>-54.235</v>
      </c>
      <c r="AF382" s="3">
        <f>AF295-AE295</f>
        <v>33.031</v>
      </c>
      <c r="AG382" s="3">
        <f>SUM(AC382:AF382)</f>
        <v>-4.637</v>
      </c>
      <c r="AH382" s="3">
        <f>AH295-AG295</f>
        <v>99.545</v>
      </c>
      <c r="AI382" s="3">
        <f>AI295-AH295</f>
        <v>16.235</v>
      </c>
      <c r="AJ382" s="3">
        <f>AJ295-AI295</f>
        <v>-306.514</v>
      </c>
      <c r="AK382" s="3">
        <f>AK295-AJ295</f>
        <v>0</v>
      </c>
      <c r="AL382" s="3">
        <f>SUM(AH382:AK382)</f>
        <v>-190.734</v>
      </c>
      <c r="AM382" s="3">
        <f>AM295-AL295</f>
        <v>0</v>
      </c>
      <c r="AN382" s="3">
        <f>AN295-AM295</f>
        <v>0</v>
      </c>
      <c r="AO382" s="3">
        <f>AO295-AN295</f>
        <v>0</v>
      </c>
      <c r="AP382" s="3">
        <f>AP295-AO295</f>
        <v>0</v>
      </c>
      <c r="AQ382" s="3">
        <f>SUM(AM382:AP382)</f>
        <v>0</v>
      </c>
      <c r="AR382" s="3">
        <f>AR295-AQ295</f>
        <v>0</v>
      </c>
      <c r="AS382" s="3">
        <f>AS295-AR295</f>
        <v>0</v>
      </c>
      <c r="AT382" s="3">
        <f>AT295-AS295</f>
        <v>0</v>
      </c>
      <c r="AU382" s="3">
        <f>AU295-AT295</f>
        <v>0</v>
      </c>
      <c r="AV382" s="3">
        <f>SUM(AR382:AU382)</f>
        <v>0</v>
      </c>
      <c r="AW382" s="3">
        <f>AW295-AV295</f>
        <v>0</v>
      </c>
      <c r="AX382" s="3">
        <f>AX295-AW295</f>
        <v>0</v>
      </c>
      <c r="AY382" s="3">
        <f>AY295-AX295</f>
        <v>0</v>
      </c>
      <c r="AZ382" s="3">
        <f>AZ295-AY295</f>
        <v>0</v>
      </c>
      <c r="BA382" s="3">
        <f>SUM(AW382:AZ382)</f>
        <v>0</v>
      </c>
      <c r="BB382" s="3">
        <f>BB295-BA295</f>
        <v>0</v>
      </c>
      <c r="BC382" s="3">
        <f>BC295-BB295</f>
        <v>0</v>
      </c>
      <c r="BD382" s="3">
        <f>BD295-BC295</f>
        <v>0</v>
      </c>
      <c r="BE382" s="3">
        <f>BE295-BD295</f>
        <v>0</v>
      </c>
      <c r="BF382" s="3">
        <f>SUM(BB382:BE382)</f>
        <v>0</v>
      </c>
      <c r="BG382" s="3">
        <f>BG295-BF295</f>
        <v>0</v>
      </c>
      <c r="BH382" s="3">
        <f>BH295-BG295</f>
        <v>0</v>
      </c>
      <c r="BI382" s="3">
        <f>BI295-BH295</f>
        <v>0</v>
      </c>
      <c r="BJ382" s="3">
        <f>BJ295-BI295</f>
        <v>0</v>
      </c>
      <c r="BK382" s="3">
        <f>SUM(BG382:BJ382)</f>
        <v>0</v>
      </c>
      <c r="BL382" s="3">
        <f>BL295-BK295</f>
        <v>0</v>
      </c>
      <c r="BM382" s="3">
        <f>BM295-BL295</f>
        <v>0</v>
      </c>
      <c r="BN382" s="3">
        <f>BN295-BM295</f>
        <v>0</v>
      </c>
      <c r="BO382" s="3">
        <f>BO295-BN295</f>
        <v>0</v>
      </c>
      <c r="BP382" s="3">
        <f>SUM(BL382:BO382)</f>
        <v>0</v>
      </c>
      <c r="BQ382" s="3">
        <f>BQ295-BP295</f>
        <v>0</v>
      </c>
      <c r="BR382" s="3">
        <f>BR295-BQ295</f>
        <v>0</v>
      </c>
      <c r="BS382" s="3">
        <f>BS295-BR295</f>
        <v>0</v>
      </c>
      <c r="BT382" s="3">
        <f>BT295-BS295</f>
        <v>0</v>
      </c>
      <c r="BU382" s="3">
        <f>SUM(BQ382:BT382)</f>
        <v>0</v>
      </c>
      <c r="BV382" s="3">
        <f>BV295-BU295</f>
        <v>0</v>
      </c>
      <c r="BW382" s="3">
        <f>BW295-BV295</f>
        <v>0</v>
      </c>
      <c r="BX382" s="3">
        <f>BX295-BW295</f>
        <v>0</v>
      </c>
      <c r="BY382" s="3">
        <f>BY295-BX295</f>
        <v>0</v>
      </c>
      <c r="BZ382" s="3">
        <f>SUM(BV382:BY382)</f>
        <v>0</v>
      </c>
      <c r="CA382" s="3">
        <f>CA295-BZ295</f>
        <v>0</v>
      </c>
      <c r="CB382" s="3">
        <f>CB295-CA295</f>
        <v>0</v>
      </c>
      <c r="CC382" s="3">
        <f>CC295-CB295</f>
        <v>0</v>
      </c>
      <c r="CD382" s="3">
        <f>CD295-CC295</f>
        <v>0</v>
      </c>
      <c r="CE382" s="3">
        <f>SUM(CA382:CD382)</f>
        <v>0</v>
      </c>
      <c r="CF382" s="3">
        <f>CF295-CE295</f>
        <v>0</v>
      </c>
      <c r="CG382" s="3">
        <f>CG295-CF295</f>
        <v>0</v>
      </c>
      <c r="CH382" s="3">
        <f>CH295-CG295</f>
        <v>0</v>
      </c>
      <c r="CI382" s="3">
        <f>CI295-CH295</f>
        <v>0</v>
      </c>
      <c r="CJ382" s="3">
        <f>SUM(CF382:CI382)</f>
        <v>0</v>
      </c>
      <c r="CK382" s="3">
        <f>CK295-CJ295</f>
        <v>0</v>
      </c>
      <c r="CL382" s="3">
        <f>CL295-CK295</f>
        <v>0</v>
      </c>
      <c r="CM382" s="3">
        <f>CM295-CL295</f>
        <v>0</v>
      </c>
      <c r="CN382" s="3">
        <f>CN295-CM295</f>
        <v>0</v>
      </c>
      <c r="CO382" s="3">
        <f>SUM(CK382:CN382)</f>
        <v>0</v>
      </c>
      <c r="CP382" s="3">
        <f>CP295-CO295</f>
        <v>0</v>
      </c>
      <c r="CQ382" s="3">
        <f>CQ295-CP295</f>
        <v>0</v>
      </c>
      <c r="CR382" s="3">
        <f>CR295-CQ295</f>
        <v>0</v>
      </c>
      <c r="CS382" s="3">
        <f>CS295-CR295</f>
        <v>0</v>
      </c>
      <c r="CT382" s="3">
        <f>SUM(CP382:CS382)</f>
        <v>0</v>
      </c>
      <c r="CU382" s="3">
        <f>CU295-CT295</f>
        <v>0</v>
      </c>
      <c r="CV382" s="3">
        <f>CV295-CU295</f>
        <v>0</v>
      </c>
      <c r="CW382" s="3">
        <f>CW295-CV295</f>
        <v>0</v>
      </c>
      <c r="CX382" s="3">
        <f>CX295-CW295</f>
        <v>0</v>
      </c>
      <c r="CY382" s="3">
        <f>SUM(CU382:CX382)</f>
        <v>0</v>
      </c>
    </row>
    <row r="383" hidden="1" outlineLevel="1">
      <c r="C383" s="29" t="inlineStr">
        <is>
          <t>Accrued expenses</t>
        </is>
      </c>
      <c r="D383" s="3" t="n"/>
      <c r="E383" s="3">
        <f>E299-D299</f>
        <v>-8.22</v>
      </c>
      <c r="F383" s="3">
        <f>F299-E299</f>
        <v>4.904</v>
      </c>
      <c r="G383" s="3">
        <f>G299-F299</f>
        <v>22.514</v>
      </c>
      <c r="H383" s="3">
        <f>SUM(D383:G383)</f>
        <v>19.198</v>
      </c>
      <c r="I383" s="3">
        <f>I299-H299</f>
        <v>0.103999999999999</v>
      </c>
      <c r="J383" s="3">
        <f>J299-I299</f>
        <v>-24.211</v>
      </c>
      <c r="K383" s="3">
        <f>K299-J299</f>
        <v>4.417</v>
      </c>
      <c r="L383" s="3">
        <f>L299-K299</f>
        <v>6.773</v>
      </c>
      <c r="M383" s="3">
        <f>SUM(I383:L383)</f>
        <v>-12.917</v>
      </c>
      <c r="N383" s="3">
        <f>N299-M299</f>
        <v>4.569</v>
      </c>
      <c r="O383" s="3">
        <f>O299-N299</f>
        <v>-12.15</v>
      </c>
      <c r="P383" s="3">
        <f>P299-O299</f>
        <v>2.90799999999999</v>
      </c>
      <c r="Q383" s="3">
        <f>Q299-P299</f>
        <v>5.13200000000001</v>
      </c>
      <c r="R383" s="3">
        <f>SUM(N383:Q383)</f>
        <v>0.459000000000003</v>
      </c>
      <c r="S383" s="3">
        <f>S299-R299</f>
        <v>5.719</v>
      </c>
      <c r="T383" s="3">
        <f>T299-S299</f>
        <v>-12.155</v>
      </c>
      <c r="U383" s="3">
        <f>U299-T299</f>
        <v>7.256</v>
      </c>
      <c r="V383" s="3">
        <f>V299-U299</f>
        <v>-0.491</v>
      </c>
      <c r="W383" s="3">
        <f>SUM(S383:V383)</f>
        <v>0.329000000000001</v>
      </c>
      <c r="X383" s="3">
        <f>X299-W299</f>
        <v>6.064</v>
      </c>
      <c r="Y383" s="3">
        <f>Y299-X299</f>
        <v>-10.741</v>
      </c>
      <c r="Z383" s="3">
        <f>Z299-Y299</f>
        <v>7.79</v>
      </c>
      <c r="AA383" s="3">
        <f>AA299-Z299</f>
        <v>-1.429</v>
      </c>
      <c r="AB383" s="3">
        <f>SUM(X383:AA383)</f>
        <v>1.684</v>
      </c>
      <c r="AC383" s="3">
        <f>AC299-AB299</f>
        <v>6.497</v>
      </c>
      <c r="AD383" s="3">
        <f>AD299-AC299</f>
        <v>-6.714</v>
      </c>
      <c r="AE383" s="3">
        <f>AE299-AD299</f>
        <v>4.489</v>
      </c>
      <c r="AF383" s="3">
        <f>AF299-AE299</f>
        <v>-4.278</v>
      </c>
      <c r="AG383" s="3">
        <f>SUM(AC383:AF383)</f>
        <v>-0.00600000000000023</v>
      </c>
      <c r="AH383" s="3">
        <f>AH299-AG299</f>
        <v>6.924</v>
      </c>
      <c r="AI383" s="3">
        <f>AI299-AH299</f>
        <v>-7.095</v>
      </c>
      <c r="AJ383" s="3">
        <f>AJ299-AI299</f>
        <v>-47.161</v>
      </c>
      <c r="AK383" s="3">
        <f>AK299-AJ299</f>
        <v>0</v>
      </c>
      <c r="AL383" s="3">
        <f>SUM(AH383:AK383)</f>
        <v>-47.332</v>
      </c>
      <c r="AM383" s="3" t="e">
        <f>AM299-AL299</f>
        <v>#DIV/0!</v>
      </c>
      <c r="AN383" s="3" t="e">
        <f>AN299-AM299</f>
        <v>#DIV/0!</v>
      </c>
      <c r="AO383" s="3" t="e">
        <f>AO299-AN299</f>
        <v>#DIV/0!</v>
      </c>
      <c r="AP383" s="3" t="e">
        <f>AP299-AO299</f>
        <v>#DIV/0!</v>
      </c>
      <c r="AQ383" s="3" t="e">
        <f>SUM(AM383:AP383)</f>
        <v>#DIV/0!</v>
      </c>
      <c r="AR383" s="3" t="e">
        <f>AR299-AQ299</f>
        <v>#DIV/0!</v>
      </c>
      <c r="AS383" s="3" t="e">
        <f>AS299-AR299</f>
        <v>#DIV/0!</v>
      </c>
      <c r="AT383" s="3" t="e">
        <f>AT299-AS299</f>
        <v>#DIV/0!</v>
      </c>
      <c r="AU383" s="3" t="e">
        <f>AU299-AT299</f>
        <v>#DIV/0!</v>
      </c>
      <c r="AV383" s="3" t="e">
        <f>SUM(AR383:AU383)</f>
        <v>#DIV/0!</v>
      </c>
      <c r="AW383" s="3" t="e">
        <f>AW299-AV299</f>
        <v>#DIV/0!</v>
      </c>
      <c r="AX383" s="3" t="e">
        <f>AX299-AW299</f>
        <v>#DIV/0!</v>
      </c>
      <c r="AY383" s="3" t="e">
        <f>AY299-AX299</f>
        <v>#DIV/0!</v>
      </c>
      <c r="AZ383" s="3" t="e">
        <f>AZ299-AY299</f>
        <v>#DIV/0!</v>
      </c>
      <c r="BA383" s="3" t="e">
        <f>SUM(AW383:AZ383)</f>
        <v>#DIV/0!</v>
      </c>
      <c r="BB383" s="3" t="e">
        <f>BB299-BA299</f>
        <v>#DIV/0!</v>
      </c>
      <c r="BC383" s="3" t="e">
        <f>BC299-BB299</f>
        <v>#DIV/0!</v>
      </c>
      <c r="BD383" s="3" t="e">
        <f>BD299-BC299</f>
        <v>#DIV/0!</v>
      </c>
      <c r="BE383" s="3" t="e">
        <f>BE299-BD299</f>
        <v>#DIV/0!</v>
      </c>
      <c r="BF383" s="3" t="e">
        <f>SUM(BB383:BE383)</f>
        <v>#DIV/0!</v>
      </c>
      <c r="BG383" s="3" t="e">
        <f>BG299-BF299</f>
        <v>#DIV/0!</v>
      </c>
      <c r="BH383" s="3" t="e">
        <f>BH299-BG299</f>
        <v>#DIV/0!</v>
      </c>
      <c r="BI383" s="3" t="e">
        <f>BI299-BH299</f>
        <v>#DIV/0!</v>
      </c>
      <c r="BJ383" s="3" t="e">
        <f>BJ299-BI299</f>
        <v>#DIV/0!</v>
      </c>
      <c r="BK383" s="3" t="e">
        <f>SUM(BG383:BJ383)</f>
        <v>#DIV/0!</v>
      </c>
      <c r="BL383" s="3" t="e">
        <f>BL299-BK299</f>
        <v>#DIV/0!</v>
      </c>
      <c r="BM383" s="3" t="e">
        <f>BM299-BL299</f>
        <v>#DIV/0!</v>
      </c>
      <c r="BN383" s="3" t="e">
        <f>BN299-BM299</f>
        <v>#DIV/0!</v>
      </c>
      <c r="BO383" s="3" t="e">
        <f>BO299-BN299</f>
        <v>#DIV/0!</v>
      </c>
      <c r="BP383" s="3" t="e">
        <f>SUM(BL383:BO383)</f>
        <v>#DIV/0!</v>
      </c>
      <c r="BQ383" s="3" t="e">
        <f>BQ299-BP299</f>
        <v>#DIV/0!</v>
      </c>
      <c r="BR383" s="3" t="e">
        <f>BR299-BQ299</f>
        <v>#DIV/0!</v>
      </c>
      <c r="BS383" s="3" t="e">
        <f>BS299-BR299</f>
        <v>#DIV/0!</v>
      </c>
      <c r="BT383" s="3" t="e">
        <f>BT299-BS299</f>
        <v>#DIV/0!</v>
      </c>
      <c r="BU383" s="3" t="e">
        <f>SUM(BQ383:BT383)</f>
        <v>#DIV/0!</v>
      </c>
      <c r="BV383" s="3" t="e">
        <f>BV299-BU299</f>
        <v>#DIV/0!</v>
      </c>
      <c r="BW383" s="3" t="e">
        <f>BW299-BV299</f>
        <v>#DIV/0!</v>
      </c>
      <c r="BX383" s="3" t="e">
        <f>BX299-BW299</f>
        <v>#DIV/0!</v>
      </c>
      <c r="BY383" s="3" t="e">
        <f>BY299-BX299</f>
        <v>#DIV/0!</v>
      </c>
      <c r="BZ383" s="3" t="e">
        <f>SUM(BV383:BY383)</f>
        <v>#DIV/0!</v>
      </c>
      <c r="CA383" s="3" t="e">
        <f>CA299-BZ299</f>
        <v>#DIV/0!</v>
      </c>
      <c r="CB383" s="3" t="e">
        <f>CB299-CA299</f>
        <v>#DIV/0!</v>
      </c>
      <c r="CC383" s="3" t="e">
        <f>CC299-CB299</f>
        <v>#DIV/0!</v>
      </c>
      <c r="CD383" s="3" t="e">
        <f>CD299-CC299</f>
        <v>#DIV/0!</v>
      </c>
      <c r="CE383" s="3" t="e">
        <f>SUM(CA383:CD383)</f>
        <v>#DIV/0!</v>
      </c>
      <c r="CF383" s="3" t="e">
        <f>CF299-CE299</f>
        <v>#DIV/0!</v>
      </c>
      <c r="CG383" s="3" t="e">
        <f>CG299-CF299</f>
        <v>#DIV/0!</v>
      </c>
      <c r="CH383" s="3" t="e">
        <f>CH299-CG299</f>
        <v>#DIV/0!</v>
      </c>
      <c r="CI383" s="3" t="e">
        <f>CI299-CH299</f>
        <v>#DIV/0!</v>
      </c>
      <c r="CJ383" s="3" t="e">
        <f>SUM(CF383:CI383)</f>
        <v>#DIV/0!</v>
      </c>
      <c r="CK383" s="3" t="e">
        <f>CK299-CJ299</f>
        <v>#DIV/0!</v>
      </c>
      <c r="CL383" s="3" t="e">
        <f>CL299-CK299</f>
        <v>#DIV/0!</v>
      </c>
      <c r="CM383" s="3" t="e">
        <f>CM299-CL299</f>
        <v>#DIV/0!</v>
      </c>
      <c r="CN383" s="3" t="e">
        <f>CN299-CM299</f>
        <v>#DIV/0!</v>
      </c>
      <c r="CO383" s="3" t="e">
        <f>SUM(CK383:CN383)</f>
        <v>#DIV/0!</v>
      </c>
      <c r="CP383" s="3" t="e">
        <f>CP299-CO299</f>
        <v>#DIV/0!</v>
      </c>
      <c r="CQ383" s="3" t="e">
        <f>CQ299-CP299</f>
        <v>#DIV/0!</v>
      </c>
      <c r="CR383" s="3" t="e">
        <f>CR299-CQ299</f>
        <v>#DIV/0!</v>
      </c>
      <c r="CS383" s="3" t="e">
        <f>CS299-CR299</f>
        <v>#DIV/0!</v>
      </c>
      <c r="CT383" s="3" t="e">
        <f>SUM(CP383:CS383)</f>
        <v>#DIV/0!</v>
      </c>
      <c r="CU383" s="3" t="e">
        <f>CU299-CT299</f>
        <v>#DIV/0!</v>
      </c>
      <c r="CV383" s="3" t="e">
        <f>CV299-CU299</f>
        <v>#DIV/0!</v>
      </c>
      <c r="CW383" s="3" t="e">
        <f>CW299-CV299</f>
        <v>#DIV/0!</v>
      </c>
      <c r="CX383" s="3" t="e">
        <f>CX299-CW299</f>
        <v>#DIV/0!</v>
      </c>
      <c r="CY383" s="3" t="e">
        <f>SUM(CU383:CX383)</f>
        <v>#DIV/0!</v>
      </c>
    </row>
    <row r="384" hidden="1" outlineLevel="1">
      <c r="C384" s="29" t="inlineStr">
        <is>
          <t>Taxes payable</t>
        </is>
      </c>
      <c r="D384" s="3" t="n"/>
      <c r="E384" s="3">
        <f>E301-D301</f>
        <v>34.725</v>
      </c>
      <c r="F384" s="3">
        <f>F301-E301</f>
        <v>1.26400000000001</v>
      </c>
      <c r="G384" s="3">
        <f>G301-F301</f>
        <v>-0.556000000000012</v>
      </c>
      <c r="H384" s="3">
        <f>SUM(D384:G384)</f>
        <v>35.433</v>
      </c>
      <c r="I384" s="3">
        <f>I301-H301</f>
        <v>-44.806</v>
      </c>
      <c r="J384" s="3">
        <f>J301-I301</f>
        <v>19.41</v>
      </c>
      <c r="K384" s="3">
        <f>K301-J301</f>
        <v>16.869</v>
      </c>
      <c r="L384" s="3">
        <f>L301-K301</f>
        <v>11.563</v>
      </c>
      <c r="M384" s="3">
        <f>SUM(I384:L384)</f>
        <v>3.036</v>
      </c>
      <c r="N384" s="3">
        <f>N301-M301</f>
        <v>-26.304</v>
      </c>
      <c r="O384" s="3">
        <f>O301-N301</f>
        <v>14.265</v>
      </c>
      <c r="P384" s="3">
        <f>P301-O301</f>
        <v>43.754</v>
      </c>
      <c r="Q384" s="3">
        <f>Q301-P301</f>
        <v>49.781</v>
      </c>
      <c r="R384" s="3">
        <f>SUM(N384:Q384)</f>
        <v>81.496</v>
      </c>
      <c r="S384" s="3">
        <f>S301-R301</f>
        <v>-75.013</v>
      </c>
      <c r="T384" s="3">
        <f>T301-S301</f>
        <v>33.073</v>
      </c>
      <c r="U384" s="3">
        <f>U301-T301</f>
        <v>28.783</v>
      </c>
      <c r="V384" s="3">
        <f>V301-U301</f>
        <v>-22.415</v>
      </c>
      <c r="W384" s="3">
        <f>SUM(S384:V384)</f>
        <v>-35.572</v>
      </c>
      <c r="X384" s="3">
        <f>X301-W301</f>
        <v>-20.939</v>
      </c>
      <c r="Y384" s="3">
        <f>Y301-X301</f>
        <v>25.326</v>
      </c>
      <c r="Z384" s="3">
        <f>Z301-Y301</f>
        <v>11.024</v>
      </c>
      <c r="AA384" s="3">
        <f>AA301-Z301</f>
        <v>-18.337</v>
      </c>
      <c r="AB384" s="3">
        <f>SUM(X384:AA384)</f>
        <v>-2.92599999999999</v>
      </c>
      <c r="AC384" s="3">
        <f>AC301-AB301</f>
        <v>-30.574</v>
      </c>
      <c r="AD384" s="3">
        <f>AD301-AC301</f>
        <v>29.403</v>
      </c>
      <c r="AE384" s="3">
        <f>AE301-AD301</f>
        <v>27.818</v>
      </c>
      <c r="AF384" s="3">
        <f>AF301-AE301</f>
        <v>-25.19</v>
      </c>
      <c r="AG384" s="3">
        <f>SUM(AC384:AF384)</f>
        <v>1.45699999999999</v>
      </c>
      <c r="AH384" s="3">
        <f>AH301-AG301</f>
        <v>15.812</v>
      </c>
      <c r="AI384" s="3">
        <f>AI301-AH301</f>
        <v>32.184</v>
      </c>
      <c r="AJ384" s="3">
        <f>AJ301-AI301</f>
        <v>-208.403</v>
      </c>
      <c r="AK384" s="3">
        <f>AK301-AJ301</f>
        <v>0</v>
      </c>
      <c r="AL384" s="3">
        <f>SUM(AH384:AK384)</f>
        <v>-160.407</v>
      </c>
      <c r="AM384" s="3" t="e">
        <f>AM301-AL301</f>
        <v>#DIV/0!</v>
      </c>
      <c r="AN384" s="3" t="e">
        <f>AN301-AM301</f>
        <v>#DIV/0!</v>
      </c>
      <c r="AO384" s="3" t="e">
        <f>AO301-AN301</f>
        <v>#DIV/0!</v>
      </c>
      <c r="AP384" s="3" t="e">
        <f>AP301-AO301</f>
        <v>#DIV/0!</v>
      </c>
      <c r="AQ384" s="3" t="e">
        <f>SUM(AM384:AP384)</f>
        <v>#DIV/0!</v>
      </c>
      <c r="AR384" s="3" t="e">
        <f>AR301-AQ301</f>
        <v>#DIV/0!</v>
      </c>
      <c r="AS384" s="3" t="e">
        <f>AS301-AR301</f>
        <v>#DIV/0!</v>
      </c>
      <c r="AT384" s="3" t="e">
        <f>AT301-AS301</f>
        <v>#DIV/0!</v>
      </c>
      <c r="AU384" s="3" t="e">
        <f>AU301-AT301</f>
        <v>#DIV/0!</v>
      </c>
      <c r="AV384" s="3" t="e">
        <f>SUM(AR384:AU384)</f>
        <v>#DIV/0!</v>
      </c>
      <c r="AW384" s="3" t="e">
        <f>AW301-AV301</f>
        <v>#DIV/0!</v>
      </c>
      <c r="AX384" s="3" t="e">
        <f>AX301-AW301</f>
        <v>#DIV/0!</v>
      </c>
      <c r="AY384" s="3" t="e">
        <f>AY301-AX301</f>
        <v>#DIV/0!</v>
      </c>
      <c r="AZ384" s="3" t="e">
        <f>AZ301-AY301</f>
        <v>#DIV/0!</v>
      </c>
      <c r="BA384" s="3" t="e">
        <f>SUM(AW384:AZ384)</f>
        <v>#DIV/0!</v>
      </c>
      <c r="BB384" s="3" t="e">
        <f>BB301-BA301</f>
        <v>#DIV/0!</v>
      </c>
      <c r="BC384" s="3" t="e">
        <f>BC301-BB301</f>
        <v>#DIV/0!</v>
      </c>
      <c r="BD384" s="3" t="e">
        <f>BD301-BC301</f>
        <v>#DIV/0!</v>
      </c>
      <c r="BE384" s="3" t="e">
        <f>BE301-BD301</f>
        <v>#DIV/0!</v>
      </c>
      <c r="BF384" s="3" t="e">
        <f>SUM(BB384:BE384)</f>
        <v>#DIV/0!</v>
      </c>
      <c r="BG384" s="3" t="e">
        <f>BG301-BF301</f>
        <v>#DIV/0!</v>
      </c>
      <c r="BH384" s="3" t="e">
        <f>BH301-BG301</f>
        <v>#DIV/0!</v>
      </c>
      <c r="BI384" s="3" t="e">
        <f>BI301-BH301</f>
        <v>#DIV/0!</v>
      </c>
      <c r="BJ384" s="3" t="e">
        <f>BJ301-BI301</f>
        <v>#DIV/0!</v>
      </c>
      <c r="BK384" s="3" t="e">
        <f>SUM(BG384:BJ384)</f>
        <v>#DIV/0!</v>
      </c>
      <c r="BL384" s="3" t="e">
        <f>BL301-BK301</f>
        <v>#DIV/0!</v>
      </c>
      <c r="BM384" s="3" t="e">
        <f>BM301-BL301</f>
        <v>#DIV/0!</v>
      </c>
      <c r="BN384" s="3" t="e">
        <f>BN301-BM301</f>
        <v>#DIV/0!</v>
      </c>
      <c r="BO384" s="3" t="e">
        <f>BO301-BN301</f>
        <v>#DIV/0!</v>
      </c>
      <c r="BP384" s="3" t="e">
        <f>SUM(BL384:BO384)</f>
        <v>#DIV/0!</v>
      </c>
      <c r="BQ384" s="3" t="e">
        <f>BQ301-BP301</f>
        <v>#DIV/0!</v>
      </c>
      <c r="BR384" s="3" t="e">
        <f>BR301-BQ301</f>
        <v>#DIV/0!</v>
      </c>
      <c r="BS384" s="3" t="e">
        <f>BS301-BR301</f>
        <v>#DIV/0!</v>
      </c>
      <c r="BT384" s="3" t="e">
        <f>BT301-BS301</f>
        <v>#DIV/0!</v>
      </c>
      <c r="BU384" s="3" t="e">
        <f>SUM(BQ384:BT384)</f>
        <v>#DIV/0!</v>
      </c>
      <c r="BV384" s="3" t="e">
        <f>BV301-BU301</f>
        <v>#DIV/0!</v>
      </c>
      <c r="BW384" s="3" t="e">
        <f>BW301-BV301</f>
        <v>#DIV/0!</v>
      </c>
      <c r="BX384" s="3" t="e">
        <f>BX301-BW301</f>
        <v>#DIV/0!</v>
      </c>
      <c r="BY384" s="3" t="e">
        <f>BY301-BX301</f>
        <v>#DIV/0!</v>
      </c>
      <c r="BZ384" s="3" t="e">
        <f>SUM(BV384:BY384)</f>
        <v>#DIV/0!</v>
      </c>
      <c r="CA384" s="3" t="e">
        <f>CA301-BZ301</f>
        <v>#DIV/0!</v>
      </c>
      <c r="CB384" s="3" t="e">
        <f>CB301-CA301</f>
        <v>#DIV/0!</v>
      </c>
      <c r="CC384" s="3" t="e">
        <f>CC301-CB301</f>
        <v>#DIV/0!</v>
      </c>
      <c r="CD384" s="3" t="e">
        <f>CD301-CC301</f>
        <v>#DIV/0!</v>
      </c>
      <c r="CE384" s="3" t="e">
        <f>SUM(CA384:CD384)</f>
        <v>#DIV/0!</v>
      </c>
      <c r="CF384" s="3" t="e">
        <f>CF301-CE301</f>
        <v>#DIV/0!</v>
      </c>
      <c r="CG384" s="3" t="e">
        <f>CG301-CF301</f>
        <v>#DIV/0!</v>
      </c>
      <c r="CH384" s="3" t="e">
        <f>CH301-CG301</f>
        <v>#DIV/0!</v>
      </c>
      <c r="CI384" s="3" t="e">
        <f>CI301-CH301</f>
        <v>#DIV/0!</v>
      </c>
      <c r="CJ384" s="3" t="e">
        <f>SUM(CF384:CI384)</f>
        <v>#DIV/0!</v>
      </c>
      <c r="CK384" s="3" t="e">
        <f>CK301-CJ301</f>
        <v>#DIV/0!</v>
      </c>
      <c r="CL384" s="3" t="e">
        <f>CL301-CK301</f>
        <v>#DIV/0!</v>
      </c>
      <c r="CM384" s="3" t="e">
        <f>CM301-CL301</f>
        <v>#DIV/0!</v>
      </c>
      <c r="CN384" s="3" t="e">
        <f>CN301-CM301</f>
        <v>#DIV/0!</v>
      </c>
      <c r="CO384" s="3" t="e">
        <f>SUM(CK384:CN384)</f>
        <v>#DIV/0!</v>
      </c>
      <c r="CP384" s="3" t="e">
        <f>CP301-CO301</f>
        <v>#DIV/0!</v>
      </c>
      <c r="CQ384" s="3" t="e">
        <f>CQ301-CP301</f>
        <v>#DIV/0!</v>
      </c>
      <c r="CR384" s="3" t="e">
        <f>CR301-CQ301</f>
        <v>#DIV/0!</v>
      </c>
      <c r="CS384" s="3" t="e">
        <f>CS301-CR301</f>
        <v>#DIV/0!</v>
      </c>
      <c r="CT384" s="3" t="e">
        <f>SUM(CP384:CS384)</f>
        <v>#DIV/0!</v>
      </c>
      <c r="CU384" s="3" t="e">
        <f>CU301-CT301</f>
        <v>#DIV/0!</v>
      </c>
      <c r="CV384" s="3" t="e">
        <f>CV301-CU301</f>
        <v>#DIV/0!</v>
      </c>
      <c r="CW384" s="3" t="e">
        <f>CW301-CV301</f>
        <v>#DIV/0!</v>
      </c>
      <c r="CX384" s="3" t="e">
        <f>CX301-CW301</f>
        <v>#DIV/0!</v>
      </c>
      <c r="CY384" s="3" t="e">
        <f>SUM(CU384:CX384)</f>
        <v>#DIV/0!</v>
      </c>
    </row>
    <row r="385" hidden="1" outlineLevel="1">
      <c r="C385" s="29" t="inlineStr">
        <is>
          <t>Other current liabilities (non-debt)</t>
        </is>
      </c>
      <c r="D385" s="3" t="n"/>
      <c r="E385" s="3">
        <f>E302-D302</f>
        <v>-156.806</v>
      </c>
      <c r="F385" s="3">
        <f>F302-E302</f>
        <v>-84.8259999999999</v>
      </c>
      <c r="G385" s="3">
        <f>G302-F302</f>
        <v>377.027</v>
      </c>
      <c r="H385" s="3">
        <f>SUM(D385:G385)</f>
        <v>135.395</v>
      </c>
      <c r="I385" s="3">
        <f>I302-H302</f>
        <v>114.203</v>
      </c>
      <c r="J385" s="3">
        <f>J302-I302</f>
        <v>-301.261</v>
      </c>
      <c r="K385" s="3">
        <f>K302-J302</f>
        <v>-162.939</v>
      </c>
      <c r="L385" s="3">
        <f>L302-K302</f>
        <v>234.614</v>
      </c>
      <c r="M385" s="3">
        <f>SUM(I385:L385)</f>
        <v>-115.383</v>
      </c>
      <c r="N385" s="3">
        <f>N302-M302</f>
        <v>182.801</v>
      </c>
      <c r="O385" s="3">
        <f>O302-N302</f>
        <v>-286.58</v>
      </c>
      <c r="P385" s="3">
        <f>P302-O302</f>
        <v>-38.942</v>
      </c>
      <c r="Q385" s="3">
        <f>Q302-P302</f>
        <v>271.529</v>
      </c>
      <c r="R385" s="3">
        <f>SUM(N385:Q385)</f>
        <v>128.808</v>
      </c>
      <c r="S385" s="3">
        <f>S302-R302</f>
        <v>51.302</v>
      </c>
      <c r="T385" s="3">
        <f>T302-S302</f>
        <v>-485.895</v>
      </c>
      <c r="U385" s="3">
        <f>U302-T302</f>
        <v>130.468</v>
      </c>
      <c r="V385" s="3">
        <f>V302-U302</f>
        <v>93.318</v>
      </c>
      <c r="W385" s="3">
        <f>SUM(S385:V385)</f>
        <v>-210.807</v>
      </c>
      <c r="X385" s="3">
        <f>X302-W302</f>
        <v>-30.2380000000001</v>
      </c>
      <c r="Y385" s="3">
        <f>Y302-X302</f>
        <v>98.192</v>
      </c>
      <c r="Z385" s="3">
        <f>Z302-Y302</f>
        <v>-308.647</v>
      </c>
      <c r="AA385" s="3">
        <f>AA302-Z302</f>
        <v>208.623</v>
      </c>
      <c r="AB385" s="3">
        <f>SUM(X385:AA385)</f>
        <v>-32.0700000000001</v>
      </c>
      <c r="AC385" s="3">
        <f>AC302-AB302</f>
        <v>-62.462</v>
      </c>
      <c r="AD385" s="3">
        <f>AD302-AC302</f>
        <v>48.7470000000001</v>
      </c>
      <c r="AE385" s="3">
        <f>AE302-AD302</f>
        <v>-94.5550000000001</v>
      </c>
      <c r="AF385" s="3">
        <f>AF302-AE302</f>
        <v>129.652</v>
      </c>
      <c r="AG385" s="3">
        <f>SUM(AC385:AF385)</f>
        <v>21.3820000000001</v>
      </c>
      <c r="AH385" s="3">
        <f>AH302-AG302</f>
        <v>-197.144</v>
      </c>
      <c r="AI385" s="3">
        <f>AI302-AH302</f>
        <v>97.9789999999999</v>
      </c>
      <c r="AJ385" s="3">
        <f>AJ302-AI302</f>
        <v>0</v>
      </c>
      <c r="AK385" s="3">
        <f>AK302-AJ302</f>
        <v>0</v>
      </c>
      <c r="AL385" s="3">
        <f>SUM(AH385:AK385)</f>
        <v>-99.1650000000001</v>
      </c>
      <c r="AM385" s="3">
        <f>AM302-AL302</f>
        <v>0</v>
      </c>
      <c r="AN385" s="3">
        <f>AN302-AM302</f>
        <v>0</v>
      </c>
      <c r="AO385" s="3">
        <f>AO302-AN302</f>
        <v>0</v>
      </c>
      <c r="AP385" s="3">
        <f>AP302-AO302</f>
        <v>0</v>
      </c>
      <c r="AQ385" s="3">
        <f>SUM(AM385:AP385)</f>
        <v>0</v>
      </c>
      <c r="AR385" s="3">
        <f>AR302-AQ302</f>
        <v>0</v>
      </c>
      <c r="AS385" s="3">
        <f>AS302-AR302</f>
        <v>0</v>
      </c>
      <c r="AT385" s="3">
        <f>AT302-AS302</f>
        <v>0</v>
      </c>
      <c r="AU385" s="3">
        <f>AU302-AT302</f>
        <v>0</v>
      </c>
      <c r="AV385" s="3">
        <f>SUM(AR385:AU385)</f>
        <v>0</v>
      </c>
      <c r="AW385" s="3">
        <f>AW302-AV302</f>
        <v>0</v>
      </c>
      <c r="AX385" s="3">
        <f>AX302-AW302</f>
        <v>0</v>
      </c>
      <c r="AY385" s="3">
        <f>AY302-AX302</f>
        <v>0</v>
      </c>
      <c r="AZ385" s="3">
        <f>AZ302-AY302</f>
        <v>0</v>
      </c>
      <c r="BA385" s="3">
        <f>SUM(AW385:AZ385)</f>
        <v>0</v>
      </c>
      <c r="BB385" s="3">
        <f>BB302-BA302</f>
        <v>0</v>
      </c>
      <c r="BC385" s="3">
        <f>BC302-BB302</f>
        <v>0</v>
      </c>
      <c r="BD385" s="3">
        <f>BD302-BC302</f>
        <v>0</v>
      </c>
      <c r="BE385" s="3">
        <f>BE302-BD302</f>
        <v>0</v>
      </c>
      <c r="BF385" s="3">
        <f>SUM(BB385:BE385)</f>
        <v>0</v>
      </c>
      <c r="BG385" s="3">
        <f>BG302-BF302</f>
        <v>0</v>
      </c>
      <c r="BH385" s="3">
        <f>BH302-BG302</f>
        <v>0</v>
      </c>
      <c r="BI385" s="3">
        <f>BI302-BH302</f>
        <v>0</v>
      </c>
      <c r="BJ385" s="3">
        <f>BJ302-BI302</f>
        <v>0</v>
      </c>
      <c r="BK385" s="3">
        <f>SUM(BG385:BJ385)</f>
        <v>0</v>
      </c>
      <c r="BL385" s="3">
        <f>BL302-BK302</f>
        <v>0</v>
      </c>
      <c r="BM385" s="3">
        <f>BM302-BL302</f>
        <v>0</v>
      </c>
      <c r="BN385" s="3">
        <f>BN302-BM302</f>
        <v>0</v>
      </c>
      <c r="BO385" s="3">
        <f>BO302-BN302</f>
        <v>0</v>
      </c>
      <c r="BP385" s="3">
        <f>SUM(BL385:BO385)</f>
        <v>0</v>
      </c>
      <c r="BQ385" s="3">
        <f>BQ302-BP302</f>
        <v>0</v>
      </c>
      <c r="BR385" s="3">
        <f>BR302-BQ302</f>
        <v>0</v>
      </c>
      <c r="BS385" s="3">
        <f>BS302-BR302</f>
        <v>0</v>
      </c>
      <c r="BT385" s="3">
        <f>BT302-BS302</f>
        <v>0</v>
      </c>
      <c r="BU385" s="3">
        <f>SUM(BQ385:BT385)</f>
        <v>0</v>
      </c>
      <c r="BV385" s="3">
        <f>BV302-BU302</f>
        <v>0</v>
      </c>
      <c r="BW385" s="3">
        <f>BW302-BV302</f>
        <v>0</v>
      </c>
      <c r="BX385" s="3">
        <f>BX302-BW302</f>
        <v>0</v>
      </c>
      <c r="BY385" s="3">
        <f>BY302-BX302</f>
        <v>0</v>
      </c>
      <c r="BZ385" s="3">
        <f>SUM(BV385:BY385)</f>
        <v>0</v>
      </c>
      <c r="CA385" s="3">
        <f>CA302-BZ302</f>
        <v>0</v>
      </c>
      <c r="CB385" s="3">
        <f>CB302-CA302</f>
        <v>0</v>
      </c>
      <c r="CC385" s="3">
        <f>CC302-CB302</f>
        <v>0</v>
      </c>
      <c r="CD385" s="3">
        <f>CD302-CC302</f>
        <v>0</v>
      </c>
      <c r="CE385" s="3">
        <f>SUM(CA385:CD385)</f>
        <v>0</v>
      </c>
      <c r="CF385" s="3">
        <f>CF302-CE302</f>
        <v>0</v>
      </c>
      <c r="CG385" s="3">
        <f>CG302-CF302</f>
        <v>0</v>
      </c>
      <c r="CH385" s="3">
        <f>CH302-CG302</f>
        <v>0</v>
      </c>
      <c r="CI385" s="3">
        <f>CI302-CH302</f>
        <v>0</v>
      </c>
      <c r="CJ385" s="3">
        <f>SUM(CF385:CI385)</f>
        <v>0</v>
      </c>
      <c r="CK385" s="3">
        <f>CK302-CJ302</f>
        <v>0</v>
      </c>
      <c r="CL385" s="3">
        <f>CL302-CK302</f>
        <v>0</v>
      </c>
      <c r="CM385" s="3">
        <f>CM302-CL302</f>
        <v>0</v>
      </c>
      <c r="CN385" s="3">
        <f>CN302-CM302</f>
        <v>0</v>
      </c>
      <c r="CO385" s="3">
        <f>SUM(CK385:CN385)</f>
        <v>0</v>
      </c>
      <c r="CP385" s="3">
        <f>CP302-CO302</f>
        <v>0</v>
      </c>
      <c r="CQ385" s="3">
        <f>CQ302-CP302</f>
        <v>0</v>
      </c>
      <c r="CR385" s="3">
        <f>CR302-CQ302</f>
        <v>0</v>
      </c>
      <c r="CS385" s="3">
        <f>CS302-CR302</f>
        <v>0</v>
      </c>
      <c r="CT385" s="3">
        <f>SUM(CP385:CS385)</f>
        <v>0</v>
      </c>
      <c r="CU385" s="3">
        <f>CU302-CT302</f>
        <v>0</v>
      </c>
      <c r="CV385" s="3">
        <f>CV302-CU302</f>
        <v>0</v>
      </c>
      <c r="CW385" s="3">
        <f>CW302-CV302</f>
        <v>0</v>
      </c>
      <c r="CX385" s="3">
        <f>CX302-CW302</f>
        <v>0</v>
      </c>
      <c r="CY385" s="3">
        <f>SUM(CU385:CX385)</f>
        <v>0</v>
      </c>
    </row>
    <row r="386" hidden="1" outlineLevel="1">
      <c r="C386" s="29" t="inlineStr">
        <is>
          <t>Deferred income taxes</t>
        </is>
      </c>
      <c r="D386" s="3" t="n"/>
      <c r="E386" s="3">
        <f>E336-D336</f>
        <v>81.8979999999999</v>
      </c>
      <c r="F386" s="3">
        <f>F336-E336</f>
        <v>135.39</v>
      </c>
      <c r="G386" s="3">
        <f>G336-F336</f>
        <v>402.98</v>
      </c>
      <c r="H386" s="3">
        <f>SUM(D386:G386)</f>
        <v>620.268</v>
      </c>
      <c r="I386" s="3">
        <f>I336-H336</f>
        <v>186.165</v>
      </c>
      <c r="J386" s="3">
        <f>J336-I336</f>
        <v>197.449</v>
      </c>
      <c r="K386" s="3">
        <f>K336-J336</f>
        <v>118.303</v>
      </c>
      <c r="L386" s="3">
        <f>L336-K336</f>
        <v>144.239</v>
      </c>
      <c r="M386" s="3">
        <f>SUM(I386:L386)</f>
        <v>646.156</v>
      </c>
      <c r="N386" s="3">
        <f>N336-M336</f>
        <v>97.4540000000002</v>
      </c>
      <c r="O386" s="3">
        <f>O336-N336</f>
        <v>111.476</v>
      </c>
      <c r="P386" s="3">
        <f>P336-O336</f>
        <v>-21.8529999999996</v>
      </c>
      <c r="Q386" s="3">
        <f>Q336-P336</f>
        <v>-58.529</v>
      </c>
      <c r="R386" s="3">
        <f>SUM(N386:Q386)</f>
        <v>128.548</v>
      </c>
      <c r="S386" s="3">
        <f>S336-R336</f>
        <v>78.5639999999999</v>
      </c>
      <c r="T386" s="3">
        <f>T336-S336</f>
        <v>29.527</v>
      </c>
      <c r="U386" s="3">
        <f>U336-T336</f>
        <v>-13.3119999999999</v>
      </c>
      <c r="V386" s="3">
        <f>V336-U336</f>
        <v>95.4749999999999</v>
      </c>
      <c r="W386" s="3">
        <f>SUM(S386:V386)</f>
        <v>190.254</v>
      </c>
      <c r="X386" s="3">
        <f>X336-W336</f>
        <v>79.3829999999998</v>
      </c>
      <c r="Y386" s="3">
        <f>Y336-X336</f>
        <v>76.5070000000001</v>
      </c>
      <c r="Z386" s="3">
        <f>Z336-Y336</f>
        <v>-210.711</v>
      </c>
      <c r="AA386" s="3">
        <f>AA336-Z336</f>
        <v>45.3199999999997</v>
      </c>
      <c r="AB386" s="3">
        <f>SUM(X386:AA386)</f>
        <v>-9.5010000000002</v>
      </c>
      <c r="AC386" s="3">
        <f>AC336-AB336</f>
        <v>157.347</v>
      </c>
      <c r="AD386" s="3">
        <f>AD336-AC336</f>
        <v>43.2239999999997</v>
      </c>
      <c r="AE386" s="3">
        <f>AE336-AD336</f>
        <v>154.189</v>
      </c>
      <c r="AF386" s="3">
        <f>AF336-AE336</f>
        <v>96.9749999999999</v>
      </c>
      <c r="AG386" s="3">
        <f>SUM(AC386:AF386)</f>
        <v>451.735</v>
      </c>
      <c r="AH386" s="3">
        <f>AH336-AG336</f>
        <v>43.6990000000001</v>
      </c>
      <c r="AI386" s="3">
        <f>AI336-AH336</f>
        <v>13.9949999999999</v>
      </c>
      <c r="AJ386" s="3">
        <f>AJ336-AI336</f>
        <v>0</v>
      </c>
      <c r="AK386" s="3">
        <f>AK336-AJ336</f>
        <v>0</v>
      </c>
      <c r="AL386" s="3">
        <f>SUM(AH386:AK386)</f>
        <v>57.694</v>
      </c>
      <c r="AM386" s="3">
        <f>AM336-AL336</f>
        <v>0</v>
      </c>
      <c r="AN386" s="3">
        <f>AN336-AM336</f>
        <v>0</v>
      </c>
      <c r="AO386" s="3">
        <f>AO336-AN336</f>
        <v>0</v>
      </c>
      <c r="AP386" s="3">
        <f>AP336-AO336</f>
        <v>0</v>
      </c>
      <c r="AQ386" s="3">
        <f>SUM(AM386:AP386)</f>
        <v>0</v>
      </c>
      <c r="AR386" s="3">
        <f>AR336-AQ336</f>
        <v>0</v>
      </c>
      <c r="AS386" s="3">
        <f>AS336-AR336</f>
        <v>0</v>
      </c>
      <c r="AT386" s="3">
        <f>AT336-AS336</f>
        <v>0</v>
      </c>
      <c r="AU386" s="3">
        <f>AU336-AT336</f>
        <v>0</v>
      </c>
      <c r="AV386" s="3">
        <f>SUM(AR386:AU386)</f>
        <v>0</v>
      </c>
      <c r="AW386" s="3">
        <f>AW336-AV336</f>
        <v>0</v>
      </c>
      <c r="AX386" s="3">
        <f>AX336-AW336</f>
        <v>0</v>
      </c>
      <c r="AY386" s="3">
        <f>AY336-AX336</f>
        <v>0</v>
      </c>
      <c r="AZ386" s="3">
        <f>AZ336-AY336</f>
        <v>0</v>
      </c>
      <c r="BA386" s="3">
        <f>SUM(AW386:AZ386)</f>
        <v>0</v>
      </c>
      <c r="BB386" s="3">
        <f>BB336-BA336</f>
        <v>0</v>
      </c>
      <c r="BC386" s="3">
        <f>BC336-BB336</f>
        <v>0</v>
      </c>
      <c r="BD386" s="3">
        <f>BD336-BC336</f>
        <v>0</v>
      </c>
      <c r="BE386" s="3">
        <f>BE336-BD336</f>
        <v>0</v>
      </c>
      <c r="BF386" s="3">
        <f>SUM(BB386:BE386)</f>
        <v>0</v>
      </c>
      <c r="BG386" s="3">
        <f>BG336-BF336</f>
        <v>0</v>
      </c>
      <c r="BH386" s="3">
        <f>BH336-BG336</f>
        <v>0</v>
      </c>
      <c r="BI386" s="3">
        <f>BI336-BH336</f>
        <v>0</v>
      </c>
      <c r="BJ386" s="3">
        <f>BJ336-BI336</f>
        <v>0</v>
      </c>
      <c r="BK386" s="3">
        <f>SUM(BG386:BJ386)</f>
        <v>0</v>
      </c>
      <c r="BL386" s="3">
        <f>BL336-BK336</f>
        <v>0</v>
      </c>
      <c r="BM386" s="3">
        <f>BM336-BL336</f>
        <v>0</v>
      </c>
      <c r="BN386" s="3">
        <f>BN336-BM336</f>
        <v>0</v>
      </c>
      <c r="BO386" s="3">
        <f>BO336-BN336</f>
        <v>0</v>
      </c>
      <c r="BP386" s="3">
        <f>SUM(BL386:BO386)</f>
        <v>0</v>
      </c>
      <c r="BQ386" s="3">
        <f>BQ336-BP336</f>
        <v>0</v>
      </c>
      <c r="BR386" s="3">
        <f>BR336-BQ336</f>
        <v>0</v>
      </c>
      <c r="BS386" s="3">
        <f>BS336-BR336</f>
        <v>0</v>
      </c>
      <c r="BT386" s="3">
        <f>BT336-BS336</f>
        <v>0</v>
      </c>
      <c r="BU386" s="3">
        <f>SUM(BQ386:BT386)</f>
        <v>0</v>
      </c>
      <c r="BV386" s="3">
        <f>BV336-BU336</f>
        <v>0</v>
      </c>
      <c r="BW386" s="3">
        <f>BW336-BV336</f>
        <v>0</v>
      </c>
      <c r="BX386" s="3">
        <f>BX336-BW336</f>
        <v>0</v>
      </c>
      <c r="BY386" s="3">
        <f>BY336-BX336</f>
        <v>0</v>
      </c>
      <c r="BZ386" s="3">
        <f>SUM(BV386:BY386)</f>
        <v>0</v>
      </c>
      <c r="CA386" s="3">
        <f>CA336-BZ336</f>
        <v>0</v>
      </c>
      <c r="CB386" s="3">
        <f>CB336-CA336</f>
        <v>0</v>
      </c>
      <c r="CC386" s="3">
        <f>CC336-CB336</f>
        <v>0</v>
      </c>
      <c r="CD386" s="3">
        <f>CD336-CC336</f>
        <v>0</v>
      </c>
      <c r="CE386" s="3">
        <f>SUM(CA386:CD386)</f>
        <v>0</v>
      </c>
      <c r="CF386" s="3">
        <f>CF336-CE336</f>
        <v>0</v>
      </c>
      <c r="CG386" s="3">
        <f>CG336-CF336</f>
        <v>0</v>
      </c>
      <c r="CH386" s="3">
        <f>CH336-CG336</f>
        <v>0</v>
      </c>
      <c r="CI386" s="3">
        <f>CI336-CH336</f>
        <v>0</v>
      </c>
      <c r="CJ386" s="3">
        <f>SUM(CF386:CI386)</f>
        <v>0</v>
      </c>
      <c r="CK386" s="3">
        <f>CK336-CJ336</f>
        <v>0</v>
      </c>
      <c r="CL386" s="3">
        <f>CL336-CK336</f>
        <v>0</v>
      </c>
      <c r="CM386" s="3">
        <f>CM336-CL336</f>
        <v>0</v>
      </c>
      <c r="CN386" s="3">
        <f>CN336-CM336</f>
        <v>0</v>
      </c>
      <c r="CO386" s="3">
        <f>SUM(CK386:CN386)</f>
        <v>0</v>
      </c>
      <c r="CP386" s="3">
        <f>CP336-CO336</f>
        <v>0</v>
      </c>
      <c r="CQ386" s="3">
        <f>CQ336-CP336</f>
        <v>0</v>
      </c>
      <c r="CR386" s="3">
        <f>CR336-CQ336</f>
        <v>0</v>
      </c>
      <c r="CS386" s="3">
        <f>CS336-CR336</f>
        <v>0</v>
      </c>
      <c r="CT386" s="3">
        <f>SUM(CP386:CS386)</f>
        <v>0</v>
      </c>
      <c r="CU386" s="3">
        <f>CU336-CT336</f>
        <v>0</v>
      </c>
      <c r="CV386" s="3">
        <f>CV336-CU336</f>
        <v>0</v>
      </c>
      <c r="CW386" s="3">
        <f>CW336-CV336</f>
        <v>0</v>
      </c>
      <c r="CX386" s="3">
        <f>CX336-CW336</f>
        <v>0</v>
      </c>
      <c r="CY386" s="3">
        <f>SUM(CU386:CX386)</f>
        <v>0</v>
      </c>
    </row>
    <row r="387" collapsed="1">
      <c r="C387" s="29" t="inlineStr">
        <is>
          <t>Equity income in affiliates</t>
        </is>
      </c>
      <c r="D387" s="3" t="n"/>
      <c r="E387" s="3">
        <f>(E258-D258)*-1</f>
        <v>-0.939000000000021</v>
      </c>
      <c r="F387" s="3">
        <f>(F258-E258)*-1</f>
        <v>-0.330999999999989</v>
      </c>
      <c r="G387" s="3">
        <f>(G258-F258)*-1</f>
        <v>9.13800000000001</v>
      </c>
      <c r="H387" s="3">
        <f>SUM(D387:G387)</f>
        <v>7.868</v>
      </c>
      <c r="I387" s="3">
        <f>(I258-H258)*-1</f>
        <v>-1.46600000000001</v>
      </c>
      <c r="J387" s="3">
        <f>(J258-I258)*-1</f>
        <v>-2.10900000000001</v>
      </c>
      <c r="K387" s="3">
        <f>(K258-J258)*-1</f>
        <v>-1.143</v>
      </c>
      <c r="L387" s="3">
        <f>(L258-K258)*-1</f>
        <v>-10.738</v>
      </c>
      <c r="M387" s="3">
        <f>SUM(I387:L387)</f>
        <v>-15.456</v>
      </c>
      <c r="N387" s="3">
        <f>(N258-M258)*-1</f>
        <v>0.365000000000009</v>
      </c>
      <c r="O387" s="3">
        <f>(O258-N258)*-1</f>
        <v>-2.53299999999999</v>
      </c>
      <c r="P387" s="3">
        <f>(P258-O258)*-1</f>
        <v>-15.164</v>
      </c>
      <c r="Q387" s="3">
        <f>(Q258-P258)*-1</f>
        <v>-7.81</v>
      </c>
      <c r="R387" s="3">
        <f>SUM(N387:Q387)</f>
        <v>-25.142</v>
      </c>
      <c r="S387" s="3">
        <f>(S258-R258)*-1</f>
        <v>-10.602</v>
      </c>
      <c r="T387" s="3">
        <f>(T258-S258)*-1</f>
        <v>-25.824</v>
      </c>
      <c r="U387" s="3">
        <f>(U258-T258)*-1</f>
        <v>-6.24600000000001</v>
      </c>
      <c r="V387" s="3">
        <f>(V258-U258)*-1</f>
        <v>-13.91</v>
      </c>
      <c r="W387" s="3">
        <f>SUM(S387:V387)</f>
        <v>-56.582</v>
      </c>
      <c r="X387" s="3">
        <f>(X258-W258)*-1</f>
        <v>-16.182</v>
      </c>
      <c r="Y387" s="3">
        <f>(Y258-X258)*-1</f>
        <v>-30.808</v>
      </c>
      <c r="Z387" s="3">
        <f>(Z258-Y258)*-1</f>
        <v>-48.416</v>
      </c>
      <c r="AA387" s="3">
        <f>(AA258-Z258)*-1</f>
        <v>-53.597</v>
      </c>
      <c r="AB387" s="3">
        <f>SUM(X387:AA387)</f>
        <v>-149.003</v>
      </c>
      <c r="AC387" s="3">
        <f>(AC258-AB258)*-1</f>
        <v>-49.547</v>
      </c>
      <c r="AD387" s="3">
        <f>(AD258-AC258)*-1</f>
        <v>107.115</v>
      </c>
      <c r="AE387" s="3">
        <f>(AE258-AD258)*-1</f>
        <v>-483.303</v>
      </c>
      <c r="AF387" s="3">
        <f>(AF258-AE258)*-1</f>
        <v>-10.213</v>
      </c>
      <c r="AG387" s="3">
        <f>SUM(AC387:AF387)</f>
        <v>-435.948</v>
      </c>
      <c r="AH387" s="3">
        <f>(AH258-AG258)*-1</f>
        <v>-24.985</v>
      </c>
      <c r="AI387" s="3">
        <f>(AI258-AH258)*-1</f>
        <v>-29.8589999999999</v>
      </c>
      <c r="AJ387" s="3">
        <f>(AJ258-AI258)*-1</f>
        <v>-321.289</v>
      </c>
      <c r="AK387" s="3">
        <f>(AK258-AJ258)*-1</f>
        <v>-10.213</v>
      </c>
      <c r="AL387" s="3">
        <f>SUM(AH387:AK387)</f>
        <v>-386.346</v>
      </c>
      <c r="AM387" s="3">
        <f>(AM258-AL258)*-1</f>
        <v>-24.9849999999999</v>
      </c>
      <c r="AN387" s="3">
        <f>(AN258-AM258)*-1</f>
        <v>-29.8610000000001</v>
      </c>
      <c r="AO387" s="3">
        <f>(AO258-AN258)*-1</f>
        <v>-321.289</v>
      </c>
      <c r="AP387" s="3">
        <f>(AP258-AO258)*-1</f>
        <v>-10.213</v>
      </c>
      <c r="AQ387" s="3">
        <f>SUM(AM387:AP387)</f>
        <v>-386.348</v>
      </c>
      <c r="AR387" s="3">
        <f>(AR258-AQ258)*-1</f>
        <v>-24.9849999999999</v>
      </c>
      <c r="AS387" s="3">
        <f>(AS258-AR258)*-1</f>
        <v>-29.8610000000001</v>
      </c>
      <c r="AT387" s="3">
        <f>(AT258-AS258)*-1</f>
        <v>-321.289</v>
      </c>
      <c r="AU387" s="3">
        <f>(AU258-AT258)*-1</f>
        <v>-10.213</v>
      </c>
      <c r="AV387" s="3">
        <f>SUM(AR387:AU387)</f>
        <v>-386.348</v>
      </c>
      <c r="AW387" s="3">
        <f>(AW258-AV258)*-1</f>
        <v>-24.9849999999999</v>
      </c>
      <c r="AX387" s="3">
        <f>(AX258-AW258)*-1</f>
        <v>-29.8610000000001</v>
      </c>
      <c r="AY387" s="3">
        <f>(AY258-AX258)*-1</f>
        <v>-321.289</v>
      </c>
      <c r="AZ387" s="3">
        <f>(AZ258-AY258)*-1</f>
        <v>-10.2130000000002</v>
      </c>
      <c r="BA387" s="3">
        <f>SUM(AW387:AZ387)</f>
        <v>-386.348</v>
      </c>
      <c r="BB387" s="3">
        <f>(BB258-BA258)*-1</f>
        <v>-24.9850000000001</v>
      </c>
      <c r="BC387" s="3">
        <f>(BC258-BB258)*-1</f>
        <v>-29.8609999999999</v>
      </c>
      <c r="BD387" s="3">
        <f>(BD258-BC258)*-1</f>
        <v>-321.289</v>
      </c>
      <c r="BE387" s="3">
        <f>(BE258-BD258)*-1</f>
        <v>-10.2130000000002</v>
      </c>
      <c r="BF387" s="3">
        <f>SUM(BB387:BE387)</f>
        <v>-386.348</v>
      </c>
      <c r="BG387" s="3">
        <f>(BG258-BF258)*-1</f>
        <v>-24.9850000000001</v>
      </c>
      <c r="BH387" s="3">
        <f>(BH258-BG258)*-1</f>
        <v>-29.8609999999999</v>
      </c>
      <c r="BI387" s="3">
        <f>(BI258-BH258)*-1</f>
        <v>-321.289</v>
      </c>
      <c r="BJ387" s="3">
        <f>(BJ258-BI258)*-1</f>
        <v>-10.2130000000002</v>
      </c>
      <c r="BK387" s="3">
        <f>SUM(BG387:BJ387)</f>
        <v>-386.348</v>
      </c>
      <c r="BL387" s="3">
        <f>(BL258-BK258)*-1</f>
        <v>-24.9850000000001</v>
      </c>
      <c r="BM387" s="3">
        <f>(BM258-BL258)*-1</f>
        <v>-29.8609999999999</v>
      </c>
      <c r="BN387" s="3">
        <f>(BN258-BM258)*-1</f>
        <v>-321.289</v>
      </c>
      <c r="BO387" s="3">
        <f>(BO258-BN258)*-1</f>
        <v>-10.2130000000002</v>
      </c>
      <c r="BP387" s="3">
        <f>SUM(BL387:BO387)</f>
        <v>-386.348</v>
      </c>
      <c r="BQ387" s="3">
        <f>(BQ258-BP258)*-1</f>
        <v>-24.9850000000001</v>
      </c>
      <c r="BR387" s="3">
        <f>(BR258-BQ258)*-1</f>
        <v>-29.8609999999999</v>
      </c>
      <c r="BS387" s="3">
        <f>(BS258-BR258)*-1</f>
        <v>-321.289</v>
      </c>
      <c r="BT387" s="3">
        <f>(BT258-BS258)*-1</f>
        <v>-10.2130000000002</v>
      </c>
      <c r="BU387" s="3">
        <f>SUM(BQ387:BT387)</f>
        <v>-386.348</v>
      </c>
      <c r="BV387" s="3">
        <f>(BV258-BU258)*-1</f>
        <v>-24.9850000000001</v>
      </c>
      <c r="BW387" s="3">
        <f>(BW258-BV258)*-1</f>
        <v>-29.8609999999999</v>
      </c>
      <c r="BX387" s="3">
        <f>(BX258-BW258)*-1</f>
        <v>-321.289</v>
      </c>
      <c r="BY387" s="3">
        <f>(BY258-BX258)*-1</f>
        <v>-10.2129999999997</v>
      </c>
      <c r="BZ387" s="3">
        <f>SUM(BV387:BY387)</f>
        <v>-386.348</v>
      </c>
      <c r="CA387" s="3">
        <f>(CA258-BZ258)*-1</f>
        <v>-24.9849999999997</v>
      </c>
      <c r="CB387" s="3">
        <f>(CB258-CA258)*-1</f>
        <v>-29.8609999999999</v>
      </c>
      <c r="CC387" s="3">
        <f>(CC258-CB258)*-1</f>
        <v>-321.289</v>
      </c>
      <c r="CD387" s="3">
        <f>(CD258-CC258)*-1</f>
        <v>-10.2129999999997</v>
      </c>
      <c r="CE387" s="3">
        <f>SUM(CA387:CD387)</f>
        <v>-386.347999999999</v>
      </c>
      <c r="CF387" s="3">
        <f>(CF258-CE258)*-1</f>
        <v>-24.9849999999997</v>
      </c>
      <c r="CG387" s="3">
        <f>(CG258-CF258)*-1</f>
        <v>-29.8609999999999</v>
      </c>
      <c r="CH387" s="3">
        <f>(CH258-CG258)*-1</f>
        <v>-321.289</v>
      </c>
      <c r="CI387" s="3">
        <f>(CI258-CH258)*-1</f>
        <v>-10.2129999999997</v>
      </c>
      <c r="CJ387" s="3">
        <f>SUM(CF387:CI387)</f>
        <v>-386.347999999999</v>
      </c>
      <c r="CK387" s="3">
        <f>(CK258-CJ258)*-1</f>
        <v>-24.9849999999997</v>
      </c>
      <c r="CL387" s="3">
        <f>(CL258-CK258)*-1</f>
        <v>-29.8609999999999</v>
      </c>
      <c r="CM387" s="3">
        <f>(CM258-CL258)*-1</f>
        <v>-321.289</v>
      </c>
      <c r="CN387" s="3">
        <f>(CN258-CM258)*-1</f>
        <v>-10.2129999999997</v>
      </c>
      <c r="CO387" s="3">
        <f>SUM(CK387:CN387)</f>
        <v>-386.347999999999</v>
      </c>
      <c r="CP387" s="3">
        <f>(CP258-CO258)*-1</f>
        <v>-24.9849999999997</v>
      </c>
      <c r="CQ387" s="3">
        <f>(CQ258-CP258)*-1</f>
        <v>-29.8609999999999</v>
      </c>
      <c r="CR387" s="3">
        <f>(CR258-CQ258)*-1</f>
        <v>-321.289</v>
      </c>
      <c r="CS387" s="3">
        <f>(CS258-CR258)*-1</f>
        <v>-10.2129999999997</v>
      </c>
      <c r="CT387" s="3">
        <f>SUM(CP387:CS387)</f>
        <v>-386.347999999999</v>
      </c>
      <c r="CU387" s="3">
        <f>(CU258-CT258)*-1</f>
        <v>-24.9849999999997</v>
      </c>
      <c r="CV387" s="3">
        <f>(CV258-CU258)*-1</f>
        <v>-29.8609999999999</v>
      </c>
      <c r="CW387" s="3">
        <f>(CW258-CV258)*-1</f>
        <v>-321.289</v>
      </c>
      <c r="CX387" s="3">
        <f>(CX258-CW258)*-1</f>
        <v>-10.2129999999997</v>
      </c>
      <c r="CY387" s="3">
        <f>SUM(CU387:CX387)</f>
        <v>-386.347999999999</v>
      </c>
    </row>
    <row r="388">
      <c r="C388" s="29" t="inlineStr">
        <is>
          <t>Dividends received from affiliates</t>
        </is>
      </c>
      <c r="D388" s="3" t="n"/>
      <c r="E388" s="3">
        <f>-E261</f>
        <v>0</v>
      </c>
      <c r="F388" s="3">
        <f>-F261</f>
        <v>0</v>
      </c>
      <c r="G388" s="3">
        <f>-G261</f>
        <v>0</v>
      </c>
      <c r="H388" s="3">
        <f>SUM(D388:G388)</f>
        <v>0</v>
      </c>
      <c r="I388" s="3">
        <f>-I261</f>
        <v>0</v>
      </c>
      <c r="J388" s="3">
        <f>-J261</f>
        <v>0</v>
      </c>
      <c r="K388" s="3">
        <f>-K261</f>
        <v>0</v>
      </c>
      <c r="L388" s="3">
        <f>-L261</f>
        <v>0</v>
      </c>
      <c r="M388" s="3">
        <f>SUM(I388:L388)</f>
        <v>0</v>
      </c>
      <c r="N388" s="3">
        <f>-N261</f>
        <v>0</v>
      </c>
      <c r="O388" s="3">
        <f>-O261</f>
        <v>0</v>
      </c>
      <c r="P388" s="3">
        <f>-P261</f>
        <v>0</v>
      </c>
      <c r="Q388" s="3">
        <f>-Q261</f>
        <v>0</v>
      </c>
      <c r="R388" s="3">
        <f>SUM(N388:Q388)</f>
        <v>0</v>
      </c>
      <c r="S388" s="3">
        <f>-S261</f>
        <v>0</v>
      </c>
      <c r="T388" s="3">
        <f>-T261</f>
        <v>0</v>
      </c>
      <c r="U388" s="3">
        <f>-U261</f>
        <v>0</v>
      </c>
      <c r="V388" s="3">
        <f>-V261</f>
        <v>0</v>
      </c>
      <c r="W388" s="3">
        <f>SUM(S388:V388)</f>
        <v>0</v>
      </c>
      <c r="X388" s="3">
        <f>-X261</f>
        <v>0</v>
      </c>
      <c r="Y388" s="3">
        <f>-Y261</f>
        <v>0</v>
      </c>
      <c r="Z388" s="3">
        <f>-Z261</f>
        <v>0</v>
      </c>
      <c r="AA388" s="3">
        <f>-AA261</f>
        <v>0</v>
      </c>
      <c r="AB388" s="3">
        <f>SUM(X388:AA388)</f>
        <v>0</v>
      </c>
      <c r="AC388" s="3">
        <f>-AC261</f>
        <v>0</v>
      </c>
      <c r="AD388" s="3">
        <f>-AD261</f>
        <v>0</v>
      </c>
      <c r="AE388" s="3">
        <f>-AE261</f>
        <v>0</v>
      </c>
      <c r="AF388" s="3">
        <f>-AF261</f>
        <v>0</v>
      </c>
      <c r="AG388" s="3">
        <f>SUM(AC388:AF388)</f>
        <v>0</v>
      </c>
      <c r="AH388" s="3">
        <f>-AH261</f>
        <v>0</v>
      </c>
      <c r="AI388" s="3">
        <f>-AI261</f>
        <v>0</v>
      </c>
      <c r="AJ388" s="3">
        <f>-AJ261</f>
        <v>0</v>
      </c>
      <c r="AK388" s="3">
        <f>-AK261</f>
        <v>0</v>
      </c>
      <c r="AL388" s="3">
        <f>SUM(AH388:AK388)</f>
        <v>0</v>
      </c>
      <c r="AM388" s="3">
        <f>-AM261</f>
        <v>0</v>
      </c>
      <c r="AN388" s="3">
        <f>-AN261</f>
        <v>0</v>
      </c>
      <c r="AO388" s="3">
        <f>-AO261</f>
        <v>0</v>
      </c>
      <c r="AP388" s="3">
        <f>-AP261</f>
        <v>0</v>
      </c>
      <c r="AQ388" s="3">
        <f>SUM(AM388:AP388)</f>
        <v>0</v>
      </c>
      <c r="AR388" s="3">
        <f>-AR261</f>
        <v>0</v>
      </c>
      <c r="AS388" s="3">
        <f>-AS261</f>
        <v>0</v>
      </c>
      <c r="AT388" s="3">
        <f>-AT261</f>
        <v>0</v>
      </c>
      <c r="AU388" s="3">
        <f>-AU261</f>
        <v>0</v>
      </c>
      <c r="AV388" s="3">
        <f>SUM(AR388:AU388)</f>
        <v>0</v>
      </c>
      <c r="AW388" s="3">
        <f>-AW261</f>
        <v>0</v>
      </c>
      <c r="AX388" s="3">
        <f>-AX261</f>
        <v>0</v>
      </c>
      <c r="AY388" s="3">
        <f>-AY261</f>
        <v>0</v>
      </c>
      <c r="AZ388" s="3">
        <f>-AZ261</f>
        <v>0</v>
      </c>
      <c r="BA388" s="3">
        <f>SUM(AW388:AZ388)</f>
        <v>0</v>
      </c>
      <c r="BB388" s="3">
        <f>-BB261</f>
        <v>0</v>
      </c>
      <c r="BC388" s="3">
        <f>-BC261</f>
        <v>0</v>
      </c>
      <c r="BD388" s="3">
        <f>-BD261</f>
        <v>0</v>
      </c>
      <c r="BE388" s="3">
        <f>-BE261</f>
        <v>0</v>
      </c>
      <c r="BF388" s="3">
        <f>SUM(BB388:BE388)</f>
        <v>0</v>
      </c>
      <c r="BG388" s="3">
        <f>-BG261</f>
        <v>0</v>
      </c>
      <c r="BH388" s="3">
        <f>-BH261</f>
        <v>0</v>
      </c>
      <c r="BI388" s="3">
        <f>-BI261</f>
        <v>0</v>
      </c>
      <c r="BJ388" s="3">
        <f>-BJ261</f>
        <v>0</v>
      </c>
      <c r="BK388" s="3">
        <f>SUM(BG388:BJ388)</f>
        <v>0</v>
      </c>
      <c r="BL388" s="3">
        <f>-BL261</f>
        <v>0</v>
      </c>
      <c r="BM388" s="3">
        <f>-BM261</f>
        <v>0</v>
      </c>
      <c r="BN388" s="3">
        <f>-BN261</f>
        <v>0</v>
      </c>
      <c r="BO388" s="3">
        <f>-BO261</f>
        <v>0</v>
      </c>
      <c r="BP388" s="3">
        <f>SUM(BL388:BO388)</f>
        <v>0</v>
      </c>
      <c r="BQ388" s="3">
        <f>-BQ261</f>
        <v>0</v>
      </c>
      <c r="BR388" s="3">
        <f>-BR261</f>
        <v>0</v>
      </c>
      <c r="BS388" s="3">
        <f>-BS261</f>
        <v>0</v>
      </c>
      <c r="BT388" s="3">
        <f>-BT261</f>
        <v>0</v>
      </c>
      <c r="BU388" s="3">
        <f>SUM(BQ388:BT388)</f>
        <v>0</v>
      </c>
      <c r="BV388" s="3">
        <f>-BV261</f>
        <v>0</v>
      </c>
      <c r="BW388" s="3">
        <f>-BW261</f>
        <v>0</v>
      </c>
      <c r="BX388" s="3">
        <f>-BX261</f>
        <v>0</v>
      </c>
      <c r="BY388" s="3">
        <f>-BY261</f>
        <v>0</v>
      </c>
      <c r="BZ388" s="3">
        <f>SUM(BV388:BY388)</f>
        <v>0</v>
      </c>
      <c r="CA388" s="3">
        <f>-CA261</f>
        <v>0</v>
      </c>
      <c r="CB388" s="3">
        <f>-CB261</f>
        <v>0</v>
      </c>
      <c r="CC388" s="3">
        <f>-CC261</f>
        <v>0</v>
      </c>
      <c r="CD388" s="3">
        <f>-CD261</f>
        <v>0</v>
      </c>
      <c r="CE388" s="3">
        <f>SUM(CA388:CD388)</f>
        <v>0</v>
      </c>
      <c r="CF388" s="3">
        <f>-CF261</f>
        <v>0</v>
      </c>
      <c r="CG388" s="3">
        <f>-CG261</f>
        <v>0</v>
      </c>
      <c r="CH388" s="3">
        <f>-CH261</f>
        <v>0</v>
      </c>
      <c r="CI388" s="3">
        <f>-CI261</f>
        <v>0</v>
      </c>
      <c r="CJ388" s="3">
        <f>SUM(CF388:CI388)</f>
        <v>0</v>
      </c>
      <c r="CK388" s="3">
        <f>-CK261</f>
        <v>0</v>
      </c>
      <c r="CL388" s="3">
        <f>-CL261</f>
        <v>0</v>
      </c>
      <c r="CM388" s="3">
        <f>-CM261</f>
        <v>0</v>
      </c>
      <c r="CN388" s="3">
        <f>-CN261</f>
        <v>0</v>
      </c>
      <c r="CO388" s="3">
        <f>SUM(CK388:CN388)</f>
        <v>0</v>
      </c>
      <c r="CP388" s="3">
        <f>-CP261</f>
        <v>0</v>
      </c>
      <c r="CQ388" s="3">
        <f>-CQ261</f>
        <v>0</v>
      </c>
      <c r="CR388" s="3">
        <f>-CR261</f>
        <v>0</v>
      </c>
      <c r="CS388" s="3">
        <f>-CS261</f>
        <v>0</v>
      </c>
      <c r="CT388" s="3">
        <f>SUM(CP388:CS388)</f>
        <v>0</v>
      </c>
      <c r="CU388" s="3">
        <f>-CU261</f>
        <v>0</v>
      </c>
      <c r="CV388" s="3">
        <f>-CV261</f>
        <v>0</v>
      </c>
      <c r="CW388" s="3">
        <f>-CW261</f>
        <v>0</v>
      </c>
      <c r="CX388" s="3">
        <f>-CX261</f>
        <v>0</v>
      </c>
      <c r="CY388" s="3">
        <f>SUM(CU388:CX388)</f>
        <v>0</v>
      </c>
    </row>
    <row r="389">
      <c r="C389" s="30" t="inlineStr">
        <is>
          <t>Minority interest expense</t>
        </is>
      </c>
      <c r="D389" s="3" t="n"/>
      <c r="E389" s="3">
        <f>-E233</f>
        <v>125.868</v>
      </c>
      <c r="F389" s="3">
        <f>-F233</f>
        <v>265.868</v>
      </c>
      <c r="G389" s="3">
        <f>-G233</f>
        <v>523.297</v>
      </c>
      <c r="H389" s="3">
        <f>SUM(D389:G389)</f>
        <v>915.033</v>
      </c>
      <c r="I389" s="3">
        <f>-I233</f>
        <v>337.471</v>
      </c>
      <c r="J389" s="3">
        <f>-J233</f>
        <v>344.143</v>
      </c>
      <c r="K389" s="3">
        <f>-K233</f>
        <v>188.716</v>
      </c>
      <c r="L389" s="3">
        <f>-L233</f>
        <v>137.085</v>
      </c>
      <c r="M389" s="3">
        <f>SUM(I389:L389)</f>
        <v>1007.415</v>
      </c>
      <c r="N389" s="3">
        <f>-N233</f>
        <v>307.9</v>
      </c>
      <c r="O389" s="3">
        <f>-O233</f>
        <v>187.923</v>
      </c>
      <c r="P389" s="3">
        <f>-P233</f>
        <v>134.594</v>
      </c>
      <c r="Q389" s="3">
        <f>-Q233</f>
        <v>114.99</v>
      </c>
      <c r="R389" s="3">
        <f>SUM(N389:Q389)</f>
        <v>745.407</v>
      </c>
      <c r="S389" s="3">
        <f>-S233</f>
        <v>156.618</v>
      </c>
      <c r="T389" s="3">
        <f>-T233</f>
        <v>117.395</v>
      </c>
      <c r="U389" s="3">
        <f>-U233</f>
        <v>67.187</v>
      </c>
      <c r="V389" s="3">
        <f>-V233</f>
        <v>115.723</v>
      </c>
      <c r="W389" s="3">
        <f>SUM(S389:V389)</f>
        <v>456.923</v>
      </c>
      <c r="X389" s="3">
        <f>-X233</f>
        <v>147.894</v>
      </c>
      <c r="Y389" s="3">
        <f>-Y233</f>
        <v>156.347</v>
      </c>
      <c r="Z389" s="3">
        <f>-Z233</f>
        <v>281.625</v>
      </c>
      <c r="AA389" s="3">
        <f>-AA233</f>
        <v>187.95</v>
      </c>
      <c r="AB389" s="3">
        <f>SUM(X389:AA389)</f>
        <v>773.816</v>
      </c>
      <c r="AC389" s="3">
        <f>-AC233</f>
        <v>186.523</v>
      </c>
      <c r="AD389" s="3">
        <f>-AD233</f>
        <v>138.966</v>
      </c>
      <c r="AE389" s="3">
        <f>-AE233</f>
        <v>43.206</v>
      </c>
      <c r="AF389" s="3">
        <f>-AF233</f>
        <v>148.939</v>
      </c>
      <c r="AG389" s="3">
        <f>SUM(AC389:AF389)</f>
        <v>517.634</v>
      </c>
      <c r="AH389" s="3">
        <f>-AH233</f>
        <v>139.779</v>
      </c>
      <c r="AI389" s="3">
        <f>-AI233</f>
        <v>295.846</v>
      </c>
      <c r="AJ389" s="3">
        <f>-AJ233</f>
        <v>43.206</v>
      </c>
      <c r="AK389" s="3">
        <f>-AK233</f>
        <v>148.939</v>
      </c>
      <c r="AL389" s="3">
        <f>SUM(AH389:AK389)</f>
        <v>627.77</v>
      </c>
      <c r="AM389" s="3">
        <f>-AM233</f>
        <v>139.779</v>
      </c>
      <c r="AN389" s="3">
        <f>-AN233</f>
        <v>295.846</v>
      </c>
      <c r="AO389" s="3">
        <f>-AO233</f>
        <v>43.206</v>
      </c>
      <c r="AP389" s="3">
        <f>-AP233</f>
        <v>148.939</v>
      </c>
      <c r="AQ389" s="3">
        <f>SUM(AM389:AP389)</f>
        <v>627.77</v>
      </c>
      <c r="AR389" s="3">
        <f>-AR233</f>
        <v>139.779</v>
      </c>
      <c r="AS389" s="3">
        <f>-AS233</f>
        <v>295.846</v>
      </c>
      <c r="AT389" s="3">
        <f>-AT233</f>
        <v>43.206</v>
      </c>
      <c r="AU389" s="3">
        <f>-AU233</f>
        <v>148.939</v>
      </c>
      <c r="AV389" s="3">
        <f>SUM(AR389:AU389)</f>
        <v>627.77</v>
      </c>
      <c r="AW389" s="3">
        <f>-AW233</f>
        <v>139.779</v>
      </c>
      <c r="AX389" s="3">
        <f>-AX233</f>
        <v>295.846</v>
      </c>
      <c r="AY389" s="3">
        <f>-AY233</f>
        <v>43.206</v>
      </c>
      <c r="AZ389" s="3">
        <f>-AZ233</f>
        <v>148.939</v>
      </c>
      <c r="BA389" s="3">
        <f>SUM(AW389:AZ389)</f>
        <v>627.77</v>
      </c>
      <c r="BB389" s="3">
        <f>-BB233</f>
        <v>139.779</v>
      </c>
      <c r="BC389" s="3">
        <f>-BC233</f>
        <v>295.846</v>
      </c>
      <c r="BD389" s="3">
        <f>-BD233</f>
        <v>43.206</v>
      </c>
      <c r="BE389" s="3">
        <f>-BE233</f>
        <v>148.939</v>
      </c>
      <c r="BF389" s="3">
        <f>SUM(BB389:BE389)</f>
        <v>627.77</v>
      </c>
      <c r="BG389" s="3">
        <f>-BG233</f>
        <v>139.779</v>
      </c>
      <c r="BH389" s="3">
        <f>-BH233</f>
        <v>295.846</v>
      </c>
      <c r="BI389" s="3">
        <f>-BI233</f>
        <v>43.206</v>
      </c>
      <c r="BJ389" s="3">
        <f>-BJ233</f>
        <v>148.939</v>
      </c>
      <c r="BK389" s="3">
        <f>SUM(BG389:BJ389)</f>
        <v>627.77</v>
      </c>
      <c r="BL389" s="3">
        <f>-BL233</f>
        <v>139.779</v>
      </c>
      <c r="BM389" s="3">
        <f>-BM233</f>
        <v>295.846</v>
      </c>
      <c r="BN389" s="3">
        <f>-BN233</f>
        <v>43.206</v>
      </c>
      <c r="BO389" s="3">
        <f>-BO233</f>
        <v>148.939</v>
      </c>
      <c r="BP389" s="3">
        <f>SUM(BL389:BO389)</f>
        <v>627.77</v>
      </c>
      <c r="BQ389" s="3">
        <f>-BQ233</f>
        <v>139.779</v>
      </c>
      <c r="BR389" s="3">
        <f>-BR233</f>
        <v>295.846</v>
      </c>
      <c r="BS389" s="3">
        <f>-BS233</f>
        <v>43.206</v>
      </c>
      <c r="BT389" s="3">
        <f>-BT233</f>
        <v>148.939</v>
      </c>
      <c r="BU389" s="3">
        <f>SUM(BQ389:BT389)</f>
        <v>627.77</v>
      </c>
      <c r="BV389" s="3">
        <f>-BV233</f>
        <v>139.779</v>
      </c>
      <c r="BW389" s="3">
        <f>-BW233</f>
        <v>295.846</v>
      </c>
      <c r="BX389" s="3">
        <f>-BX233</f>
        <v>43.206</v>
      </c>
      <c r="BY389" s="3">
        <f>-BY233</f>
        <v>148.939</v>
      </c>
      <c r="BZ389" s="3">
        <f>SUM(BV389:BY389)</f>
        <v>627.77</v>
      </c>
      <c r="CA389" s="3">
        <f>-CA233</f>
        <v>139.779</v>
      </c>
      <c r="CB389" s="3">
        <f>-CB233</f>
        <v>295.846</v>
      </c>
      <c r="CC389" s="3">
        <f>-CC233</f>
        <v>43.206</v>
      </c>
      <c r="CD389" s="3">
        <f>-CD233</f>
        <v>148.939</v>
      </c>
      <c r="CE389" s="3">
        <f>SUM(CA389:CD389)</f>
        <v>627.77</v>
      </c>
      <c r="CF389" s="3">
        <f>-CF233</f>
        <v>139.779</v>
      </c>
      <c r="CG389" s="3">
        <f>-CG233</f>
        <v>295.846</v>
      </c>
      <c r="CH389" s="3">
        <f>-CH233</f>
        <v>43.206</v>
      </c>
      <c r="CI389" s="3">
        <f>-CI233</f>
        <v>148.939</v>
      </c>
      <c r="CJ389" s="3">
        <f>SUM(CF389:CI389)</f>
        <v>627.77</v>
      </c>
      <c r="CK389" s="3">
        <f>-CK233</f>
        <v>139.779</v>
      </c>
      <c r="CL389" s="3">
        <f>-CL233</f>
        <v>295.846</v>
      </c>
      <c r="CM389" s="3">
        <f>-CM233</f>
        <v>43.206</v>
      </c>
      <c r="CN389" s="3">
        <f>-CN233</f>
        <v>148.939</v>
      </c>
      <c r="CO389" s="3">
        <f>SUM(CK389:CN389)</f>
        <v>627.77</v>
      </c>
      <c r="CP389" s="3">
        <f>-CP233</f>
        <v>139.779</v>
      </c>
      <c r="CQ389" s="3">
        <f>-CQ233</f>
        <v>295.846</v>
      </c>
      <c r="CR389" s="3">
        <f>-CR233</f>
        <v>43.206</v>
      </c>
      <c r="CS389" s="3">
        <f>-CS233</f>
        <v>148.939</v>
      </c>
      <c r="CT389" s="3">
        <f>SUM(CP389:CS389)</f>
        <v>627.77</v>
      </c>
      <c r="CU389" s="3">
        <f>-CU233</f>
        <v>139.779</v>
      </c>
      <c r="CV389" s="3">
        <f>-CV233</f>
        <v>295.846</v>
      </c>
      <c r="CW389" s="3">
        <f>-CW233</f>
        <v>43.206</v>
      </c>
      <c r="CX389" s="3">
        <f>-CX233</f>
        <v>148.939</v>
      </c>
      <c r="CY389" s="3">
        <f>SUM(CU389:CX389)</f>
        <v>627.77</v>
      </c>
    </row>
    <row r="390">
      <c r="C390" s="26" t="inlineStr">
        <is>
          <t>Cash from operations</t>
        </is>
      </c>
      <c r="D390" s="3" t="n"/>
      <c r="E390" s="3">
        <f>SUM(E374,E375,E376,E387,E388,E389)</f>
        <v>236.506</v>
      </c>
      <c r="F390" s="3">
        <f>SUM(F374,F375,F376,F387,F388,F389)</f>
        <v>365.094</v>
      </c>
      <c r="G390" s="3">
        <f>SUM(G374,G375,G376,G387,G388,G389)</f>
        <v>1586.601</v>
      </c>
      <c r="H390" s="3">
        <f>SUM(H374,H375,H376,H387,H388,H389)</f>
        <v>2188.201</v>
      </c>
      <c r="I390" s="3">
        <f>SUM(I374,I375,I376,I387,I388,I389)</f>
        <v>623.119</v>
      </c>
      <c r="J390" s="3">
        <f>SUM(J374,J375,J376,J387,J388,J389)</f>
        <v>553.237</v>
      </c>
      <c r="K390" s="3">
        <f>SUM(K374,K375,K376,K387,K388,K389)</f>
        <v>360.889</v>
      </c>
      <c r="L390" s="3">
        <f>SUM(L374,L375,L376,L387,L388,L389)</f>
        <v>570.339</v>
      </c>
      <c r="M390" s="3">
        <f>SUM(M374,M375,M376,M387,M388,M389)</f>
        <v>2107.584</v>
      </c>
      <c r="N390" s="3">
        <f>SUM(N374,N375,N376,N387,N388,N389)</f>
        <v>1262.763</v>
      </c>
      <c r="O390" s="3">
        <f>SUM(O374,O375,O376,O387,O388,O389)</f>
        <v>-145.149000000001</v>
      </c>
      <c r="P390" s="3">
        <f>SUM(P374,P375,P376,P387,P388,P389)</f>
        <v>356.448</v>
      </c>
      <c r="Q390" s="3">
        <f>SUM(Q374,Q375,Q376,Q387,Q388,Q389)</f>
        <v>439.66</v>
      </c>
      <c r="R390" s="3">
        <f>SUM(R374,R375,R376,R387,R388,R389)</f>
        <v>1913.722</v>
      </c>
      <c r="S390" s="3">
        <f>SUM(S374,S375,S376,S387,S388,S389)</f>
        <v>346.733</v>
      </c>
      <c r="T390" s="3">
        <f>SUM(T374,T375,T376,T387,T388,T389)</f>
        <v>29.514</v>
      </c>
      <c r="U390" s="3">
        <f>SUM(U374,U375,U376,U387,U388,U389)</f>
        <v>316.311</v>
      </c>
      <c r="V390" s="3">
        <f>SUM(V374,V375,V376,V387,V388,V389)</f>
        <v>543.898</v>
      </c>
      <c r="W390" s="3">
        <f>SUM(W374,W375,W376,W387,W388,W389)</f>
        <v>1236.456</v>
      </c>
      <c r="X390" s="3">
        <f>SUM(X374,X375,X376,X387,X388,X389)</f>
        <v>441.742</v>
      </c>
      <c r="Y390" s="3">
        <f>SUM(Y374,Y375,Y376,Y387,Y388,Y389)</f>
        <v>536.014</v>
      </c>
      <c r="Z390" s="3">
        <f>SUM(Z374,Z375,Z376,Z387,Z388,Z389)</f>
        <v>109.219</v>
      </c>
      <c r="AA390" s="3">
        <f>SUM(AA374,AA375,AA376,AA387,AA388,AA389)</f>
        <v>599.423</v>
      </c>
      <c r="AB390" s="3">
        <f>SUM(AB374,AB375,AB376,AB387,AB388,AB389)</f>
        <v>1686.398</v>
      </c>
      <c r="AC390" s="3">
        <f>SUM(AC374,AC375,AC376,AC387,AC388,AC389)</f>
        <v>466.879</v>
      </c>
      <c r="AD390" s="3">
        <f>SUM(AD374,AD375,AD376,AD387,AD388,AD389)</f>
        <v>423.903</v>
      </c>
      <c r="AE390" s="3">
        <f>SUM(AE374,AE375,AE376,AE387,AE388,AE389)</f>
        <v>129.516</v>
      </c>
      <c r="AF390" s="3">
        <f>SUM(AF374,AF375,AF376,AF387,AF388,AF389)</f>
        <v>572.159</v>
      </c>
      <c r="AG390" s="3">
        <f>SUM(AG374,AG375,AG376,AG387,AG388,AG389)</f>
        <v>1592.457</v>
      </c>
      <c r="AH390" s="3">
        <f>SUM(AH374,AH375,AH376,AH387,AH388,AH389)</f>
        <v>281.739</v>
      </c>
      <c r="AI390" s="3">
        <f>SUM(AI374,AI375,AI376,AI387,AI388,AI389)</f>
        <v>505.528</v>
      </c>
      <c r="AJ390" s="3">
        <f>SUM(AJ374,AJ375,AJ376,AJ387,AJ388,AJ389)</f>
        <v>-141.126</v>
      </c>
      <c r="AK390" s="3">
        <f>SUM(AK374,AK375,AK376,AK387,AK388,AK389)</f>
        <v>151.17</v>
      </c>
      <c r="AL390" s="3">
        <f>SUM(AL374,AL375,AL376,AL387,AL388,AL389)</f>
        <v>797.311</v>
      </c>
      <c r="AM390" s="3" t="e">
        <f>SUM(AM374,AM375,AM376,AM387,AM388,AM389)</f>
        <v>#DIV/0!</v>
      </c>
      <c r="AN390" s="3" t="e">
        <f>SUM(AN374,AN375,AN376,AN387,AN388,AN389)</f>
        <v>#DIV/0!</v>
      </c>
      <c r="AO390" s="3" t="e">
        <f>SUM(AO374,AO375,AO376,AO387,AO388,AO389)</f>
        <v>#DIV/0!</v>
      </c>
      <c r="AP390" s="3" t="e">
        <f>SUM(AP374,AP375,AP376,AP387,AP388,AP389)</f>
        <v>#DIV/0!</v>
      </c>
      <c r="AQ390" s="3" t="e">
        <f>SUM(AQ374,AQ375,AQ376,AQ387,AQ388,AQ389)</f>
        <v>#DIV/0!</v>
      </c>
      <c r="AR390" s="3" t="e">
        <f>SUM(AR374,AR375,AR376,AR387,AR388,AR389)</f>
        <v>#DIV/0!</v>
      </c>
      <c r="AS390" s="3" t="e">
        <f>SUM(AS374,AS375,AS376,AS387,AS388,AS389)</f>
        <v>#DIV/0!</v>
      </c>
      <c r="AT390" s="3" t="e">
        <f>SUM(AT374,AT375,AT376,AT387,AT388,AT389)</f>
        <v>#DIV/0!</v>
      </c>
      <c r="AU390" s="3" t="e">
        <f>SUM(AU374,AU375,AU376,AU387,AU388,AU389)</f>
        <v>#DIV/0!</v>
      </c>
      <c r="AV390" s="3" t="e">
        <f>SUM(AV374,AV375,AV376,AV387,AV388,AV389)</f>
        <v>#DIV/0!</v>
      </c>
      <c r="AW390" s="3" t="e">
        <f>SUM(AW374,AW375,AW376,AW387,AW388,AW389)</f>
        <v>#DIV/0!</v>
      </c>
      <c r="AX390" s="3" t="e">
        <f>SUM(AX374,AX375,AX376,AX387,AX388,AX389)</f>
        <v>#DIV/0!</v>
      </c>
      <c r="AY390" s="3" t="e">
        <f>SUM(AY374,AY375,AY376,AY387,AY388,AY389)</f>
        <v>#DIV/0!</v>
      </c>
      <c r="AZ390" s="3" t="e">
        <f>SUM(AZ374,AZ375,AZ376,AZ387,AZ388,AZ389)</f>
        <v>#DIV/0!</v>
      </c>
      <c r="BA390" s="3" t="e">
        <f>SUM(BA374,BA375,BA376,BA387,BA388,BA389)</f>
        <v>#DIV/0!</v>
      </c>
      <c r="BB390" s="3" t="e">
        <f>SUM(BB374,BB375,BB376,BB387,BB388,BB389)</f>
        <v>#DIV/0!</v>
      </c>
      <c r="BC390" s="3" t="e">
        <f>SUM(BC374,BC375,BC376,BC387,BC388,BC389)</f>
        <v>#DIV/0!</v>
      </c>
      <c r="BD390" s="3" t="e">
        <f>SUM(BD374,BD375,BD376,BD387,BD388,BD389)</f>
        <v>#DIV/0!</v>
      </c>
      <c r="BE390" s="3" t="e">
        <f>SUM(BE374,BE375,BE376,BE387,BE388,BE389)</f>
        <v>#DIV/0!</v>
      </c>
      <c r="BF390" s="3" t="e">
        <f>SUM(BF374,BF375,BF376,BF387,BF388,BF389)</f>
        <v>#DIV/0!</v>
      </c>
      <c r="BG390" s="3" t="e">
        <f>SUM(BG374,BG375,BG376,BG387,BG388,BG389)</f>
        <v>#DIV/0!</v>
      </c>
      <c r="BH390" s="3" t="e">
        <f>SUM(BH374,BH375,BH376,BH387,BH388,BH389)</f>
        <v>#DIV/0!</v>
      </c>
      <c r="BI390" s="3" t="e">
        <f>SUM(BI374,BI375,BI376,BI387,BI388,BI389)</f>
        <v>#DIV/0!</v>
      </c>
      <c r="BJ390" s="3" t="e">
        <f>SUM(BJ374,BJ375,BJ376,BJ387,BJ388,BJ389)</f>
        <v>#DIV/0!</v>
      </c>
      <c r="BK390" s="3" t="e">
        <f>SUM(BK374,BK375,BK376,BK387,BK388,BK389)</f>
        <v>#DIV/0!</v>
      </c>
      <c r="BL390" s="3" t="e">
        <f>SUM(BL374,BL375,BL376,BL387,BL388,BL389)</f>
        <v>#DIV/0!</v>
      </c>
      <c r="BM390" s="3" t="e">
        <f>SUM(BM374,BM375,BM376,BM387,BM388,BM389)</f>
        <v>#DIV/0!</v>
      </c>
      <c r="BN390" s="3" t="e">
        <f>SUM(BN374,BN375,BN376,BN387,BN388,BN389)</f>
        <v>#DIV/0!</v>
      </c>
      <c r="BO390" s="3" t="e">
        <f>SUM(BO374,BO375,BO376,BO387,BO388,BO389)</f>
        <v>#DIV/0!</v>
      </c>
      <c r="BP390" s="3" t="e">
        <f>SUM(BP374,BP375,BP376,BP387,BP388,BP389)</f>
        <v>#DIV/0!</v>
      </c>
      <c r="BQ390" s="3" t="e">
        <f>SUM(BQ374,BQ375,BQ376,BQ387,BQ388,BQ389)</f>
        <v>#DIV/0!</v>
      </c>
      <c r="BR390" s="3" t="e">
        <f>SUM(BR374,BR375,BR376,BR387,BR388,BR389)</f>
        <v>#DIV/0!</v>
      </c>
      <c r="BS390" s="3" t="e">
        <f>SUM(BS374,BS375,BS376,BS387,BS388,BS389)</f>
        <v>#DIV/0!</v>
      </c>
      <c r="BT390" s="3" t="e">
        <f>SUM(BT374,BT375,BT376,BT387,BT388,BT389)</f>
        <v>#DIV/0!</v>
      </c>
      <c r="BU390" s="3" t="e">
        <f>SUM(BU374,BU375,BU376,BU387,BU388,BU389)</f>
        <v>#DIV/0!</v>
      </c>
      <c r="BV390" s="3" t="e">
        <f>SUM(BV374,BV375,BV376,BV387,BV388,BV389)</f>
        <v>#DIV/0!</v>
      </c>
      <c r="BW390" s="3" t="e">
        <f>SUM(BW374,BW375,BW376,BW387,BW388,BW389)</f>
        <v>#DIV/0!</v>
      </c>
      <c r="BX390" s="3" t="e">
        <f>SUM(BX374,BX375,BX376,BX387,BX388,BX389)</f>
        <v>#DIV/0!</v>
      </c>
      <c r="BY390" s="3" t="e">
        <f>SUM(BY374,BY375,BY376,BY387,BY388,BY389)</f>
        <v>#DIV/0!</v>
      </c>
      <c r="BZ390" s="3" t="e">
        <f>SUM(BZ374,BZ375,BZ376,BZ387,BZ388,BZ389)</f>
        <v>#DIV/0!</v>
      </c>
      <c r="CA390" s="3" t="e">
        <f>SUM(CA374,CA375,CA376,CA387,CA388,CA389)</f>
        <v>#DIV/0!</v>
      </c>
      <c r="CB390" s="3" t="e">
        <f>SUM(CB374,CB375,CB376,CB387,CB388,CB389)</f>
        <v>#DIV/0!</v>
      </c>
      <c r="CC390" s="3" t="e">
        <f>SUM(CC374,CC375,CC376,CC387,CC388,CC389)</f>
        <v>#DIV/0!</v>
      </c>
      <c r="CD390" s="3" t="e">
        <f>SUM(CD374,CD375,CD376,CD387,CD388,CD389)</f>
        <v>#DIV/0!</v>
      </c>
      <c r="CE390" s="3" t="e">
        <f>SUM(CE374,CE375,CE376,CE387,CE388,CE389)</f>
        <v>#DIV/0!</v>
      </c>
      <c r="CF390" s="3" t="e">
        <f>SUM(CF374,CF375,CF376,CF387,CF388,CF389)</f>
        <v>#DIV/0!</v>
      </c>
      <c r="CG390" s="3" t="e">
        <f>SUM(CG374,CG375,CG376,CG387,CG388,CG389)</f>
        <v>#DIV/0!</v>
      </c>
      <c r="CH390" s="3" t="e">
        <f>SUM(CH374,CH375,CH376,CH387,CH388,CH389)</f>
        <v>#DIV/0!</v>
      </c>
      <c r="CI390" s="3" t="e">
        <f>SUM(CI374,CI375,CI376,CI387,CI388,CI389)</f>
        <v>#DIV/0!</v>
      </c>
      <c r="CJ390" s="3" t="e">
        <f>SUM(CJ374,CJ375,CJ376,CJ387,CJ388,CJ389)</f>
        <v>#DIV/0!</v>
      </c>
      <c r="CK390" s="3" t="e">
        <f>SUM(CK374,CK375,CK376,CK387,CK388,CK389)</f>
        <v>#DIV/0!</v>
      </c>
      <c r="CL390" s="3" t="e">
        <f>SUM(CL374,CL375,CL376,CL387,CL388,CL389)</f>
        <v>#DIV/0!</v>
      </c>
      <c r="CM390" s="3" t="e">
        <f>SUM(CM374,CM375,CM376,CM387,CM388,CM389)</f>
        <v>#DIV/0!</v>
      </c>
      <c r="CN390" s="3" t="e">
        <f>SUM(CN374,CN375,CN376,CN387,CN388,CN389)</f>
        <v>#DIV/0!</v>
      </c>
      <c r="CO390" s="3" t="e">
        <f>SUM(CO374,CO375,CO376,CO387,CO388,CO389)</f>
        <v>#DIV/0!</v>
      </c>
      <c r="CP390" s="3" t="e">
        <f>SUM(CP374,CP375,CP376,CP387,CP388,CP389)</f>
        <v>#DIV/0!</v>
      </c>
      <c r="CQ390" s="3" t="e">
        <f>SUM(CQ374,CQ375,CQ376,CQ387,CQ388,CQ389)</f>
        <v>#DIV/0!</v>
      </c>
      <c r="CR390" s="3" t="e">
        <f>SUM(CR374,CR375,CR376,CR387,CR388,CR389)</f>
        <v>#DIV/0!</v>
      </c>
      <c r="CS390" s="3" t="e">
        <f>SUM(CS374,CS375,CS376,CS387,CS388,CS389)</f>
        <v>#DIV/0!</v>
      </c>
      <c r="CT390" s="3" t="e">
        <f>SUM(CT374,CT375,CT376,CT387,CT388,CT389)</f>
        <v>#DIV/0!</v>
      </c>
      <c r="CU390" s="3" t="e">
        <f>SUM(CU374,CU375,CU376,CU387,CU388,CU389)</f>
        <v>#DIV/0!</v>
      </c>
      <c r="CV390" s="3" t="e">
        <f>SUM(CV374,CV375,CV376,CV387,CV388,CV389)</f>
        <v>#DIV/0!</v>
      </c>
      <c r="CW390" s="3" t="e">
        <f>SUM(CW374,CW375,CW376,CW387,CW388,CW389)</f>
        <v>#DIV/0!</v>
      </c>
      <c r="CX390" s="3" t="e">
        <f>SUM(CX374,CX375,CX376,CX387,CX388,CX389)</f>
        <v>#DIV/0!</v>
      </c>
      <c r="CY390" s="3" t="e">
        <f>SUM(CY374,CY375,CY376,CY387,CY388,CY389)</f>
        <v>#DIV/0!</v>
      </c>
    </row>
    <row r="391">
      <c r="C391" s="26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n"/>
      <c r="CC391" s="3" t="n"/>
      <c r="CD391" s="3" t="n"/>
      <c r="CE391" s="3" t="n"/>
      <c r="CF391" s="3" t="n"/>
      <c r="CG391" s="3" t="n"/>
      <c r="CH391" s="3" t="n"/>
      <c r="CI391" s="3" t="n"/>
      <c r="CJ391" s="3" t="n"/>
      <c r="CK391" s="3" t="n"/>
      <c r="CL391" s="3" t="n"/>
      <c r="CM391" s="3" t="n"/>
      <c r="CN391" s="3" t="n"/>
      <c r="CO391" s="3" t="n"/>
      <c r="CP391" s="3" t="n"/>
      <c r="CQ391" s="3" t="n"/>
      <c r="CR391" s="3" t="n"/>
      <c r="CS391" s="3" t="n"/>
      <c r="CT391" s="3" t="n"/>
      <c r="CU391" s="3" t="n"/>
      <c r="CV391" s="3" t="n"/>
      <c r="CW391" s="3" t="n"/>
      <c r="CX391" s="3" t="n"/>
      <c r="CY391" s="3" t="n"/>
    </row>
    <row r="392">
      <c r="C392" s="29" t="inlineStr">
        <is>
          <t>Purchase of fixed assets (capital expenditures)</t>
        </is>
      </c>
      <c r="D392" s="3" t="n"/>
      <c r="E392" s="3">
        <f>-E265</f>
        <v>-86.8789999999998</v>
      </c>
      <c r="F392" s="3">
        <f>-F265</f>
        <v>-51.5959999999996</v>
      </c>
      <c r="G392" s="3">
        <f>-G265</f>
        <v>11.9519999999998</v>
      </c>
      <c r="H392" s="3">
        <f>SUM(D392:G392)</f>
        <v>-126.523</v>
      </c>
      <c r="I392" s="3">
        <f>-I265</f>
        <v>-114.068000000001</v>
      </c>
      <c r="J392" s="3">
        <f>-J265</f>
        <v>116.907</v>
      </c>
      <c r="K392" s="3">
        <f>-K265</f>
        <v>-58.8319999999996</v>
      </c>
      <c r="L392" s="3">
        <f>-L265</f>
        <v>-121.652</v>
      </c>
      <c r="M392" s="3">
        <f>SUM(I392:L392)</f>
        <v>-177.645</v>
      </c>
      <c r="N392" s="3">
        <f>-N265</f>
        <v>-342.222</v>
      </c>
      <c r="O392" s="3">
        <f>-O265</f>
        <v>30.6900000000006</v>
      </c>
      <c r="P392" s="3">
        <f>-P265</f>
        <v>-199.664</v>
      </c>
      <c r="Q392" s="3">
        <f>-Q265</f>
        <v>-252.564</v>
      </c>
      <c r="R392" s="3">
        <f>SUM(N392:Q392)</f>
        <v>-763.76</v>
      </c>
      <c r="S392" s="3">
        <f>-S265</f>
        <v>-82.9219999999995</v>
      </c>
      <c r="T392" s="3">
        <f>-T265</f>
        <v>-72.4770000000003</v>
      </c>
      <c r="U392" s="3">
        <f>-U265</f>
        <v>-162.309</v>
      </c>
      <c r="V392" s="3">
        <f>-V265</f>
        <v>-101.330000000001</v>
      </c>
      <c r="W392" s="3">
        <f>SUM(S392:V392)</f>
        <v>-419.038</v>
      </c>
      <c r="X392" s="3">
        <f>-X265</f>
        <v>-88.6359999999996</v>
      </c>
      <c r="Y392" s="3">
        <f>-Y265</f>
        <v>-188.007</v>
      </c>
      <c r="Z392" s="3">
        <f>-Z265</f>
        <v>-13.0840000000004</v>
      </c>
      <c r="AA392" s="3">
        <f>-AA265</f>
        <v>-295.112</v>
      </c>
      <c r="AB392" s="3">
        <f>SUM(X392:AA392)</f>
        <v>-584.839</v>
      </c>
      <c r="AC392" s="3">
        <f>-AC265</f>
        <v>123.290000000001</v>
      </c>
      <c r="AD392" s="3">
        <f>-AD265</f>
        <v>21.899</v>
      </c>
      <c r="AE392" s="3">
        <f>-AE265</f>
        <v>-13.3850000000004</v>
      </c>
      <c r="AF392" s="3">
        <f>-AF265</f>
        <v>-199.435</v>
      </c>
      <c r="AG392" s="3">
        <f>SUM(AC392:AF392)</f>
        <v>-67.631</v>
      </c>
      <c r="AH392" s="3">
        <f>-AH265</f>
        <v>103.798</v>
      </c>
      <c r="AI392" s="3">
        <f>-AI265</f>
        <v>-128.885</v>
      </c>
      <c r="AJ392" s="3">
        <f>-AJ265</f>
        <v>0</v>
      </c>
      <c r="AK392" s="3">
        <f>-AK265</f>
        <v>0</v>
      </c>
      <c r="AL392" s="3">
        <f>SUM(AH392:AK392)</f>
        <v>-25.087</v>
      </c>
      <c r="AM392" s="3">
        <f>-AM265</f>
        <v>0</v>
      </c>
      <c r="AN392" s="3">
        <f>-AN265</f>
        <v>0</v>
      </c>
      <c r="AO392" s="3">
        <f>-AO265</f>
        <v>0</v>
      </c>
      <c r="AP392" s="3">
        <f>-AP265</f>
        <v>0</v>
      </c>
      <c r="AQ392" s="3">
        <f>SUM(AM392:AP392)</f>
        <v>0</v>
      </c>
      <c r="AR392" s="3">
        <f>-AR265</f>
        <v>0</v>
      </c>
      <c r="AS392" s="3">
        <f>-AS265</f>
        <v>0</v>
      </c>
      <c r="AT392" s="3">
        <f>-AT265</f>
        <v>0</v>
      </c>
      <c r="AU392" s="3">
        <f>-AU265</f>
        <v>0</v>
      </c>
      <c r="AV392" s="3">
        <f>SUM(AR392:AU392)</f>
        <v>0</v>
      </c>
      <c r="AW392" s="3">
        <f>-AW265</f>
        <v>0</v>
      </c>
      <c r="AX392" s="3">
        <f>-AX265</f>
        <v>0</v>
      </c>
      <c r="AY392" s="3">
        <f>-AY265</f>
        <v>0</v>
      </c>
      <c r="AZ392" s="3">
        <f>-AZ265</f>
        <v>0</v>
      </c>
      <c r="BA392" s="3">
        <f>SUM(AW392:AZ392)</f>
        <v>0</v>
      </c>
      <c r="BB392" s="3">
        <f>-BB265</f>
        <v>0</v>
      </c>
      <c r="BC392" s="3">
        <f>-BC265</f>
        <v>0</v>
      </c>
      <c r="BD392" s="3">
        <f>-BD265</f>
        <v>0</v>
      </c>
      <c r="BE392" s="3">
        <f>-BE265</f>
        <v>0</v>
      </c>
      <c r="BF392" s="3">
        <f>SUM(BB392:BE392)</f>
        <v>0</v>
      </c>
      <c r="BG392" s="3">
        <f>-BG265</f>
        <v>0</v>
      </c>
      <c r="BH392" s="3">
        <f>-BH265</f>
        <v>0</v>
      </c>
      <c r="BI392" s="3">
        <f>-BI265</f>
        <v>0</v>
      </c>
      <c r="BJ392" s="3">
        <f>-BJ265</f>
        <v>0</v>
      </c>
      <c r="BK392" s="3">
        <f>SUM(BG392:BJ392)</f>
        <v>0</v>
      </c>
      <c r="BL392" s="3">
        <f>-BL265</f>
        <v>0</v>
      </c>
      <c r="BM392" s="3">
        <f>-BM265</f>
        <v>0</v>
      </c>
      <c r="BN392" s="3">
        <f>-BN265</f>
        <v>0</v>
      </c>
      <c r="BO392" s="3">
        <f>-BO265</f>
        <v>0</v>
      </c>
      <c r="BP392" s="3">
        <f>SUM(BL392:BO392)</f>
        <v>0</v>
      </c>
      <c r="BQ392" s="3">
        <f>-BQ265</f>
        <v>0</v>
      </c>
      <c r="BR392" s="3">
        <f>-BR265</f>
        <v>0</v>
      </c>
      <c r="BS392" s="3">
        <f>-BS265</f>
        <v>0</v>
      </c>
      <c r="BT392" s="3">
        <f>-BT265</f>
        <v>0</v>
      </c>
      <c r="BU392" s="3">
        <f>SUM(BQ392:BT392)</f>
        <v>0</v>
      </c>
      <c r="BV392" s="3">
        <f>-BV265</f>
        <v>0</v>
      </c>
      <c r="BW392" s="3">
        <f>-BW265</f>
        <v>0</v>
      </c>
      <c r="BX392" s="3">
        <f>-BX265</f>
        <v>0</v>
      </c>
      <c r="BY392" s="3">
        <f>-BY265</f>
        <v>0</v>
      </c>
      <c r="BZ392" s="3">
        <f>SUM(BV392:BY392)</f>
        <v>0</v>
      </c>
      <c r="CA392" s="3">
        <f>-CA265</f>
        <v>0</v>
      </c>
      <c r="CB392" s="3">
        <f>-CB265</f>
        <v>0</v>
      </c>
      <c r="CC392" s="3">
        <f>-CC265</f>
        <v>0</v>
      </c>
      <c r="CD392" s="3">
        <f>-CD265</f>
        <v>0</v>
      </c>
      <c r="CE392" s="3">
        <f>SUM(CA392:CD392)</f>
        <v>0</v>
      </c>
      <c r="CF392" s="3">
        <f>-CF265</f>
        <v>0</v>
      </c>
      <c r="CG392" s="3">
        <f>-CG265</f>
        <v>0</v>
      </c>
      <c r="CH392" s="3">
        <f>-CH265</f>
        <v>0</v>
      </c>
      <c r="CI392" s="3">
        <f>-CI265</f>
        <v>0</v>
      </c>
      <c r="CJ392" s="3">
        <f>SUM(CF392:CI392)</f>
        <v>0</v>
      </c>
      <c r="CK392" s="3">
        <f>-CK265</f>
        <v>0</v>
      </c>
      <c r="CL392" s="3">
        <f>-CL265</f>
        <v>0</v>
      </c>
      <c r="CM392" s="3">
        <f>-CM265</f>
        <v>0</v>
      </c>
      <c r="CN392" s="3">
        <f>-CN265</f>
        <v>0</v>
      </c>
      <c r="CO392" s="3">
        <f>SUM(CK392:CN392)</f>
        <v>0</v>
      </c>
      <c r="CP392" s="3">
        <f>-CP265</f>
        <v>0</v>
      </c>
      <c r="CQ392" s="3">
        <f>-CQ265</f>
        <v>0</v>
      </c>
      <c r="CR392" s="3">
        <f>-CR265</f>
        <v>0</v>
      </c>
      <c r="CS392" s="3">
        <f>-CS265</f>
        <v>0</v>
      </c>
      <c r="CT392" s="3">
        <f>SUM(CP392:CS392)</f>
        <v>0</v>
      </c>
      <c r="CU392" s="3">
        <f>-CU265</f>
        <v>0</v>
      </c>
      <c r="CV392" s="3">
        <f>-CV265</f>
        <v>0</v>
      </c>
      <c r="CW392" s="3">
        <f>-CW265</f>
        <v>0</v>
      </c>
      <c r="CX392" s="3">
        <f>-CX265</f>
        <v>0</v>
      </c>
      <c r="CY392" s="3">
        <f>SUM(CU392:CX392)</f>
        <v>0</v>
      </c>
    </row>
    <row r="393">
      <c r="C393" s="29" t="inlineStr">
        <is>
          <t>Proceeds from sale of fixed assets</t>
        </is>
      </c>
      <c r="D393" s="3" t="n"/>
      <c r="E393" s="3">
        <f>-E266</f>
        <v>0</v>
      </c>
      <c r="F393" s="3">
        <f>-F266</f>
        <v>0</v>
      </c>
      <c r="G393" s="3">
        <f>-G266</f>
        <v>0</v>
      </c>
      <c r="H393" s="3">
        <f>SUM(D393:G393)</f>
        <v>0</v>
      </c>
      <c r="I393" s="3">
        <f>-I266</f>
        <v>0</v>
      </c>
      <c r="J393" s="3">
        <f>-J266</f>
        <v>0</v>
      </c>
      <c r="K393" s="3">
        <f>-K266</f>
        <v>0</v>
      </c>
      <c r="L393" s="3">
        <f>-L266</f>
        <v>0</v>
      </c>
      <c r="M393" s="3">
        <f>SUM(I393:L393)</f>
        <v>0</v>
      </c>
      <c r="N393" s="3">
        <f>-N266</f>
        <v>0</v>
      </c>
      <c r="O393" s="3">
        <f>-O266</f>
        <v>0</v>
      </c>
      <c r="P393" s="3">
        <f>-P266</f>
        <v>0</v>
      </c>
      <c r="Q393" s="3">
        <f>-Q266</f>
        <v>0</v>
      </c>
      <c r="R393" s="3">
        <f>SUM(N393:Q393)</f>
        <v>0</v>
      </c>
      <c r="S393" s="3">
        <f>-S266</f>
        <v>0</v>
      </c>
      <c r="T393" s="3">
        <f>-T266</f>
        <v>0</v>
      </c>
      <c r="U393" s="3">
        <f>-U266</f>
        <v>0</v>
      </c>
      <c r="V393" s="3">
        <f>-V266</f>
        <v>0</v>
      </c>
      <c r="W393" s="3">
        <f>SUM(S393:V393)</f>
        <v>0</v>
      </c>
      <c r="X393" s="3">
        <f>-X266</f>
        <v>0</v>
      </c>
      <c r="Y393" s="3">
        <f>-Y266</f>
        <v>0</v>
      </c>
      <c r="Z393" s="3">
        <f>-Z266</f>
        <v>0</v>
      </c>
      <c r="AA393" s="3">
        <f>-AA266</f>
        <v>0</v>
      </c>
      <c r="AB393" s="3">
        <f>SUM(X393:AA393)</f>
        <v>0</v>
      </c>
      <c r="AC393" s="3">
        <f>-AC266</f>
        <v>0</v>
      </c>
      <c r="AD393" s="3">
        <f>-AD266</f>
        <v>0</v>
      </c>
      <c r="AE393" s="3">
        <f>-AE266</f>
        <v>0</v>
      </c>
      <c r="AF393" s="3">
        <f>-AF266</f>
        <v>0</v>
      </c>
      <c r="AG393" s="3">
        <f>SUM(AC393:AF393)</f>
        <v>0</v>
      </c>
      <c r="AH393" s="3">
        <f>-AH266</f>
        <v>0</v>
      </c>
      <c r="AI393" s="3">
        <f>-AI266</f>
        <v>0</v>
      </c>
      <c r="AJ393" s="3">
        <f>-AJ266</f>
        <v>0</v>
      </c>
      <c r="AK393" s="3">
        <f>-AK266</f>
        <v>0</v>
      </c>
      <c r="AL393" s="3">
        <f>SUM(AH393:AK393)</f>
        <v>0</v>
      </c>
      <c r="AM393" s="3">
        <f>-AM266</f>
        <v>0</v>
      </c>
      <c r="AN393" s="3">
        <f>-AN266</f>
        <v>0</v>
      </c>
      <c r="AO393" s="3">
        <f>-AO266</f>
        <v>0</v>
      </c>
      <c r="AP393" s="3">
        <f>-AP266</f>
        <v>0</v>
      </c>
      <c r="AQ393" s="3">
        <f>SUM(AM393:AP393)</f>
        <v>0</v>
      </c>
      <c r="AR393" s="3">
        <f>-AR266</f>
        <v>0</v>
      </c>
      <c r="AS393" s="3">
        <f>-AS266</f>
        <v>0</v>
      </c>
      <c r="AT393" s="3">
        <f>-AT266</f>
        <v>0</v>
      </c>
      <c r="AU393" s="3">
        <f>-AU266</f>
        <v>0</v>
      </c>
      <c r="AV393" s="3">
        <f>SUM(AR393:AU393)</f>
        <v>0</v>
      </c>
      <c r="AW393" s="3">
        <f>-AW266</f>
        <v>0</v>
      </c>
      <c r="AX393" s="3">
        <f>-AX266</f>
        <v>0</v>
      </c>
      <c r="AY393" s="3">
        <f>-AY266</f>
        <v>0</v>
      </c>
      <c r="AZ393" s="3">
        <f>-AZ266</f>
        <v>0</v>
      </c>
      <c r="BA393" s="3">
        <f>SUM(AW393:AZ393)</f>
        <v>0</v>
      </c>
      <c r="BB393" s="3">
        <f>-BB266</f>
        <v>0</v>
      </c>
      <c r="BC393" s="3">
        <f>-BC266</f>
        <v>0</v>
      </c>
      <c r="BD393" s="3">
        <f>-BD266</f>
        <v>0</v>
      </c>
      <c r="BE393" s="3">
        <f>-BE266</f>
        <v>0</v>
      </c>
      <c r="BF393" s="3">
        <f>SUM(BB393:BE393)</f>
        <v>0</v>
      </c>
      <c r="BG393" s="3">
        <f>-BG266</f>
        <v>0</v>
      </c>
      <c r="BH393" s="3">
        <f>-BH266</f>
        <v>0</v>
      </c>
      <c r="BI393" s="3">
        <f>-BI266</f>
        <v>0</v>
      </c>
      <c r="BJ393" s="3">
        <f>-BJ266</f>
        <v>0</v>
      </c>
      <c r="BK393" s="3">
        <f>SUM(BG393:BJ393)</f>
        <v>0</v>
      </c>
      <c r="BL393" s="3">
        <f>-BL266</f>
        <v>0</v>
      </c>
      <c r="BM393" s="3">
        <f>-BM266</f>
        <v>0</v>
      </c>
      <c r="BN393" s="3">
        <f>-BN266</f>
        <v>0</v>
      </c>
      <c r="BO393" s="3">
        <f>-BO266</f>
        <v>0</v>
      </c>
      <c r="BP393" s="3">
        <f>SUM(BL393:BO393)</f>
        <v>0</v>
      </c>
      <c r="BQ393" s="3">
        <f>-BQ266</f>
        <v>0</v>
      </c>
      <c r="BR393" s="3">
        <f>-BR266</f>
        <v>0</v>
      </c>
      <c r="BS393" s="3">
        <f>-BS266</f>
        <v>0</v>
      </c>
      <c r="BT393" s="3">
        <f>-BT266</f>
        <v>0</v>
      </c>
      <c r="BU393" s="3">
        <f>SUM(BQ393:BT393)</f>
        <v>0</v>
      </c>
      <c r="BV393" s="3">
        <f>-BV266</f>
        <v>0</v>
      </c>
      <c r="BW393" s="3">
        <f>-BW266</f>
        <v>0</v>
      </c>
      <c r="BX393" s="3">
        <f>-BX266</f>
        <v>0</v>
      </c>
      <c r="BY393" s="3">
        <f>-BY266</f>
        <v>0</v>
      </c>
      <c r="BZ393" s="3">
        <f>SUM(BV393:BY393)</f>
        <v>0</v>
      </c>
      <c r="CA393" s="3">
        <f>-CA266</f>
        <v>0</v>
      </c>
      <c r="CB393" s="3">
        <f>-CB266</f>
        <v>0</v>
      </c>
      <c r="CC393" s="3">
        <f>-CC266</f>
        <v>0</v>
      </c>
      <c r="CD393" s="3">
        <f>-CD266</f>
        <v>0</v>
      </c>
      <c r="CE393" s="3">
        <f>SUM(CA393:CD393)</f>
        <v>0</v>
      </c>
      <c r="CF393" s="3">
        <f>-CF266</f>
        <v>0</v>
      </c>
      <c r="CG393" s="3">
        <f>-CG266</f>
        <v>0</v>
      </c>
      <c r="CH393" s="3">
        <f>-CH266</f>
        <v>0</v>
      </c>
      <c r="CI393" s="3">
        <f>-CI266</f>
        <v>0</v>
      </c>
      <c r="CJ393" s="3">
        <f>SUM(CF393:CI393)</f>
        <v>0</v>
      </c>
      <c r="CK393" s="3">
        <f>-CK266</f>
        <v>0</v>
      </c>
      <c r="CL393" s="3">
        <f>-CL266</f>
        <v>0</v>
      </c>
      <c r="CM393" s="3">
        <f>-CM266</f>
        <v>0</v>
      </c>
      <c r="CN393" s="3">
        <f>-CN266</f>
        <v>0</v>
      </c>
      <c r="CO393" s="3">
        <f>SUM(CK393:CN393)</f>
        <v>0</v>
      </c>
      <c r="CP393" s="3">
        <f>-CP266</f>
        <v>0</v>
      </c>
      <c r="CQ393" s="3">
        <f>-CQ266</f>
        <v>0</v>
      </c>
      <c r="CR393" s="3">
        <f>-CR266</f>
        <v>0</v>
      </c>
      <c r="CS393" s="3">
        <f>-CS266</f>
        <v>0</v>
      </c>
      <c r="CT393" s="3">
        <f>SUM(CP393:CS393)</f>
        <v>0</v>
      </c>
      <c r="CU393" s="3">
        <f>-CU266</f>
        <v>0</v>
      </c>
      <c r="CV393" s="3">
        <f>-CV266</f>
        <v>0</v>
      </c>
      <c r="CW393" s="3">
        <f>-CW266</f>
        <v>0</v>
      </c>
      <c r="CX393" s="3">
        <f>-CX266</f>
        <v>0</v>
      </c>
      <c r="CY393" s="3">
        <f>SUM(CU393:CX393)</f>
        <v>0</v>
      </c>
    </row>
    <row r="394">
      <c r="C394" s="29" t="inlineStr">
        <is>
          <t>Var.Right-of-use-assets</t>
        </is>
      </c>
      <c r="D394" s="3" t="n"/>
      <c r="E394" s="3">
        <f>(E273-D273)*-1</f>
        <v>0</v>
      </c>
      <c r="F394" s="3">
        <f>(F273-E273)*-1</f>
        <v>0</v>
      </c>
      <c r="G394" s="3">
        <f>(G273-F273)*-1</f>
        <v>0</v>
      </c>
      <c r="H394" s="3">
        <f>SUM(D394:G394)</f>
        <v>0</v>
      </c>
      <c r="I394" s="3">
        <f>(I273-H273)*-1</f>
        <v>0</v>
      </c>
      <c r="J394" s="3">
        <f>(J273-I273)*-1</f>
        <v>0</v>
      </c>
      <c r="K394" s="3">
        <f>(K273-J273)*-1</f>
        <v>0</v>
      </c>
      <c r="L394" s="3">
        <f>(L273-K273)*-1</f>
        <v>0</v>
      </c>
      <c r="M394" s="3">
        <f>SUM(I394:L394)</f>
        <v>0</v>
      </c>
      <c r="N394" s="3">
        <f>(N273-M273)*-1</f>
        <v>0</v>
      </c>
      <c r="O394" s="3">
        <f>(O273-N273)*-1</f>
        <v>0</v>
      </c>
      <c r="P394" s="3">
        <f>(P273-O273)*-1</f>
        <v>0</v>
      </c>
      <c r="Q394" s="3">
        <f>(Q273-P273)*-1</f>
        <v>0</v>
      </c>
      <c r="R394" s="3">
        <f>SUM(N394:Q394)</f>
        <v>0</v>
      </c>
      <c r="S394" s="3">
        <f>(S273-R273)*-1</f>
        <v>0</v>
      </c>
      <c r="T394" s="3">
        <f>(T273-S273)*-1</f>
        <v>0</v>
      </c>
      <c r="U394" s="3">
        <f>(U273-T273)*-1</f>
        <v>0</v>
      </c>
      <c r="V394" s="3">
        <f>(V273-U273)*-1</f>
        <v>0</v>
      </c>
      <c r="W394" s="3">
        <f>SUM(S394:V394)</f>
        <v>0</v>
      </c>
      <c r="X394" s="3">
        <f>(X273-W273)*-1</f>
        <v>0</v>
      </c>
      <c r="Y394" s="3">
        <f>(Y273-X273)*-1</f>
        <v>0</v>
      </c>
      <c r="Z394" s="3">
        <f>(Z273-Y273)*-1</f>
        <v>0</v>
      </c>
      <c r="AA394" s="3">
        <f>(AA273-Z273)*-1</f>
        <v>0</v>
      </c>
      <c r="AB394" s="3">
        <f>SUM(X394:AA394)</f>
        <v>0</v>
      </c>
      <c r="AC394" s="3">
        <f>(AC273-AB273)*-1</f>
        <v>0</v>
      </c>
      <c r="AD394" s="3">
        <f>(AD273-AC273)*-1</f>
        <v>0</v>
      </c>
      <c r="AE394" s="3">
        <f>(AE273-AD273)*-1</f>
        <v>0</v>
      </c>
      <c r="AF394" s="3">
        <f>(AF273-AE273)*-1</f>
        <v>0</v>
      </c>
      <c r="AG394" s="3">
        <f>SUM(AC394:AF394)</f>
        <v>0</v>
      </c>
      <c r="AH394" s="3">
        <f>(AH273-AG273)*-1</f>
        <v>0</v>
      </c>
      <c r="AI394" s="3">
        <f>(AI273-AH273)*-1</f>
        <v>0</v>
      </c>
      <c r="AJ394" s="3">
        <f>(AJ273-AI273)*-1</f>
        <v>0</v>
      </c>
      <c r="AK394" s="3">
        <f>(AK273-AJ273)*-1</f>
        <v>0</v>
      </c>
      <c r="AL394" s="3">
        <f>SUM(AH394:AK394)</f>
        <v>0</v>
      </c>
      <c r="AM394" s="3">
        <f>(AM273-AL273)*-1</f>
        <v>0</v>
      </c>
      <c r="AN394" s="3">
        <f>(AN273-AM273)*-1</f>
        <v>0</v>
      </c>
      <c r="AO394" s="3">
        <f>(AO273-AN273)*-1</f>
        <v>0</v>
      </c>
      <c r="AP394" s="3">
        <f>(AP273-AO273)*-1</f>
        <v>0</v>
      </c>
      <c r="AQ394" s="3">
        <f>SUM(AM394:AP394)</f>
        <v>0</v>
      </c>
      <c r="AR394" s="3">
        <f>(AR273-AQ273)*-1</f>
        <v>0</v>
      </c>
      <c r="AS394" s="3">
        <f>(AS273-AR273)*-1</f>
        <v>0</v>
      </c>
      <c r="AT394" s="3">
        <f>(AT273-AS273)*-1</f>
        <v>0</v>
      </c>
      <c r="AU394" s="3">
        <f>(AU273-AT273)*-1</f>
        <v>0</v>
      </c>
      <c r="AV394" s="3">
        <f>SUM(AR394:AU394)</f>
        <v>0</v>
      </c>
      <c r="AW394" s="3">
        <f>(AW273-AV273)*-1</f>
        <v>0</v>
      </c>
      <c r="AX394" s="3">
        <f>(AX273-AW273)*-1</f>
        <v>0</v>
      </c>
      <c r="AY394" s="3">
        <f>(AY273-AX273)*-1</f>
        <v>0</v>
      </c>
      <c r="AZ394" s="3">
        <f>(AZ273-AY273)*-1</f>
        <v>0</v>
      </c>
      <c r="BA394" s="3">
        <f>SUM(AW394:AZ394)</f>
        <v>0</v>
      </c>
      <c r="BB394" s="3">
        <f>(BB273-BA273)*-1</f>
        <v>0</v>
      </c>
      <c r="BC394" s="3">
        <f>(BC273-BB273)*-1</f>
        <v>0</v>
      </c>
      <c r="BD394" s="3">
        <f>(BD273-BC273)*-1</f>
        <v>0</v>
      </c>
      <c r="BE394" s="3">
        <f>(BE273-BD273)*-1</f>
        <v>0</v>
      </c>
      <c r="BF394" s="3">
        <f>SUM(BB394:BE394)</f>
        <v>0</v>
      </c>
      <c r="BG394" s="3">
        <f>(BG273-BF273)*-1</f>
        <v>0</v>
      </c>
      <c r="BH394" s="3">
        <f>(BH273-BG273)*-1</f>
        <v>0</v>
      </c>
      <c r="BI394" s="3">
        <f>(BI273-BH273)*-1</f>
        <v>0</v>
      </c>
      <c r="BJ394" s="3">
        <f>(BJ273-BI273)*-1</f>
        <v>0</v>
      </c>
      <c r="BK394" s="3">
        <f>SUM(BG394:BJ394)</f>
        <v>0</v>
      </c>
      <c r="BL394" s="3">
        <f>(BL273-BK273)*-1</f>
        <v>0</v>
      </c>
      <c r="BM394" s="3">
        <f>(BM273-BL273)*-1</f>
        <v>0</v>
      </c>
      <c r="BN394" s="3">
        <f>(BN273-BM273)*-1</f>
        <v>0</v>
      </c>
      <c r="BO394" s="3">
        <f>(BO273-BN273)*-1</f>
        <v>0</v>
      </c>
      <c r="BP394" s="3">
        <f>SUM(BL394:BO394)</f>
        <v>0</v>
      </c>
      <c r="BQ394" s="3">
        <f>(BQ273-BP273)*-1</f>
        <v>0</v>
      </c>
      <c r="BR394" s="3">
        <f>(BR273-BQ273)*-1</f>
        <v>0</v>
      </c>
      <c r="BS394" s="3">
        <f>(BS273-BR273)*-1</f>
        <v>0</v>
      </c>
      <c r="BT394" s="3">
        <f>(BT273-BS273)*-1</f>
        <v>0</v>
      </c>
      <c r="BU394" s="3">
        <f>SUM(BQ394:BT394)</f>
        <v>0</v>
      </c>
      <c r="BV394" s="3">
        <f>(BV273-BU273)*-1</f>
        <v>0</v>
      </c>
      <c r="BW394" s="3">
        <f>(BW273-BV273)*-1</f>
        <v>0</v>
      </c>
      <c r="BX394" s="3">
        <f>(BX273-BW273)*-1</f>
        <v>0</v>
      </c>
      <c r="BY394" s="3">
        <f>(BY273-BX273)*-1</f>
        <v>0</v>
      </c>
      <c r="BZ394" s="3">
        <f>SUM(BV394:BY394)</f>
        <v>0</v>
      </c>
      <c r="CA394" s="3">
        <f>(CA273-BZ273)*-1</f>
        <v>0</v>
      </c>
      <c r="CB394" s="3">
        <f>(CB273-CA273)*-1</f>
        <v>0</v>
      </c>
      <c r="CC394" s="3">
        <f>(CC273-CB273)*-1</f>
        <v>0</v>
      </c>
      <c r="CD394" s="3">
        <f>(CD273-CC273)*-1</f>
        <v>0</v>
      </c>
      <c r="CE394" s="3">
        <f>SUM(CA394:CD394)</f>
        <v>0</v>
      </c>
      <c r="CF394" s="3">
        <f>(CF273-CE273)*-1</f>
        <v>0</v>
      </c>
      <c r="CG394" s="3">
        <f>(CG273-CF273)*-1</f>
        <v>0</v>
      </c>
      <c r="CH394" s="3">
        <f>(CH273-CG273)*-1</f>
        <v>0</v>
      </c>
      <c r="CI394" s="3">
        <f>(CI273-CH273)*-1</f>
        <v>0</v>
      </c>
      <c r="CJ394" s="3">
        <f>SUM(CF394:CI394)</f>
        <v>0</v>
      </c>
      <c r="CK394" s="3">
        <f>(CK273-CJ273)*-1</f>
        <v>0</v>
      </c>
      <c r="CL394" s="3">
        <f>(CL273-CK273)*-1</f>
        <v>0</v>
      </c>
      <c r="CM394" s="3">
        <f>(CM273-CL273)*-1</f>
        <v>0</v>
      </c>
      <c r="CN394" s="3">
        <f>(CN273-CM273)*-1</f>
        <v>0</v>
      </c>
      <c r="CO394" s="3">
        <f>SUM(CK394:CN394)</f>
        <v>0</v>
      </c>
      <c r="CP394" s="3">
        <f>(CP273-CO273)*-1</f>
        <v>0</v>
      </c>
      <c r="CQ394" s="3">
        <f>(CQ273-CP273)*-1</f>
        <v>0</v>
      </c>
      <c r="CR394" s="3">
        <f>(CR273-CQ273)*-1</f>
        <v>0</v>
      </c>
      <c r="CS394" s="3">
        <f>(CS273-CR273)*-1</f>
        <v>0</v>
      </c>
      <c r="CT394" s="3">
        <f>SUM(CP394:CS394)</f>
        <v>0</v>
      </c>
      <c r="CU394" s="3">
        <f>(CU273-CT273)*-1</f>
        <v>0</v>
      </c>
      <c r="CV394" s="3">
        <f>(CV273-CU273)*-1</f>
        <v>0</v>
      </c>
      <c r="CW394" s="3">
        <f>(CW273-CV273)*-1</f>
        <v>0</v>
      </c>
      <c r="CX394" s="3">
        <f>(CX273-CW273)*-1</f>
        <v>0</v>
      </c>
      <c r="CY394" s="3">
        <f>SUM(CU394:CX394)</f>
        <v>0</v>
      </c>
      <c r="CZ394" s="3" t="n"/>
      <c r="DA394" s="3" t="n"/>
      <c r="DB394" s="3" t="n"/>
      <c r="DC394" s="3" t="n"/>
    </row>
    <row r="395">
      <c r="C395" s="29" t="inlineStr">
        <is>
          <t>Purchases of intangible assets</t>
        </is>
      </c>
      <c r="D395" s="3" t="n"/>
      <c r="E395" s="3">
        <f>((E277-D277)*-1)+((E276-D276)*-1)</f>
        <v>13.416</v>
      </c>
      <c r="F395" s="3">
        <f>((F277-E277)*-1)+((F276-E276)*-1)</f>
        <v>-12.464</v>
      </c>
      <c r="G395" s="3">
        <f>((G277-F277)*-1)+((G276-F276)*-1)</f>
        <v>-6.01900000000001</v>
      </c>
      <c r="H395" s="3">
        <f>SUM(D395:G395)</f>
        <v>-5.06700000000001</v>
      </c>
      <c r="I395" s="3">
        <f>((I277-H277)*-1)+((I276-H276)*-1)</f>
        <v>-2.56999999999999</v>
      </c>
      <c r="J395" s="3">
        <f>((J277-I277)*-1)+((J276-I276)*-1)</f>
        <v>3.14099999999999</v>
      </c>
      <c r="K395" s="3">
        <f>((K277-J277)*-1)+((K276-J276)*-1)</f>
        <v>-2.96600000000001</v>
      </c>
      <c r="L395" s="3">
        <f>((L277-K277)*-1)+((L276-K276)*-1)</f>
        <v>-81.169</v>
      </c>
      <c r="M395" s="3">
        <f>SUM(I395:L395)</f>
        <v>-83.564</v>
      </c>
      <c r="N395" s="3">
        <f>((N277-M277)*-1)+((N276-M276)*-1)</f>
        <v>4.43000000000001</v>
      </c>
      <c r="O395" s="3">
        <f>((O277-N277)*-1)+((O276-N276)*-1)</f>
        <v>-3.11500000000001</v>
      </c>
      <c r="P395" s="3">
        <f>((P277-O277)*-1)+((P276-O276)*-1)</f>
        <v>2.28100000000001</v>
      </c>
      <c r="Q395" s="3">
        <f>((Q277-P277)*-1)+((Q276-P276)*-1)</f>
        <v>8.27500000000003</v>
      </c>
      <c r="R395" s="3">
        <f>SUM(N395:Q395)</f>
        <v>11.871</v>
      </c>
      <c r="S395" s="3">
        <f>((S277-R277)*-1)+((S276-R276)*-1)</f>
        <v>1.37</v>
      </c>
      <c r="T395" s="3">
        <f>((T277-S277)*-1)+((T276-S276)*-1)</f>
        <v>1.91899999999998</v>
      </c>
      <c r="U395" s="3">
        <f>((U277-T277)*-1)+((U276-T276)*-1)</f>
        <v>-7.48599999999999</v>
      </c>
      <c r="V395" s="3">
        <f>((V277-U277)*-1)+((V276-U276)*-1)</f>
        <v>5.87899999999996</v>
      </c>
      <c r="W395" s="3">
        <f>SUM(S395:V395)</f>
        <v>1.68199999999996</v>
      </c>
      <c r="X395" s="3">
        <f>((X277-W277)*-1)+((X276-W276)*-1)</f>
        <v>-16.164</v>
      </c>
      <c r="Y395" s="3">
        <f>((Y277-X277)*-1)+((Y276-X276)*-1)</f>
        <v>-7.738</v>
      </c>
      <c r="Z395" s="3">
        <f>((Z277-Y277)*-1)+((Z276-Y276)*-1)</f>
        <v>-7.589</v>
      </c>
      <c r="AA395" s="3">
        <f>((AA277-Z277)*-1)+((AA276-Z276)*-1)</f>
        <v>-65.33</v>
      </c>
      <c r="AB395" s="3">
        <f>SUM(X395:AA395)</f>
        <v>-96.821</v>
      </c>
      <c r="AC395" s="3">
        <f>((AC277-AB277)*-1)+((AC276-AB276)*-1)</f>
        <v>10.293</v>
      </c>
      <c r="AD395" s="3">
        <f>((AD277-AC277)*-1)+((AD276-AC276)*-1)</f>
        <v>3.63499999999999</v>
      </c>
      <c r="AE395" s="3">
        <f>((AE277-AD277)*-1)+((AE276-AD276)*-1)</f>
        <v>-23.949</v>
      </c>
      <c r="AF395" s="3">
        <f>((AF277-AE277)*-1)+((AF276-AE276)*-1)</f>
        <v>-72.143</v>
      </c>
      <c r="AG395" s="3">
        <f>SUM(AC395:AF395)</f>
        <v>-82.164</v>
      </c>
      <c r="AH395" s="3">
        <f>((AH277-AG277)*-1)+((AH276-AG276)*-1)</f>
        <v>-22.162</v>
      </c>
      <c r="AI395" s="3">
        <f>((AI277-AH277)*-1)+((AI276-AH276)*-1)</f>
        <v>-124.267</v>
      </c>
      <c r="AJ395" s="3">
        <f>((AJ277-AI277)*-1)+((AJ276-AI276)*-1)</f>
        <v>593.425</v>
      </c>
      <c r="AK395" s="3">
        <f>((AK277-AJ277)*-1)+((AK276-AJ276)*-1)</f>
        <v>0</v>
      </c>
      <c r="AL395" s="3">
        <f>SUM(AH395:AK395)</f>
        <v>446.996</v>
      </c>
      <c r="AM395" s="3">
        <f>((AM277-AL277)*-1)+((AM276-AL276)*-1)</f>
        <v>0</v>
      </c>
      <c r="AN395" s="3">
        <f>((AN277-AM277)*-1)+((AN276-AM276)*-1)</f>
        <v>0</v>
      </c>
      <c r="AO395" s="3">
        <f>((AO277-AN277)*-1)+((AO276-AN276)*-1)</f>
        <v>0</v>
      </c>
      <c r="AP395" s="3">
        <f>((AP277-AO277)*-1)+((AP276-AO276)*-1)</f>
        <v>0</v>
      </c>
      <c r="AQ395" s="3">
        <f>SUM(AM395:AP395)</f>
        <v>0</v>
      </c>
      <c r="AR395" s="3">
        <f>((AR277-AQ277)*-1)+((AR276-AQ276)*-1)</f>
        <v>0</v>
      </c>
      <c r="AS395" s="3">
        <f>((AS277-AR277)*-1)+((AS276-AR276)*-1)</f>
        <v>0</v>
      </c>
      <c r="AT395" s="3">
        <f>((AT277-AS277)*-1)+((AT276-AS276)*-1)</f>
        <v>0</v>
      </c>
      <c r="AU395" s="3">
        <f>((AU277-AT277)*-1)+((AU276-AT276)*-1)</f>
        <v>0</v>
      </c>
      <c r="AV395" s="3">
        <f>SUM(AR395:AU395)</f>
        <v>0</v>
      </c>
      <c r="AW395" s="3">
        <f>((AW277-AV277)*-1)+((AW276-AV276)*-1)</f>
        <v>0</v>
      </c>
      <c r="AX395" s="3">
        <f>((AX277-AW277)*-1)+((AX276-AW276)*-1)</f>
        <v>0</v>
      </c>
      <c r="AY395" s="3">
        <f>((AY277-AX277)*-1)+((AY276-AX276)*-1)</f>
        <v>0</v>
      </c>
      <c r="AZ395" s="3">
        <f>((AZ277-AY277)*-1)+((AZ276-AY276)*-1)</f>
        <v>0</v>
      </c>
      <c r="BA395" s="3">
        <f>SUM(AW395:AZ395)</f>
        <v>0</v>
      </c>
      <c r="BB395" s="3">
        <f>((BB277-BA277)*-1)+((BB276-BA276)*-1)</f>
        <v>0</v>
      </c>
      <c r="BC395" s="3">
        <f>((BC277-BB277)*-1)+((BC276-BB276)*-1)</f>
        <v>0</v>
      </c>
      <c r="BD395" s="3">
        <f>((BD277-BC277)*-1)+((BD276-BC276)*-1)</f>
        <v>0</v>
      </c>
      <c r="BE395" s="3">
        <f>((BE277-BD277)*-1)+((BE276-BD276)*-1)</f>
        <v>0</v>
      </c>
      <c r="BF395" s="3">
        <f>SUM(BB395:BE395)</f>
        <v>0</v>
      </c>
      <c r="BG395" s="3">
        <f>((BG277-BF277)*-1)+((BG276-BF276)*-1)</f>
        <v>0</v>
      </c>
      <c r="BH395" s="3">
        <f>((BH277-BG277)*-1)+((BH276-BG276)*-1)</f>
        <v>0</v>
      </c>
      <c r="BI395" s="3">
        <f>((BI277-BH277)*-1)+((BI276-BH276)*-1)</f>
        <v>0</v>
      </c>
      <c r="BJ395" s="3">
        <f>((BJ277-BI277)*-1)+((BJ276-BI276)*-1)</f>
        <v>0</v>
      </c>
      <c r="BK395" s="3">
        <f>SUM(BG395:BJ395)</f>
        <v>0</v>
      </c>
      <c r="BL395" s="3">
        <f>((BL277-BK277)*-1)+((BL276-BK276)*-1)</f>
        <v>0</v>
      </c>
      <c r="BM395" s="3">
        <f>((BM277-BL277)*-1)+((BM276-BL276)*-1)</f>
        <v>0</v>
      </c>
      <c r="BN395" s="3">
        <f>((BN277-BM277)*-1)+((BN276-BM276)*-1)</f>
        <v>0</v>
      </c>
      <c r="BO395" s="3">
        <f>((BO277-BN277)*-1)+((BO276-BN276)*-1)</f>
        <v>0</v>
      </c>
      <c r="BP395" s="3">
        <f>SUM(BL395:BO395)</f>
        <v>0</v>
      </c>
      <c r="BQ395" s="3">
        <f>((BQ277-BP277)*-1)+((BQ276-BP276)*-1)</f>
        <v>0</v>
      </c>
      <c r="BR395" s="3">
        <f>((BR277-BQ277)*-1)+((BR276-BQ276)*-1)</f>
        <v>0</v>
      </c>
      <c r="BS395" s="3">
        <f>((BS277-BR277)*-1)+((BS276-BR276)*-1)</f>
        <v>0</v>
      </c>
      <c r="BT395" s="3">
        <f>((BT277-BS277)*-1)+((BT276-BS276)*-1)</f>
        <v>0</v>
      </c>
      <c r="BU395" s="3">
        <f>SUM(BQ395:BT395)</f>
        <v>0</v>
      </c>
      <c r="BV395" s="3">
        <f>((BV277-BU277)*-1)+((BV276-BU276)*-1)</f>
        <v>0</v>
      </c>
      <c r="BW395" s="3">
        <f>((BW277-BV277)*-1)+((BW276-BV276)*-1)</f>
        <v>0</v>
      </c>
      <c r="BX395" s="3">
        <f>((BX277-BW277)*-1)+((BX276-BW276)*-1)</f>
        <v>0</v>
      </c>
      <c r="BY395" s="3">
        <f>((BY277-BX277)*-1)+((BY276-BX276)*-1)</f>
        <v>0</v>
      </c>
      <c r="BZ395" s="3">
        <f>SUM(BV395:BY395)</f>
        <v>0</v>
      </c>
      <c r="CA395" s="3">
        <f>((CA277-BZ277)*-1)+((CA276-BZ276)*-1)</f>
        <v>0</v>
      </c>
      <c r="CB395" s="3">
        <f>((CB277-CA277)*-1)+((CB276-CA276)*-1)</f>
        <v>0</v>
      </c>
      <c r="CC395" s="3">
        <f>((CC277-CB277)*-1)+((CC276-CB276)*-1)</f>
        <v>0</v>
      </c>
      <c r="CD395" s="3">
        <f>((CD277-CC277)*-1)+((CD276-CC276)*-1)</f>
        <v>0</v>
      </c>
      <c r="CE395" s="3">
        <f>SUM(CA395:CD395)</f>
        <v>0</v>
      </c>
      <c r="CF395" s="3">
        <f>((CF277-CE277)*-1)+((CF276-CE276)*-1)</f>
        <v>0</v>
      </c>
      <c r="CG395" s="3">
        <f>((CG277-CF277)*-1)+((CG276-CF276)*-1)</f>
        <v>0</v>
      </c>
      <c r="CH395" s="3">
        <f>((CH277-CG277)*-1)+((CH276-CG276)*-1)</f>
        <v>0</v>
      </c>
      <c r="CI395" s="3">
        <f>((CI277-CH277)*-1)+((CI276-CH276)*-1)</f>
        <v>0</v>
      </c>
      <c r="CJ395" s="3">
        <f>SUM(CF395:CI395)</f>
        <v>0</v>
      </c>
      <c r="CK395" s="3">
        <f>((CK277-CJ277)*-1)+((CK276-CJ276)*-1)</f>
        <v>0</v>
      </c>
      <c r="CL395" s="3">
        <f>((CL277-CK277)*-1)+((CL276-CK276)*-1)</f>
        <v>0</v>
      </c>
      <c r="CM395" s="3">
        <f>((CM277-CL277)*-1)+((CM276-CL276)*-1)</f>
        <v>0</v>
      </c>
      <c r="CN395" s="3">
        <f>((CN277-CM277)*-1)+((CN276-CM276)*-1)</f>
        <v>0</v>
      </c>
      <c r="CO395" s="3">
        <f>SUM(CK395:CN395)</f>
        <v>0</v>
      </c>
      <c r="CP395" s="3">
        <f>((CP277-CO277)*-1)+((CP276-CO276)*-1)</f>
        <v>0</v>
      </c>
      <c r="CQ395" s="3">
        <f>((CQ277-CP277)*-1)+((CQ276-CP276)*-1)</f>
        <v>0</v>
      </c>
      <c r="CR395" s="3">
        <f>((CR277-CQ277)*-1)+((CR276-CQ276)*-1)</f>
        <v>0</v>
      </c>
      <c r="CS395" s="3">
        <f>((CS277-CR277)*-1)+((CS276-CR276)*-1)</f>
        <v>0</v>
      </c>
      <c r="CT395" s="3">
        <f>SUM(CP395:CS395)</f>
        <v>0</v>
      </c>
      <c r="CU395" s="3">
        <f>((CU277-CT277)*-1)+((CU276-CT276)*-1)</f>
        <v>0</v>
      </c>
      <c r="CV395" s="3">
        <f>((CV277-CU277)*-1)+((CV276-CU276)*-1)</f>
        <v>0</v>
      </c>
      <c r="CW395" s="3">
        <f>((CW277-CV277)*-1)+((CW276-CV276)*-1)</f>
        <v>0</v>
      </c>
      <c r="CX395" s="3">
        <f>((CX277-CW277)*-1)+((CX276-CW276)*-1)</f>
        <v>0</v>
      </c>
      <c r="CY395" s="3">
        <f>SUM(CU395:CX395)</f>
        <v>0</v>
      </c>
      <c r="CZ395" s="3" t="n"/>
      <c r="DA395" s="3" t="n"/>
      <c r="DB395" s="3" t="n"/>
      <c r="DC395" s="3" t="n"/>
    </row>
    <row r="396">
      <c r="C396" s="30" t="inlineStr">
        <is>
          <t>Purchases/Proceeds from other long-term assets</t>
        </is>
      </c>
      <c r="D396" s="3" t="n"/>
      <c r="E396" s="3">
        <f>((E286-D286)*-1)+(E337-D337)</f>
        <v>-684.405</v>
      </c>
      <c r="F396" s="3">
        <f>((F286-E286)*-1)+(F337-E337)</f>
        <v>-920.592999999999</v>
      </c>
      <c r="G396" s="3">
        <f>((G286-F286)*-1)+(G337-F337)</f>
        <v>-1614.089</v>
      </c>
      <c r="H396" s="3">
        <f>SUM(D396:G396)</f>
        <v>-3219.087</v>
      </c>
      <c r="I396" s="3">
        <f>((I286-H286)*-1)+(I337-H337)</f>
        <v>-844.004000000001</v>
      </c>
      <c r="J396" s="3">
        <f>((J286-I286)*-1)+(J337-I337)</f>
        <v>-745.518</v>
      </c>
      <c r="K396" s="3">
        <f>((K286-J286)*-1)+(K337-J337)</f>
        <v>-485.872</v>
      </c>
      <c r="L396" s="3">
        <f>((L286-K286)*-1)+(L337-K337)</f>
        <v>-299.954</v>
      </c>
      <c r="M396" s="3">
        <f>SUM(I396:L396)</f>
        <v>-2375.348</v>
      </c>
      <c r="N396" s="3">
        <f>((N286-M286)*-1)+(N337-M337)</f>
        <v>-375.386000000002</v>
      </c>
      <c r="O396" s="3">
        <f>((O286-N286)*-1)+(O337-N337)</f>
        <v>-152.487999999998</v>
      </c>
      <c r="P396" s="3">
        <f>((P286-O286)*-1)+(P337-O337)</f>
        <v>143.989999999999</v>
      </c>
      <c r="Q396" s="3">
        <f>((Q286-P286)*-1)+(Q337-P337)</f>
        <v>48.5320000000006</v>
      </c>
      <c r="R396" s="3">
        <f>SUM(N396:Q396)</f>
        <v>-335.352</v>
      </c>
      <c r="S396" s="3">
        <f>((S286-R286)*-1)+(S337-R337)</f>
        <v>-185.582000000003</v>
      </c>
      <c r="T396" s="3">
        <f>((T286-S286)*-1)+(T337-S337)</f>
        <v>111.661000000001</v>
      </c>
      <c r="U396" s="3">
        <f>((U286-T286)*-1)+(U337-T337)</f>
        <v>195.599000000001</v>
      </c>
      <c r="V396" s="3">
        <f>((V286-U286)*-1)+(V337-U337)</f>
        <v>-43.4199999999985</v>
      </c>
      <c r="W396" s="3">
        <f>SUM(S396:V396)</f>
        <v>78.2579999999998</v>
      </c>
      <c r="X396" s="3">
        <f>((X286-W286)*-1)+(X337-W337)</f>
        <v>-144.214000000001</v>
      </c>
      <c r="Y396" s="3">
        <f>((Y286-X286)*-1)+(Y337-X337)</f>
        <v>-104.736000000003</v>
      </c>
      <c r="Z396" s="3">
        <f>((Z286-Y286)*-1)+(Z337-Y337)</f>
        <v>-74.3649999999943</v>
      </c>
      <c r="AA396" s="3">
        <f>((AA286-Z286)*-1)+(AA337-Z337)</f>
        <v>-112.632000000001</v>
      </c>
      <c r="AB396" s="3">
        <f>SUM(X396:AA396)</f>
        <v>-435.946999999999</v>
      </c>
      <c r="AC396" s="3">
        <f>((AC286-AB286)*-1)+(AC337-AB337)</f>
        <v>-340.868000000003</v>
      </c>
      <c r="AD396" s="3">
        <f>((AD286-AC286)*-1)+(AD337-AC337)</f>
        <v>-36.9929999999986</v>
      </c>
      <c r="AE396" s="3">
        <f>((AE286-AD286)*-1)+(AE337-AD337)</f>
        <v>-167.245000000001</v>
      </c>
      <c r="AF396" s="3">
        <f>((AF286-AE286)*-1)+(AF337-AE337)</f>
        <v>-214.820999999999</v>
      </c>
      <c r="AG396" s="3">
        <f>SUM(AC396:AF396)</f>
        <v>-759.927000000002</v>
      </c>
      <c r="AH396" s="3">
        <f>((AH286-AG286)*-1)+(AH337-AG337)</f>
        <v>-221.545</v>
      </c>
      <c r="AI396" s="3">
        <f>((AI286-AH286)*-1)+(AI337-AH337)</f>
        <v>-286.123000000001</v>
      </c>
      <c r="AJ396" s="3">
        <f>((AJ286-AI286)*-1)+(AJ337-AI337)</f>
        <v>0</v>
      </c>
      <c r="AK396" s="3">
        <f>((AK286-AJ286)*-1)+(AK337-AJ337)</f>
        <v>0</v>
      </c>
      <c r="AL396" s="3">
        <f>SUM(AH396:AK396)</f>
        <v>-507.668000000002</v>
      </c>
      <c r="AM396" s="3">
        <f>((AM286-AL286)*-1)+(AM337-AL337)</f>
        <v>0</v>
      </c>
      <c r="AN396" s="3">
        <f>((AN286-AM286)*-1)+(AN337-AM337)</f>
        <v>0</v>
      </c>
      <c r="AO396" s="3">
        <f>((AO286-AN286)*-1)+(AO337-AN337)</f>
        <v>0</v>
      </c>
      <c r="AP396" s="3">
        <f>((AP286-AO286)*-1)+(AP337-AO337)</f>
        <v>0</v>
      </c>
      <c r="AQ396" s="3">
        <f>SUM(AM396:AP396)</f>
        <v>0</v>
      </c>
      <c r="AR396" s="3">
        <f>((AR286-AQ286)*-1)+(AR337-AQ337)</f>
        <v>0</v>
      </c>
      <c r="AS396" s="3">
        <f>((AS286-AR286)*-1)+(AS337-AR337)</f>
        <v>0</v>
      </c>
      <c r="AT396" s="3">
        <f>((AT286-AS286)*-1)+(AT337-AS337)</f>
        <v>0</v>
      </c>
      <c r="AU396" s="3">
        <f>((AU286-AT286)*-1)+(AU337-AT337)</f>
        <v>0</v>
      </c>
      <c r="AV396" s="3">
        <f>SUM(AR396:AU396)</f>
        <v>0</v>
      </c>
      <c r="AW396" s="3">
        <f>((AW286-AV286)*-1)+(AW337-AV337)</f>
        <v>0</v>
      </c>
      <c r="AX396" s="3">
        <f>((AX286-AW286)*-1)+(AX337-AW337)</f>
        <v>0</v>
      </c>
      <c r="AY396" s="3">
        <f>((AY286-AX286)*-1)+(AY337-AX337)</f>
        <v>0</v>
      </c>
      <c r="AZ396" s="3">
        <f>((AZ286-AY286)*-1)+(AZ337-AY337)</f>
        <v>0</v>
      </c>
      <c r="BA396" s="3">
        <f>SUM(AW396:AZ396)</f>
        <v>0</v>
      </c>
      <c r="BB396" s="3">
        <f>((BB286-BA286)*-1)+(BB337-BA337)</f>
        <v>0</v>
      </c>
      <c r="BC396" s="3">
        <f>((BC286-BB286)*-1)+(BC337-BB337)</f>
        <v>0</v>
      </c>
      <c r="BD396" s="3">
        <f>((BD286-BC286)*-1)+(BD337-BC337)</f>
        <v>0</v>
      </c>
      <c r="BE396" s="3">
        <f>((BE286-BD286)*-1)+(BE337-BD337)</f>
        <v>0</v>
      </c>
      <c r="BF396" s="3">
        <f>SUM(BB396:BE396)</f>
        <v>0</v>
      </c>
      <c r="BG396" s="3">
        <f>((BG286-BF286)*-1)+(BG337-BF337)</f>
        <v>0</v>
      </c>
      <c r="BH396" s="3">
        <f>((BH286-BG286)*-1)+(BH337-BG337)</f>
        <v>0</v>
      </c>
      <c r="BI396" s="3">
        <f>((BI286-BH286)*-1)+(BI337-BH337)</f>
        <v>0</v>
      </c>
      <c r="BJ396" s="3">
        <f>((BJ286-BI286)*-1)+(BJ337-BI337)</f>
        <v>0</v>
      </c>
      <c r="BK396" s="3">
        <f>SUM(BG396:BJ396)</f>
        <v>0</v>
      </c>
      <c r="BL396" s="3">
        <f>((BL286-BK286)*-1)+(BL337-BK337)</f>
        <v>0</v>
      </c>
      <c r="BM396" s="3">
        <f>((BM286-BL286)*-1)+(BM337-BL337)</f>
        <v>0</v>
      </c>
      <c r="BN396" s="3">
        <f>((BN286-BM286)*-1)+(BN337-BM337)</f>
        <v>0</v>
      </c>
      <c r="BO396" s="3">
        <f>((BO286-BN286)*-1)+(BO337-BN337)</f>
        <v>0</v>
      </c>
      <c r="BP396" s="3">
        <f>SUM(BL396:BO396)</f>
        <v>0</v>
      </c>
      <c r="BQ396" s="3">
        <f>((BQ286-BP286)*-1)+(BQ337-BP337)</f>
        <v>0</v>
      </c>
      <c r="BR396" s="3">
        <f>((BR286-BQ286)*-1)+(BR337-BQ337)</f>
        <v>0</v>
      </c>
      <c r="BS396" s="3">
        <f>((BS286-BR286)*-1)+(BS337-BR337)</f>
        <v>0</v>
      </c>
      <c r="BT396" s="3">
        <f>((BT286-BS286)*-1)+(BT337-BS337)</f>
        <v>0</v>
      </c>
      <c r="BU396" s="3">
        <f>SUM(BQ396:BT396)</f>
        <v>0</v>
      </c>
      <c r="BV396" s="3">
        <f>((BV286-BU286)*-1)+(BV337-BU337)</f>
        <v>0</v>
      </c>
      <c r="BW396" s="3">
        <f>((BW286-BV286)*-1)+(BW337-BV337)</f>
        <v>0</v>
      </c>
      <c r="BX396" s="3">
        <f>((BX286-BW286)*-1)+(BX337-BW337)</f>
        <v>0</v>
      </c>
      <c r="BY396" s="3">
        <f>((BY286-BX286)*-1)+(BY337-BX337)</f>
        <v>0</v>
      </c>
      <c r="BZ396" s="3">
        <f>SUM(BV396:BY396)</f>
        <v>0</v>
      </c>
      <c r="CA396" s="3">
        <f>((CA286-BZ286)*-1)+(CA337-BZ337)</f>
        <v>0</v>
      </c>
      <c r="CB396" s="3">
        <f>((CB286-CA286)*-1)+(CB337-CA337)</f>
        <v>0</v>
      </c>
      <c r="CC396" s="3">
        <f>((CC286-CB286)*-1)+(CC337-CB337)</f>
        <v>0</v>
      </c>
      <c r="CD396" s="3">
        <f>((CD286-CC286)*-1)+(CD337-CC337)</f>
        <v>0</v>
      </c>
      <c r="CE396" s="3">
        <f>SUM(CA396:CD396)</f>
        <v>0</v>
      </c>
      <c r="CF396" s="3">
        <f>((CF286-CE286)*-1)+(CF337-CE337)</f>
        <v>0</v>
      </c>
      <c r="CG396" s="3">
        <f>((CG286-CF286)*-1)+(CG337-CF337)</f>
        <v>0</v>
      </c>
      <c r="CH396" s="3">
        <f>((CH286-CG286)*-1)+(CH337-CG337)</f>
        <v>0</v>
      </c>
      <c r="CI396" s="3">
        <f>((CI286-CH286)*-1)+(CI337-CH337)</f>
        <v>0</v>
      </c>
      <c r="CJ396" s="3">
        <f>SUM(CF396:CI396)</f>
        <v>0</v>
      </c>
      <c r="CK396" s="3">
        <f>((CK286-CJ286)*-1)+(CK337-CJ337)</f>
        <v>0</v>
      </c>
      <c r="CL396" s="3">
        <f>((CL286-CK286)*-1)+(CL337-CK337)</f>
        <v>0</v>
      </c>
      <c r="CM396" s="3">
        <f>((CM286-CL286)*-1)+(CM337-CL337)</f>
        <v>0</v>
      </c>
      <c r="CN396" s="3">
        <f>((CN286-CM286)*-1)+(CN337-CM337)</f>
        <v>0</v>
      </c>
      <c r="CO396" s="3">
        <f>SUM(CK396:CN396)</f>
        <v>0</v>
      </c>
      <c r="CP396" s="3">
        <f>((CP286-CO286)*-1)+(CP337-CO337)</f>
        <v>0</v>
      </c>
      <c r="CQ396" s="3">
        <f>((CQ286-CP286)*-1)+(CQ337-CP337)</f>
        <v>0</v>
      </c>
      <c r="CR396" s="3">
        <f>((CR286-CQ286)*-1)+(CR337-CQ337)</f>
        <v>0</v>
      </c>
      <c r="CS396" s="3">
        <f>((CS286-CR286)*-1)+(CS337-CR337)</f>
        <v>0</v>
      </c>
      <c r="CT396" s="3">
        <f>SUM(CP396:CS396)</f>
        <v>0</v>
      </c>
      <c r="CU396" s="3">
        <f>((CU286-CT286)*-1)+(CU337-CT337)</f>
        <v>0</v>
      </c>
      <c r="CV396" s="3">
        <f>((CV286-CU286)*-1)+(CV337-CU337)</f>
        <v>0</v>
      </c>
      <c r="CW396" s="3">
        <f>((CW286-CV286)*-1)+(CW337-CV337)</f>
        <v>0</v>
      </c>
      <c r="CX396" s="3">
        <f>((CX286-CW286)*-1)+(CX337-CW337)</f>
        <v>0</v>
      </c>
      <c r="CY396" s="3">
        <f>SUM(CU396:CX396)</f>
        <v>0</v>
      </c>
    </row>
    <row r="397">
      <c r="C397" s="26" t="inlineStr">
        <is>
          <t>Cash from investing</t>
        </is>
      </c>
      <c r="D397" s="3" t="n"/>
      <c r="E397" s="3">
        <f>SUM(E392,E393,E395,E396,E394)</f>
        <v>-757.867999999999</v>
      </c>
      <c r="F397" s="3">
        <f>SUM(F392,F393,F395,F396,F394)</f>
        <v>-984.652999999998</v>
      </c>
      <c r="G397" s="3">
        <f>SUM(G392,G393,G395,G396,G394)</f>
        <v>-1608.156</v>
      </c>
      <c r="H397" s="3">
        <f>SUM(H392,H393,H395,H396)</f>
        <v>-3350.677</v>
      </c>
      <c r="I397" s="3">
        <f>SUM(I392,I393,I395,I396,I394)</f>
        <v>-960.642000000001</v>
      </c>
      <c r="J397" s="3">
        <f>SUM(J392,J393,J395,J396,J394)</f>
        <v>-625.47</v>
      </c>
      <c r="K397" s="3">
        <f>SUM(K392,K393,K395,K396,K394)</f>
        <v>-547.669999999999</v>
      </c>
      <c r="L397" s="3">
        <f>SUM(L392,L393,L395,L396,L394)</f>
        <v>-502.775</v>
      </c>
      <c r="M397" s="3">
        <f>SUM(M392,M393,M395,M396)</f>
        <v>-2636.557</v>
      </c>
      <c r="N397" s="3">
        <f>SUM(N392,N393,N395,N396,N394)</f>
        <v>-713.178000000002</v>
      </c>
      <c r="O397" s="3">
        <f>SUM(O392,O393,O395,O396,O394)</f>
        <v>-124.912999999998</v>
      </c>
      <c r="P397" s="3">
        <f>SUM(P392,P393,P395,P396,P394)</f>
        <v>-53.3930000000007</v>
      </c>
      <c r="Q397" s="3">
        <f>SUM(Q392,Q393,Q395,Q396,Q394)</f>
        <v>-195.757</v>
      </c>
      <c r="R397" s="3">
        <f>SUM(R392,R393,R395,R396)</f>
        <v>-1087.241</v>
      </c>
      <c r="S397" s="3">
        <f>SUM(S392,S393,S395,S396,S394)</f>
        <v>-267.134000000003</v>
      </c>
      <c r="T397" s="3">
        <f>SUM(T392,T393,T395,T396,T394)</f>
        <v>41.1030000000004</v>
      </c>
      <c r="U397" s="3">
        <f>SUM(U392,U393,U395,U396,U394)</f>
        <v>25.8040000000009</v>
      </c>
      <c r="V397" s="3">
        <f>SUM(V392,V393,V395,V396,V394)</f>
        <v>-138.870999999999</v>
      </c>
      <c r="W397" s="3">
        <f>SUM(W392,W393,W395,W396)</f>
        <v>-339.098</v>
      </c>
      <c r="X397" s="3">
        <f>SUM(X392,X393,X395,X396,X394)</f>
        <v>-249.014000000001</v>
      </c>
      <c r="Y397" s="3">
        <f>SUM(Y392,Y393,Y395,Y396,Y394)</f>
        <v>-300.481000000003</v>
      </c>
      <c r="Z397" s="3">
        <f>SUM(Z392,Z393,Z395,Z396,Z394)</f>
        <v>-95.0379999999947</v>
      </c>
      <c r="AA397" s="3">
        <f>SUM(AA392,AA393,AA395,AA396,AA394)</f>
        <v>-473.074000000001</v>
      </c>
      <c r="AB397" s="3">
        <f>SUM(AB392,AB393,AB395,AB396)</f>
        <v>-1117.607</v>
      </c>
      <c r="AC397" s="3">
        <f>SUM(AC392,AC393,AC395,AC396,AC394)</f>
        <v>-207.285000000002</v>
      </c>
      <c r="AD397" s="3">
        <f>SUM(AD392,AD393,AD395,AD396,AD394)</f>
        <v>-11.4589999999986</v>
      </c>
      <c r="AE397" s="3">
        <f>SUM(AE392,AE393,AE395,AE396,AE394)</f>
        <v>-204.579000000001</v>
      </c>
      <c r="AF397" s="3">
        <f>SUM(AF392,AF393,AF395,AF396,AF394)</f>
        <v>-486.399</v>
      </c>
      <c r="AG397" s="3">
        <f>SUM(AG392,AG393,AG395,AG396)</f>
        <v>-909.722000000002</v>
      </c>
      <c r="AH397" s="3">
        <f>SUM(AH392,AH393,AH395,AH396,AH394)</f>
        <v>-139.909</v>
      </c>
      <c r="AI397" s="3">
        <f>SUM(AI392,AI393,AI395,AI396,AI394)</f>
        <v>-539.275000000002</v>
      </c>
      <c r="AJ397" s="3">
        <f>SUM(AJ392,AJ393,AJ395,AJ396,AJ394)</f>
        <v>593.425</v>
      </c>
      <c r="AK397" s="3">
        <f>SUM(AK392,AK393,AK395,AK396,AK394)</f>
        <v>0</v>
      </c>
      <c r="AL397" s="3">
        <f>SUM(AL392,AL393,AL395,AL396)</f>
        <v>-85.7590000000015</v>
      </c>
      <c r="AM397" s="3">
        <f>SUM(AM392,AM393,AM395,AM396,AM394)</f>
        <v>0</v>
      </c>
      <c r="AN397" s="3">
        <f>SUM(AN392,AN393,AN395,AN396,AN394)</f>
        <v>0</v>
      </c>
      <c r="AO397" s="3">
        <f>SUM(AO392,AO393,AO395,AO396,AO394)</f>
        <v>0</v>
      </c>
      <c r="AP397" s="3">
        <f>SUM(AP392,AP393,AP395,AP396,AP394)</f>
        <v>0</v>
      </c>
      <c r="AQ397" s="3">
        <f>SUM(AQ392,AQ393,AQ395,AQ396)</f>
        <v>0</v>
      </c>
      <c r="AR397" s="3">
        <f>SUM(AR392,AR393,AR395,AR396,AR394)</f>
        <v>0</v>
      </c>
      <c r="AS397" s="3">
        <f>SUM(AS392,AS393,AS395,AS396,AS394)</f>
        <v>0</v>
      </c>
      <c r="AT397" s="3">
        <f>SUM(AT392,AT393,AT395,AT396,AT394)</f>
        <v>0</v>
      </c>
      <c r="AU397" s="3">
        <f>SUM(AU392,AU393,AU395,AU396,AU394)</f>
        <v>0</v>
      </c>
      <c r="AV397" s="3">
        <f>SUM(AV392,AV393,AV395,AV396)</f>
        <v>0</v>
      </c>
      <c r="AW397" s="3">
        <f>SUM(AW392,AW393,AW395,AW396,AW394)</f>
        <v>0</v>
      </c>
      <c r="AX397" s="3">
        <f>SUM(AX392,AX393,AX395,AX396,AX394)</f>
        <v>0</v>
      </c>
      <c r="AY397" s="3">
        <f>SUM(AY392,AY393,AY395,AY396,AY394)</f>
        <v>0</v>
      </c>
      <c r="AZ397" s="3">
        <f>SUM(AZ392,AZ393,AZ395,AZ396,AZ394)</f>
        <v>0</v>
      </c>
      <c r="BA397" s="3">
        <f>SUM(BA392,BA393,BA395,BA396)</f>
        <v>0</v>
      </c>
      <c r="BB397" s="3">
        <f>SUM(BB392,BB393,BB395,BB396,BB394)</f>
        <v>0</v>
      </c>
      <c r="BC397" s="3">
        <f>SUM(BC392,BC393,BC395,BC396,BC394)</f>
        <v>0</v>
      </c>
      <c r="BD397" s="3">
        <f>SUM(BD392,BD393,BD395,BD396,BD394)</f>
        <v>0</v>
      </c>
      <c r="BE397" s="3">
        <f>SUM(BE392,BE393,BE395,BE396,BE394)</f>
        <v>0</v>
      </c>
      <c r="BF397" s="3">
        <f>SUM(BF392,BF393,BF395,BF396)</f>
        <v>0</v>
      </c>
      <c r="BG397" s="3">
        <f>SUM(BG392,BG393,BG395,BG396,BG394)</f>
        <v>0</v>
      </c>
      <c r="BH397" s="3">
        <f>SUM(BH392,BH393,BH395,BH396,BH394)</f>
        <v>0</v>
      </c>
      <c r="BI397" s="3">
        <f>SUM(BI392,BI393,BI395,BI396,BI394)</f>
        <v>0</v>
      </c>
      <c r="BJ397" s="3">
        <f>SUM(BJ392,BJ393,BJ395,BJ396,BJ394)</f>
        <v>0</v>
      </c>
      <c r="BK397" s="3">
        <f>SUM(BK392,BK393,BK395,BK396)</f>
        <v>0</v>
      </c>
      <c r="BL397" s="3">
        <f>SUM(BL392,BL393,BL395,BL396,BL394)</f>
        <v>0</v>
      </c>
      <c r="BM397" s="3">
        <f>SUM(BM392,BM393,BM395,BM396,BM394)</f>
        <v>0</v>
      </c>
      <c r="BN397" s="3">
        <f>SUM(BN392,BN393,BN395,BN396,BN394)</f>
        <v>0</v>
      </c>
      <c r="BO397" s="3">
        <f>SUM(BO392,BO393,BO395,BO396,BO394)</f>
        <v>0</v>
      </c>
      <c r="BP397" s="3">
        <f>SUM(BP392,BP393,BP395,BP396)</f>
        <v>0</v>
      </c>
      <c r="BQ397" s="3">
        <f>SUM(BQ392,BQ393,BQ395,BQ396,BQ394)</f>
        <v>0</v>
      </c>
      <c r="BR397" s="3">
        <f>SUM(BR392,BR393,BR395,BR396,BR394)</f>
        <v>0</v>
      </c>
      <c r="BS397" s="3">
        <f>SUM(BS392,BS393,BS395,BS396,BS394)</f>
        <v>0</v>
      </c>
      <c r="BT397" s="3">
        <f>SUM(BT392,BT393,BT395,BT396,BT394)</f>
        <v>0</v>
      </c>
      <c r="BU397" s="3">
        <f>SUM(BU392,BU393,BU395,BU396)</f>
        <v>0</v>
      </c>
      <c r="BV397" s="3">
        <f>SUM(BV392,BV393,BV395,BV396,BV394)</f>
        <v>0</v>
      </c>
      <c r="BW397" s="3">
        <f>SUM(BW392,BW393,BW395,BW396,BW394)</f>
        <v>0</v>
      </c>
      <c r="BX397" s="3">
        <f>SUM(BX392,BX393,BX395,BX396,BX394)</f>
        <v>0</v>
      </c>
      <c r="BY397" s="3">
        <f>SUM(BY392,BY393,BY395,BY396,BY394)</f>
        <v>0</v>
      </c>
      <c r="BZ397" s="3">
        <f>SUM(BZ392,BZ393,BZ395,BZ396)</f>
        <v>0</v>
      </c>
      <c r="CA397" s="3">
        <f>SUM(CA392,CA393,CA395,CA396,CA394)</f>
        <v>0</v>
      </c>
      <c r="CB397" s="3">
        <f>SUM(CB392,CB393,CB395,CB396,CB394)</f>
        <v>0</v>
      </c>
      <c r="CC397" s="3">
        <f>SUM(CC392,CC393,CC395,CC396,CC394)</f>
        <v>0</v>
      </c>
      <c r="CD397" s="3">
        <f>SUM(CD392,CD393,CD395,CD396,CD394)</f>
        <v>0</v>
      </c>
      <c r="CE397" s="3">
        <f>SUM(CE392,CE393,CE395,CE396)</f>
        <v>0</v>
      </c>
      <c r="CF397" s="3">
        <f>SUM(CF392,CF393,CF395,CF396,CF394)</f>
        <v>0</v>
      </c>
      <c r="CG397" s="3">
        <f>SUM(CG392,CG393,CG395,CG396,CG394)</f>
        <v>0</v>
      </c>
      <c r="CH397" s="3">
        <f>SUM(CH392,CH393,CH395,CH396,CH394)</f>
        <v>0</v>
      </c>
      <c r="CI397" s="3">
        <f>SUM(CI392,CI393,CI395,CI396,CI394)</f>
        <v>0</v>
      </c>
      <c r="CJ397" s="3">
        <f>SUM(CJ392,CJ393,CJ395,CJ396)</f>
        <v>0</v>
      </c>
      <c r="CK397" s="3">
        <f>SUM(CK392,CK393,CK395,CK396,CK394)</f>
        <v>0</v>
      </c>
      <c r="CL397" s="3">
        <f>SUM(CL392,CL393,CL395,CL396,CL394)</f>
        <v>0</v>
      </c>
      <c r="CM397" s="3">
        <f>SUM(CM392,CM393,CM395,CM396,CM394)</f>
        <v>0</v>
      </c>
      <c r="CN397" s="3">
        <f>SUM(CN392,CN393,CN395,CN396,CN394)</f>
        <v>0</v>
      </c>
      <c r="CO397" s="3">
        <f>SUM(CO392,CO393,CO395,CO396)</f>
        <v>0</v>
      </c>
      <c r="CP397" s="3">
        <f>SUM(CP392,CP393,CP395,CP396,CP394)</f>
        <v>0</v>
      </c>
      <c r="CQ397" s="3">
        <f>SUM(CQ392,CQ393,CQ395,CQ396,CQ394)</f>
        <v>0</v>
      </c>
      <c r="CR397" s="3">
        <f>SUM(CR392,CR393,CR395,CR396,CR394)</f>
        <v>0</v>
      </c>
      <c r="CS397" s="3">
        <f>SUM(CS392,CS393,CS395,CS396,CS394)</f>
        <v>0</v>
      </c>
      <c r="CT397" s="3">
        <f>SUM(CT392,CT393,CT395,CT396)</f>
        <v>0</v>
      </c>
      <c r="CU397" s="3">
        <f>SUM(CU392,CU393,CU395,CU396,CU394)</f>
        <v>0</v>
      </c>
      <c r="CV397" s="3">
        <f>SUM(CV392,CV393,CV395,CV396,CV394)</f>
        <v>0</v>
      </c>
      <c r="CW397" s="3">
        <f>SUM(CW392,CW393,CW395,CW396,CW394)</f>
        <v>0</v>
      </c>
      <c r="CX397" s="3">
        <f>SUM(CX392,CX393,CX395,CX396,CX394)</f>
        <v>0</v>
      </c>
      <c r="CY397" s="3">
        <f>SUM(CY392,CY393,CY395,CY396)</f>
        <v>0</v>
      </c>
    </row>
    <row r="398">
      <c r="C398" s="26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  <c r="CG398" s="3" t="n"/>
      <c r="CH398" s="3" t="n"/>
      <c r="CI398" s="3" t="n"/>
      <c r="CJ398" s="3" t="n"/>
      <c r="CK398" s="3" t="n"/>
      <c r="CL398" s="3" t="n"/>
      <c r="CM398" s="3" t="n"/>
      <c r="CN398" s="3" t="n"/>
      <c r="CO398" s="3" t="n"/>
      <c r="CP398" s="3" t="n"/>
      <c r="CQ398" s="3" t="n"/>
      <c r="CR398" s="3" t="n"/>
      <c r="CS398" s="3" t="n"/>
      <c r="CT398" s="3" t="n"/>
      <c r="CU398" s="3" t="n"/>
      <c r="CV398" s="3" t="n"/>
      <c r="CW398" s="3" t="n"/>
      <c r="CX398" s="3" t="n"/>
      <c r="CY398" s="3" t="n"/>
    </row>
    <row r="399">
      <c r="C399" s="26" t="inlineStr">
        <is>
          <t>Convertible preferred stock</t>
        </is>
      </c>
      <c r="D399" s="3" t="n"/>
      <c r="E399" s="3">
        <f>E350-D350</f>
        <v>0</v>
      </c>
      <c r="F399" s="3">
        <f>F350-E350</f>
        <v>0</v>
      </c>
      <c r="G399" s="3">
        <f>G350-F350</f>
        <v>0</v>
      </c>
      <c r="H399" s="3">
        <f>SUM(D399:G399)</f>
        <v>0</v>
      </c>
      <c r="I399" s="3">
        <f>I350-H350</f>
        <v>0</v>
      </c>
      <c r="J399" s="3">
        <f>J350-I350</f>
        <v>0</v>
      </c>
      <c r="K399" s="3">
        <f>K350-J350</f>
        <v>0</v>
      </c>
      <c r="L399" s="3">
        <f>L350-K350</f>
        <v>0</v>
      </c>
      <c r="M399" s="3">
        <f>SUM(I399:L399)</f>
        <v>0</v>
      </c>
      <c r="N399" s="3">
        <f>N350-M350</f>
        <v>0</v>
      </c>
      <c r="O399" s="3">
        <f>O350-N350</f>
        <v>0</v>
      </c>
      <c r="P399" s="3">
        <f>P350-O350</f>
        <v>0</v>
      </c>
      <c r="Q399" s="3">
        <f>Q350-P350</f>
        <v>0</v>
      </c>
      <c r="R399" s="3">
        <f>SUM(N399:Q399)</f>
        <v>0</v>
      </c>
      <c r="S399" s="3">
        <f>S350-R350</f>
        <v>0</v>
      </c>
      <c r="T399" s="3">
        <f>T350-S350</f>
        <v>0</v>
      </c>
      <c r="U399" s="3">
        <f>U350-T350</f>
        <v>0</v>
      </c>
      <c r="V399" s="3">
        <f>V350-U350</f>
        <v>0</v>
      </c>
      <c r="W399" s="3">
        <f>SUM(S399:V399)</f>
        <v>0</v>
      </c>
      <c r="X399" s="3">
        <f>X350-W350</f>
        <v>0</v>
      </c>
      <c r="Y399" s="3">
        <f>Y350-X350</f>
        <v>0</v>
      </c>
      <c r="Z399" s="3">
        <f>Z350-Y350</f>
        <v>0</v>
      </c>
      <c r="AA399" s="3">
        <f>AA350-Z350</f>
        <v>0</v>
      </c>
      <c r="AB399" s="3">
        <f>SUM(X399:AA399)</f>
        <v>0</v>
      </c>
      <c r="AC399" s="3">
        <f>AC350-AB350</f>
        <v>0</v>
      </c>
      <c r="AD399" s="3">
        <f>AD350-AC350</f>
        <v>0</v>
      </c>
      <c r="AE399" s="3">
        <f>AE350-AD350</f>
        <v>0</v>
      </c>
      <c r="AF399" s="3">
        <f>AF350-AE350</f>
        <v>0</v>
      </c>
      <c r="AG399" s="3">
        <f>SUM(AC399:AF399)</f>
        <v>0</v>
      </c>
      <c r="AH399" s="3">
        <f>AH350-AG350</f>
        <v>0</v>
      </c>
      <c r="AI399" s="3">
        <f>AI350-AH350</f>
        <v>0</v>
      </c>
      <c r="AJ399" s="3">
        <f>AJ350-AI350</f>
        <v>0</v>
      </c>
      <c r="AK399" s="3">
        <f>AK350-AJ350</f>
        <v>0</v>
      </c>
      <c r="AL399" s="3">
        <f>SUM(AH399:AK399)</f>
        <v>0</v>
      </c>
      <c r="AM399" s="3">
        <f>AM350-AL350</f>
        <v>0</v>
      </c>
      <c r="AN399" s="3">
        <f>AN350-AM350</f>
        <v>0</v>
      </c>
      <c r="AO399" s="3">
        <f>AO350-AN350</f>
        <v>0</v>
      </c>
      <c r="AP399" s="3">
        <f>AP350-AO350</f>
        <v>0</v>
      </c>
      <c r="AQ399" s="3">
        <f>SUM(AM399:AP399)</f>
        <v>0</v>
      </c>
      <c r="AR399" s="3">
        <f>AR350-AQ350</f>
        <v>0</v>
      </c>
      <c r="AS399" s="3">
        <f>AS350-AR350</f>
        <v>0</v>
      </c>
      <c r="AT399" s="3">
        <f>AT350-AS350</f>
        <v>0</v>
      </c>
      <c r="AU399" s="3">
        <f>AU350-AT350</f>
        <v>0</v>
      </c>
      <c r="AV399" s="3">
        <f>SUM(AR399:AU399)</f>
        <v>0</v>
      </c>
      <c r="AW399" s="3">
        <f>AW350-AV350</f>
        <v>0</v>
      </c>
      <c r="AX399" s="3">
        <f>AX350-AW350</f>
        <v>0</v>
      </c>
      <c r="AY399" s="3">
        <f>AY350-AX350</f>
        <v>0</v>
      </c>
      <c r="AZ399" s="3">
        <f>AZ350-AY350</f>
        <v>0</v>
      </c>
      <c r="BA399" s="3">
        <f>SUM(AW399:AZ399)</f>
        <v>0</v>
      </c>
      <c r="BB399" s="3">
        <f>BB350-BA350</f>
        <v>0</v>
      </c>
      <c r="BC399" s="3">
        <f>BC350-BB350</f>
        <v>0</v>
      </c>
      <c r="BD399" s="3">
        <f>BD350-BC350</f>
        <v>0</v>
      </c>
      <c r="BE399" s="3">
        <f>BE350-BD350</f>
        <v>0</v>
      </c>
      <c r="BF399" s="3">
        <f>SUM(BB399:BE399)</f>
        <v>0</v>
      </c>
      <c r="BG399" s="3">
        <f>BG350-BF350</f>
        <v>0</v>
      </c>
      <c r="BH399" s="3">
        <f>BH350-BG350</f>
        <v>0</v>
      </c>
      <c r="BI399" s="3">
        <f>BI350-BH350</f>
        <v>0</v>
      </c>
      <c r="BJ399" s="3">
        <f>BJ350-BI350</f>
        <v>0</v>
      </c>
      <c r="BK399" s="3">
        <f>SUM(BG399:BJ399)</f>
        <v>0</v>
      </c>
      <c r="BL399" s="3">
        <f>BL350-BK350</f>
        <v>0</v>
      </c>
      <c r="BM399" s="3">
        <f>BM350-BL350</f>
        <v>0</v>
      </c>
      <c r="BN399" s="3">
        <f>BN350-BM350</f>
        <v>0</v>
      </c>
      <c r="BO399" s="3">
        <f>BO350-BN350</f>
        <v>0</v>
      </c>
      <c r="BP399" s="3">
        <f>SUM(BL399:BO399)</f>
        <v>0</v>
      </c>
      <c r="BQ399" s="3">
        <f>BQ350-BP350</f>
        <v>0</v>
      </c>
      <c r="BR399" s="3">
        <f>BR350-BQ350</f>
        <v>0</v>
      </c>
      <c r="BS399" s="3">
        <f>BS350-BR350</f>
        <v>0</v>
      </c>
      <c r="BT399" s="3">
        <f>BT350-BS350</f>
        <v>0</v>
      </c>
      <c r="BU399" s="3">
        <f>SUM(BQ399:BT399)</f>
        <v>0</v>
      </c>
      <c r="BV399" s="3">
        <f>BV350-BU350</f>
        <v>0</v>
      </c>
      <c r="BW399" s="3">
        <f>BW350-BV350</f>
        <v>0</v>
      </c>
      <c r="BX399" s="3">
        <f>BX350-BW350</f>
        <v>0</v>
      </c>
      <c r="BY399" s="3">
        <f>BY350-BX350</f>
        <v>0</v>
      </c>
      <c r="BZ399" s="3">
        <f>SUM(BV399:BY399)</f>
        <v>0</v>
      </c>
      <c r="CA399" s="3">
        <f>CA350-BZ350</f>
        <v>0</v>
      </c>
      <c r="CB399" s="3">
        <f>CB350-CA350</f>
        <v>0</v>
      </c>
      <c r="CC399" s="3">
        <f>CC350-CB350</f>
        <v>0</v>
      </c>
      <c r="CD399" s="3">
        <f>CD350-CC350</f>
        <v>0</v>
      </c>
      <c r="CE399" s="3">
        <f>SUM(CA399:CD399)</f>
        <v>0</v>
      </c>
      <c r="CF399" s="3">
        <f>CF350-CE350</f>
        <v>0</v>
      </c>
      <c r="CG399" s="3">
        <f>CG350-CF350</f>
        <v>0</v>
      </c>
      <c r="CH399" s="3">
        <f>CH350-CG350</f>
        <v>0</v>
      </c>
      <c r="CI399" s="3">
        <f>CI350-CH350</f>
        <v>0</v>
      </c>
      <c r="CJ399" s="3">
        <f>SUM(CF399:CI399)</f>
        <v>0</v>
      </c>
      <c r="CK399" s="3">
        <f>CK350-CJ350</f>
        <v>0</v>
      </c>
      <c r="CL399" s="3">
        <f>CL350-CK350</f>
        <v>0</v>
      </c>
      <c r="CM399" s="3">
        <f>CM350-CL350</f>
        <v>0</v>
      </c>
      <c r="CN399" s="3">
        <f>CN350-CM350</f>
        <v>0</v>
      </c>
      <c r="CO399" s="3">
        <f>SUM(CK399:CN399)</f>
        <v>0</v>
      </c>
      <c r="CP399" s="3">
        <f>CP350-CO350</f>
        <v>0</v>
      </c>
      <c r="CQ399" s="3">
        <f>CQ350-CP350</f>
        <v>0</v>
      </c>
      <c r="CR399" s="3">
        <f>CR350-CQ350</f>
        <v>0</v>
      </c>
      <c r="CS399" s="3">
        <f>CS350-CR350</f>
        <v>0</v>
      </c>
      <c r="CT399" s="3">
        <f>SUM(CP399:CS399)</f>
        <v>0</v>
      </c>
      <c r="CU399" s="3">
        <f>CU350-CT350</f>
        <v>0</v>
      </c>
      <c r="CV399" s="3">
        <f>CV350-CU350</f>
        <v>0</v>
      </c>
      <c r="CW399" s="3">
        <f>CW350-CV350</f>
        <v>0</v>
      </c>
      <c r="CX399" s="3">
        <f>CX350-CW350</f>
        <v>0</v>
      </c>
      <c r="CY399" s="3">
        <f>SUM(CU399:CX399)</f>
        <v>0</v>
      </c>
    </row>
    <row r="400">
      <c r="C400" s="26" t="inlineStr">
        <is>
          <t>Common stock and APIC</t>
        </is>
      </c>
      <c r="D400" s="3" t="n"/>
      <c r="E400" s="3">
        <f>E351-D351</f>
        <v>0</v>
      </c>
      <c r="F400" s="3">
        <f>F351-E351</f>
        <v>4.03099999999995</v>
      </c>
      <c r="G400" s="3">
        <f>G351-F351</f>
        <v>1.03400000000011</v>
      </c>
      <c r="H400" s="3">
        <f>SUM(D400:G400)</f>
        <v>5.06500000000006</v>
      </c>
      <c r="I400" s="3">
        <f>I351-H351</f>
        <v>0</v>
      </c>
      <c r="J400" s="3">
        <f>J351-I351</f>
        <v>0</v>
      </c>
      <c r="K400" s="3">
        <f>K351-J351</f>
        <v>-18.866</v>
      </c>
      <c r="L400" s="3">
        <f>L351-K351</f>
        <v>79.6100000000001</v>
      </c>
      <c r="M400" s="3">
        <f>SUM(I400:L400)</f>
        <v>60.7440000000001</v>
      </c>
      <c r="N400" s="3">
        <f>N351-M351</f>
        <v>137.282</v>
      </c>
      <c r="O400" s="3">
        <f>O351-N351</f>
        <v>0</v>
      </c>
      <c r="P400" s="3">
        <f>P351-O351</f>
        <v>-201.575</v>
      </c>
      <c r="Q400" s="3">
        <f>Q351-P351</f>
        <v>0</v>
      </c>
      <c r="R400" s="3">
        <f>SUM(N400:Q400)</f>
        <v>-64.2930000000001</v>
      </c>
      <c r="S400" s="3">
        <f>S351-R351</f>
        <v>0</v>
      </c>
      <c r="T400" s="3">
        <f>T351-S351</f>
        <v>379.181</v>
      </c>
      <c r="U400" s="3">
        <f>U351-T351</f>
        <v>0</v>
      </c>
      <c r="V400" s="3">
        <f>V351-U351</f>
        <v>0</v>
      </c>
      <c r="W400" s="3">
        <f>SUM(S400:V400)</f>
        <v>379.181</v>
      </c>
      <c r="X400" s="3">
        <f>X351-W351</f>
        <v>0</v>
      </c>
      <c r="Y400" s="3">
        <f>Y351-X351</f>
        <v>362.785</v>
      </c>
      <c r="Z400" s="3">
        <f>Z351-Y351</f>
        <v>0</v>
      </c>
      <c r="AA400" s="3">
        <f>AA351-Z351</f>
        <v>0</v>
      </c>
      <c r="AB400" s="3">
        <f>SUM(X400:AA400)</f>
        <v>362.785</v>
      </c>
      <c r="AC400" s="3">
        <f>AC351-AB351</f>
        <v>0</v>
      </c>
      <c r="AD400" s="3">
        <f>AD351-AC351</f>
        <v>349.531</v>
      </c>
      <c r="AE400" s="3">
        <f>AE351-AD351</f>
        <v>0</v>
      </c>
      <c r="AF400" s="3">
        <f>AF351-AE351</f>
        <v>0</v>
      </c>
      <c r="AG400" s="3">
        <f>SUM(AC400:AF400)</f>
        <v>349.531</v>
      </c>
      <c r="AH400" s="3">
        <f>AH351-AG351</f>
        <v>0</v>
      </c>
      <c r="AI400" s="3">
        <f>AI351-AH351</f>
        <v>0</v>
      </c>
      <c r="AJ400" s="3">
        <f>AJ351-AI351</f>
        <v>0</v>
      </c>
      <c r="AK400" s="3">
        <f>AK351-AJ351</f>
        <v>0</v>
      </c>
      <c r="AL400" s="3">
        <f>SUM(AH400:AK400)</f>
        <v>0</v>
      </c>
      <c r="AM400" s="3">
        <f>AM351-AL351</f>
        <v>0</v>
      </c>
      <c r="AN400" s="3">
        <f>AN351-AM351</f>
        <v>0</v>
      </c>
      <c r="AO400" s="3">
        <f>AO351-AN351</f>
        <v>0</v>
      </c>
      <c r="AP400" s="3">
        <f>AP351-AO351</f>
        <v>0</v>
      </c>
      <c r="AQ400" s="3">
        <f>SUM(AM400:AP400)</f>
        <v>0</v>
      </c>
      <c r="AR400" s="3">
        <f>AR351-AQ351</f>
        <v>0</v>
      </c>
      <c r="AS400" s="3">
        <f>AS351-AR351</f>
        <v>0</v>
      </c>
      <c r="AT400" s="3">
        <f>AT351-AS351</f>
        <v>0</v>
      </c>
      <c r="AU400" s="3">
        <f>AU351-AT351</f>
        <v>0</v>
      </c>
      <c r="AV400" s="3">
        <f>SUM(AR400:AU400)</f>
        <v>0</v>
      </c>
      <c r="AW400" s="3">
        <f>AW351-AV351</f>
        <v>0</v>
      </c>
      <c r="AX400" s="3">
        <f>AX351-AW351</f>
        <v>0</v>
      </c>
      <c r="AY400" s="3">
        <f>AY351-AX351</f>
        <v>0</v>
      </c>
      <c r="AZ400" s="3">
        <f>AZ351-AY351</f>
        <v>0</v>
      </c>
      <c r="BA400" s="3">
        <f>SUM(AW400:AZ400)</f>
        <v>0</v>
      </c>
      <c r="BB400" s="3">
        <f>BB351-BA351</f>
        <v>0</v>
      </c>
      <c r="BC400" s="3">
        <f>BC351-BB351</f>
        <v>0</v>
      </c>
      <c r="BD400" s="3">
        <f>BD351-BC351</f>
        <v>0</v>
      </c>
      <c r="BE400" s="3">
        <f>BE351-BD351</f>
        <v>0</v>
      </c>
      <c r="BF400" s="3">
        <f>SUM(BB400:BE400)</f>
        <v>0</v>
      </c>
      <c r="BG400" s="3">
        <f>BG351-BF351</f>
        <v>0</v>
      </c>
      <c r="BH400" s="3">
        <f>BH351-BG351</f>
        <v>0</v>
      </c>
      <c r="BI400" s="3">
        <f>BI351-BH351</f>
        <v>0</v>
      </c>
      <c r="BJ400" s="3">
        <f>BJ351-BI351</f>
        <v>0</v>
      </c>
      <c r="BK400" s="3">
        <f>SUM(BG400:BJ400)</f>
        <v>0</v>
      </c>
      <c r="BL400" s="3">
        <f>BL351-BK351</f>
        <v>0</v>
      </c>
      <c r="BM400" s="3">
        <f>BM351-BL351</f>
        <v>0</v>
      </c>
      <c r="BN400" s="3">
        <f>BN351-BM351</f>
        <v>0</v>
      </c>
      <c r="BO400" s="3">
        <f>BO351-BN351</f>
        <v>0</v>
      </c>
      <c r="BP400" s="3">
        <f>SUM(BL400:BO400)</f>
        <v>0</v>
      </c>
      <c r="BQ400" s="3">
        <f>BQ351-BP351</f>
        <v>0</v>
      </c>
      <c r="BR400" s="3">
        <f>BR351-BQ351</f>
        <v>0</v>
      </c>
      <c r="BS400" s="3">
        <f>BS351-BR351</f>
        <v>0</v>
      </c>
      <c r="BT400" s="3">
        <f>BT351-BS351</f>
        <v>0</v>
      </c>
      <c r="BU400" s="3">
        <f>SUM(BQ400:BT400)</f>
        <v>0</v>
      </c>
      <c r="BV400" s="3">
        <f>BV351-BU351</f>
        <v>0</v>
      </c>
      <c r="BW400" s="3">
        <f>BW351-BV351</f>
        <v>0</v>
      </c>
      <c r="BX400" s="3">
        <f>BX351-BW351</f>
        <v>0</v>
      </c>
      <c r="BY400" s="3">
        <f>BY351-BX351</f>
        <v>0</v>
      </c>
      <c r="BZ400" s="3">
        <f>SUM(BV400:BY400)</f>
        <v>0</v>
      </c>
      <c r="CA400" s="3">
        <f>CA351-BZ351</f>
        <v>0</v>
      </c>
      <c r="CB400" s="3">
        <f>CB351-CA351</f>
        <v>0</v>
      </c>
      <c r="CC400" s="3">
        <f>CC351-CB351</f>
        <v>0</v>
      </c>
      <c r="CD400" s="3">
        <f>CD351-CC351</f>
        <v>0</v>
      </c>
      <c r="CE400" s="3">
        <f>SUM(CA400:CD400)</f>
        <v>0</v>
      </c>
      <c r="CF400" s="3">
        <f>CF351-CE351</f>
        <v>0</v>
      </c>
      <c r="CG400" s="3">
        <f>CG351-CF351</f>
        <v>0</v>
      </c>
      <c r="CH400" s="3">
        <f>CH351-CG351</f>
        <v>0</v>
      </c>
      <c r="CI400" s="3">
        <f>CI351-CH351</f>
        <v>0</v>
      </c>
      <c r="CJ400" s="3">
        <f>SUM(CF400:CI400)</f>
        <v>0</v>
      </c>
      <c r="CK400" s="3">
        <f>CK351-CJ351</f>
        <v>0</v>
      </c>
      <c r="CL400" s="3">
        <f>CL351-CK351</f>
        <v>0</v>
      </c>
      <c r="CM400" s="3">
        <f>CM351-CL351</f>
        <v>0</v>
      </c>
      <c r="CN400" s="3">
        <f>CN351-CM351</f>
        <v>0</v>
      </c>
      <c r="CO400" s="3">
        <f>SUM(CK400:CN400)</f>
        <v>0</v>
      </c>
      <c r="CP400" s="3">
        <f>CP351-CO351</f>
        <v>0</v>
      </c>
      <c r="CQ400" s="3">
        <f>CQ351-CP351</f>
        <v>0</v>
      </c>
      <c r="CR400" s="3">
        <f>CR351-CQ351</f>
        <v>0</v>
      </c>
      <c r="CS400" s="3">
        <f>CS351-CR351</f>
        <v>0</v>
      </c>
      <c r="CT400" s="3">
        <f>SUM(CP400:CS400)</f>
        <v>0</v>
      </c>
      <c r="CU400" s="3">
        <f>CU351-CT351</f>
        <v>0</v>
      </c>
      <c r="CV400" s="3">
        <f>CV351-CU351</f>
        <v>0</v>
      </c>
      <c r="CW400" s="3">
        <f>CW351-CV351</f>
        <v>0</v>
      </c>
      <c r="CX400" s="3">
        <f>CX351-CW351</f>
        <v>0</v>
      </c>
      <c r="CY400" s="3">
        <f>SUM(CU400:CX400)</f>
        <v>0</v>
      </c>
    </row>
    <row r="401">
      <c r="C401" s="26" t="inlineStr">
        <is>
          <t>Treasury stock repurchases</t>
        </is>
      </c>
      <c r="D401" s="3" t="n"/>
      <c r="E401" s="3">
        <f>E364-D364</f>
        <v>0</v>
      </c>
      <c r="F401" s="3">
        <f>F364-E364</f>
        <v>0</v>
      </c>
      <c r="G401" s="3">
        <f>G364-F364</f>
        <v>0</v>
      </c>
      <c r="H401" s="3">
        <f>SUM(D401:G401)</f>
        <v>0</v>
      </c>
      <c r="I401" s="3">
        <f>I364-H364</f>
        <v>0</v>
      </c>
      <c r="J401" s="3">
        <f>J364-I364</f>
        <v>0</v>
      </c>
      <c r="K401" s="3">
        <f>K364-J364</f>
        <v>0</v>
      </c>
      <c r="L401" s="3">
        <f>L364-K364</f>
        <v>0</v>
      </c>
      <c r="M401" s="3">
        <f>SUM(I401:L401)</f>
        <v>0</v>
      </c>
      <c r="N401" s="3">
        <f>N364-M364</f>
        <v>0</v>
      </c>
      <c r="O401" s="3">
        <f>O364-N364</f>
        <v>0</v>
      </c>
      <c r="P401" s="3">
        <f>P364-O364</f>
        <v>0</v>
      </c>
      <c r="Q401" s="3">
        <f>Q364-P364</f>
        <v>0</v>
      </c>
      <c r="R401" s="3">
        <f>SUM(N401:Q401)</f>
        <v>0</v>
      </c>
      <c r="S401" s="3">
        <f>S364-R364</f>
        <v>0</v>
      </c>
      <c r="T401" s="3">
        <f>T364-S364</f>
        <v>0</v>
      </c>
      <c r="U401" s="3">
        <f>U364-T364</f>
        <v>0</v>
      </c>
      <c r="V401" s="3">
        <f>V364-U364</f>
        <v>0</v>
      </c>
      <c r="W401" s="3">
        <f>SUM(S401:V401)</f>
        <v>0</v>
      </c>
      <c r="X401" s="3">
        <f>X364-W364</f>
        <v>0</v>
      </c>
      <c r="Y401" s="3">
        <f>Y364-X364</f>
        <v>0</v>
      </c>
      <c r="Z401" s="3">
        <f>Z364-Y364</f>
        <v>0</v>
      </c>
      <c r="AA401" s="3">
        <f>AA364-Z364</f>
        <v>0</v>
      </c>
      <c r="AB401" s="3">
        <f>SUM(X401:AA401)</f>
        <v>0</v>
      </c>
      <c r="AC401" s="3">
        <f>AC364-AB364</f>
        <v>0</v>
      </c>
      <c r="AD401" s="3">
        <f>AD364-AC364</f>
        <v>0</v>
      </c>
      <c r="AE401" s="3">
        <f>AE364-AD364</f>
        <v>0</v>
      </c>
      <c r="AF401" s="3">
        <f>AF364-AE364</f>
        <v>0</v>
      </c>
      <c r="AG401" s="3">
        <f>SUM(AC401:AF401)</f>
        <v>0</v>
      </c>
      <c r="AH401" s="3">
        <f>AH364-AG364</f>
        <v>0</v>
      </c>
      <c r="AI401" s="3">
        <f>AI364-AH364</f>
        <v>0</v>
      </c>
      <c r="AJ401" s="3">
        <f>AJ364-AI364</f>
        <v>0</v>
      </c>
      <c r="AK401" s="3">
        <f>AK364-AJ364</f>
        <v>0</v>
      </c>
      <c r="AL401" s="3">
        <f>SUM(AH401:AK401)</f>
        <v>0</v>
      </c>
      <c r="AM401" s="3">
        <f>AM364-AL364</f>
        <v>0</v>
      </c>
      <c r="AN401" s="3">
        <f>AN364-AM364</f>
        <v>0</v>
      </c>
      <c r="AO401" s="3">
        <f>AO364-AN364</f>
        <v>0</v>
      </c>
      <c r="AP401" s="3">
        <f>AP364-AO364</f>
        <v>0</v>
      </c>
      <c r="AQ401" s="3">
        <f>SUM(AM401:AP401)</f>
        <v>0</v>
      </c>
      <c r="AR401" s="3">
        <f>AR364-AQ364</f>
        <v>0</v>
      </c>
      <c r="AS401" s="3">
        <f>AS364-AR364</f>
        <v>0</v>
      </c>
      <c r="AT401" s="3">
        <f>AT364-AS364</f>
        <v>0</v>
      </c>
      <c r="AU401" s="3">
        <f>AU364-AT364</f>
        <v>0</v>
      </c>
      <c r="AV401" s="3">
        <f>SUM(AR401:AU401)</f>
        <v>0</v>
      </c>
      <c r="AW401" s="3">
        <f>AW364-AV364</f>
        <v>0</v>
      </c>
      <c r="AX401" s="3">
        <f>AX364-AW364</f>
        <v>0</v>
      </c>
      <c r="AY401" s="3">
        <f>AY364-AX364</f>
        <v>0</v>
      </c>
      <c r="AZ401" s="3">
        <f>AZ364-AY364</f>
        <v>0</v>
      </c>
      <c r="BA401" s="3">
        <f>SUM(AW401:AZ401)</f>
        <v>0</v>
      </c>
      <c r="BB401" s="3">
        <f>BB364-BA364</f>
        <v>0</v>
      </c>
      <c r="BC401" s="3">
        <f>BC364-BB364</f>
        <v>0</v>
      </c>
      <c r="BD401" s="3">
        <f>BD364-BC364</f>
        <v>0</v>
      </c>
      <c r="BE401" s="3">
        <f>BE364-BD364</f>
        <v>0</v>
      </c>
      <c r="BF401" s="3">
        <f>SUM(BB401:BE401)</f>
        <v>0</v>
      </c>
      <c r="BG401" s="3">
        <f>BG364-BF364</f>
        <v>0</v>
      </c>
      <c r="BH401" s="3">
        <f>BH364-BG364</f>
        <v>0</v>
      </c>
      <c r="BI401" s="3">
        <f>BI364-BH364</f>
        <v>0</v>
      </c>
      <c r="BJ401" s="3">
        <f>BJ364-BI364</f>
        <v>0</v>
      </c>
      <c r="BK401" s="3">
        <f>SUM(BG401:BJ401)</f>
        <v>0</v>
      </c>
      <c r="BL401" s="3">
        <f>BL364-BK364</f>
        <v>0</v>
      </c>
      <c r="BM401" s="3">
        <f>BM364-BL364</f>
        <v>0</v>
      </c>
      <c r="BN401" s="3">
        <f>BN364-BM364</f>
        <v>0</v>
      </c>
      <c r="BO401" s="3">
        <f>BO364-BN364</f>
        <v>0</v>
      </c>
      <c r="BP401" s="3">
        <f>SUM(BL401:BO401)</f>
        <v>0</v>
      </c>
      <c r="BQ401" s="3">
        <f>BQ364-BP364</f>
        <v>0</v>
      </c>
      <c r="BR401" s="3">
        <f>BR364-BQ364</f>
        <v>0</v>
      </c>
      <c r="BS401" s="3">
        <f>BS364-BR364</f>
        <v>0</v>
      </c>
      <c r="BT401" s="3">
        <f>BT364-BS364</f>
        <v>0</v>
      </c>
      <c r="BU401" s="3">
        <f>SUM(BQ401:BT401)</f>
        <v>0</v>
      </c>
      <c r="BV401" s="3">
        <f>BV364-BU364</f>
        <v>0</v>
      </c>
      <c r="BW401" s="3">
        <f>BW364-BV364</f>
        <v>0</v>
      </c>
      <c r="BX401" s="3">
        <f>BX364-BW364</f>
        <v>0</v>
      </c>
      <c r="BY401" s="3">
        <f>BY364-BX364</f>
        <v>0</v>
      </c>
      <c r="BZ401" s="3">
        <f>SUM(BV401:BY401)</f>
        <v>0</v>
      </c>
      <c r="CA401" s="3">
        <f>CA364-BZ364</f>
        <v>0</v>
      </c>
      <c r="CB401" s="3">
        <f>CB364-CA364</f>
        <v>0</v>
      </c>
      <c r="CC401" s="3">
        <f>CC364-CB364</f>
        <v>0</v>
      </c>
      <c r="CD401" s="3">
        <f>CD364-CC364</f>
        <v>0</v>
      </c>
      <c r="CE401" s="3">
        <f>SUM(CA401:CD401)</f>
        <v>0</v>
      </c>
      <c r="CF401" s="3">
        <f>CF364-CE364</f>
        <v>0</v>
      </c>
      <c r="CG401" s="3">
        <f>CG364-CF364</f>
        <v>0</v>
      </c>
      <c r="CH401" s="3">
        <f>CH364-CG364</f>
        <v>0</v>
      </c>
      <c r="CI401" s="3">
        <f>CI364-CH364</f>
        <v>0</v>
      </c>
      <c r="CJ401" s="3">
        <f>SUM(CF401:CI401)</f>
        <v>0</v>
      </c>
      <c r="CK401" s="3">
        <f>CK364-CJ364</f>
        <v>0</v>
      </c>
      <c r="CL401" s="3">
        <f>CL364-CK364</f>
        <v>0</v>
      </c>
      <c r="CM401" s="3">
        <f>CM364-CL364</f>
        <v>0</v>
      </c>
      <c r="CN401" s="3">
        <f>CN364-CM364</f>
        <v>0</v>
      </c>
      <c r="CO401" s="3">
        <f>SUM(CK401:CN401)</f>
        <v>0</v>
      </c>
      <c r="CP401" s="3">
        <f>CP364-CO364</f>
        <v>0</v>
      </c>
      <c r="CQ401" s="3">
        <f>CQ364-CP364</f>
        <v>0</v>
      </c>
      <c r="CR401" s="3">
        <f>CR364-CQ364</f>
        <v>0</v>
      </c>
      <c r="CS401" s="3">
        <f>CS364-CR364</f>
        <v>0</v>
      </c>
      <c r="CT401" s="3">
        <f>SUM(CP401:CS401)</f>
        <v>0</v>
      </c>
      <c r="CU401" s="3">
        <f>CU364-CT364</f>
        <v>0</v>
      </c>
      <c r="CV401" s="3">
        <f>CV364-CU364</f>
        <v>0</v>
      </c>
      <c r="CW401" s="3">
        <f>CW364-CV364</f>
        <v>0</v>
      </c>
      <c r="CX401" s="3">
        <f>CX364-CW364</f>
        <v>0</v>
      </c>
      <c r="CY401" s="3">
        <f>SUM(CU401:CX401)</f>
        <v>0</v>
      </c>
    </row>
    <row r="402">
      <c r="C402" s="26" t="inlineStr">
        <is>
          <t>Comprehensive accumulated loss</t>
        </is>
      </c>
      <c r="D402" s="3" t="n"/>
      <c r="E402" s="3">
        <f>E365-D365</f>
        <v>33.088</v>
      </c>
      <c r="F402" s="3">
        <f>F365-E365</f>
        <v>5.07899999999999</v>
      </c>
      <c r="G402" s="3">
        <f>G365-F365</f>
        <v>-16.113</v>
      </c>
      <c r="H402" s="3">
        <f>SUM(D402:G402)</f>
        <v>22.054</v>
      </c>
      <c r="I402" s="3">
        <f>I365-H365</f>
        <v>18.241</v>
      </c>
      <c r="J402" s="3">
        <f>J365-I365</f>
        <v>-51.772</v>
      </c>
      <c r="K402" s="3">
        <f>K365-J365</f>
        <v>10.094</v>
      </c>
      <c r="L402" s="3">
        <f>L365-K365</f>
        <v>8.849</v>
      </c>
      <c r="M402" s="3">
        <f>SUM(I402:L402)</f>
        <v>-14.588</v>
      </c>
      <c r="N402" s="3">
        <f>N365-M365</f>
        <v>-35.364</v>
      </c>
      <c r="O402" s="3">
        <f>O365-N365</f>
        <v>18.658</v>
      </c>
      <c r="P402" s="3">
        <f>P365-O365</f>
        <v>-8.299</v>
      </c>
      <c r="Q402" s="3">
        <f>Q365-P365</f>
        <v>-0.367999999999995</v>
      </c>
      <c r="R402" s="3">
        <f>SUM(N402:Q402)</f>
        <v>-25.373</v>
      </c>
      <c r="S402" s="3">
        <f>S365-R365</f>
        <v>-5.681</v>
      </c>
      <c r="T402" s="3">
        <f>T365-S365</f>
        <v>8.735</v>
      </c>
      <c r="U402" s="3">
        <f>U365-T365</f>
        <v>13.618</v>
      </c>
      <c r="V402" s="3">
        <f>V365-U365</f>
        <v>-16.227</v>
      </c>
      <c r="W402" s="3">
        <f>SUM(S402:V402)</f>
        <v>0.444999999999993</v>
      </c>
      <c r="X402" s="3">
        <f>X365-W365</f>
        <v>11.713</v>
      </c>
      <c r="Y402" s="3">
        <f>Y365-X365</f>
        <v>21.377</v>
      </c>
      <c r="Z402" s="3">
        <f>Z365-Y365</f>
        <v>-6.431</v>
      </c>
      <c r="AA402" s="3">
        <f>AA365-Z365</f>
        <v>31.776</v>
      </c>
      <c r="AB402" s="3">
        <f>SUM(X402:AA402)</f>
        <v>58.435</v>
      </c>
      <c r="AC402" s="3">
        <f>AC365-AB365</f>
        <v>-19.932</v>
      </c>
      <c r="AD402" s="3">
        <f>AD365-AC365</f>
        <v>-134.794</v>
      </c>
      <c r="AE402" s="3">
        <f>AE365-AD365</f>
        <v>135.463</v>
      </c>
      <c r="AF402" s="3">
        <f>AF365-AE365</f>
        <v>89.385</v>
      </c>
      <c r="AG402" s="3">
        <f>SUM(AC402:AF402)</f>
        <v>70.122</v>
      </c>
      <c r="AH402" s="3">
        <f>AH365-AG365</f>
        <v>-75.165</v>
      </c>
      <c r="AI402" s="3">
        <f>AI365-AH365</f>
        <v>16.238</v>
      </c>
      <c r="AJ402" s="3">
        <f>AJ365-AI365</f>
        <v>0</v>
      </c>
      <c r="AK402" s="3">
        <f>AK365-AJ365</f>
        <v>0</v>
      </c>
      <c r="AL402" s="3">
        <f>SUM(AH402:AK402)</f>
        <v>-58.927</v>
      </c>
      <c r="AM402" s="3">
        <f>AM365-AL365</f>
        <v>0</v>
      </c>
      <c r="AN402" s="3">
        <f>AN365-AM365</f>
        <v>0</v>
      </c>
      <c r="AO402" s="3">
        <f>AO365-AN365</f>
        <v>0</v>
      </c>
      <c r="AP402" s="3">
        <f>AP365-AO365</f>
        <v>0</v>
      </c>
      <c r="AQ402" s="3">
        <f>SUM(AM402:AP402)</f>
        <v>0</v>
      </c>
      <c r="AR402" s="3">
        <f>AR365-AQ365</f>
        <v>0</v>
      </c>
      <c r="AS402" s="3">
        <f>AS365-AR365</f>
        <v>0</v>
      </c>
      <c r="AT402" s="3">
        <f>AT365-AS365</f>
        <v>0</v>
      </c>
      <c r="AU402" s="3">
        <f>AU365-AT365</f>
        <v>0</v>
      </c>
      <c r="AV402" s="3">
        <f>SUM(AR402:AU402)</f>
        <v>0</v>
      </c>
      <c r="AW402" s="3">
        <f>AW365-AV365</f>
        <v>0</v>
      </c>
      <c r="AX402" s="3">
        <f>AX365-AW365</f>
        <v>0</v>
      </c>
      <c r="AY402" s="3">
        <f>AY365-AX365</f>
        <v>0</v>
      </c>
      <c r="AZ402" s="3">
        <f>AZ365-AY365</f>
        <v>0</v>
      </c>
      <c r="BA402" s="3">
        <f>SUM(AW402:AZ402)</f>
        <v>0</v>
      </c>
      <c r="BB402" s="3">
        <f>BB365-BA365</f>
        <v>0</v>
      </c>
      <c r="BC402" s="3">
        <f>BC365-BB365</f>
        <v>0</v>
      </c>
      <c r="BD402" s="3">
        <f>BD365-BC365</f>
        <v>0</v>
      </c>
      <c r="BE402" s="3">
        <f>BE365-BD365</f>
        <v>0</v>
      </c>
      <c r="BF402" s="3">
        <f>SUM(BB402:BE402)</f>
        <v>0</v>
      </c>
      <c r="BG402" s="3">
        <f>BG365-BF365</f>
        <v>0</v>
      </c>
      <c r="BH402" s="3">
        <f>BH365-BG365</f>
        <v>0</v>
      </c>
      <c r="BI402" s="3">
        <f>BI365-BH365</f>
        <v>0</v>
      </c>
      <c r="BJ402" s="3">
        <f>BJ365-BI365</f>
        <v>0</v>
      </c>
      <c r="BK402" s="3">
        <f>SUM(BG402:BJ402)</f>
        <v>0</v>
      </c>
      <c r="BL402" s="3">
        <f>BL365-BK365</f>
        <v>0</v>
      </c>
      <c r="BM402" s="3">
        <f>BM365-BL365</f>
        <v>0</v>
      </c>
      <c r="BN402" s="3">
        <f>BN365-BM365</f>
        <v>0</v>
      </c>
      <c r="BO402" s="3">
        <f>BO365-BN365</f>
        <v>0</v>
      </c>
      <c r="BP402" s="3">
        <f>SUM(BL402:BO402)</f>
        <v>0</v>
      </c>
      <c r="BQ402" s="3">
        <f>BQ365-BP365</f>
        <v>0</v>
      </c>
      <c r="BR402" s="3">
        <f>BR365-BQ365</f>
        <v>0</v>
      </c>
      <c r="BS402" s="3">
        <f>BS365-BR365</f>
        <v>0</v>
      </c>
      <c r="BT402" s="3">
        <f>BT365-BS365</f>
        <v>0</v>
      </c>
      <c r="BU402" s="3">
        <f>SUM(BQ402:BT402)</f>
        <v>0</v>
      </c>
      <c r="BV402" s="3">
        <f>BV365-BU365</f>
        <v>0</v>
      </c>
      <c r="BW402" s="3">
        <f>BW365-BV365</f>
        <v>0</v>
      </c>
      <c r="BX402" s="3">
        <f>BX365-BW365</f>
        <v>0</v>
      </c>
      <c r="BY402" s="3">
        <f>BY365-BX365</f>
        <v>0</v>
      </c>
      <c r="BZ402" s="3">
        <f>SUM(BV402:BY402)</f>
        <v>0</v>
      </c>
      <c r="CA402" s="3">
        <f>CA365-BZ365</f>
        <v>0</v>
      </c>
      <c r="CB402" s="3">
        <f>CB365-CA365</f>
        <v>0</v>
      </c>
      <c r="CC402" s="3">
        <f>CC365-CB365</f>
        <v>0</v>
      </c>
      <c r="CD402" s="3">
        <f>CD365-CC365</f>
        <v>0</v>
      </c>
      <c r="CE402" s="3">
        <f>SUM(CA402:CD402)</f>
        <v>0</v>
      </c>
      <c r="CF402" s="3">
        <f>CF365-CE365</f>
        <v>0</v>
      </c>
      <c r="CG402" s="3">
        <f>CG365-CF365</f>
        <v>0</v>
      </c>
      <c r="CH402" s="3">
        <f>CH365-CG365</f>
        <v>0</v>
      </c>
      <c r="CI402" s="3">
        <f>CI365-CH365</f>
        <v>0</v>
      </c>
      <c r="CJ402" s="3">
        <f>SUM(CF402:CI402)</f>
        <v>0</v>
      </c>
      <c r="CK402" s="3">
        <f>CK365-CJ365</f>
        <v>0</v>
      </c>
      <c r="CL402" s="3">
        <f>CL365-CK365</f>
        <v>0</v>
      </c>
      <c r="CM402" s="3">
        <f>CM365-CL365</f>
        <v>0</v>
      </c>
      <c r="CN402" s="3">
        <f>CN365-CM365</f>
        <v>0</v>
      </c>
      <c r="CO402" s="3">
        <f>SUM(CK402:CN402)</f>
        <v>0</v>
      </c>
      <c r="CP402" s="3">
        <f>CP365-CO365</f>
        <v>0</v>
      </c>
      <c r="CQ402" s="3">
        <f>CQ365-CP365</f>
        <v>0</v>
      </c>
      <c r="CR402" s="3">
        <f>CR365-CQ365</f>
        <v>0</v>
      </c>
      <c r="CS402" s="3">
        <f>CS365-CR365</f>
        <v>0</v>
      </c>
      <c r="CT402" s="3">
        <f>SUM(CP402:CS402)</f>
        <v>0</v>
      </c>
      <c r="CU402" s="3">
        <f>CU365-CT365</f>
        <v>0</v>
      </c>
      <c r="CV402" s="3">
        <f>CV365-CU365</f>
        <v>0</v>
      </c>
      <c r="CW402" s="3">
        <f>CW365-CV365</f>
        <v>0</v>
      </c>
      <c r="CX402" s="3">
        <f>CX365-CW365</f>
        <v>0</v>
      </c>
      <c r="CY402" s="3">
        <f>SUM(CU402:CX402)</f>
        <v>0</v>
      </c>
    </row>
    <row r="403">
      <c r="C403" s="26" t="inlineStr">
        <is>
          <t>Other equity account</t>
        </is>
      </c>
      <c r="D403" s="3" t="n"/>
      <c r="E403" s="3">
        <f>E366-D366</f>
        <v>0</v>
      </c>
      <c r="F403" s="3">
        <f>F366-E366</f>
        <v>0</v>
      </c>
      <c r="G403" s="3">
        <f>G366-F366</f>
        <v>695.935</v>
      </c>
      <c r="H403" s="3">
        <f>SUM(D403:G403)</f>
        <v>695.935</v>
      </c>
      <c r="I403" s="3">
        <f>I366-H366</f>
        <v>0</v>
      </c>
      <c r="J403" s="3">
        <f>J366-I366</f>
        <v>0</v>
      </c>
      <c r="K403" s="3">
        <f>K366-J366</f>
        <v>0</v>
      </c>
      <c r="L403" s="3">
        <f>L366-K366</f>
        <v>0</v>
      </c>
      <c r="M403" s="3">
        <f>SUM(I403:L403)</f>
        <v>0</v>
      </c>
      <c r="N403" s="3">
        <f>N366-M366</f>
        <v>754.965</v>
      </c>
      <c r="O403" s="3">
        <f>O366-N366</f>
        <v>0</v>
      </c>
      <c r="P403" s="3">
        <f>P366-O366</f>
        <v>0</v>
      </c>
      <c r="Q403" s="3">
        <f>Q366-P366</f>
        <v>496.492</v>
      </c>
      <c r="R403" s="3">
        <f>SUM(N403:Q403)</f>
        <v>1251.457</v>
      </c>
      <c r="S403" s="3">
        <f>S366-R366</f>
        <v>0</v>
      </c>
      <c r="T403" s="3">
        <f>T366-S366</f>
        <v>-328.787</v>
      </c>
      <c r="U403" s="3">
        <f>U366-T366</f>
        <v>0</v>
      </c>
      <c r="V403" s="3">
        <f>V366-U366</f>
        <v>346.639</v>
      </c>
      <c r="W403" s="3">
        <f>SUM(S403:V403)</f>
        <v>17.8519999999999</v>
      </c>
      <c r="X403" s="3">
        <f>X366-W366</f>
        <v>0</v>
      </c>
      <c r="Y403" s="3">
        <f>Y366-X366</f>
        <v>-362.784</v>
      </c>
      <c r="Z403" s="3">
        <f>Z366-Y366</f>
        <v>0</v>
      </c>
      <c r="AA403" s="3">
        <f>AA366-Z366</f>
        <v>826.154000000001</v>
      </c>
      <c r="AB403" s="3">
        <f>SUM(X403:AA403)</f>
        <v>463.37</v>
      </c>
      <c r="AC403" s="3">
        <f>AC366-AB366</f>
        <v>0</v>
      </c>
      <c r="AD403" s="3">
        <f>AD366-AC366</f>
        <v>-365.341</v>
      </c>
      <c r="AE403" s="3">
        <f>AE366-AD366</f>
        <v>0</v>
      </c>
      <c r="AF403" s="3">
        <f>AF366-AE366</f>
        <v>869.451</v>
      </c>
      <c r="AG403" s="3">
        <f>SUM(AC403:AF403)</f>
        <v>504.11</v>
      </c>
      <c r="AH403" s="3">
        <f>AH366-AG366</f>
        <v>0</v>
      </c>
      <c r="AI403" s="3">
        <f>AI366-AH366</f>
        <v>-9.88900000000012</v>
      </c>
      <c r="AJ403" s="3">
        <f>AJ366-AI366</f>
        <v>0</v>
      </c>
      <c r="AK403" s="3">
        <f>AK366-AJ366</f>
        <v>0</v>
      </c>
      <c r="AL403" s="3">
        <f>SUM(AH403:AK403)</f>
        <v>-9.88900000000012</v>
      </c>
      <c r="AM403" s="3">
        <f>AM366-AL366</f>
        <v>0</v>
      </c>
      <c r="AN403" s="3">
        <f>AN366-AM366</f>
        <v>0</v>
      </c>
      <c r="AO403" s="3">
        <f>AO366-AN366</f>
        <v>0</v>
      </c>
      <c r="AP403" s="3">
        <f>AP366-AO366</f>
        <v>0</v>
      </c>
      <c r="AQ403" s="3">
        <f>SUM(AM403:AP403)</f>
        <v>0</v>
      </c>
      <c r="AR403" s="3">
        <f>AR366-AQ366</f>
        <v>0</v>
      </c>
      <c r="AS403" s="3">
        <f>AS366-AR366</f>
        <v>0</v>
      </c>
      <c r="AT403" s="3">
        <f>AT366-AS366</f>
        <v>0</v>
      </c>
      <c r="AU403" s="3">
        <f>AU366-AT366</f>
        <v>0</v>
      </c>
      <c r="AV403" s="3">
        <f>SUM(AR403:AU403)</f>
        <v>0</v>
      </c>
      <c r="AW403" s="3">
        <f>AW366-AV366</f>
        <v>0</v>
      </c>
      <c r="AX403" s="3">
        <f>AX366-AW366</f>
        <v>0</v>
      </c>
      <c r="AY403" s="3">
        <f>AY366-AX366</f>
        <v>0</v>
      </c>
      <c r="AZ403" s="3">
        <f>AZ366-AY366</f>
        <v>0</v>
      </c>
      <c r="BA403" s="3">
        <f>SUM(AW403:AZ403)</f>
        <v>0</v>
      </c>
      <c r="BB403" s="3">
        <f>BB366-BA366</f>
        <v>0</v>
      </c>
      <c r="BC403" s="3">
        <f>BC366-BB366</f>
        <v>0</v>
      </c>
      <c r="BD403" s="3">
        <f>BD366-BC366</f>
        <v>0</v>
      </c>
      <c r="BE403" s="3">
        <f>BE366-BD366</f>
        <v>0</v>
      </c>
      <c r="BF403" s="3">
        <f>SUM(BB403:BE403)</f>
        <v>0</v>
      </c>
      <c r="BG403" s="3">
        <f>BG366-BF366</f>
        <v>0</v>
      </c>
      <c r="BH403" s="3">
        <f>BH366-BG366</f>
        <v>0</v>
      </c>
      <c r="BI403" s="3">
        <f>BI366-BH366</f>
        <v>0</v>
      </c>
      <c r="BJ403" s="3">
        <f>BJ366-BI366</f>
        <v>0</v>
      </c>
      <c r="BK403" s="3">
        <f>SUM(BG403:BJ403)</f>
        <v>0</v>
      </c>
      <c r="BL403" s="3">
        <f>BL366-BK366</f>
        <v>0</v>
      </c>
      <c r="BM403" s="3">
        <f>BM366-BL366</f>
        <v>0</v>
      </c>
      <c r="BN403" s="3">
        <f>BN366-BM366</f>
        <v>0</v>
      </c>
      <c r="BO403" s="3">
        <f>BO366-BN366</f>
        <v>0</v>
      </c>
      <c r="BP403" s="3">
        <f>SUM(BL403:BO403)</f>
        <v>0</v>
      </c>
      <c r="BQ403" s="3">
        <f>BQ366-BP366</f>
        <v>0</v>
      </c>
      <c r="BR403" s="3">
        <f>BR366-BQ366</f>
        <v>0</v>
      </c>
      <c r="BS403" s="3">
        <f>BS366-BR366</f>
        <v>0</v>
      </c>
      <c r="BT403" s="3">
        <f>BT366-BS366</f>
        <v>0</v>
      </c>
      <c r="BU403" s="3">
        <f>SUM(BQ403:BT403)</f>
        <v>0</v>
      </c>
      <c r="BV403" s="3">
        <f>BV366-BU366</f>
        <v>0</v>
      </c>
      <c r="BW403" s="3">
        <f>BW366-BV366</f>
        <v>0</v>
      </c>
      <c r="BX403" s="3">
        <f>BX366-BW366</f>
        <v>0</v>
      </c>
      <c r="BY403" s="3">
        <f>BY366-BX366</f>
        <v>0</v>
      </c>
      <c r="BZ403" s="3">
        <f>SUM(BV403:BY403)</f>
        <v>0</v>
      </c>
      <c r="CA403" s="3">
        <f>CA366-BZ366</f>
        <v>0</v>
      </c>
      <c r="CB403" s="3">
        <f>CB366-CA366</f>
        <v>0</v>
      </c>
      <c r="CC403" s="3">
        <f>CC366-CB366</f>
        <v>0</v>
      </c>
      <c r="CD403" s="3">
        <f>CD366-CC366</f>
        <v>0</v>
      </c>
      <c r="CE403" s="3">
        <f>SUM(CA403:CD403)</f>
        <v>0</v>
      </c>
      <c r="CF403" s="3">
        <f>CF366-CE366</f>
        <v>0</v>
      </c>
      <c r="CG403" s="3">
        <f>CG366-CF366</f>
        <v>0</v>
      </c>
      <c r="CH403" s="3">
        <f>CH366-CG366</f>
        <v>0</v>
      </c>
      <c r="CI403" s="3">
        <f>CI366-CH366</f>
        <v>0</v>
      </c>
      <c r="CJ403" s="3">
        <f>SUM(CF403:CI403)</f>
        <v>0</v>
      </c>
      <c r="CK403" s="3">
        <f>CK366-CJ366</f>
        <v>0</v>
      </c>
      <c r="CL403" s="3">
        <f>CL366-CK366</f>
        <v>0</v>
      </c>
      <c r="CM403" s="3">
        <f>CM366-CL366</f>
        <v>0</v>
      </c>
      <c r="CN403" s="3">
        <f>CN366-CM366</f>
        <v>0</v>
      </c>
      <c r="CO403" s="3">
        <f>SUM(CK403:CN403)</f>
        <v>0</v>
      </c>
      <c r="CP403" s="3">
        <f>CP366-CO366</f>
        <v>0</v>
      </c>
      <c r="CQ403" s="3">
        <f>CQ366-CP366</f>
        <v>0</v>
      </c>
      <c r="CR403" s="3">
        <f>CR366-CQ366</f>
        <v>0</v>
      </c>
      <c r="CS403" s="3">
        <f>CS366-CR366</f>
        <v>0</v>
      </c>
      <c r="CT403" s="3">
        <f>SUM(CP403:CS403)</f>
        <v>0</v>
      </c>
      <c r="CU403" s="3">
        <f>CU366-CT366</f>
        <v>0</v>
      </c>
      <c r="CV403" s="3">
        <f>CV366-CU366</f>
        <v>0</v>
      </c>
      <c r="CW403" s="3">
        <f>CW366-CV366</f>
        <v>0</v>
      </c>
      <c r="CX403" s="3">
        <f>CX366-CW366</f>
        <v>0</v>
      </c>
      <c r="CY403" s="3">
        <f>SUM(CU403:CX403)</f>
        <v>0</v>
      </c>
    </row>
    <row r="404">
      <c r="C404" s="29" t="inlineStr">
        <is>
          <t>Common and preferred dividends</t>
        </is>
      </c>
      <c r="D404" s="3" t="n"/>
      <c r="E404" s="3">
        <f>(E367-D367)-E374</f>
        <v>0</v>
      </c>
      <c r="F404" s="3">
        <f>(F367-E367)-F374</f>
        <v>0</v>
      </c>
      <c r="G404" s="3">
        <f>(G367-F367)-G374</f>
        <v>-942.088</v>
      </c>
      <c r="H404" s="3">
        <f>SUM(D404:G404)</f>
        <v>-942.088</v>
      </c>
      <c r="I404" s="3">
        <f>(I367-H367)-I374</f>
        <v>0</v>
      </c>
      <c r="J404" s="3">
        <f>(J367-I367)-J374</f>
        <v>0</v>
      </c>
      <c r="K404" s="3">
        <f>(K367-J367)-K374</f>
        <v>0</v>
      </c>
      <c r="L404" s="3">
        <f>(L367-K367)-L374</f>
        <v>0</v>
      </c>
      <c r="M404" s="3">
        <f>SUM(I404:L404)</f>
        <v>0</v>
      </c>
      <c r="N404" s="3">
        <f>(N367-M367)-N374</f>
        <v>-1115.401</v>
      </c>
      <c r="O404" s="3">
        <f>(O367-N367)-O374</f>
        <v>0</v>
      </c>
      <c r="P404" s="3">
        <f>(P367-O367)-P374</f>
        <v>0</v>
      </c>
      <c r="Q404" s="3">
        <f>(Q367-P367)-Q374</f>
        <v>-918.466</v>
      </c>
      <c r="R404" s="3">
        <f>SUM(N404:Q404)</f>
        <v>-2033.867</v>
      </c>
      <c r="S404" s="3">
        <f>(S367-R367)-S374</f>
        <v>0</v>
      </c>
      <c r="T404" s="3">
        <f>(T367-S367)-T374</f>
        <v>0</v>
      </c>
      <c r="U404" s="3">
        <f>(U367-T367)-U374</f>
        <v>-36.571</v>
      </c>
      <c r="V404" s="3">
        <f>(V367-U367)-V374</f>
        <v>-657.492</v>
      </c>
      <c r="W404" s="3">
        <f>SUM(S404:V404)</f>
        <v>-694.063</v>
      </c>
      <c r="X404" s="3">
        <f>(X367-W367)-X374</f>
        <v>0</v>
      </c>
      <c r="Y404" s="3">
        <f>(Y367-X367)-Y374</f>
        <v>-66.559</v>
      </c>
      <c r="Z404" s="3">
        <f>(Z367-Y367)-Z374</f>
        <v>-57.0509999999999</v>
      </c>
      <c r="AA404" s="3">
        <f>(AA367-Z367)-AA374</f>
        <v>-962.48</v>
      </c>
      <c r="AB404" s="3">
        <f>SUM(X404:AA404)</f>
        <v>-1086.09</v>
      </c>
      <c r="AC404" s="3">
        <f>(AC367-AB367)-AC374</f>
        <v>0</v>
      </c>
      <c r="AD404" s="3">
        <f>(AD367-AC367)-AD374</f>
        <v>-69.2220000000001</v>
      </c>
      <c r="AE404" s="3">
        <f>(AE367-AD367)-AE374</f>
        <v>-69.221</v>
      </c>
      <c r="AF404" s="3">
        <f>(AF367-AE367)-AF374</f>
        <v>-1077.116</v>
      </c>
      <c r="AG404" s="3">
        <f>SUM(AC404:AF404)</f>
        <v>-1215.559</v>
      </c>
      <c r="AH404" s="3">
        <f>(AH367-AG367)-AH374</f>
        <v>0</v>
      </c>
      <c r="AI404" s="3">
        <f>(AI367-AH367)-AI374</f>
        <v>-69.2220000000002</v>
      </c>
      <c r="AJ404" s="3">
        <f>(AJ367-AI367)-AJ374</f>
        <v>0</v>
      </c>
      <c r="AK404" s="3">
        <f>(AK367-AJ367)-AK374</f>
        <v>4.9737991503207e-14</v>
      </c>
      <c r="AL404" s="3">
        <f>SUM(AH404:AK404)</f>
        <v>-69.2220000000001</v>
      </c>
      <c r="AM404" s="3">
        <f>(AM367-AL367)-AM374</f>
        <v>0</v>
      </c>
      <c r="AN404" s="3">
        <f>(AN367-AM367)-AN374</f>
        <v>0</v>
      </c>
      <c r="AO404" s="3">
        <f>(AO367-AN367)-AO374</f>
        <v>0</v>
      </c>
      <c r="AP404" s="3">
        <f>(AP367-AO367)-AP374</f>
        <v>0</v>
      </c>
      <c r="AQ404" s="3">
        <f>SUM(AM404:AP404)</f>
        <v>0</v>
      </c>
      <c r="AR404" s="3">
        <f>(AR367-AQ367)-AR374</f>
        <v>0</v>
      </c>
      <c r="AS404" s="3">
        <f>(AS367-AR367)-AS374</f>
        <v>0</v>
      </c>
      <c r="AT404" s="3">
        <f>(AT367-AS367)-AT374</f>
        <v>0</v>
      </c>
      <c r="AU404" s="3">
        <f>(AU367-AT367)-AU374</f>
        <v>0</v>
      </c>
      <c r="AV404" s="3">
        <f>SUM(AR404:AU404)</f>
        <v>0</v>
      </c>
      <c r="AW404" s="3">
        <f>(AW367-AV367)-AW374</f>
        <v>0</v>
      </c>
      <c r="AX404" s="3">
        <f>(AX367-AW367)-AX374</f>
        <v>0</v>
      </c>
      <c r="AY404" s="3">
        <f>(AY367-AX367)-AY374</f>
        <v>0</v>
      </c>
      <c r="AZ404" s="3">
        <f>(AZ367-AY367)-AZ374</f>
        <v>0</v>
      </c>
      <c r="BA404" s="3">
        <f>SUM(AW404:AZ404)</f>
        <v>0</v>
      </c>
      <c r="BB404" s="3">
        <f>(BB367-BA367)-BB374</f>
        <v>0</v>
      </c>
      <c r="BC404" s="3">
        <f>(BC367-BB367)-BC374</f>
        <v>0</v>
      </c>
      <c r="BD404" s="3">
        <f>(BD367-BC367)-BD374</f>
        <v>0</v>
      </c>
      <c r="BE404" s="3">
        <f>(BE367-BD367)-BE374</f>
        <v>0</v>
      </c>
      <c r="BF404" s="3">
        <f>SUM(BB404:BE404)</f>
        <v>0</v>
      </c>
      <c r="BG404" s="3">
        <f>(BG367-BF367)-BG374</f>
        <v>0</v>
      </c>
      <c r="BH404" s="3">
        <f>(BH367-BG367)-BH374</f>
        <v>0</v>
      </c>
      <c r="BI404" s="3">
        <f>(BI367-BH367)-BI374</f>
        <v>0</v>
      </c>
      <c r="BJ404" s="3">
        <f>(BJ367-BI367)-BJ374</f>
        <v>0</v>
      </c>
      <c r="BK404" s="3">
        <f>SUM(BG404:BJ404)</f>
        <v>0</v>
      </c>
      <c r="BL404" s="3">
        <f>(BL367-BK367)-BL374</f>
        <v>0</v>
      </c>
      <c r="BM404" s="3">
        <f>(BM367-BL367)-BM374</f>
        <v>0</v>
      </c>
      <c r="BN404" s="3">
        <f>(BN367-BM367)-BN374</f>
        <v>0</v>
      </c>
      <c r="BO404" s="3">
        <f>(BO367-BN367)-BO374</f>
        <v>0</v>
      </c>
      <c r="BP404" s="3">
        <f>SUM(BL404:BO404)</f>
        <v>0</v>
      </c>
      <c r="BQ404" s="3">
        <f>(BQ367-BP367)-BQ374</f>
        <v>0</v>
      </c>
      <c r="BR404" s="3">
        <f>(BR367-BQ367)-BR374</f>
        <v>0</v>
      </c>
      <c r="BS404" s="3">
        <f>(BS367-BR367)-BS374</f>
        <v>0</v>
      </c>
      <c r="BT404" s="3">
        <f>(BT367-BS367)-BT374</f>
        <v>0</v>
      </c>
      <c r="BU404" s="3">
        <f>SUM(BQ404:BT404)</f>
        <v>0</v>
      </c>
      <c r="BV404" s="3">
        <f>(BV367-BU367)-BV374</f>
        <v>0</v>
      </c>
      <c r="BW404" s="3">
        <f>(BW367-BV367)-BW374</f>
        <v>0</v>
      </c>
      <c r="BX404" s="3">
        <f>(BX367-BW367)-BX374</f>
        <v>0</v>
      </c>
      <c r="BY404" s="3">
        <f>(BY367-BX367)-BY374</f>
        <v>0</v>
      </c>
      <c r="BZ404" s="3">
        <f>SUM(BV404:BY404)</f>
        <v>0</v>
      </c>
      <c r="CA404" s="3">
        <f>(CA367-BZ367)-CA374</f>
        <v>0</v>
      </c>
      <c r="CB404" s="3">
        <f>(CB367-CA367)-CB374</f>
        <v>0</v>
      </c>
      <c r="CC404" s="3">
        <f>(CC367-CB367)-CC374</f>
        <v>0</v>
      </c>
      <c r="CD404" s="3">
        <f>(CD367-CC367)-CD374</f>
        <v>0</v>
      </c>
      <c r="CE404" s="3">
        <f>SUM(CA404:CD404)</f>
        <v>0</v>
      </c>
      <c r="CF404" s="3">
        <f>(CF367-CE367)-CF374</f>
        <v>0</v>
      </c>
      <c r="CG404" s="3">
        <f>(CG367-CF367)-CG374</f>
        <v>0</v>
      </c>
      <c r="CH404" s="3">
        <f>(CH367-CG367)-CH374</f>
        <v>0</v>
      </c>
      <c r="CI404" s="3">
        <f>(CI367-CH367)-CI374</f>
        <v>0</v>
      </c>
      <c r="CJ404" s="3">
        <f>SUM(CF404:CI404)</f>
        <v>0</v>
      </c>
      <c r="CK404" s="3">
        <f>(CK367-CJ367)-CK374</f>
        <v>0</v>
      </c>
      <c r="CL404" s="3">
        <f>(CL367-CK367)-CL374</f>
        <v>0</v>
      </c>
      <c r="CM404" s="3">
        <f>(CM367-CL367)-CM374</f>
        <v>0</v>
      </c>
      <c r="CN404" s="3">
        <f>(CN367-CM367)-CN374</f>
        <v>0</v>
      </c>
      <c r="CO404" s="3">
        <f>SUM(CK404:CN404)</f>
        <v>0</v>
      </c>
      <c r="CP404" s="3">
        <f>(CP367-CO367)-CP374</f>
        <v>0</v>
      </c>
      <c r="CQ404" s="3">
        <f>(CQ367-CP367)-CQ374</f>
        <v>0</v>
      </c>
      <c r="CR404" s="3">
        <f>(CR367-CQ367)-CR374</f>
        <v>0</v>
      </c>
      <c r="CS404" s="3">
        <f>(CS367-CR367)-CS374</f>
        <v>0</v>
      </c>
      <c r="CT404" s="3">
        <f>SUM(CP404:CS404)</f>
        <v>0</v>
      </c>
      <c r="CU404" s="3">
        <f>(CU367-CT367)-CU374</f>
        <v>0</v>
      </c>
      <c r="CV404" s="3">
        <f>(CV367-CU367)-CV374</f>
        <v>0</v>
      </c>
      <c r="CW404" s="3">
        <f>(CW367-CV367)-CW374</f>
        <v>0</v>
      </c>
      <c r="CX404" s="3">
        <f>(CX367-CW367)-CX374</f>
        <v>0</v>
      </c>
      <c r="CY404" s="3">
        <f>SUM(CU404:CX404)</f>
        <v>0</v>
      </c>
    </row>
    <row r="405">
      <c r="C405" s="26" t="inlineStr">
        <is>
          <t>Dividends to minority interests</t>
        </is>
      </c>
      <c r="D405" s="3" t="n"/>
      <c r="E405" s="3">
        <f>(E345-D345)+E233</f>
        <v>-45.4280000000004</v>
      </c>
      <c r="F405" s="3">
        <f>(F345-E345)+F233</f>
        <v>-57.0449999999997</v>
      </c>
      <c r="G405" s="3">
        <f>(G345-F345)+G233</f>
        <v>-233.274</v>
      </c>
      <c r="H405" s="3">
        <f>SUM(D405:G405)</f>
        <v>-335.747</v>
      </c>
      <c r="I405" s="3">
        <f>(I345-H345)+I233</f>
        <v>-13.2769999999996</v>
      </c>
      <c r="J405" s="3">
        <f>(J345-I345)+J233</f>
        <v>-249.478</v>
      </c>
      <c r="K405" s="3">
        <f>(K345-J345)+K233</f>
        <v>-120.864</v>
      </c>
      <c r="L405" s="3">
        <f>(L345-K345)+L233</f>
        <v>-367.874</v>
      </c>
      <c r="M405" s="3">
        <f>SUM(I405:L405)</f>
        <v>-751.493</v>
      </c>
      <c r="N405" s="3">
        <f>(N345-M345)+N233</f>
        <v>-108.978</v>
      </c>
      <c r="O405" s="3">
        <f>(O345-N345)+O233</f>
        <v>-242.714</v>
      </c>
      <c r="P405" s="3">
        <f>(P345-O345)+P233</f>
        <v>-252.873</v>
      </c>
      <c r="Q405" s="3">
        <f>(Q345-P345)+Q233</f>
        <v>-177.772</v>
      </c>
      <c r="R405" s="3">
        <f>SUM(N405:Q405)</f>
        <v>-782.337</v>
      </c>
      <c r="S405" s="3">
        <f>(S345-R345)+S233</f>
        <v>-10.1149999999998</v>
      </c>
      <c r="T405" s="3">
        <f>(T345-S345)+T233</f>
        <v>-292.562</v>
      </c>
      <c r="U405" s="3">
        <f>(U345-T345)+U233</f>
        <v>-131.56</v>
      </c>
      <c r="V405" s="3">
        <f>(V345-U345)+V233</f>
        <v>-162.993</v>
      </c>
      <c r="W405" s="3">
        <f>SUM(S405:V405)</f>
        <v>-597.23</v>
      </c>
      <c r="X405" s="3">
        <f>(X345-W345)+X233</f>
        <v>2.31099999999992</v>
      </c>
      <c r="Y405" s="3">
        <f>(Y345-X345)+Y233</f>
        <v>-131.12</v>
      </c>
      <c r="Z405" s="3">
        <f>(Z345-Y345)+Z233</f>
        <v>-35.2469999999998</v>
      </c>
      <c r="AA405" s="3">
        <f>(AA345-Z345)+AA233</f>
        <v>-399.637</v>
      </c>
      <c r="AB405" s="3">
        <f>SUM(X405:AA405)</f>
        <v>-563.693</v>
      </c>
      <c r="AC405" s="3">
        <f>(AC345-AB345)+AC233</f>
        <v>-5.62300000000036</v>
      </c>
      <c r="AD405" s="3">
        <f>(AD345-AC345)+AD233</f>
        <v>-319.945</v>
      </c>
      <c r="AE405" s="3">
        <f>(AE345-AD345)+AE233</f>
        <v>-165.876</v>
      </c>
      <c r="AF405" s="3">
        <f>(AF345-AE345)+AF233</f>
        <v>-96.9420000000002</v>
      </c>
      <c r="AG405" s="3">
        <f>SUM(AC405:AF405)</f>
        <v>-588.386</v>
      </c>
      <c r="AH405" s="3">
        <f>(AH345-AG345)+AH233</f>
        <v>-9.33699999999999</v>
      </c>
      <c r="AI405" s="3">
        <f>(AI345-AH345)+AI233</f>
        <v>-100.575</v>
      </c>
      <c r="AJ405" s="3">
        <f>(AJ345-AI345)+AJ233</f>
        <v>0</v>
      </c>
      <c r="AK405" s="3">
        <f>(AK345-AJ345)+AK233</f>
        <v>0</v>
      </c>
      <c r="AL405" s="3">
        <f>SUM(AH405:AK405)</f>
        <v>-109.912</v>
      </c>
      <c r="AM405" s="3">
        <f>(AM345-AL345)+AM233</f>
        <v>0</v>
      </c>
      <c r="AN405" s="3">
        <f>(AN345-AM345)+AN233</f>
        <v>0</v>
      </c>
      <c r="AO405" s="3">
        <f>(AO345-AN345)+AO233</f>
        <v>0</v>
      </c>
      <c r="AP405" s="3">
        <f>(AP345-AO345)+AP233</f>
        <v>0</v>
      </c>
      <c r="AQ405" s="3">
        <f>SUM(AM405:AP405)</f>
        <v>0</v>
      </c>
      <c r="AR405" s="3">
        <f>(AR345-AQ345)+AR233</f>
        <v>0</v>
      </c>
      <c r="AS405" s="3">
        <f>(AS345-AR345)+AS233</f>
        <v>0</v>
      </c>
      <c r="AT405" s="3">
        <f>(AT345-AS345)+AT233</f>
        <v>0</v>
      </c>
      <c r="AU405" s="3">
        <f>(AU345-AT345)+AU233</f>
        <v>0</v>
      </c>
      <c r="AV405" s="3">
        <f>SUM(AR405:AU405)</f>
        <v>0</v>
      </c>
      <c r="AW405" s="3">
        <f>(AW345-AV345)+AW233</f>
        <v>0</v>
      </c>
      <c r="AX405" s="3">
        <f>(AX345-AW345)+AX233</f>
        <v>0</v>
      </c>
      <c r="AY405" s="3">
        <f>(AY345-AX345)+AY233</f>
        <v>0</v>
      </c>
      <c r="AZ405" s="3">
        <f>(AZ345-AY345)+AZ233</f>
        <v>0</v>
      </c>
      <c r="BA405" s="3">
        <f>SUM(AW405:AZ405)</f>
        <v>0</v>
      </c>
      <c r="BB405" s="3">
        <f>(BB345-BA345)+BB233</f>
        <v>0</v>
      </c>
      <c r="BC405" s="3">
        <f>(BC345-BB345)+BC233</f>
        <v>0</v>
      </c>
      <c r="BD405" s="3">
        <f>(BD345-BC345)+BD233</f>
        <v>0</v>
      </c>
      <c r="BE405" s="3">
        <f>(BE345-BD345)+BE233</f>
        <v>0</v>
      </c>
      <c r="BF405" s="3">
        <f>SUM(BB405:BE405)</f>
        <v>0</v>
      </c>
      <c r="BG405" s="3">
        <f>(BG345-BF345)+BG233</f>
        <v>0</v>
      </c>
      <c r="BH405" s="3">
        <f>(BH345-BG345)+BH233</f>
        <v>0</v>
      </c>
      <c r="BI405" s="3">
        <f>(BI345-BH345)+BI233</f>
        <v>0</v>
      </c>
      <c r="BJ405" s="3">
        <f>(BJ345-BI345)+BJ233</f>
        <v>0</v>
      </c>
      <c r="BK405" s="3">
        <f>SUM(BG405:BJ405)</f>
        <v>0</v>
      </c>
      <c r="BL405" s="3">
        <f>(BL345-BK345)+BL233</f>
        <v>0</v>
      </c>
      <c r="BM405" s="3">
        <f>(BM345-BL345)+BM233</f>
        <v>0</v>
      </c>
      <c r="BN405" s="3">
        <f>(BN345-BM345)+BN233</f>
        <v>0</v>
      </c>
      <c r="BO405" s="3">
        <f>(BO345-BN345)+BO233</f>
        <v>0</v>
      </c>
      <c r="BP405" s="3">
        <f>SUM(BL405:BO405)</f>
        <v>0</v>
      </c>
      <c r="BQ405" s="3">
        <f>(BQ345-BP345)+BQ233</f>
        <v>0</v>
      </c>
      <c r="BR405" s="3">
        <f>(BR345-BQ345)+BR233</f>
        <v>0</v>
      </c>
      <c r="BS405" s="3">
        <f>(BS345-BR345)+BS233</f>
        <v>0</v>
      </c>
      <c r="BT405" s="3">
        <f>(BT345-BS345)+BT233</f>
        <v>0</v>
      </c>
      <c r="BU405" s="3">
        <f>SUM(BQ405:BT405)</f>
        <v>0</v>
      </c>
      <c r="BV405" s="3">
        <f>(BV345-BU345)+BV233</f>
        <v>0</v>
      </c>
      <c r="BW405" s="3">
        <f>(BW345-BV345)+BW233</f>
        <v>0</v>
      </c>
      <c r="BX405" s="3">
        <f>(BX345-BW345)+BX233</f>
        <v>0</v>
      </c>
      <c r="BY405" s="3">
        <f>(BY345-BX345)+BY233</f>
        <v>0</v>
      </c>
      <c r="BZ405" s="3">
        <f>SUM(BV405:BY405)</f>
        <v>0</v>
      </c>
      <c r="CA405" s="3">
        <f>(CA345-BZ345)+CA233</f>
        <v>0</v>
      </c>
      <c r="CB405" s="3">
        <f>(CB345-CA345)+CB233</f>
        <v>0</v>
      </c>
      <c r="CC405" s="3">
        <f>(CC345-CB345)+CC233</f>
        <v>0</v>
      </c>
      <c r="CD405" s="3">
        <f>(CD345-CC345)+CD233</f>
        <v>0</v>
      </c>
      <c r="CE405" s="3">
        <f>SUM(CA405:CD405)</f>
        <v>0</v>
      </c>
      <c r="CF405" s="3">
        <f>(CF345-CE345)+CF233</f>
        <v>0</v>
      </c>
      <c r="CG405" s="3">
        <f>(CG345-CF345)+CG233</f>
        <v>0</v>
      </c>
      <c r="CH405" s="3">
        <f>(CH345-CG345)+CH233</f>
        <v>0</v>
      </c>
      <c r="CI405" s="3">
        <f>(CI345-CH345)+CI233</f>
        <v>0</v>
      </c>
      <c r="CJ405" s="3">
        <f>SUM(CF405:CI405)</f>
        <v>0</v>
      </c>
      <c r="CK405" s="3">
        <f>(CK345-CJ345)+CK233</f>
        <v>0</v>
      </c>
      <c r="CL405" s="3">
        <f>(CL345-CK345)+CL233</f>
        <v>0</v>
      </c>
      <c r="CM405" s="3">
        <f>(CM345-CL345)+CM233</f>
        <v>0</v>
      </c>
      <c r="CN405" s="3">
        <f>(CN345-CM345)+CN233</f>
        <v>0</v>
      </c>
      <c r="CO405" s="3">
        <f>SUM(CK405:CN405)</f>
        <v>0</v>
      </c>
      <c r="CP405" s="3">
        <f>(CP345-CO345)+CP233</f>
        <v>0</v>
      </c>
      <c r="CQ405" s="3">
        <f>(CQ345-CP345)+CQ233</f>
        <v>0</v>
      </c>
      <c r="CR405" s="3">
        <f>(CR345-CQ345)+CR233</f>
        <v>0</v>
      </c>
      <c r="CS405" s="3">
        <f>(CS345-CR345)+CS233</f>
        <v>0</v>
      </c>
      <c r="CT405" s="3">
        <f>SUM(CP405:CS405)</f>
        <v>0</v>
      </c>
      <c r="CU405" s="3">
        <f>(CU345-CT345)+CU233</f>
        <v>0</v>
      </c>
      <c r="CV405" s="3">
        <f>(CV345-CU345)+CV233</f>
        <v>0</v>
      </c>
      <c r="CW405" s="3">
        <f>(CW345-CV345)+CW233</f>
        <v>0</v>
      </c>
      <c r="CX405" s="3">
        <f>(CX345-CW345)+CX233</f>
        <v>0</v>
      </c>
      <c r="CY405" s="3">
        <f>SUM(CU405:CX405)</f>
        <v>0</v>
      </c>
    </row>
    <row r="406">
      <c r="C406" s="28" t="inlineStr">
        <is>
          <t>Increases / (decreases) in debt</t>
        </is>
      </c>
      <c r="D406" s="3" t="n"/>
      <c r="E406" s="3">
        <f>SUM(E309:E311,E314,E335,E332)-SUM(D309:D311,D314,D335,D332)</f>
        <v>-126.139000000001</v>
      </c>
      <c r="F406" s="3">
        <f>SUM(F309:F311,F314,F335,F332)-SUM(E309:E311,E314,E335,E332)</f>
        <v>267.774000000001</v>
      </c>
      <c r="G406" s="3">
        <f>SUM(G309:G311,G314,G335,G332)-SUM(F309:F311,F314,F335,F332)</f>
        <v>234.656000000001</v>
      </c>
      <c r="H406" s="3">
        <f>SUM(D406:G406)</f>
        <v>376.291000000001</v>
      </c>
      <c r="I406" s="3">
        <f>SUM(I309:I311,I314,I335,I332)-SUM(H309:H311,H314,H335,H332)</f>
        <v>143.054999999998</v>
      </c>
      <c r="J406" s="3">
        <f>SUM(J309:J311,J314,J335,J332)-SUM(I309:I311,I314,I335,I332)</f>
        <v>169.429</v>
      </c>
      <c r="K406" s="3">
        <f>SUM(K309:K311,K314,K335,K332)-SUM(J309:J311,J314,J335,J332)</f>
        <v>123.708000000001</v>
      </c>
      <c r="L406" s="3">
        <f>SUM(L309:L311,L314,L335,L332)-SUM(K309:K311,K314,K335,K332)</f>
        <v>648.829</v>
      </c>
      <c r="M406" s="3">
        <f>SUM(I406:L406)</f>
        <v>1085.021</v>
      </c>
      <c r="N406" s="3">
        <f>SUM(N309:N311,N314,N335,N332)-SUM(M309:M311,M314,M335,M332)</f>
        <v>-113.500999999998</v>
      </c>
      <c r="O406" s="3">
        <f>SUM(O309:O311,O314,O335,O332)-SUM(N309:N311,N314,N335,N332)</f>
        <v>799.353999999998</v>
      </c>
      <c r="P406" s="3">
        <f>SUM(P309:P311,P314,P335,P332)-SUM(O309:O311,O314,O335,O332)</f>
        <v>279.244000000002</v>
      </c>
      <c r="Q406" s="3">
        <f>SUM(Q309:Q311,Q314,Q335,Q332)-SUM(P309:P311,P314,P335,P332)</f>
        <v>619.634</v>
      </c>
      <c r="R406" s="3">
        <f>SUM(N406:Q406)</f>
        <v>1584.731</v>
      </c>
      <c r="S406" s="3">
        <f>SUM(S309:S311,S314,S335,S332)-SUM(R309:R311,R314,R335,R332)</f>
        <v>91.1539999999986</v>
      </c>
      <c r="T406" s="3">
        <f>SUM(T309:T311,T314,T335,T332)-SUM(S309:S311,S314,S335,S332)</f>
        <v>-84.7029999999995</v>
      </c>
      <c r="U406" s="3">
        <f>SUM(U309:U311,U314,U335,U332)-SUM(T309:T311,T314,T335,T332)</f>
        <v>-67.2340000000004</v>
      </c>
      <c r="V406" s="3">
        <f>SUM(V309:V311,V314,V335,V332)-SUM(U309:U311,U314,U335,U332)</f>
        <v>200.398999999999</v>
      </c>
      <c r="W406" s="3">
        <f>SUM(S406:V406)</f>
        <v>139.615999999998</v>
      </c>
      <c r="X406" s="3">
        <f>SUM(X309:X311,X314,X335,X332)-SUM(W309:W311,W314,W335,W332)</f>
        <v>-47.9159999999993</v>
      </c>
      <c r="Y406" s="3">
        <f>SUM(Y309:Y311,Y314,Y335,Y332)-SUM(X309:X311,X314,X335,X332)</f>
        <v>707.391000000001</v>
      </c>
      <c r="Z406" s="3">
        <f>SUM(Z309:Z311,Z314,Z335,Z332)-SUM(Y309:Y311,Y314,Y335,Y332)</f>
        <v>-163.362000000001</v>
      </c>
      <c r="AA406" s="3">
        <f>SUM(AA309:AA311,AA314,AA335,AA332)-SUM(Z309:Z311,Z314,Z335,Z332)</f>
        <v>412.996999999999</v>
      </c>
      <c r="AB406" s="3">
        <f>SUM(X406:AA406)</f>
        <v>909.110000000001</v>
      </c>
      <c r="AC406" s="3">
        <f>SUM(AC309:AC311,AC314,AC335,AC332)-SUM(AB309:AB311,AB314,AB335,AB332)</f>
        <v>-100.1</v>
      </c>
      <c r="AD406" s="3">
        <f>SUM(AD309:AD311,AD314,AD335,AD332)-SUM(AC309:AC311,AC314,AC335,AC332)</f>
        <v>145.548999999999</v>
      </c>
      <c r="AE406" s="3">
        <f>SUM(AE309:AE311,AE314,AE335,AE332)-SUM(AD309:AD311,AD314,AD335,AD332)</f>
        <v>-297.535999999998</v>
      </c>
      <c r="AF406" s="3">
        <f>SUM(AF309:AF311,AF314,AF335,AF332)-SUM(AE309:AE311,AE314,AE335,AE332)</f>
        <v>133.895999999999</v>
      </c>
      <c r="AG406" s="3">
        <f>SUM(AC406:AF406)</f>
        <v>-118.191000000001</v>
      </c>
      <c r="AH406" s="3">
        <f>SUM(AH309:AH311,AH314,AH335,AH332)-SUM(AG309:AG311,AG314,AG335,AG332)</f>
        <v>1960.208</v>
      </c>
      <c r="AI406" s="3">
        <f>SUM(AI309:AI311,AI314,AI335,AI332)-SUM(AH309:AH311,AH314,AH335,AH332)</f>
        <v>322.959000000001</v>
      </c>
      <c r="AJ406" s="3">
        <f>SUM(AJ309:AJ311,AJ314,AJ335,AJ332)-SUM(AI309:AI311,AI314,AI335,AI332)</f>
        <v>0</v>
      </c>
      <c r="AK406" s="3">
        <f>SUM(AK309:AK311,AK314,AK335,AK332)-SUM(AJ309:AJ311,AJ314,AJ335,AJ332)</f>
        <v>0</v>
      </c>
      <c r="AL406" s="3">
        <f>SUM(AH406:AK406)</f>
        <v>2283.167</v>
      </c>
      <c r="AM406" s="3">
        <f>SUM(AM309:AM311,AM314,AM335,AM332)-SUM(AL309:AL311,AL314,AL335,AL332)</f>
        <v>0</v>
      </c>
      <c r="AN406" s="3">
        <f>SUM(AN309:AN311,AN314,AN335,AN332)-SUM(AM309:AM311,AM314,AM335,AM332)</f>
        <v>0</v>
      </c>
      <c r="AO406" s="3">
        <f>SUM(AO309:AO311,AO314,AO335,AO332)-SUM(AN309:AN311,AN314,AN335,AN332)</f>
        <v>0</v>
      </c>
      <c r="AP406" s="3">
        <f>SUM(AP309:AP311,AP314,AP335,AP332)-SUM(AO309:AO311,AO314,AO335,AO332)</f>
        <v>0</v>
      </c>
      <c r="AQ406" s="3">
        <f>SUM(AM406:AP406)</f>
        <v>0</v>
      </c>
      <c r="AR406" s="3">
        <f>SUM(AR309:AR311,AR314,AR335,AR332)-SUM(AQ309:AQ311,AQ314,AQ335,AQ332)</f>
        <v>0</v>
      </c>
      <c r="AS406" s="3">
        <f>SUM(AS309:AS311,AS314,AS335,AS332)-SUM(AR309:AR311,AR314,AR335,AR332)</f>
        <v>0</v>
      </c>
      <c r="AT406" s="3">
        <f>SUM(AT309:AT311,AT314,AT335,AT332)-SUM(AS309:AS311,AS314,AS335,AS332)</f>
        <v>0</v>
      </c>
      <c r="AU406" s="3">
        <f>SUM(AU309:AU311,AU314,AU335,AU332)-SUM(AT309:AT311,AT314,AT335,AT332)</f>
        <v>0</v>
      </c>
      <c r="AV406" s="3">
        <f>SUM(AR406:AU406)</f>
        <v>0</v>
      </c>
      <c r="AW406" s="3">
        <f>SUM(AW309:AW311,AW314,AW335,AW332)-SUM(AV309:AV311,AV314,AV335,AV332)</f>
        <v>0</v>
      </c>
      <c r="AX406" s="3">
        <f>SUM(AX309:AX311,AX314,AX335,AX332)-SUM(AW309:AW311,AW314,AW335,AW332)</f>
        <v>0</v>
      </c>
      <c r="AY406" s="3">
        <f>SUM(AY309:AY311,AY314,AY335,AY332)-SUM(AX309:AX311,AX314,AX335,AX332)</f>
        <v>0</v>
      </c>
      <c r="AZ406" s="3">
        <f>SUM(AZ309:AZ311,AZ314,AZ335,AZ332)-SUM(AY309:AY311,AY314,AY335,AY332)</f>
        <v>0</v>
      </c>
      <c r="BA406" s="3">
        <f>SUM(AW406:AZ406)</f>
        <v>0</v>
      </c>
      <c r="BB406" s="3">
        <f>SUM(BB309:BB311,BB314,BB335,BB332)-SUM(BA309:BA311,BA314,BA335,BA332)</f>
        <v>0</v>
      </c>
      <c r="BC406" s="3">
        <f>SUM(BC309:BC311,BC314,BC335,BC332)-SUM(BB309:BB311,BB314,BB335,BB332)</f>
        <v>0</v>
      </c>
      <c r="BD406" s="3">
        <f>SUM(BD309:BD311,BD314,BD335,BD332)-SUM(BC309:BC311,BC314,BC335,BC332)</f>
        <v>0</v>
      </c>
      <c r="BE406" s="3">
        <f>SUM(BE309:BE311,BE314,BE335,BE332)-SUM(BD309:BD311,BD314,BD335,BD332)</f>
        <v>0</v>
      </c>
      <c r="BF406" s="3">
        <f>SUM(BB406:BE406)</f>
        <v>0</v>
      </c>
      <c r="BG406" s="3">
        <f>SUM(BG309:BG311,BG314,BG335,BG332)-SUM(BF309:BF311,BF314,BF335,BF332)</f>
        <v>0</v>
      </c>
      <c r="BH406" s="3">
        <f>SUM(BH309:BH311,BH314,BH335,BH332)-SUM(BG309:BG311,BG314,BG335,BG332)</f>
        <v>0</v>
      </c>
      <c r="BI406" s="3">
        <f>SUM(BI309:BI311,BI314,BI335,BI332)-SUM(BH309:BH311,BH314,BH335,BH332)</f>
        <v>0</v>
      </c>
      <c r="BJ406" s="3">
        <f>SUM(BJ309:BJ311,BJ314,BJ335,BJ332)-SUM(BI309:BI311,BI314,BI335,BI332)</f>
        <v>0</v>
      </c>
      <c r="BK406" s="3">
        <f>SUM(BG406:BJ406)</f>
        <v>0</v>
      </c>
      <c r="BL406" s="3">
        <f>SUM(BL309:BL311,BL314,BL335,BL332)-SUM(BK309:BK311,BK314,BK335,BK332)</f>
        <v>0</v>
      </c>
      <c r="BM406" s="3">
        <f>SUM(BM309:BM311,BM314,BM335,BM332)-SUM(BL309:BL311,BL314,BL335,BL332)</f>
        <v>0</v>
      </c>
      <c r="BN406" s="3">
        <f>SUM(BN309:BN311,BN314,BN335,BN332)-SUM(BM309:BM311,BM314,BM335,BM332)</f>
        <v>0</v>
      </c>
      <c r="BO406" s="3">
        <f>SUM(BO309:BO311,BO314,BO335,BO332)-SUM(BN309:BN311,BN314,BN335,BN332)</f>
        <v>0</v>
      </c>
      <c r="BP406" s="3">
        <f>SUM(BL406:BO406)</f>
        <v>0</v>
      </c>
      <c r="BQ406" s="3">
        <f>SUM(BQ309:BQ311,BQ314,BQ335,BQ332)-SUM(BP309:BP311,BP314,BP335,BP332)</f>
        <v>0</v>
      </c>
      <c r="BR406" s="3">
        <f>SUM(BR309:BR311,BR314,BR335,BR332)-SUM(BQ309:BQ311,BQ314,BQ335,BQ332)</f>
        <v>0</v>
      </c>
      <c r="BS406" s="3">
        <f>SUM(BS309:BS311,BS314,BS335,BS332)-SUM(BR309:BR311,BR314,BR335,BR332)</f>
        <v>0</v>
      </c>
      <c r="BT406" s="3">
        <f>SUM(BT309:BT311,BT314,BT335,BT332)-SUM(BS309:BS311,BS314,BS335,BS332)</f>
        <v>0</v>
      </c>
      <c r="BU406" s="3">
        <f>SUM(BQ406:BT406)</f>
        <v>0</v>
      </c>
      <c r="BV406" s="3">
        <f>SUM(BV309:BV311,BV314,BV335,BV332)-SUM(BU309:BU311,BU314,BU335,BU332)</f>
        <v>0</v>
      </c>
      <c r="BW406" s="3">
        <f>SUM(BW309:BW311,BW314,BW335,BW332)-SUM(BV309:BV311,BV314,BV335,BV332)</f>
        <v>0</v>
      </c>
      <c r="BX406" s="3">
        <f>SUM(BX309:BX311,BX314,BX335,BX332)-SUM(BW309:BW311,BW314,BW335,BW332)</f>
        <v>0</v>
      </c>
      <c r="BY406" s="3">
        <f>SUM(BY309:BY311,BY314,BY335,BY332)-SUM(BX309:BX311,BX314,BX335,BX332)</f>
        <v>0</v>
      </c>
      <c r="BZ406" s="3">
        <f>SUM(BV406:BY406)</f>
        <v>0</v>
      </c>
      <c r="CA406" s="3">
        <f>SUM(CA309:CA311,CA314,CA335,CA332)-SUM(BZ309:BZ311,BZ314,BZ335,BZ332)</f>
        <v>0</v>
      </c>
      <c r="CB406" s="3">
        <f>SUM(CB309:CB311,CB314,CB335,CB332)-SUM(CA309:CA311,CA314,CA335,CA332)</f>
        <v>0</v>
      </c>
      <c r="CC406" s="3">
        <f>SUM(CC309:CC311,CC314,CC335,CC332)-SUM(CB309:CB311,CB314,CB335,CB332)</f>
        <v>0</v>
      </c>
      <c r="CD406" s="3">
        <f>SUM(CD309:CD311,CD314,CD335,CD332)-SUM(CC309:CC311,CC314,CC335,CC332)</f>
        <v>0</v>
      </c>
      <c r="CE406" s="3">
        <f>SUM(CA406:CD406)</f>
        <v>0</v>
      </c>
      <c r="CF406" s="3">
        <f>SUM(CF309:CF311,CF314,CF335,CF332)-SUM(CE309:CE311,CE314,CE335,CE332)</f>
        <v>0</v>
      </c>
      <c r="CG406" s="3">
        <f>SUM(CG309:CG311,CG314,CG335,CG332)-SUM(CF309:CF311,CF314,CF335,CF332)</f>
        <v>0</v>
      </c>
      <c r="CH406" s="3">
        <f>SUM(CH309:CH311,CH314,CH335,CH332)-SUM(CG309:CG311,CG314,CG335,CG332)</f>
        <v>0</v>
      </c>
      <c r="CI406" s="3">
        <f>SUM(CI309:CI311,CI314,CI335,CI332)-SUM(CH309:CH311,CH314,CH335,CH332)</f>
        <v>0</v>
      </c>
      <c r="CJ406" s="3">
        <f>SUM(CF406:CI406)</f>
        <v>0</v>
      </c>
      <c r="CK406" s="3">
        <f>SUM(CK309:CK311,CK314,CK335,CK332)-SUM(CJ309:CJ311,CJ314,CJ335,CJ332)</f>
        <v>0</v>
      </c>
      <c r="CL406" s="3">
        <f>SUM(CL309:CL311,CL314,CL335,CL332)-SUM(CK309:CK311,CK314,CK335,CK332)</f>
        <v>0</v>
      </c>
      <c r="CM406" s="3">
        <f>SUM(CM309:CM311,CM314,CM335,CM332)-SUM(CL309:CL311,CL314,CL335,CL332)</f>
        <v>0</v>
      </c>
      <c r="CN406" s="3">
        <f>SUM(CN309:CN311,CN314,CN335,CN332)-SUM(CM309:CM311,CM314,CM335,CM332)</f>
        <v>0</v>
      </c>
      <c r="CO406" s="3">
        <f>SUM(CK406:CN406)</f>
        <v>0</v>
      </c>
      <c r="CP406" s="3">
        <f>SUM(CP309:CP311,CP314,CP335,CP332)-SUM(CO309:CO311,CO314,CO335,CO332)</f>
        <v>0</v>
      </c>
      <c r="CQ406" s="3">
        <f>SUM(CQ309:CQ311,CQ314,CQ335,CQ332)-SUM(CP309:CP311,CP314,CP335,CP332)</f>
        <v>0</v>
      </c>
      <c r="CR406" s="3">
        <f>SUM(CR309:CR311,CR314,CR335,CR332)-SUM(CQ309:CQ311,CQ314,CQ335,CQ332)</f>
        <v>0</v>
      </c>
      <c r="CS406" s="3">
        <f>SUM(CS309:CS311,CS314,CS335,CS332)-SUM(CR309:CR311,CR314,CR335,CR332)</f>
        <v>0</v>
      </c>
      <c r="CT406" s="3">
        <f>SUM(CP406:CS406)</f>
        <v>0</v>
      </c>
      <c r="CU406" s="3">
        <f>SUM(CU309:CU311,CU314,CU335,CU332)-SUM(CT309:CT311,CT314,CT335,CT332)</f>
        <v>0</v>
      </c>
      <c r="CV406" s="3">
        <f>SUM(CV309:CV311,CV314,CV335,CV332)-SUM(CU309:CU311,CU314,CU335,CU332)</f>
        <v>0</v>
      </c>
      <c r="CW406" s="3">
        <f>SUM(CW309:CW311,CW314,CW335,CW332)-SUM(CV309:CV311,CV314,CV335,CV332)</f>
        <v>0</v>
      </c>
      <c r="CX406" s="3">
        <f>SUM(CX309:CX311,CX314,CX335,CX332)-SUM(CW309:CW311,CW314,CW335,CW332)</f>
        <v>0</v>
      </c>
      <c r="CY406" s="3">
        <f>SUM(CU406:CX406)</f>
        <v>0</v>
      </c>
      <c r="CZ406" s="3" t="n"/>
      <c r="DA406" s="3" t="n"/>
      <c r="DB406" s="3" t="n"/>
      <c r="DC406" s="3" t="n"/>
    </row>
    <row r="407">
      <c r="C407" s="26" t="inlineStr">
        <is>
          <t>Cash from financing</t>
        </is>
      </c>
      <c r="D407" s="3" t="n"/>
      <c r="E407" s="3">
        <f>SUM(E399,E400,E401,E402,E403,E404,E405,E406)</f>
        <v>-138.479000000001</v>
      </c>
      <c r="F407" s="3">
        <f>SUM(F399,F400,F401,F402,F403,F404,F405,F406)</f>
        <v>219.839000000002</v>
      </c>
      <c r="G407" s="3">
        <f>SUM(G399,G400,G401,G402,G403,G404,G405,G406)</f>
        <v>-259.85</v>
      </c>
      <c r="H407" s="3">
        <f>SUM(H399,H400,H401,H402,H403,H404,H405,H406)</f>
        <v>-178.49</v>
      </c>
      <c r="I407" s="3">
        <f>SUM(I399,I400,I401,I402,I403,I404,I405,I406)</f>
        <v>148.018999999999</v>
      </c>
      <c r="J407" s="3">
        <f>SUM(J399,J400,J401,J402,J403,J404,J405,J406)</f>
        <v>-131.821</v>
      </c>
      <c r="K407" s="3">
        <f>SUM(K399,K400,K401,K402,K403,K404,K405,K406)</f>
        <v>-5.9279999999996</v>
      </c>
      <c r="L407" s="3">
        <f>SUM(L399,L400,L401,L402,L403,L404,L405,L406)</f>
        <v>369.414</v>
      </c>
      <c r="M407" s="3">
        <f>SUM(M399,M400,M401,M402,M403,M404,M405,M406)</f>
        <v>379.683999999999</v>
      </c>
      <c r="N407" s="3">
        <f>SUM(N399,N400,N401,N402,N403,N404,N405,N406)</f>
        <v>-480.996999999998</v>
      </c>
      <c r="O407" s="3">
        <f>SUM(O399,O400,O401,O402,O403,O404,O405,O406)</f>
        <v>575.297999999998</v>
      </c>
      <c r="P407" s="3">
        <f>SUM(P399,P400,P401,P402,P403,P404,P405,P406)</f>
        <v>-183.502999999997</v>
      </c>
      <c r="Q407" s="3">
        <f>SUM(Q399,Q400,Q401,Q402,Q403,Q404,Q405,Q406)</f>
        <v>19.5200000000002</v>
      </c>
      <c r="R407" s="3">
        <f>SUM(R399,R400,R401,R402,R403,R404,R405,R406)</f>
        <v>-69.6819999999978</v>
      </c>
      <c r="S407" s="3">
        <f>SUM(S399,S400,S401,S402,S403,S404,S405,S406)</f>
        <v>75.3579999999988</v>
      </c>
      <c r="T407" s="3">
        <f>SUM(T399,T400,T401,T402,T403,T404,T405,T406)</f>
        <v>-318.136</v>
      </c>
      <c r="U407" s="3">
        <f>SUM(U399,U400,U401,U402,U403,U404,U405,U406)</f>
        <v>-221.747</v>
      </c>
      <c r="V407" s="3">
        <f>SUM(V399,V400,V401,V402,V403,V404,V405,V406)</f>
        <v>-289.674</v>
      </c>
      <c r="W407" s="3">
        <f>SUM(W399,W400,W401,W402,W403,W404,W405,W406)</f>
        <v>-754.199000000002</v>
      </c>
      <c r="X407" s="3">
        <f>SUM(X399,X400,X401,X402,X403,X404,X405,X406)</f>
        <v>-33.8919999999993</v>
      </c>
      <c r="Y407" s="3">
        <f>SUM(Y399,Y400,Y401,Y402,Y403,Y404,Y405,Y406)</f>
        <v>531.090000000002</v>
      </c>
      <c r="Z407" s="3">
        <f>SUM(Z399,Z400,Z401,Z402,Z403,Z404,Z405,Z406)</f>
        <v>-262.091000000001</v>
      </c>
      <c r="AA407" s="3">
        <f>SUM(AA399,AA400,AA401,AA402,AA403,AA404,AA405,AA406)</f>
        <v>-91.1900000000001</v>
      </c>
      <c r="AB407" s="3">
        <f>SUM(AB399,AB400,AB401,AB402,AB403,AB404,AB405,AB406)</f>
        <v>143.917000000001</v>
      </c>
      <c r="AC407" s="3">
        <f>SUM(AC399,AC400,AC401,AC402,AC403,AC404,AC405,AC406)</f>
        <v>-125.655000000001</v>
      </c>
      <c r="AD407" s="3">
        <f>SUM(AD399,AD400,AD401,AD402,AD403,AD404,AD405,AD406)</f>
        <v>-394.222000000001</v>
      </c>
      <c r="AE407" s="3">
        <f>SUM(AE399,AE400,AE401,AE402,AE403,AE404,AE405,AE406)</f>
        <v>-397.169999999998</v>
      </c>
      <c r="AF407" s="3">
        <f>SUM(AF399,AF400,AF401,AF402,AF403,AF404,AF405,AF406)</f>
        <v>-81.3260000000015</v>
      </c>
      <c r="AG407" s="3">
        <f>SUM(AG399,AG400,AG401,AG402,AG403,AG404,AG405,AG406)</f>
        <v>-998.373000000002</v>
      </c>
      <c r="AH407" s="3">
        <f>SUM(AH399,AH400,AH401,AH402,AH403,AH404,AH405,AH406)</f>
        <v>1875.706</v>
      </c>
      <c r="AI407" s="3">
        <f>SUM(AI399,AI400,AI401,AI402,AI403,AI404,AI405,AI406)</f>
        <v>159.511000000001</v>
      </c>
      <c r="AJ407" s="3">
        <f>SUM(AJ399,AJ400,AJ401,AJ402,AJ403,AJ404,AJ405,AJ406)</f>
        <v>0</v>
      </c>
      <c r="AK407" s="3">
        <f>SUM(AK399,AK400,AK401,AK402,AK403,AK404,AK405,AK406)</f>
        <v>4.9737991503207e-14</v>
      </c>
      <c r="AL407" s="3">
        <f>SUM(AL399,AL400,AL401,AL402,AL403,AL404,AL405,AL406)</f>
        <v>2035.217</v>
      </c>
      <c r="AM407" s="3">
        <f>SUM(AM399,AM400,AM401,AM402,AM403,AM404,AM405,AM406)</f>
        <v>0</v>
      </c>
      <c r="AN407" s="3">
        <f>SUM(AN399,AN400,AN401,AN402,AN403,AN404,AN405,AN406)</f>
        <v>0</v>
      </c>
      <c r="AO407" s="3">
        <f>SUM(AO399,AO400,AO401,AO402,AO403,AO404,AO405,AO406)</f>
        <v>0</v>
      </c>
      <c r="AP407" s="3">
        <f>SUM(AP399,AP400,AP401,AP402,AP403,AP404,AP405,AP406)</f>
        <v>0</v>
      </c>
      <c r="AQ407" s="3">
        <f>SUM(AQ399,AQ400,AQ401,AQ402,AQ403,AQ404,AQ405,AQ406)</f>
        <v>0</v>
      </c>
      <c r="AR407" s="3">
        <f>SUM(AR399,AR400,AR401,AR402,AR403,AR404,AR405,AR406)</f>
        <v>0</v>
      </c>
      <c r="AS407" s="3">
        <f>SUM(AS399,AS400,AS401,AS402,AS403,AS404,AS405,AS406)</f>
        <v>0</v>
      </c>
      <c r="AT407" s="3">
        <f>SUM(AT399,AT400,AT401,AT402,AT403,AT404,AT405,AT406)</f>
        <v>0</v>
      </c>
      <c r="AU407" s="3">
        <f>SUM(AU399,AU400,AU401,AU402,AU403,AU404,AU405,AU406)</f>
        <v>0</v>
      </c>
      <c r="AV407" s="3">
        <f>SUM(AV399,AV400,AV401,AV402,AV403,AV404,AV405,AV406)</f>
        <v>0</v>
      </c>
      <c r="AW407" s="3">
        <f>SUM(AW399,AW400,AW401,AW402,AW403,AW404,AW405,AW406)</f>
        <v>0</v>
      </c>
      <c r="AX407" s="3">
        <f>SUM(AX399,AX400,AX401,AX402,AX403,AX404,AX405,AX406)</f>
        <v>0</v>
      </c>
      <c r="AY407" s="3">
        <f>SUM(AY399,AY400,AY401,AY402,AY403,AY404,AY405,AY406)</f>
        <v>0</v>
      </c>
      <c r="AZ407" s="3">
        <f>SUM(AZ399,AZ400,AZ401,AZ402,AZ403,AZ404,AZ405,AZ406)</f>
        <v>0</v>
      </c>
      <c r="BA407" s="3">
        <f>SUM(BA399,BA400,BA401,BA402,BA403,BA404,BA405,BA406)</f>
        <v>0</v>
      </c>
      <c r="BB407" s="3">
        <f>SUM(BB399,BB400,BB401,BB402,BB403,BB404,BB405,BB406)</f>
        <v>0</v>
      </c>
      <c r="BC407" s="3">
        <f>SUM(BC399,BC400,BC401,BC402,BC403,BC404,BC405,BC406)</f>
        <v>0</v>
      </c>
      <c r="BD407" s="3">
        <f>SUM(BD399,BD400,BD401,BD402,BD403,BD404,BD405,BD406)</f>
        <v>0</v>
      </c>
      <c r="BE407" s="3">
        <f>SUM(BE399,BE400,BE401,BE402,BE403,BE404,BE405,BE406)</f>
        <v>0</v>
      </c>
      <c r="BF407" s="3">
        <f>SUM(BF399,BF400,BF401,BF402,BF403,BF404,BF405,BF406)</f>
        <v>0</v>
      </c>
      <c r="BG407" s="3">
        <f>SUM(BG399,BG400,BG401,BG402,BG403,BG404,BG405,BG406)</f>
        <v>0</v>
      </c>
      <c r="BH407" s="3">
        <f>SUM(BH399,BH400,BH401,BH402,BH403,BH404,BH405,BH406)</f>
        <v>0</v>
      </c>
      <c r="BI407" s="3">
        <f>SUM(BI399,BI400,BI401,BI402,BI403,BI404,BI405,BI406)</f>
        <v>0</v>
      </c>
      <c r="BJ407" s="3">
        <f>SUM(BJ399,BJ400,BJ401,BJ402,BJ403,BJ404,BJ405,BJ406)</f>
        <v>0</v>
      </c>
      <c r="BK407" s="3">
        <f>SUM(BK399,BK400,BK401,BK402,BK403,BK404,BK405,BK406)</f>
        <v>0</v>
      </c>
      <c r="BL407" s="3">
        <f>SUM(BL399,BL400,BL401,BL402,BL403,BL404,BL405,BL406)</f>
        <v>0</v>
      </c>
      <c r="BM407" s="3">
        <f>SUM(BM399,BM400,BM401,BM402,BM403,BM404,BM405,BM406)</f>
        <v>0</v>
      </c>
      <c r="BN407" s="3">
        <f>SUM(BN399,BN400,BN401,BN402,BN403,BN404,BN405,BN406)</f>
        <v>0</v>
      </c>
      <c r="BO407" s="3">
        <f>SUM(BO399,BO400,BO401,BO402,BO403,BO404,BO405,BO406)</f>
        <v>0</v>
      </c>
      <c r="BP407" s="3">
        <f>SUM(BP399,BP400,BP401,BP402,BP403,BP404,BP405,BP406)</f>
        <v>0</v>
      </c>
      <c r="BQ407" s="3">
        <f>SUM(BQ399,BQ400,BQ401,BQ402,BQ403,BQ404,BQ405,BQ406)</f>
        <v>0</v>
      </c>
      <c r="BR407" s="3">
        <f>SUM(BR399,BR400,BR401,BR402,BR403,BR404,BR405,BR406)</f>
        <v>0</v>
      </c>
      <c r="BS407" s="3">
        <f>SUM(BS399,BS400,BS401,BS402,BS403,BS404,BS405,BS406)</f>
        <v>0</v>
      </c>
      <c r="BT407" s="3">
        <f>SUM(BT399,BT400,BT401,BT402,BT403,BT404,BT405,BT406)</f>
        <v>0</v>
      </c>
      <c r="BU407" s="3">
        <f>SUM(BU399,BU400,BU401,BU402,BU403,BU404,BU405,BU406)</f>
        <v>0</v>
      </c>
      <c r="BV407" s="3">
        <f>SUM(BV399,BV400,BV401,BV402,BV403,BV404,BV405,BV406)</f>
        <v>0</v>
      </c>
      <c r="BW407" s="3">
        <f>SUM(BW399,BW400,BW401,BW402,BW403,BW404,BW405,BW406)</f>
        <v>0</v>
      </c>
      <c r="BX407" s="3">
        <f>SUM(BX399,BX400,BX401,BX402,BX403,BX404,BX405,BX406)</f>
        <v>0</v>
      </c>
      <c r="BY407" s="3">
        <f>SUM(BY399,BY400,BY401,BY402,BY403,BY404,BY405,BY406)</f>
        <v>0</v>
      </c>
      <c r="BZ407" s="3">
        <f>SUM(BZ399,BZ400,BZ401,BZ402,BZ403,BZ404,BZ405,BZ406)</f>
        <v>0</v>
      </c>
      <c r="CA407" s="3">
        <f>SUM(CA399,CA400,CA401,CA402,CA403,CA404,CA405,CA406)</f>
        <v>0</v>
      </c>
      <c r="CB407" s="3">
        <f>SUM(CB399,CB400,CB401,CB402,CB403,CB404,CB405,CB406)</f>
        <v>0</v>
      </c>
      <c r="CC407" s="3">
        <f>SUM(CC399,CC400,CC401,CC402,CC403,CC404,CC405,CC406)</f>
        <v>0</v>
      </c>
      <c r="CD407" s="3">
        <f>SUM(CD399,CD400,CD401,CD402,CD403,CD404,CD405,CD406)</f>
        <v>0</v>
      </c>
      <c r="CE407" s="3">
        <f>SUM(CE399,CE400,CE401,CE402,CE403,CE404,CE405,CE406)</f>
        <v>0</v>
      </c>
      <c r="CF407" s="3">
        <f>SUM(CF399,CF400,CF401,CF402,CF403,CF404,CF405,CF406)</f>
        <v>0</v>
      </c>
      <c r="CG407" s="3">
        <f>SUM(CG399,CG400,CG401,CG402,CG403,CG404,CG405,CG406)</f>
        <v>0</v>
      </c>
      <c r="CH407" s="3">
        <f>SUM(CH399,CH400,CH401,CH402,CH403,CH404,CH405,CH406)</f>
        <v>0</v>
      </c>
      <c r="CI407" s="3">
        <f>SUM(CI399,CI400,CI401,CI402,CI403,CI404,CI405,CI406)</f>
        <v>0</v>
      </c>
      <c r="CJ407" s="3">
        <f>SUM(CJ399,CJ400,CJ401,CJ402,CJ403,CJ404,CJ405,CJ406)</f>
        <v>0</v>
      </c>
      <c r="CK407" s="3">
        <f>SUM(CK399,CK400,CK401,CK402,CK403,CK404,CK405,CK406)</f>
        <v>0</v>
      </c>
      <c r="CL407" s="3">
        <f>SUM(CL399,CL400,CL401,CL402,CL403,CL404,CL405,CL406)</f>
        <v>0</v>
      </c>
      <c r="CM407" s="3">
        <f>SUM(CM399,CM400,CM401,CM402,CM403,CM404,CM405,CM406)</f>
        <v>0</v>
      </c>
      <c r="CN407" s="3">
        <f>SUM(CN399,CN400,CN401,CN402,CN403,CN404,CN405,CN406)</f>
        <v>0</v>
      </c>
      <c r="CO407" s="3">
        <f>SUM(CO399,CO400,CO401,CO402,CO403,CO404,CO405,CO406)</f>
        <v>0</v>
      </c>
      <c r="CP407" s="3">
        <f>SUM(CP399,CP400,CP401,CP402,CP403,CP404,CP405,CP406)</f>
        <v>0</v>
      </c>
      <c r="CQ407" s="3">
        <f>SUM(CQ399,CQ400,CQ401,CQ402,CQ403,CQ404,CQ405,CQ406)</f>
        <v>0</v>
      </c>
      <c r="CR407" s="3">
        <f>SUM(CR399,CR400,CR401,CR402,CR403,CR404,CR405,CR406)</f>
        <v>0</v>
      </c>
      <c r="CS407" s="3">
        <f>SUM(CS399,CS400,CS401,CS402,CS403,CS404,CS405,CS406)</f>
        <v>0</v>
      </c>
      <c r="CT407" s="3">
        <f>SUM(CT399,CT400,CT401,CT402,CT403,CT404,CT405,CT406)</f>
        <v>0</v>
      </c>
      <c r="CU407" s="3">
        <f>SUM(CU399,CU400,CU401,CU402,CU403,CU404,CU405,CU406)</f>
        <v>0</v>
      </c>
      <c r="CV407" s="3">
        <f>SUM(CV399,CV400,CV401,CV402,CV403,CV404,CV405,CV406)</f>
        <v>0</v>
      </c>
      <c r="CW407" s="3">
        <f>SUM(CW399,CW400,CW401,CW402,CW403,CW404,CW405,CW406)</f>
        <v>0</v>
      </c>
      <c r="CX407" s="3">
        <f>SUM(CX399,CX400,CX401,CX402,CX403,CX404,CX405,CX406)</f>
        <v>0</v>
      </c>
      <c r="CY407" s="3">
        <f>SUM(CY399,CY400,CY401,CY402,CY403,CY404,CY405,CY406)</f>
        <v>0</v>
      </c>
    </row>
    <row r="408">
      <c r="C408" s="26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  <c r="CG408" s="3" t="n"/>
      <c r="CH408" s="3" t="n"/>
      <c r="CI408" s="3" t="n"/>
      <c r="CJ408" s="3" t="n"/>
      <c r="CK408" s="3" t="n"/>
      <c r="CL408" s="3" t="n"/>
      <c r="CM408" s="3" t="n"/>
      <c r="CN408" s="3" t="n"/>
      <c r="CO408" s="3" t="n"/>
      <c r="CP408" s="3" t="n"/>
      <c r="CQ408" s="3" t="n"/>
      <c r="CR408" s="3" t="n"/>
      <c r="CS408" s="3" t="n"/>
      <c r="CT408" s="3" t="n"/>
      <c r="CU408" s="3" t="n"/>
      <c r="CV408" s="3" t="n"/>
      <c r="CW408" s="3" t="n"/>
      <c r="CX408" s="3" t="n"/>
      <c r="CY408" s="3" t="n"/>
    </row>
    <row r="409">
      <c r="C409" s="26" t="inlineStr">
        <is>
          <t>Others</t>
        </is>
      </c>
      <c r="D409" s="3" t="n"/>
      <c r="E409" s="3" t="n"/>
      <c r="F409" s="3" t="n"/>
      <c r="G409" s="3" t="n"/>
      <c r="H409" s="3">
        <f>SUM(D409:G409)</f>
        <v>0</v>
      </c>
      <c r="I409" s="3" t="n"/>
      <c r="J409" s="3" t="n"/>
      <c r="K409" s="3" t="n"/>
      <c r="L409" s="3" t="n"/>
      <c r="M409" s="3">
        <f>SUM(I409:L409)</f>
        <v>0</v>
      </c>
      <c r="N409" s="3" t="n"/>
      <c r="O409" s="3" t="n"/>
      <c r="P409" s="3" t="n"/>
      <c r="Q409" s="3" t="n"/>
      <c r="R409" s="3">
        <f>SUM(N409:Q409)</f>
        <v>0</v>
      </c>
      <c r="S409" s="3" t="n"/>
      <c r="T409" s="3" t="n"/>
      <c r="U409" s="3" t="n"/>
      <c r="V409" s="3" t="n"/>
      <c r="W409" s="3">
        <f>SUM(S409:V409)</f>
        <v>0</v>
      </c>
      <c r="X409" s="3" t="n"/>
      <c r="Y409" s="3" t="n"/>
      <c r="Z409" s="3" t="n"/>
      <c r="AA409" s="3" t="n"/>
      <c r="AB409" s="3">
        <f>SUM(X409:AA409)</f>
        <v>0</v>
      </c>
      <c r="AC409" s="3" t="n"/>
      <c r="AD409" s="3" t="n"/>
      <c r="AE409" s="3" t="n"/>
      <c r="AF409" s="3" t="n"/>
      <c r="AG409" s="3">
        <f>SUM(AC409:AF409)</f>
        <v>0</v>
      </c>
      <c r="AH409" s="3" t="n"/>
      <c r="AI409" s="3" t="n"/>
      <c r="AJ409" s="3" t="n"/>
      <c r="AK409" s="3" t="n"/>
      <c r="AL409" s="3">
        <f>SUM(AH409:AK409)</f>
        <v>0</v>
      </c>
      <c r="AM409" s="3" t="n"/>
      <c r="AN409" s="3" t="n"/>
      <c r="AO409" s="3" t="n"/>
      <c r="AP409" s="3" t="n"/>
      <c r="AQ409" s="3">
        <f>SUM(AM409:AP409)</f>
        <v>0</v>
      </c>
      <c r="AR409" s="3" t="n"/>
      <c r="AS409" s="3" t="n"/>
      <c r="AT409" s="3" t="n"/>
      <c r="AU409" s="3" t="n"/>
      <c r="AV409" s="3">
        <f>SUM(AR409:AU409)</f>
        <v>0</v>
      </c>
      <c r="AW409" s="3" t="n"/>
      <c r="AX409" s="3" t="n"/>
      <c r="AY409" s="3" t="n"/>
      <c r="AZ409" s="3" t="n"/>
      <c r="BA409" s="3">
        <f>SUM(AW409:AZ409)</f>
        <v>0</v>
      </c>
      <c r="BB409" s="3" t="n"/>
      <c r="BC409" s="3" t="n"/>
      <c r="BD409" s="3" t="n"/>
      <c r="BE409" s="3" t="n"/>
      <c r="BF409" s="3">
        <f>SUM(BB409:BE409)</f>
        <v>0</v>
      </c>
      <c r="BG409" s="3" t="n"/>
      <c r="BH409" s="3" t="n"/>
      <c r="BI409" s="3" t="n"/>
      <c r="BJ409" s="3" t="n"/>
      <c r="BK409" s="3">
        <f>SUM(BG409:BJ409)</f>
        <v>0</v>
      </c>
      <c r="BL409" s="3" t="n"/>
      <c r="BM409" s="3" t="n"/>
      <c r="BN409" s="3" t="n"/>
      <c r="BO409" s="3" t="n"/>
      <c r="BP409" s="3">
        <f>SUM(BL409:BO409)</f>
        <v>0</v>
      </c>
      <c r="BQ409" s="3" t="n"/>
      <c r="BR409" s="3" t="n"/>
      <c r="BS409" s="3" t="n"/>
      <c r="BT409" s="3" t="n"/>
      <c r="BU409" s="3">
        <f>SUM(BQ409:BT409)</f>
        <v>0</v>
      </c>
      <c r="BV409" s="3" t="n"/>
      <c r="BW409" s="3" t="n"/>
      <c r="BX409" s="3" t="n"/>
      <c r="BY409" s="3" t="n"/>
      <c r="BZ409" s="3">
        <f>SUM(BV409:BY409)</f>
        <v>0</v>
      </c>
      <c r="CA409" s="3" t="n"/>
      <c r="CB409" s="3" t="n"/>
      <c r="CC409" s="3" t="n"/>
      <c r="CD409" s="3" t="n"/>
      <c r="CE409" s="3">
        <f>SUM(CA409:CD409)</f>
        <v>0</v>
      </c>
      <c r="CF409" s="3" t="n"/>
      <c r="CG409" s="3" t="n"/>
      <c r="CH409" s="3" t="n"/>
      <c r="CI409" s="3" t="n"/>
      <c r="CJ409" s="3">
        <f>SUM(CF409:CI409)</f>
        <v>0</v>
      </c>
      <c r="CK409" s="3" t="n"/>
      <c r="CL409" s="3" t="n"/>
      <c r="CM409" s="3" t="n"/>
      <c r="CN409" s="3" t="n"/>
      <c r="CO409" s="3">
        <f>SUM(CK409:CN409)</f>
        <v>0</v>
      </c>
      <c r="CP409" s="3" t="n"/>
      <c r="CQ409" s="3" t="n"/>
      <c r="CR409" s="3" t="n"/>
      <c r="CS409" s="3" t="n"/>
      <c r="CT409" s="3">
        <f>SUM(CP409:CS409)</f>
        <v>0</v>
      </c>
      <c r="CU409" s="3" t="n"/>
      <c r="CV409" s="3" t="n"/>
      <c r="CW409" s="3" t="n"/>
      <c r="CX409" s="3" t="n"/>
      <c r="CY409" s="3">
        <f>SUM(CU409:CX409)</f>
        <v>0</v>
      </c>
    </row>
    <row r="410">
      <c r="C410" s="26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  <c r="CG410" s="3" t="n"/>
      <c r="CH410" s="3" t="n"/>
      <c r="CI410" s="3" t="n"/>
      <c r="CJ410" s="3" t="n"/>
      <c r="CK410" s="3" t="n"/>
      <c r="CL410" s="3" t="n"/>
      <c r="CM410" s="3" t="n"/>
      <c r="CN410" s="3" t="n"/>
      <c r="CO410" s="3" t="n"/>
      <c r="CP410" s="3" t="n"/>
      <c r="CQ410" s="3" t="n"/>
      <c r="CR410" s="3" t="n"/>
      <c r="CS410" s="3" t="n"/>
      <c r="CT410" s="3" t="n"/>
      <c r="CU410" s="3" t="n"/>
      <c r="CV410" s="3" t="n"/>
      <c r="CW410" s="3" t="n"/>
      <c r="CX410" s="3" t="n"/>
      <c r="CY410" s="3" t="n"/>
    </row>
    <row r="411">
      <c r="C411" s="26" t="inlineStr">
        <is>
          <t>Total increase/decrease of cash</t>
        </is>
      </c>
      <c r="D411" s="3" t="n"/>
      <c r="E411" s="3">
        <f>SUM(E390,E397,E407,E409)</f>
        <v>-659.841000000001</v>
      </c>
      <c r="F411" s="3">
        <f>SUM(F390,F397,F407,F409)</f>
        <v>-399.719999999997</v>
      </c>
      <c r="G411" s="3">
        <f>SUM(G390,G397,G407,G409)</f>
        <v>-281.405</v>
      </c>
      <c r="H411" s="3">
        <f>SUM(D411:G411)</f>
        <v>-1340.966</v>
      </c>
      <c r="I411" s="3">
        <f>SUM(I390,I397,I407,I409)</f>
        <v>-189.504000000002</v>
      </c>
      <c r="J411" s="3">
        <f>SUM(J390,J397,J407,J409)</f>
        <v>-204.054</v>
      </c>
      <c r="K411" s="3">
        <f>SUM(K390,K397,K407,K409)</f>
        <v>-192.708999999999</v>
      </c>
      <c r="L411" s="3">
        <f>SUM(L390,L397,L407,L409)</f>
        <v>436.977999999999</v>
      </c>
      <c r="M411" s="3">
        <f>SUM(I411:L411)</f>
        <v>-149.289000000002</v>
      </c>
      <c r="N411" s="3">
        <f>SUM(N390,N397,N407,N409)</f>
        <v>68.5880000000005</v>
      </c>
      <c r="O411" s="3">
        <f>SUM(O390,O397,O407,O409)</f>
        <v>305.236</v>
      </c>
      <c r="P411" s="3">
        <f>SUM(P390,P397,P407,P409)</f>
        <v>119.552000000002</v>
      </c>
      <c r="Q411" s="3">
        <f>SUM(Q390,Q397,Q407,Q409)</f>
        <v>263.423000000001</v>
      </c>
      <c r="R411" s="3">
        <f>SUM(N411:Q411)</f>
        <v>756.799000000003</v>
      </c>
      <c r="S411" s="3">
        <f>SUM(S390,S397,S407,S409)</f>
        <v>154.956999999996</v>
      </c>
      <c r="T411" s="3">
        <f>SUM(T390,T397,T407,T409)</f>
        <v>-247.518999999999</v>
      </c>
      <c r="U411" s="3">
        <f>SUM(U390,U397,U407,U409)</f>
        <v>120.368000000001</v>
      </c>
      <c r="V411" s="3">
        <f>SUM(V390,V397,V407,V409)</f>
        <v>115.353</v>
      </c>
      <c r="W411" s="3">
        <f>SUM(S411:V411)</f>
        <v>143.158999999998</v>
      </c>
      <c r="X411" s="3">
        <f>SUM(X390,X397,X407,X409)</f>
        <v>158.836</v>
      </c>
      <c r="Y411" s="3">
        <f>SUM(Y390,Y397,Y407,Y409)</f>
        <v>766.622999999999</v>
      </c>
      <c r="Z411" s="3">
        <f>SUM(Z390,Z397,Z407,Z409)</f>
        <v>-247.909999999996</v>
      </c>
      <c r="AA411" s="3">
        <f>SUM(AA390,AA397,AA407,AA409)</f>
        <v>35.1589999999986</v>
      </c>
      <c r="AB411" s="3">
        <f>SUM(X411:AA411)</f>
        <v>712.708000000001</v>
      </c>
      <c r="AC411" s="3">
        <f>SUM(AC390,AC397,AC407,AC409)</f>
        <v>133.938999999997</v>
      </c>
      <c r="AD411" s="3">
        <f>SUM(AD390,AD397,AD407,AD409)</f>
        <v>18.222</v>
      </c>
      <c r="AE411" s="3">
        <f>SUM(AE390,AE397,AE407,AE409)</f>
        <v>-472.232999999999</v>
      </c>
      <c r="AF411" s="3">
        <f>SUM(AF390,AF397,AF407,AF409)</f>
        <v>4.4339999999988</v>
      </c>
      <c r="AG411" s="3">
        <f>SUM(AC411:AF411)</f>
        <v>-315.638000000003</v>
      </c>
      <c r="AH411" s="3">
        <f>SUM(AH390,AH397,AH407,AH409)</f>
        <v>2017.536</v>
      </c>
      <c r="AI411" s="3">
        <f>SUM(AI390,AI397,AI407,AI409)</f>
        <v>125.763999999999</v>
      </c>
      <c r="AJ411" s="3">
        <f>SUM(AJ390,AJ397,AJ407,AJ409)</f>
        <v>452.299</v>
      </c>
      <c r="AK411" s="3">
        <f>SUM(AK390,AK397,AK407,AK409)</f>
        <v>151.17</v>
      </c>
      <c r="AL411" s="3">
        <f>SUM(AH411:AK411)</f>
        <v>2746.769</v>
      </c>
      <c r="AM411" s="3" t="e">
        <f>SUM(AM390,AM397,AM407,AM409)</f>
        <v>#DIV/0!</v>
      </c>
      <c r="AN411" s="3" t="e">
        <f>SUM(AN390,AN397,AN407,AN409)</f>
        <v>#DIV/0!</v>
      </c>
      <c r="AO411" s="3" t="e">
        <f>SUM(AO390,AO397,AO407,AO409)</f>
        <v>#DIV/0!</v>
      </c>
      <c r="AP411" s="3" t="e">
        <f>SUM(AP390,AP397,AP407,AP409)</f>
        <v>#DIV/0!</v>
      </c>
      <c r="AQ411" s="3" t="e">
        <f>SUM(AM411:AP411)</f>
        <v>#DIV/0!</v>
      </c>
      <c r="AR411" s="3" t="e">
        <f>SUM(AR390,AR397,AR407,AR409)</f>
        <v>#DIV/0!</v>
      </c>
      <c r="AS411" s="3" t="e">
        <f>SUM(AS390,AS397,AS407,AS409)</f>
        <v>#DIV/0!</v>
      </c>
      <c r="AT411" s="3" t="e">
        <f>SUM(AT390,AT397,AT407,AT409)</f>
        <v>#DIV/0!</v>
      </c>
      <c r="AU411" s="3" t="e">
        <f>SUM(AU390,AU397,AU407,AU409)</f>
        <v>#DIV/0!</v>
      </c>
      <c r="AV411" s="3" t="e">
        <f>SUM(AR411:AU411)</f>
        <v>#DIV/0!</v>
      </c>
      <c r="AW411" s="3" t="e">
        <f>SUM(AW390,AW397,AW407,AW409)</f>
        <v>#DIV/0!</v>
      </c>
      <c r="AX411" s="3" t="e">
        <f>SUM(AX390,AX397,AX407,AX409)</f>
        <v>#DIV/0!</v>
      </c>
      <c r="AY411" s="3" t="e">
        <f>SUM(AY390,AY397,AY407,AY409)</f>
        <v>#DIV/0!</v>
      </c>
      <c r="AZ411" s="3" t="e">
        <f>SUM(AZ390,AZ397,AZ407,AZ409)</f>
        <v>#DIV/0!</v>
      </c>
      <c r="BA411" s="3" t="e">
        <f>SUM(AW411:AZ411)</f>
        <v>#DIV/0!</v>
      </c>
      <c r="BB411" s="3" t="e">
        <f>SUM(BB390,BB397,BB407,BB409)</f>
        <v>#DIV/0!</v>
      </c>
      <c r="BC411" s="3" t="e">
        <f>SUM(BC390,BC397,BC407,BC409)</f>
        <v>#DIV/0!</v>
      </c>
      <c r="BD411" s="3" t="e">
        <f>SUM(BD390,BD397,BD407,BD409)</f>
        <v>#DIV/0!</v>
      </c>
      <c r="BE411" s="3" t="e">
        <f>SUM(BE390,BE397,BE407,BE409)</f>
        <v>#DIV/0!</v>
      </c>
      <c r="BF411" s="3" t="e">
        <f>SUM(BB411:BE411)</f>
        <v>#DIV/0!</v>
      </c>
      <c r="BG411" s="3" t="e">
        <f>SUM(BG390,BG397,BG407,BG409)</f>
        <v>#DIV/0!</v>
      </c>
      <c r="BH411" s="3" t="e">
        <f>SUM(BH390,BH397,BH407,BH409)</f>
        <v>#DIV/0!</v>
      </c>
      <c r="BI411" s="3" t="e">
        <f>SUM(BI390,BI397,BI407,BI409)</f>
        <v>#DIV/0!</v>
      </c>
      <c r="BJ411" s="3" t="e">
        <f>SUM(BJ390,BJ397,BJ407,BJ409)</f>
        <v>#DIV/0!</v>
      </c>
      <c r="BK411" s="3" t="e">
        <f>SUM(BG411:BJ411)</f>
        <v>#DIV/0!</v>
      </c>
      <c r="BL411" s="3" t="e">
        <f>SUM(BL390,BL397,BL407,BL409)</f>
        <v>#DIV/0!</v>
      </c>
      <c r="BM411" s="3" t="e">
        <f>SUM(BM390,BM397,BM407,BM409)</f>
        <v>#DIV/0!</v>
      </c>
      <c r="BN411" s="3" t="e">
        <f>SUM(BN390,BN397,BN407,BN409)</f>
        <v>#DIV/0!</v>
      </c>
      <c r="BO411" s="3" t="e">
        <f>SUM(BO390,BO397,BO407,BO409)</f>
        <v>#DIV/0!</v>
      </c>
      <c r="BP411" s="3" t="e">
        <f>SUM(BL411:BO411)</f>
        <v>#DIV/0!</v>
      </c>
      <c r="BQ411" s="3" t="e">
        <f>SUM(BQ390,BQ397,BQ407,BQ409)</f>
        <v>#DIV/0!</v>
      </c>
      <c r="BR411" s="3" t="e">
        <f>SUM(BR390,BR397,BR407,BR409)</f>
        <v>#DIV/0!</v>
      </c>
      <c r="BS411" s="3" t="e">
        <f>SUM(BS390,BS397,BS407,BS409)</f>
        <v>#DIV/0!</v>
      </c>
      <c r="BT411" s="3" t="e">
        <f>SUM(BT390,BT397,BT407,BT409)</f>
        <v>#DIV/0!</v>
      </c>
      <c r="BU411" s="3" t="e">
        <f>SUM(BQ411:BT411)</f>
        <v>#DIV/0!</v>
      </c>
      <c r="BV411" s="3" t="e">
        <f>SUM(BV390,BV397,BV407,BV409)</f>
        <v>#DIV/0!</v>
      </c>
      <c r="BW411" s="3" t="e">
        <f>SUM(BW390,BW397,BW407,BW409)</f>
        <v>#DIV/0!</v>
      </c>
      <c r="BX411" s="3" t="e">
        <f>SUM(BX390,BX397,BX407,BX409)</f>
        <v>#DIV/0!</v>
      </c>
      <c r="BY411" s="3" t="e">
        <f>SUM(BY390,BY397,BY407,BY409)</f>
        <v>#DIV/0!</v>
      </c>
      <c r="BZ411" s="3" t="e">
        <f>SUM(BV411:BY411)</f>
        <v>#DIV/0!</v>
      </c>
      <c r="CA411" s="3" t="e">
        <f>SUM(CA390,CA397,CA407,CA409)</f>
        <v>#DIV/0!</v>
      </c>
      <c r="CB411" s="3" t="e">
        <f>SUM(CB390,CB397,CB407,CB409)</f>
        <v>#DIV/0!</v>
      </c>
      <c r="CC411" s="3" t="e">
        <f>SUM(CC390,CC397,CC407,CC409)</f>
        <v>#DIV/0!</v>
      </c>
      <c r="CD411" s="3" t="e">
        <f>SUM(CD390,CD397,CD407,CD409)</f>
        <v>#DIV/0!</v>
      </c>
      <c r="CE411" s="3" t="e">
        <f>SUM(CA411:CD411)</f>
        <v>#DIV/0!</v>
      </c>
      <c r="CF411" s="3" t="e">
        <f>SUM(CF390,CF397,CF407,CF409)</f>
        <v>#DIV/0!</v>
      </c>
      <c r="CG411" s="3" t="e">
        <f>SUM(CG390,CG397,CG407,CG409)</f>
        <v>#DIV/0!</v>
      </c>
      <c r="CH411" s="3" t="e">
        <f>SUM(CH390,CH397,CH407,CH409)</f>
        <v>#DIV/0!</v>
      </c>
      <c r="CI411" s="3" t="e">
        <f>SUM(CI390,CI397,CI407,CI409)</f>
        <v>#DIV/0!</v>
      </c>
      <c r="CJ411" s="3" t="e">
        <f>SUM(CF411:CI411)</f>
        <v>#DIV/0!</v>
      </c>
      <c r="CK411" s="3" t="e">
        <f>SUM(CK390,CK397,CK407,CK409)</f>
        <v>#DIV/0!</v>
      </c>
      <c r="CL411" s="3" t="e">
        <f>SUM(CL390,CL397,CL407,CL409)</f>
        <v>#DIV/0!</v>
      </c>
      <c r="CM411" s="3" t="e">
        <f>SUM(CM390,CM397,CM407,CM409)</f>
        <v>#DIV/0!</v>
      </c>
      <c r="CN411" s="3" t="e">
        <f>SUM(CN390,CN397,CN407,CN409)</f>
        <v>#DIV/0!</v>
      </c>
      <c r="CO411" s="3" t="e">
        <f>SUM(CK411:CN411)</f>
        <v>#DIV/0!</v>
      </c>
      <c r="CP411" s="3" t="e">
        <f>SUM(CP390,CP397,CP407,CP409)</f>
        <v>#DIV/0!</v>
      </c>
      <c r="CQ411" s="3" t="e">
        <f>SUM(CQ390,CQ397,CQ407,CQ409)</f>
        <v>#DIV/0!</v>
      </c>
      <c r="CR411" s="3" t="e">
        <f>SUM(CR390,CR397,CR407,CR409)</f>
        <v>#DIV/0!</v>
      </c>
      <c r="CS411" s="3" t="e">
        <f>SUM(CS390,CS397,CS407,CS409)</f>
        <v>#DIV/0!</v>
      </c>
      <c r="CT411" s="3" t="e">
        <f>SUM(CP411:CS411)</f>
        <v>#DIV/0!</v>
      </c>
      <c r="CU411" s="3" t="e">
        <f>SUM(CU390,CU397,CU407,CU409)</f>
        <v>#DIV/0!</v>
      </c>
      <c r="CV411" s="3" t="e">
        <f>SUM(CV390,CV397,CV407,CV409)</f>
        <v>#DIV/0!</v>
      </c>
      <c r="CW411" s="3" t="e">
        <f>SUM(CW390,CW397,CW407,CW409)</f>
        <v>#DIV/0!</v>
      </c>
      <c r="CX411" s="3" t="e">
        <f>SUM(CX390,CX397,CX407,CX409)</f>
        <v>#DIV/0!</v>
      </c>
      <c r="CY411" s="3" t="e">
        <f>SUM(CU411:CX411)</f>
        <v>#DIV/0!</v>
      </c>
    </row>
    <row r="412">
      <c r="C412" s="4" t="inlineStr">
        <is>
          <t>Check</t>
        </is>
      </c>
      <c r="E412" s="51">
        <f>(E411)-(E241-D241)</f>
        <v>0</v>
      </c>
      <c r="F412" s="51">
        <f>(F411)-(F241-E241)</f>
        <v>2.78532752417959e-12</v>
      </c>
      <c r="G412" s="51">
        <f>(G411)-(G241-F241)</f>
        <v>0</v>
      </c>
      <c r="I412" s="51">
        <f>(I411)-(I241-H241)</f>
        <v>-2.27373675443232e-12</v>
      </c>
      <c r="J412" s="51">
        <f>(J411)-(J241-I241)</f>
        <v>0</v>
      </c>
      <c r="K412" s="51">
        <f>(K411)-(K241-J241)</f>
        <v>1.08002495835535e-12</v>
      </c>
      <c r="L412" s="51">
        <f>(L411)-(L241-K241)</f>
        <v>0</v>
      </c>
      <c r="N412" s="51">
        <f>(N411)-(N241-M241)</f>
        <v>3.41060513164848e-13</v>
      </c>
      <c r="O412" s="51">
        <f>(O411)-(O241-N241)</f>
        <v>0</v>
      </c>
      <c r="P412" s="51">
        <f>(P411)-(P241-O241)</f>
        <v>2.1316282072803e-12</v>
      </c>
      <c r="Q412" s="51">
        <f>(Q411)-(Q241-P241)</f>
        <v>0</v>
      </c>
      <c r="S412" s="51">
        <f>(S411)-(S241-R241)</f>
        <v>-4.34852154285181e-12</v>
      </c>
      <c r="T412" s="51">
        <f>(T411)-(T241-S241)</f>
        <v>1.02318153949454e-12</v>
      </c>
      <c r="U412" s="51">
        <f>(U411)-(U241-T241)</f>
        <v>4.54747350886464e-13</v>
      </c>
      <c r="V412" s="51">
        <f>(V411)-(V241-U241)</f>
        <v>0</v>
      </c>
      <c r="X412" s="51">
        <f>(X411)-(X241-W241)</f>
        <v>0</v>
      </c>
      <c r="Y412" s="51">
        <f>(Y411)-(Y241-X241)</f>
        <v>0</v>
      </c>
      <c r="Z412" s="51">
        <f>(Z411)-(Z241-Y241)</f>
        <v>4.77484718430787e-12</v>
      </c>
      <c r="AA412" s="51">
        <f>(AA411)-(AA241-Z241)</f>
        <v>-1.49213974509621e-12</v>
      </c>
      <c r="AC412" s="51">
        <f>(AC411)-(AC241-AB241)</f>
        <v>-3.24007487506606e-12</v>
      </c>
      <c r="AD412" s="51">
        <f>(AD411)-(AD241-AC241)</f>
        <v>2.8421709430404e-13</v>
      </c>
      <c r="AE412" s="51">
        <f>(AE411)-(AE241-AD241)</f>
        <v>0</v>
      </c>
      <c r="AF412" s="51">
        <f>(AF411)-(AF241-AE241)</f>
        <v>-9.37916411203332e-13</v>
      </c>
      <c r="AH412" s="51">
        <f>(AH411)-(AH241-AG241)</f>
        <v>0</v>
      </c>
      <c r="AI412" s="51">
        <f>(AI411)-(AI241-AH241)</f>
        <v>-1.47792889038101e-12</v>
      </c>
      <c r="AJ412" s="51">
        <f>(AJ411)-(AJ241-AI241)</f>
        <v>0</v>
      </c>
      <c r="AK412" s="51">
        <f>(AK411)-(AK241-AJ241)</f>
        <v>0</v>
      </c>
      <c r="AM412" s="51" t="e">
        <f>(AM411)-(AM241-AL241)</f>
        <v>#DIV/0!</v>
      </c>
      <c r="AN412" s="51" t="e">
        <f>(AN411)-(AN241-AM241)</f>
        <v>#DIV/0!</v>
      </c>
      <c r="AO412" s="51" t="e">
        <f>(AO411)-(AO241-AN241)</f>
        <v>#DIV/0!</v>
      </c>
      <c r="AP412" s="51" t="e">
        <f>(AP411)-(AP241-AO241)</f>
        <v>#DIV/0!</v>
      </c>
      <c r="AR412" s="51" t="e">
        <f>(AR411)-(AR241-AQ241)</f>
        <v>#DIV/0!</v>
      </c>
      <c r="AS412" s="51" t="e">
        <f>(AS411)-(AS241-AR241)</f>
        <v>#DIV/0!</v>
      </c>
      <c r="AT412" s="51" t="e">
        <f>(AT411)-(AT241-AS241)</f>
        <v>#DIV/0!</v>
      </c>
      <c r="AU412" s="51" t="e">
        <f>(AU411)-(AU241-AT241)</f>
        <v>#DIV/0!</v>
      </c>
      <c r="AW412" s="51" t="e">
        <f>(AW411)-(AW241-AV241)</f>
        <v>#DIV/0!</v>
      </c>
      <c r="AX412" s="51" t="e">
        <f>(AX411)-(AX241-AW241)</f>
        <v>#DIV/0!</v>
      </c>
      <c r="AY412" s="51" t="e">
        <f>(AY411)-(AY241-AX241)</f>
        <v>#DIV/0!</v>
      </c>
      <c r="AZ412" s="51" t="e">
        <f>(AZ411)-(AZ241-AY241)</f>
        <v>#DIV/0!</v>
      </c>
      <c r="BB412" s="51" t="e">
        <f>(BB411)-(BB241-BA241)</f>
        <v>#DIV/0!</v>
      </c>
      <c r="BC412" s="51" t="e">
        <f>(BC411)-(BC241-BB241)</f>
        <v>#DIV/0!</v>
      </c>
      <c r="BD412" s="51" t="e">
        <f>(BD411)-(BD241-BC241)</f>
        <v>#DIV/0!</v>
      </c>
      <c r="BE412" s="51" t="e">
        <f>(BE411)-(BE241-BD241)</f>
        <v>#DIV/0!</v>
      </c>
      <c r="BG412" s="51" t="e">
        <f>(BG411)-(BG241-BF241)</f>
        <v>#DIV/0!</v>
      </c>
      <c r="BH412" s="51" t="e">
        <f>(BH411)-(BH241-BG241)</f>
        <v>#DIV/0!</v>
      </c>
      <c r="BI412" s="51" t="e">
        <f>(BI411)-(BI241-BH241)</f>
        <v>#DIV/0!</v>
      </c>
      <c r="BJ412" s="51" t="e">
        <f>(BJ411)-(BJ241-BI241)</f>
        <v>#DIV/0!</v>
      </c>
      <c r="BL412" s="51" t="e">
        <f>(BL411)-(BL241-BK241)</f>
        <v>#DIV/0!</v>
      </c>
      <c r="BM412" s="51" t="e">
        <f>(BM411)-(BM241-BL241)</f>
        <v>#DIV/0!</v>
      </c>
      <c r="BN412" s="51" t="e">
        <f>(BN411)-(BN241-BM241)</f>
        <v>#DIV/0!</v>
      </c>
      <c r="BO412" s="51" t="e">
        <f>(BO411)-(BO241-BN241)</f>
        <v>#DIV/0!</v>
      </c>
      <c r="BQ412" s="51" t="e">
        <f>(BQ411)-(BQ241-BP241)</f>
        <v>#DIV/0!</v>
      </c>
      <c r="BR412" s="51" t="e">
        <f>(BR411)-(BR241-BQ241)</f>
        <v>#DIV/0!</v>
      </c>
      <c r="BS412" s="51" t="e">
        <f>(BS411)-(BS241-BR241)</f>
        <v>#DIV/0!</v>
      </c>
      <c r="BT412" s="51" t="e">
        <f>(BT411)-(BT241-BS241)</f>
        <v>#DIV/0!</v>
      </c>
      <c r="BV412" s="51" t="e">
        <f>(BV411)-(BV241-BU241)</f>
        <v>#DIV/0!</v>
      </c>
      <c r="BW412" s="51" t="e">
        <f>(BW411)-(BW241-BV241)</f>
        <v>#DIV/0!</v>
      </c>
      <c r="BX412" s="51" t="e">
        <f>(BX411)-(BX241-BW241)</f>
        <v>#DIV/0!</v>
      </c>
      <c r="BY412" s="51" t="e">
        <f>(BY411)-(BY241-BX241)</f>
        <v>#DIV/0!</v>
      </c>
      <c r="CA412" s="51" t="e">
        <f>(CA411)-(CA241-BZ241)</f>
        <v>#DIV/0!</v>
      </c>
      <c r="CB412" s="51" t="e">
        <f>(CB411)-(CB241-CA241)</f>
        <v>#DIV/0!</v>
      </c>
      <c r="CC412" s="51" t="e">
        <f>(CC411)-(CC241-CB241)</f>
        <v>#DIV/0!</v>
      </c>
      <c r="CD412" s="51" t="e">
        <f>(CD411)-(CD241-CC241)</f>
        <v>#DIV/0!</v>
      </c>
      <c r="CF412" s="51" t="e">
        <f>(CF411)-(CF241-CE241)</f>
        <v>#DIV/0!</v>
      </c>
      <c r="CG412" s="51" t="e">
        <f>(CG411)-(CG241-CF241)</f>
        <v>#DIV/0!</v>
      </c>
      <c r="CH412" s="51" t="e">
        <f>(CH411)-(CH241-CG241)</f>
        <v>#DIV/0!</v>
      </c>
      <c r="CI412" s="51" t="e">
        <f>(CI411)-(CI241-CH241)</f>
        <v>#DIV/0!</v>
      </c>
      <c r="CK412" s="51" t="e">
        <f>(CK411)-(CK241-CJ241)</f>
        <v>#DIV/0!</v>
      </c>
      <c r="CL412" s="51" t="e">
        <f>(CL411)-(CL241-CK241)</f>
        <v>#DIV/0!</v>
      </c>
      <c r="CM412" s="51" t="e">
        <f>(CM411)-(CM241-CL241)</f>
        <v>#DIV/0!</v>
      </c>
      <c r="CN412" s="51" t="e">
        <f>(CN411)-(CN241-CM241)</f>
        <v>#DIV/0!</v>
      </c>
      <c r="CP412" s="51" t="e">
        <f>(CP411)-(CP241-CO241)</f>
        <v>#DIV/0!</v>
      </c>
      <c r="CQ412" s="51" t="e">
        <f>(CQ411)-(CQ241-CP241)</f>
        <v>#DIV/0!</v>
      </c>
      <c r="CR412" s="51" t="e">
        <f>(CR411)-(CR241-CQ241)</f>
        <v>#DIV/0!</v>
      </c>
      <c r="CS412" s="51" t="e">
        <f>(CS411)-(CS241-CR241)</f>
        <v>#DIV/0!</v>
      </c>
      <c r="CU412" s="51" t="e">
        <f>(CU411)-(CU241-CT241)</f>
        <v>#DIV/0!</v>
      </c>
      <c r="CV412" s="51" t="e">
        <f>(CV411)-(CV241-CU241)</f>
        <v>#DIV/0!</v>
      </c>
      <c r="CW412" s="51" t="e">
        <f>(CW411)-(CW241-CV241)</f>
        <v>#DIV/0!</v>
      </c>
      <c r="CX412" s="51" t="e">
        <f>(CX411)-(CX241-CW241)</f>
        <v>#DIV/0!</v>
      </c>
    </row>
    <row r="414">
      <c r="C414" s="53" t="inlineStr">
        <is>
          <t>Ratio Analysis</t>
        </is>
      </c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  <c r="CO414" s="53" t="n"/>
      <c r="CP414" s="53" t="n"/>
      <c r="CQ414" s="53" t="n"/>
      <c r="CR414" s="53" t="n"/>
      <c r="CS414" s="53" t="n"/>
      <c r="CT414" s="53" t="n"/>
      <c r="CU414" s="53" t="n"/>
      <c r="CV414" s="53" t="n"/>
      <c r="CW414" s="53" t="n"/>
      <c r="CX414" s="53" t="n"/>
      <c r="CY414" s="53" t="n"/>
    </row>
    <row r="416" customFormat="1" s="234">
      <c r="C416" s="234" t="inlineStr">
        <is>
          <t>YEAR</t>
        </is>
      </c>
      <c r="D416" s="234" t="str">
        <f>D372</f>
        <v>1Q20</v>
      </c>
      <c r="E416" s="235" t="str">
        <f>E372</f>
        <v>2Q20</v>
      </c>
      <c r="F416" s="235" t="str">
        <f>F372</f>
        <v>3Q20</v>
      </c>
      <c r="G416" s="235" t="str">
        <f>G372</f>
        <v>4Q20</v>
      </c>
      <c r="H416" s="235">
        <f>H372</f>
        <v>2020</v>
      </c>
      <c r="I416" s="235" t="str">
        <f>I372</f>
        <v>1Q21</v>
      </c>
      <c r="J416" s="235" t="str">
        <f>J372</f>
        <v>2Q21</v>
      </c>
      <c r="K416" s="235" t="str">
        <f>K372</f>
        <v>3Q21</v>
      </c>
      <c r="L416" s="235" t="str">
        <f>L372</f>
        <v>4Q21</v>
      </c>
      <c r="M416" s="235">
        <f>M372</f>
        <v>2021</v>
      </c>
      <c r="N416" s="235" t="str">
        <f>N372</f>
        <v>1Q22</v>
      </c>
      <c r="O416" s="235" t="str">
        <f>O372</f>
        <v>2Q22</v>
      </c>
      <c r="P416" s="235" t="str">
        <f>P372</f>
        <v>3Q22</v>
      </c>
      <c r="Q416" s="235" t="str">
        <f>Q372</f>
        <v>4Q22</v>
      </c>
      <c r="R416" s="235">
        <f>R372</f>
        <v>2022</v>
      </c>
      <c r="S416" s="235" t="str">
        <f>S372</f>
        <v>1Q23</v>
      </c>
      <c r="T416" s="235" t="str">
        <f>T372</f>
        <v>2Q23</v>
      </c>
      <c r="U416" s="235" t="str">
        <f>U372</f>
        <v>3Q23</v>
      </c>
      <c r="V416" s="235" t="str">
        <f>V372</f>
        <v>4Q23</v>
      </c>
      <c r="W416" s="235">
        <f>W372</f>
        <v>2023</v>
      </c>
      <c r="X416" s="235" t="str">
        <f>X372</f>
        <v>1Q24</v>
      </c>
      <c r="Y416" s="235" t="str">
        <f>Y372</f>
        <v>2Q24</v>
      </c>
      <c r="Z416" s="235" t="str">
        <f>Z372</f>
        <v>3Q24</v>
      </c>
      <c r="AA416" s="235" t="str">
        <f>AA372</f>
        <v>4Q24</v>
      </c>
      <c r="AB416" s="235">
        <f>AB372</f>
        <v>2024</v>
      </c>
      <c r="AC416" s="235" t="str">
        <f>AC372</f>
        <v>1Q25</v>
      </c>
      <c r="AD416" s="235" t="str">
        <f>AD372</f>
        <v>2Q25</v>
      </c>
      <c r="AE416" s="235" t="str">
        <f>AE372</f>
        <v>3Q25</v>
      </c>
      <c r="AF416" s="235" t="str">
        <f>AF372</f>
        <v>4Q25</v>
      </c>
      <c r="AG416" s="235">
        <f>AG372</f>
        <v>2025</v>
      </c>
      <c r="AH416" s="235" t="str">
        <f>AH372</f>
        <v>1Q26</v>
      </c>
      <c r="AI416" s="235" t="str">
        <f>AI372</f>
        <v>2Q26</v>
      </c>
      <c r="AJ416" s="235" t="str">
        <f>AJ372</f>
        <v>3Q26</v>
      </c>
      <c r="AK416" s="235" t="str">
        <f>AK372</f>
        <v>4Q26</v>
      </c>
      <c r="AL416" s="235">
        <f>AL372</f>
        <v>2026</v>
      </c>
      <c r="AM416" s="235" t="str">
        <f>AM372</f>
        <v>1Q27</v>
      </c>
      <c r="AN416" s="235" t="str">
        <f>AN372</f>
        <v>2Q27</v>
      </c>
      <c r="AO416" s="235" t="str">
        <f>AO372</f>
        <v>3Q27</v>
      </c>
      <c r="AP416" s="235" t="str">
        <f>AP372</f>
        <v>4Q27</v>
      </c>
      <c r="AQ416" s="235">
        <f>AQ372</f>
        <v>2027</v>
      </c>
      <c r="AR416" s="235" t="str">
        <f>AR372</f>
        <v>1Q28</v>
      </c>
      <c r="AS416" s="235" t="str">
        <f>AS372</f>
        <v>2Q28</v>
      </c>
      <c r="AT416" s="235" t="str">
        <f>AT372</f>
        <v>3Q28</v>
      </c>
      <c r="AU416" s="235" t="str">
        <f>AU372</f>
        <v>4Q28</v>
      </c>
      <c r="AV416" s="235">
        <f>AV372</f>
        <v>2028</v>
      </c>
      <c r="AW416" s="235" t="str">
        <f>AW372</f>
        <v>1Q29</v>
      </c>
      <c r="AX416" s="235" t="str">
        <f>AX372</f>
        <v>2Q29</v>
      </c>
      <c r="AY416" s="235" t="str">
        <f>AY372</f>
        <v>3Q29</v>
      </c>
      <c r="AZ416" s="235" t="str">
        <f>AZ372</f>
        <v>4Q29</v>
      </c>
      <c r="BA416" s="235">
        <f>BA372</f>
        <v>2029</v>
      </c>
      <c r="BB416" s="235" t="str">
        <f>BB372</f>
        <v>1Q30</v>
      </c>
      <c r="BC416" s="235" t="str">
        <f>BC372</f>
        <v>2Q30</v>
      </c>
      <c r="BD416" s="235" t="str">
        <f>BD372</f>
        <v>3Q30</v>
      </c>
      <c r="BE416" s="235" t="str">
        <f>BE372</f>
        <v>4Q30</v>
      </c>
      <c r="BF416" s="235">
        <f>BF372</f>
        <v>2030</v>
      </c>
      <c r="BG416" s="235" t="str">
        <f>BG372</f>
        <v>1Q31</v>
      </c>
      <c r="BH416" s="235" t="str">
        <f>BH372</f>
        <v>2Q31</v>
      </c>
      <c r="BI416" s="235" t="str">
        <f>BI372</f>
        <v>3Q31</v>
      </c>
      <c r="BJ416" s="235" t="str">
        <f>BJ372</f>
        <v>4Q31</v>
      </c>
      <c r="BK416" s="235">
        <f>BK372</f>
        <v>2031</v>
      </c>
      <c r="BL416" s="235" t="str">
        <f>BL372</f>
        <v>1Q32</v>
      </c>
      <c r="BM416" s="235" t="str">
        <f>BM372</f>
        <v>2Q32</v>
      </c>
      <c r="BN416" s="235" t="str">
        <f>BN372</f>
        <v>3Q32</v>
      </c>
      <c r="BO416" s="235" t="str">
        <f>BO372</f>
        <v>4Q32</v>
      </c>
      <c r="BP416" s="235">
        <f>BP372</f>
        <v>2032</v>
      </c>
      <c r="BQ416" s="235" t="str">
        <f>BQ372</f>
        <v>1Q33</v>
      </c>
      <c r="BR416" s="235" t="str">
        <f>BR372</f>
        <v>2Q33</v>
      </c>
      <c r="BS416" s="235" t="str">
        <f>BS372</f>
        <v>3Q33</v>
      </c>
      <c r="BT416" s="235" t="str">
        <f>BT372</f>
        <v>4Q33</v>
      </c>
      <c r="BU416" s="235">
        <f>BU372</f>
        <v>2033</v>
      </c>
      <c r="BV416" s="235" t="str">
        <f>BV372</f>
        <v>1Q34</v>
      </c>
      <c r="BW416" s="235" t="str">
        <f>BW372</f>
        <v>2Q34</v>
      </c>
      <c r="BX416" s="235" t="str">
        <f>BX372</f>
        <v>3Q34</v>
      </c>
      <c r="BY416" s="235" t="str">
        <f>BY372</f>
        <v>4Q34</v>
      </c>
      <c r="BZ416" s="235">
        <f>BZ372</f>
        <v>2034</v>
      </c>
      <c r="CA416" s="235" t="str">
        <f>CA372</f>
        <v>1Q35</v>
      </c>
      <c r="CB416" s="235" t="str">
        <f>CB372</f>
        <v>2Q35</v>
      </c>
      <c r="CC416" s="235" t="str">
        <f>CC372</f>
        <v>3Q35</v>
      </c>
      <c r="CD416" s="235" t="str">
        <f>CD372</f>
        <v>4Q35</v>
      </c>
      <c r="CE416" s="235">
        <f>CE372</f>
        <v>2035</v>
      </c>
      <c r="CF416" s="235" t="str">
        <f>CF372</f>
        <v>1Q36</v>
      </c>
      <c r="CG416" s="235" t="str">
        <f>CG372</f>
        <v>2Q36</v>
      </c>
      <c r="CH416" s="235" t="str">
        <f>CH372</f>
        <v>3Q36</v>
      </c>
      <c r="CI416" s="235" t="str">
        <f>CI372</f>
        <v>4Q36</v>
      </c>
      <c r="CJ416" s="235">
        <f>CJ372</f>
        <v>2036</v>
      </c>
      <c r="CK416" s="235" t="str">
        <f>CK372</f>
        <v>1Q37</v>
      </c>
      <c r="CL416" s="235" t="str">
        <f>CL372</f>
        <v>2Q37</v>
      </c>
      <c r="CM416" s="235" t="str">
        <f>CM372</f>
        <v>3Q37</v>
      </c>
      <c r="CN416" s="235" t="str">
        <f>CN372</f>
        <v>4Q37</v>
      </c>
      <c r="CO416" s="235">
        <f>CO372</f>
        <v>2037</v>
      </c>
      <c r="CP416" s="235" t="str">
        <f>CP372</f>
        <v>1Q38</v>
      </c>
      <c r="CQ416" s="235" t="str">
        <f>CQ372</f>
        <v>2Q38</v>
      </c>
      <c r="CR416" s="235" t="str">
        <f>CR372</f>
        <v>3Q38</v>
      </c>
      <c r="CS416" s="235" t="str">
        <f>CS372</f>
        <v>4Q38</v>
      </c>
      <c r="CT416" s="235">
        <f>CT372</f>
        <v>2038</v>
      </c>
      <c r="CU416" s="235" t="str">
        <f>CU372</f>
        <v>1Q39</v>
      </c>
      <c r="CV416" s="235" t="str">
        <f>CV372</f>
        <v>2Q39</v>
      </c>
      <c r="CW416" s="235" t="str">
        <f>CW372</f>
        <v>3Q39</v>
      </c>
      <c r="CX416" s="235" t="str">
        <f>CX372</f>
        <v>4Q39</v>
      </c>
      <c r="CY416" s="235">
        <f>CY372</f>
        <v>2039</v>
      </c>
    </row>
    <row r="417" customFormat="1" s="233">
      <c r="A417" s="224" t="n"/>
      <c r="B417" s="224" t="n"/>
      <c r="C417" s="234" t="inlineStr">
        <is>
          <t>GROWTH &amp; MARGINS</t>
        </is>
      </c>
    </row>
    <row r="418" customFormat="1" s="233">
      <c r="A418" s="224" t="n"/>
      <c r="B418" s="224" t="n"/>
      <c r="C418" s="233" t="inlineStr">
        <is>
          <t>NET REVENUE GROWTH</t>
        </is>
      </c>
      <c r="E418" s="236">
        <f>E15/D15-1</f>
        <v>-0.156090710453462</v>
      </c>
      <c r="F418" s="236">
        <f>F15/E15-1</f>
        <v>0.452149806811454</v>
      </c>
      <c r="G418" s="236">
        <f>G15/F15-1</f>
        <v>0.613010058853783</v>
      </c>
      <c r="H418" s="236" t="n"/>
      <c r="I418" s="220">
        <f>I15/H15-1</f>
        <v>-0.739205259296714</v>
      </c>
      <c r="J418" s="220">
        <f>J15/I15-1</f>
        <v>-0.165056067098186</v>
      </c>
      <c r="K418" s="220">
        <f>K15/J15-1</f>
        <v>-0.126754770065386</v>
      </c>
      <c r="L418" s="220">
        <f>L15/K15-1</f>
        <v>-0.034009276736562</v>
      </c>
      <c r="M418" s="236" t="n"/>
      <c r="N418" s="220">
        <f>N15/M15-1</f>
        <v>-0.755355538029822</v>
      </c>
      <c r="O418" s="220">
        <f>O15/N15-1</f>
        <v>-0.0876807859307157</v>
      </c>
      <c r="P418" s="220">
        <f>P15/O15-1</f>
        <v>-0.441332839143911</v>
      </c>
      <c r="Q418" s="220">
        <f>Q15/P15-1</f>
        <v>0.122003986767975</v>
      </c>
      <c r="R418" s="236" t="n"/>
      <c r="S418" s="220">
        <f>S15/R15-1</f>
        <v>-0.738113335705275</v>
      </c>
      <c r="T418" s="220">
        <f>T15/S15-1</f>
        <v>-0.22294986937212</v>
      </c>
      <c r="U418" s="220">
        <f>U15/T15-1</f>
        <v>-0.168170212111424</v>
      </c>
      <c r="V418" s="220">
        <f>V15/U15-1</f>
        <v>0.353357772548875</v>
      </c>
      <c r="W418" s="236" t="n"/>
      <c r="X418" s="220">
        <f>X15/W15-1</f>
        <v>-0.699057583527839</v>
      </c>
      <c r="Y418" s="220">
        <f>Y15/X15-1</f>
        <v>-0.0429919671662311</v>
      </c>
      <c r="Z418" s="220">
        <f>Z15/Y15-1</f>
        <v>-0.0263449834957198</v>
      </c>
      <c r="AA418" s="220">
        <f>AA15/Z15-1</f>
        <v>0.209724230992486</v>
      </c>
      <c r="AB418" s="236" t="n"/>
      <c r="AC418" s="220">
        <f>AC15/AB15-1</f>
        <v>-0.69422808602675</v>
      </c>
      <c r="AD418" s="220">
        <f>AD15/AC15-1</f>
        <v>-0.144305406988954</v>
      </c>
      <c r="AE418" s="220">
        <f>AE15/AD15-1</f>
        <v>-0.0800150887178411</v>
      </c>
      <c r="AF418" s="220">
        <f>AF15/AE15-1</f>
        <v>0.207925858953053</v>
      </c>
      <c r="AG418" s="236" t="n"/>
      <c r="AH418" s="220">
        <f>AH15/AG15-1</f>
        <v>-0.714491040348277</v>
      </c>
      <c r="AI418" s="220">
        <f>AI15/AH15-1</f>
        <v>0.295985696480267</v>
      </c>
      <c r="AJ418" s="220">
        <f>AJ15/AI15-1</f>
        <v>-0.407999827934259</v>
      </c>
      <c r="AK418" s="220">
        <f>AK15/AJ15-1</f>
        <v>0.207925858953053</v>
      </c>
      <c r="AL418" s="236" t="n"/>
      <c r="AM418" s="220">
        <f>AM15/AL15-1</f>
        <v>-0.749370849744068</v>
      </c>
      <c r="AN418" s="220">
        <f>AN15/AM15-1</f>
        <v>0.295985696480267</v>
      </c>
      <c r="AO418" s="220">
        <f>AO15/AN15-1</f>
        <v>-0.407999827934259</v>
      </c>
      <c r="AP418" s="220">
        <f>AP15/AO15-1</f>
        <v>0.207925858953053</v>
      </c>
      <c r="AQ418" s="236" t="n"/>
      <c r="AR418" s="220">
        <f>AR15/AQ15-1</f>
        <v>-0.749370849744068</v>
      </c>
      <c r="AS418" s="220">
        <f>AS15/AR15-1</f>
        <v>0.295985696480267</v>
      </c>
      <c r="AT418" s="220">
        <f>AT15/AS15-1</f>
        <v>-0.407999827934259</v>
      </c>
      <c r="AU418" s="220">
        <f>AU15/AT15-1</f>
        <v>0.207925858953053</v>
      </c>
      <c r="AV418" s="236" t="n"/>
      <c r="AW418" s="220">
        <f>AW15/AV15-1</f>
        <v>-0.749370849744068</v>
      </c>
      <c r="AX418" s="220">
        <f>AX15/AW15-1</f>
        <v>0.295985696480267</v>
      </c>
      <c r="AY418" s="220">
        <f>AY15/AX15-1</f>
        <v>-0.407999827934259</v>
      </c>
      <c r="AZ418" s="220">
        <f>AZ15/AY15-1</f>
        <v>0.207925858953053</v>
      </c>
      <c r="BA418" s="236" t="n"/>
      <c r="BB418" s="220">
        <f>BB15/BA15-1</f>
        <v>-0.749370849744068</v>
      </c>
      <c r="BC418" s="220">
        <f>BC15/BB15-1</f>
        <v>0.295985696480267</v>
      </c>
      <c r="BD418" s="220">
        <f>BD15/BC15-1</f>
        <v>-0.407999827934259</v>
      </c>
      <c r="BE418" s="220">
        <f>BE15/BD15-1</f>
        <v>0.207925858953053</v>
      </c>
      <c r="BF418" s="236" t="n"/>
      <c r="BG418" s="220">
        <f>BG15/BF15-1</f>
        <v>-0.749370849744068</v>
      </c>
      <c r="BH418" s="220">
        <f>BH15/BG15-1</f>
        <v>0.295985696480267</v>
      </c>
      <c r="BI418" s="220">
        <f>BI15/BH15-1</f>
        <v>-0.407999827934259</v>
      </c>
      <c r="BJ418" s="220">
        <f>BJ15/BI15-1</f>
        <v>0.207925858953053</v>
      </c>
      <c r="BK418" s="236" t="n"/>
      <c r="BL418" s="220">
        <f>BL15/BK15-1</f>
        <v>-0.749370849744068</v>
      </c>
      <c r="BM418" s="220">
        <f>BM15/BL15-1</f>
        <v>0.295985696480267</v>
      </c>
      <c r="BN418" s="220">
        <f>BN15/BM15-1</f>
        <v>-0.407999827934259</v>
      </c>
      <c r="BO418" s="220">
        <f>BO15/BN15-1</f>
        <v>0.207925858953053</v>
      </c>
      <c r="BP418" s="236" t="n"/>
      <c r="BQ418" s="220">
        <f>BQ15/BP15-1</f>
        <v>-0.749370849744068</v>
      </c>
      <c r="BR418" s="220">
        <f>BR15/BQ15-1</f>
        <v>0.295985696480267</v>
      </c>
      <c r="BS418" s="220">
        <f>BS15/BR15-1</f>
        <v>-0.407999827934259</v>
      </c>
      <c r="BT418" s="220">
        <f>BT15/BS15-1</f>
        <v>0.207925858953053</v>
      </c>
      <c r="BU418" s="236" t="n"/>
      <c r="BV418" s="220">
        <f>BV15/BU15-1</f>
        <v>-0.749370849744068</v>
      </c>
      <c r="BW418" s="220">
        <f>BW15/BV15-1</f>
        <v>0.295985696480267</v>
      </c>
      <c r="BX418" s="220">
        <f>BX15/BW15-1</f>
        <v>-0.407999827934259</v>
      </c>
      <c r="BY418" s="220">
        <f>BY15/BX15-1</f>
        <v>0.207925858953053</v>
      </c>
      <c r="BZ418" s="236" t="n"/>
      <c r="CA418" s="220">
        <f>CA15/BZ15-1</f>
        <v>-0.749370849744068</v>
      </c>
      <c r="CB418" s="220">
        <f>CB15/CA15-1</f>
        <v>0.295985696480267</v>
      </c>
      <c r="CC418" s="220">
        <f>CC15/CB15-1</f>
        <v>-0.407999827934259</v>
      </c>
      <c r="CD418" s="220">
        <f>CD15/CC15-1</f>
        <v>0.207925858953053</v>
      </c>
      <c r="CE418" s="236" t="n"/>
      <c r="CF418" s="220">
        <f>CF15/CE15-1</f>
        <v>-0.749370849744068</v>
      </c>
      <c r="CG418" s="220">
        <f>CG15/CF15-1</f>
        <v>0.295985696480267</v>
      </c>
      <c r="CH418" s="220">
        <f>CH15/CG15-1</f>
        <v>-0.407999827934259</v>
      </c>
      <c r="CI418" s="220">
        <f>CI15/CH15-1</f>
        <v>0.207925858953053</v>
      </c>
      <c r="CJ418" s="236" t="n"/>
      <c r="CK418" s="220">
        <f>CK15/CJ15-1</f>
        <v>-0.749370849744068</v>
      </c>
      <c r="CL418" s="220">
        <f>CL15/CK15-1</f>
        <v>0.295985696480267</v>
      </c>
      <c r="CM418" s="220">
        <f>CM15/CL15-1</f>
        <v>-0.407999827934259</v>
      </c>
      <c r="CN418" s="220">
        <f>CN15/CM15-1</f>
        <v>0.207925858953053</v>
      </c>
      <c r="CO418" s="236" t="n"/>
      <c r="CP418" s="220">
        <f>CP15/CO15-1</f>
        <v>-0.749370849744068</v>
      </c>
      <c r="CQ418" s="220">
        <f>CQ15/CP15-1</f>
        <v>0.295985696480267</v>
      </c>
      <c r="CR418" s="220">
        <f>CR15/CQ15-1</f>
        <v>-0.407999827934259</v>
      </c>
      <c r="CS418" s="220">
        <f>CS15/CR15-1</f>
        <v>0.207925858953053</v>
      </c>
      <c r="CT418" s="236" t="n"/>
      <c r="CU418" s="220">
        <f>CU15/CT15-1</f>
        <v>-0.749370849744068</v>
      </c>
      <c r="CV418" s="220">
        <f>CV15/CU15-1</f>
        <v>0.295985696480267</v>
      </c>
      <c r="CW418" s="220">
        <f>CW15/CV15-1</f>
        <v>-0.407999827934259</v>
      </c>
      <c r="CX418" s="220">
        <f>CX15/CW15-1</f>
        <v>0.207925858953053</v>
      </c>
      <c r="CY418" s="236" t="n"/>
    </row>
    <row r="419" customFormat="1" s="233">
      <c r="A419" s="224" t="n"/>
      <c r="B419" s="224" t="n"/>
      <c r="C419" s="233" t="inlineStr">
        <is>
          <t>GROSS MARGIN</t>
        </is>
      </c>
      <c r="D419" s="220">
        <f>SUM(D15,D151)/D15</f>
        <v>0.525324033405455</v>
      </c>
      <c r="E419" s="220">
        <f>SUM(E15,E151)/E15</f>
        <v>0.438915807185368</v>
      </c>
      <c r="F419" s="220">
        <f>SUM(F15,F151)/F15</f>
        <v>0.502268120320011</v>
      </c>
      <c r="G419" s="220">
        <f>SUM(G15,G151)/G15</f>
        <v>0.719153330320817</v>
      </c>
      <c r="I419" s="221">
        <f>SUM(I15,I151)/I15</f>
        <v>0.70587533734547</v>
      </c>
      <c r="J419" s="221">
        <f>SUM(J15,J151)/J15</f>
        <v>0.84948932087192</v>
      </c>
      <c r="K419" s="221">
        <f>SUM(K15,K151)/K15</f>
        <v>0.754167337528647</v>
      </c>
      <c r="L419" s="221">
        <f>SUM(L15,L151)/L15</f>
        <v>0.728890074924132</v>
      </c>
      <c r="N419" s="221">
        <f>SUM(N15,N151)/N15</f>
        <v>0.894738856089714</v>
      </c>
      <c r="O419" s="221">
        <f>SUM(O15,O151)/O15</f>
        <v>0.894172702083385</v>
      </c>
      <c r="P419" s="221">
        <f>SUM(P15,P151)/P15</f>
        <v>0.798642169953988</v>
      </c>
      <c r="Q419" s="221">
        <f>SUM(Q15,Q151)/Q15</f>
        <v>0.780039492766487</v>
      </c>
      <c r="S419" s="221">
        <f>SUM(S15,S151)/S15</f>
        <v>0.838925813523347</v>
      </c>
      <c r="T419" s="221">
        <f>SUM(T15,T151)/T15</f>
        <v>0.82472992580971</v>
      </c>
      <c r="U419" s="221">
        <f>SUM(U15,U151)/U15</f>
        <v>0.75077239324023</v>
      </c>
      <c r="V419" s="221">
        <f>SUM(V15,V151)/V15</f>
        <v>0.784013134897999</v>
      </c>
      <c r="X419" s="221">
        <f>SUM(X15,X151)/X15</f>
        <v>0.83124526484268</v>
      </c>
      <c r="Y419" s="221">
        <f>SUM(Y15,Y151)/Y15</f>
        <v>0.810800551960172</v>
      </c>
      <c r="Z419" s="221">
        <f>SUM(Z15,Z151)/Z15</f>
        <v>0.7340428854353</v>
      </c>
      <c r="AA419" s="221">
        <f>SUM(AA15,AA151)/AA15</f>
        <v>0.708584451309078</v>
      </c>
      <c r="AC419" s="221">
        <f>SUM(AC15,AC151)/AC15</f>
        <v>0.758772148454195</v>
      </c>
      <c r="AD419" s="221">
        <f>SUM(AD15,AD151)/AD15</f>
        <v>0.730116316824875</v>
      </c>
      <c r="AE419" s="221">
        <f>SUM(AE15,AE151)/AE15</f>
        <v>0.744830814872638</v>
      </c>
      <c r="AF419" s="221">
        <f>SUM(AF15,AF151)/AF15</f>
        <v>0.711306319119261</v>
      </c>
      <c r="AH419" s="221">
        <f>SUM(AH15,AH151)/AH15</f>
        <v>0.67417362529716</v>
      </c>
      <c r="AI419" s="221">
        <f>SUM(AI15,AI151)/AI15</f>
        <v>0.677883099764332</v>
      </c>
      <c r="AJ419" s="221">
        <f>SUM(AJ15,AJ151)/AJ15</f>
        <v>0</v>
      </c>
      <c r="AK419" s="221">
        <f>SUM(AK15,AK151)/AK15</f>
        <v>0</v>
      </c>
      <c r="AM419" s="221">
        <f>SUM(AM15,AM151)/AM15</f>
        <v>0</v>
      </c>
      <c r="AN419" s="221">
        <f>SUM(AN15,AN151)/AN15</f>
        <v>0</v>
      </c>
      <c r="AO419" s="221">
        <f>SUM(AO15,AO151)/AO15</f>
        <v>0</v>
      </c>
      <c r="AP419" s="221">
        <f>SUM(AP15,AP151)/AP15</f>
        <v>0</v>
      </c>
      <c r="AR419" s="221">
        <f>SUM(AR15,AR151)/AR15</f>
        <v>0</v>
      </c>
      <c r="AS419" s="221">
        <f>SUM(AS15,AS151)/AS15</f>
        <v>0</v>
      </c>
      <c r="AT419" s="221">
        <f>SUM(AT15,AT151)/AT15</f>
        <v>0</v>
      </c>
      <c r="AU419" s="221">
        <f>SUM(AU15,AU151)/AU15</f>
        <v>0</v>
      </c>
      <c r="AW419" s="221">
        <f>SUM(AW15,AW151)/AW15</f>
        <v>0</v>
      </c>
      <c r="AX419" s="221">
        <f>SUM(AX15,AX151)/AX15</f>
        <v>0</v>
      </c>
      <c r="AY419" s="221">
        <f>SUM(AY15,AY151)/AY15</f>
        <v>0</v>
      </c>
      <c r="AZ419" s="221">
        <f>SUM(AZ15,AZ151)/AZ15</f>
        <v>0</v>
      </c>
      <c r="BB419" s="221">
        <f>SUM(BB15,BB151)/BB15</f>
        <v>0</v>
      </c>
      <c r="BC419" s="221">
        <f>SUM(BC15,BC151)/BC15</f>
        <v>0</v>
      </c>
      <c r="BD419" s="221">
        <f>SUM(BD15,BD151)/BD15</f>
        <v>0</v>
      </c>
      <c r="BE419" s="221">
        <f>SUM(BE15,BE151)/BE15</f>
        <v>0</v>
      </c>
      <c r="BG419" s="221">
        <f>SUM(BG15,BG151)/BG15</f>
        <v>0</v>
      </c>
      <c r="BH419" s="221">
        <f>SUM(BH15,BH151)/BH15</f>
        <v>0</v>
      </c>
      <c r="BI419" s="221">
        <f>SUM(BI15,BI151)/BI15</f>
        <v>0</v>
      </c>
      <c r="BJ419" s="221">
        <f>SUM(BJ15,BJ151)/BJ15</f>
        <v>0</v>
      </c>
      <c r="BL419" s="221">
        <f>SUM(BL15,BL151)/BL15</f>
        <v>0</v>
      </c>
      <c r="BM419" s="221">
        <f>SUM(BM15,BM151)/BM15</f>
        <v>0</v>
      </c>
      <c r="BN419" s="221">
        <f>SUM(BN15,BN151)/BN15</f>
        <v>0</v>
      </c>
      <c r="BO419" s="221">
        <f>SUM(BO15,BO151)/BO15</f>
        <v>0</v>
      </c>
      <c r="BQ419" s="221">
        <f>SUM(BQ15,BQ151)/BQ15</f>
        <v>0</v>
      </c>
      <c r="BR419" s="221">
        <f>SUM(BR15,BR151)/BR15</f>
        <v>0</v>
      </c>
      <c r="BS419" s="221">
        <f>SUM(BS15,BS151)/BS15</f>
        <v>0</v>
      </c>
      <c r="BT419" s="221">
        <f>SUM(BT15,BT151)/BT15</f>
        <v>0</v>
      </c>
      <c r="BV419" s="221">
        <f>SUM(BV15,BV151)/BV15</f>
        <v>0</v>
      </c>
      <c r="BW419" s="221">
        <f>SUM(BW15,BW151)/BW15</f>
        <v>0</v>
      </c>
      <c r="BX419" s="221">
        <f>SUM(BX15,BX151)/BX15</f>
        <v>0</v>
      </c>
      <c r="BY419" s="221">
        <f>SUM(BY15,BY151)/BY15</f>
        <v>0</v>
      </c>
      <c r="CA419" s="221">
        <f>SUM(CA15,CA151)/CA15</f>
        <v>0</v>
      </c>
      <c r="CB419" s="221">
        <f>SUM(CB15,CB151)/CB15</f>
        <v>0</v>
      </c>
      <c r="CC419" s="221">
        <f>SUM(CC15,CC151)/CC15</f>
        <v>0</v>
      </c>
      <c r="CD419" s="221">
        <f>SUM(CD15,CD151)/CD15</f>
        <v>0</v>
      </c>
      <c r="CF419" s="221">
        <f>SUM(CF15,CF151)/CF15</f>
        <v>0</v>
      </c>
      <c r="CG419" s="221">
        <f>SUM(CG15,CG151)/CG15</f>
        <v>0</v>
      </c>
      <c r="CH419" s="221">
        <f>SUM(CH15,CH151)/CH15</f>
        <v>0</v>
      </c>
      <c r="CI419" s="221">
        <f>SUM(CI15,CI151)/CI15</f>
        <v>0</v>
      </c>
      <c r="CK419" s="221">
        <f>SUM(CK15,CK151)/CK15</f>
        <v>0</v>
      </c>
      <c r="CL419" s="221">
        <f>SUM(CL15,CL151)/CL15</f>
        <v>0</v>
      </c>
      <c r="CM419" s="221">
        <f>SUM(CM15,CM151)/CM15</f>
        <v>0</v>
      </c>
      <c r="CN419" s="221">
        <f>SUM(CN15,CN151)/CN15</f>
        <v>0</v>
      </c>
      <c r="CP419" s="221">
        <f>SUM(CP15,CP151)/CP15</f>
        <v>0</v>
      </c>
      <c r="CQ419" s="221">
        <f>SUM(CQ15,CQ151)/CQ15</f>
        <v>0</v>
      </c>
      <c r="CR419" s="221">
        <f>SUM(CR15,CR151)/CR15</f>
        <v>0</v>
      </c>
      <c r="CS419" s="221">
        <f>SUM(CS15,CS151)/CS15</f>
        <v>0</v>
      </c>
      <c r="CU419" s="221">
        <f>SUM(CU15,CU151)/CU15</f>
        <v>0</v>
      </c>
      <c r="CV419" s="221">
        <f>SUM(CV15,CV151)/CV15</f>
        <v>0</v>
      </c>
      <c r="CW419" s="221">
        <f>SUM(CW15,CW151)/CW15</f>
        <v>0</v>
      </c>
      <c r="CX419" s="221">
        <f>SUM(CX15,CX151)/CX15</f>
        <v>0</v>
      </c>
    </row>
    <row r="420" customFormat="1" s="233">
      <c r="A420" s="224" t="n"/>
      <c r="B420" s="224" t="n"/>
      <c r="C420" s="233" t="inlineStr">
        <is>
          <t>EBIT MARGIN</t>
        </is>
      </c>
      <c r="D420" s="236">
        <f>(D170/D15)</f>
        <v>0.479281830380951</v>
      </c>
      <c r="E420" s="236">
        <f>(E170/E15)</f>
        <v>0.361444668619325</v>
      </c>
      <c r="F420" s="236">
        <f>(F170/F15)</f>
        <v>0.469062034180389</v>
      </c>
      <c r="G420" s="236">
        <f>(G170/G15)</f>
        <v>0.695820319856131</v>
      </c>
      <c r="I420" s="222">
        <f>(I170/I15)</f>
        <v>0.672642203370145</v>
      </c>
      <c r="J420" s="222">
        <f>(J170/J15)</f>
        <v>0.821172935389761</v>
      </c>
      <c r="K420" s="222">
        <f>(K170/K15)</f>
        <v>0.734152812653085</v>
      </c>
      <c r="L420" s="222">
        <f>(L170/L15)</f>
        <v>0.658083179882636</v>
      </c>
      <c r="N420" s="222">
        <f>(N170/N15)</f>
        <v>0.853676631368507</v>
      </c>
      <c r="O420" s="222">
        <f>(O170/O15)</f>
        <v>0.714012410089339</v>
      </c>
      <c r="P420" s="222">
        <f>(P170/P15)</f>
        <v>0.687152096270794</v>
      </c>
      <c r="Q420" s="222">
        <f>(Q170/Q15)</f>
        <v>0.661248473956897</v>
      </c>
      <c r="S420" s="222">
        <f>(S170/S15)</f>
        <v>0.772826014420362</v>
      </c>
      <c r="T420" s="222">
        <f>(T170/T15)</f>
        <v>0.742943718948518</v>
      </c>
      <c r="U420" s="222">
        <f>(U170/U15)</f>
        <v>0.628573233665713</v>
      </c>
      <c r="V420" s="222">
        <f>(V170/V15)</f>
        <v>0.629740706456208</v>
      </c>
      <c r="X420" s="222">
        <f>(X170/X15)</f>
        <v>0.755364337429192</v>
      </c>
      <c r="Y420" s="222">
        <f>(Y170/Y15)</f>
        <v>0.74539998238425</v>
      </c>
      <c r="Z420" s="222">
        <f>(Z170/Z15)</f>
        <v>0.644565227926472</v>
      </c>
      <c r="AA420" s="222">
        <f>(AA170/AA15)</f>
        <v>0.606673135643767</v>
      </c>
      <c r="AC420" s="222">
        <f>(AC170/AC15)</f>
        <v>0.687836624225422</v>
      </c>
      <c r="AD420" s="222">
        <f>(AD170/AD15)</f>
        <v>0.6063735508146</v>
      </c>
      <c r="AE420" s="222">
        <f>(AE170/AE15)</f>
        <v>0.639121900279544</v>
      </c>
      <c r="AF420" s="222">
        <f>(AF170/AF15)</f>
        <v>0.619546619757163</v>
      </c>
      <c r="AH420" s="222">
        <f>(AH170/AH15)</f>
        <v>0.582177145428409</v>
      </c>
      <c r="AI420" s="222">
        <f>(AI170/AI15)</f>
        <v>0.59949978030892</v>
      </c>
      <c r="AJ420" s="222">
        <f>(AJ170/AJ15)</f>
        <v>0</v>
      </c>
      <c r="AK420" s="222">
        <f>(AK170/AK15)</f>
        <v>0</v>
      </c>
      <c r="AM420" s="222">
        <f>(AM170/AM15)</f>
        <v>0</v>
      </c>
      <c r="AN420" s="222">
        <f>(AN170/AN15)</f>
        <v>0</v>
      </c>
      <c r="AO420" s="222">
        <f>(AO170/AO15)</f>
        <v>0</v>
      </c>
      <c r="AP420" s="222">
        <f>(AP170/AP15)</f>
        <v>0</v>
      </c>
      <c r="AR420" s="222">
        <f>(AR170/AR15)</f>
        <v>0</v>
      </c>
      <c r="AS420" s="222">
        <f>(AS170/AS15)</f>
        <v>0</v>
      </c>
      <c r="AT420" s="222">
        <f>(AT170/AT15)</f>
        <v>0</v>
      </c>
      <c r="AU420" s="222">
        <f>(AU170/AU15)</f>
        <v>0</v>
      </c>
      <c r="AW420" s="222">
        <f>(AW170/AW15)</f>
        <v>0</v>
      </c>
      <c r="AX420" s="222">
        <f>(AX170/AX15)</f>
        <v>0</v>
      </c>
      <c r="AY420" s="222">
        <f>(AY170/AY15)</f>
        <v>0</v>
      </c>
      <c r="AZ420" s="222">
        <f>(AZ170/AZ15)</f>
        <v>0</v>
      </c>
      <c r="BB420" s="222">
        <f>(BB170/BB15)</f>
        <v>0</v>
      </c>
      <c r="BC420" s="222">
        <f>(BC170/BC15)</f>
        <v>0</v>
      </c>
      <c r="BD420" s="222">
        <f>(BD170/BD15)</f>
        <v>0</v>
      </c>
      <c r="BE420" s="222">
        <f>(BE170/BE15)</f>
        <v>0</v>
      </c>
      <c r="BG420" s="222">
        <f>(BG170/BG15)</f>
        <v>0</v>
      </c>
      <c r="BH420" s="222">
        <f>(BH170/BH15)</f>
        <v>0</v>
      </c>
      <c r="BI420" s="222">
        <f>(BI170/BI15)</f>
        <v>0</v>
      </c>
      <c r="BJ420" s="222">
        <f>(BJ170/BJ15)</f>
        <v>0</v>
      </c>
      <c r="BL420" s="222">
        <f>(BL170/BL15)</f>
        <v>0</v>
      </c>
      <c r="BM420" s="222">
        <f>(BM170/BM15)</f>
        <v>0</v>
      </c>
      <c r="BN420" s="222">
        <f>(BN170/BN15)</f>
        <v>0</v>
      </c>
      <c r="BO420" s="222">
        <f>(BO170/BO15)</f>
        <v>0</v>
      </c>
      <c r="BQ420" s="222">
        <f>(BQ170/BQ15)</f>
        <v>0</v>
      </c>
      <c r="BR420" s="222">
        <f>(BR170/BR15)</f>
        <v>0</v>
      </c>
      <c r="BS420" s="222">
        <f>(BS170/BS15)</f>
        <v>0</v>
      </c>
      <c r="BT420" s="222">
        <f>(BT170/BT15)</f>
        <v>0</v>
      </c>
      <c r="BV420" s="222">
        <f>(BV170/BV15)</f>
        <v>0</v>
      </c>
      <c r="BW420" s="222">
        <f>(BW170/BW15)</f>
        <v>0</v>
      </c>
      <c r="BX420" s="222">
        <f>(BX170/BX15)</f>
        <v>0</v>
      </c>
      <c r="BY420" s="222">
        <f>(BY170/BY15)</f>
        <v>0</v>
      </c>
      <c r="CA420" s="222">
        <f>(CA170/CA15)</f>
        <v>0</v>
      </c>
      <c r="CB420" s="222">
        <f>(CB170/CB15)</f>
        <v>0</v>
      </c>
      <c r="CC420" s="222">
        <f>(CC170/CC15)</f>
        <v>0</v>
      </c>
      <c r="CD420" s="222">
        <f>(CD170/CD15)</f>
        <v>0</v>
      </c>
      <c r="CF420" s="222">
        <f>(CF170/CF15)</f>
        <v>0</v>
      </c>
      <c r="CG420" s="222">
        <f>(CG170/CG15)</f>
        <v>0</v>
      </c>
      <c r="CH420" s="222">
        <f>(CH170/CH15)</f>
        <v>0</v>
      </c>
      <c r="CI420" s="222">
        <f>(CI170/CI15)</f>
        <v>0</v>
      </c>
      <c r="CK420" s="222">
        <f>(CK170/CK15)</f>
        <v>0</v>
      </c>
      <c r="CL420" s="222">
        <f>(CL170/CL15)</f>
        <v>0</v>
      </c>
      <c r="CM420" s="222">
        <f>(CM170/CM15)</f>
        <v>0</v>
      </c>
      <c r="CN420" s="222">
        <f>(CN170/CN15)</f>
        <v>0</v>
      </c>
      <c r="CP420" s="222">
        <f>(CP170/CP15)</f>
        <v>0</v>
      </c>
      <c r="CQ420" s="222">
        <f>(CQ170/CQ15)</f>
        <v>0</v>
      </c>
      <c r="CR420" s="222">
        <f>(CR170/CR15)</f>
        <v>0</v>
      </c>
      <c r="CS420" s="222">
        <f>(CS170/CS15)</f>
        <v>0</v>
      </c>
      <c r="CU420" s="222">
        <f>(CU170/CU15)</f>
        <v>0</v>
      </c>
      <c r="CV420" s="222">
        <f>(CV170/CV15)</f>
        <v>0</v>
      </c>
      <c r="CW420" s="222">
        <f>(CW170/CW15)</f>
        <v>0</v>
      </c>
      <c r="CX420" s="222">
        <f>(CX170/CX15)</f>
        <v>0</v>
      </c>
    </row>
    <row r="421" customFormat="1" s="233">
      <c r="A421" s="224" t="n"/>
      <c r="B421" s="224" t="n"/>
      <c r="C421" s="233" t="inlineStr">
        <is>
          <t>EBITDA MARTGIN</t>
        </is>
      </c>
      <c r="D421" s="236">
        <f>D166/D15</f>
        <v>0.502261023052328</v>
      </c>
      <c r="E421" s="236">
        <f>E166/E15</f>
        <v>0.410118639578724</v>
      </c>
      <c r="F421" s="236">
        <f>F166/F15</f>
        <v>0.488142407781547</v>
      </c>
      <c r="G421" s="236">
        <f>G166/G15</f>
        <v>0.707784058242733</v>
      </c>
      <c r="I421" s="222">
        <f>I166/I15</f>
        <v>0.691022770272886</v>
      </c>
      <c r="J421" s="222">
        <f>J166/J15</f>
        <v>0.843501919393692</v>
      </c>
      <c r="K421" s="222">
        <f>K166/K15</f>
        <v>0.772178697077554</v>
      </c>
      <c r="L421" s="222">
        <f>L166/L15</f>
        <v>0.689883602067839</v>
      </c>
      <c r="N421" s="222">
        <f>N166/N15</f>
        <v>0.883748008621498</v>
      </c>
      <c r="O421" s="222">
        <f>O166/O15</f>
        <v>0.745218246546309</v>
      </c>
      <c r="P421" s="222">
        <f>P166/P15</f>
        <v>0.743444892355733</v>
      </c>
      <c r="Q421" s="222">
        <f>Q166/Q15</f>
        <v>0.712975531418053</v>
      </c>
      <c r="S421" s="222">
        <f>S166/S15</f>
        <v>0.807473528307355</v>
      </c>
      <c r="T421" s="222">
        <f>T166/T15</f>
        <v>0.789531837222299</v>
      </c>
      <c r="U421" s="222">
        <f>U166/U15</f>
        <v>0.691617472344084</v>
      </c>
      <c r="V421" s="222">
        <f>V166/V15</f>
        <v>0.677410503136276</v>
      </c>
      <c r="X421" s="222">
        <f>X166/X15</f>
        <v>0.798401461062582</v>
      </c>
      <c r="Y421" s="222">
        <f>Y166/Y15</f>
        <v>0.791520742545811</v>
      </c>
      <c r="Z421" s="222">
        <f>Z166/Z15</f>
        <v>0.693952078848376</v>
      </c>
      <c r="AA421" s="222">
        <f>AA166/AA15</f>
        <v>0.647109880620666</v>
      </c>
      <c r="AC421" s="222">
        <f>AC166/AC15</f>
        <v>0.721555636001703</v>
      </c>
      <c r="AD421" s="222">
        <f>AD166/AD15</f>
        <v>0.649746929732414</v>
      </c>
      <c r="AE421" s="222">
        <f>AE166/AE15</f>
        <v>0.688585596349417</v>
      </c>
      <c r="AF421" s="222">
        <f>AF166/AF15</f>
        <v>0.66376919698984</v>
      </c>
      <c r="AH421" s="222">
        <f>AH166/AH15</f>
        <v>0.626866884086538</v>
      </c>
      <c r="AI421" s="222">
        <f>AI166/AI15</f>
        <v>0.631202278642033</v>
      </c>
      <c r="AJ421" s="222">
        <f>AJ166/AJ15</f>
        <v>0</v>
      </c>
      <c r="AK421" s="222">
        <f>AK166/AK15</f>
        <v>0</v>
      </c>
      <c r="AM421" s="222">
        <f>AM166/AM15</f>
        <v>0</v>
      </c>
      <c r="AN421" s="222">
        <f>AN166/AN15</f>
        <v>0</v>
      </c>
      <c r="AO421" s="222">
        <f>AO166/AO15</f>
        <v>0</v>
      </c>
      <c r="AP421" s="222">
        <f>AP166/AP15</f>
        <v>0</v>
      </c>
      <c r="AR421" s="222">
        <f>AR166/AR15</f>
        <v>0</v>
      </c>
      <c r="AS421" s="222">
        <f>AS166/AS15</f>
        <v>0</v>
      </c>
      <c r="AT421" s="222">
        <f>AT166/AT15</f>
        <v>0</v>
      </c>
      <c r="AU421" s="222">
        <f>AU166/AU15</f>
        <v>0</v>
      </c>
      <c r="AW421" s="222">
        <f>AW166/AW15</f>
        <v>0</v>
      </c>
      <c r="AX421" s="222">
        <f>AX166/AX15</f>
        <v>0</v>
      </c>
      <c r="AY421" s="222">
        <f>AY166/AY15</f>
        <v>0</v>
      </c>
      <c r="AZ421" s="222">
        <f>AZ166/AZ15</f>
        <v>0</v>
      </c>
      <c r="BB421" s="222">
        <f>BB166/BB15</f>
        <v>0</v>
      </c>
      <c r="BC421" s="222">
        <f>BC166/BC15</f>
        <v>0</v>
      </c>
      <c r="BD421" s="222">
        <f>BD166/BD15</f>
        <v>0</v>
      </c>
      <c r="BE421" s="222">
        <f>BE166/BE15</f>
        <v>0</v>
      </c>
      <c r="BG421" s="222">
        <f>BG166/BG15</f>
        <v>0</v>
      </c>
      <c r="BH421" s="222">
        <f>BH166/BH15</f>
        <v>0</v>
      </c>
      <c r="BI421" s="222">
        <f>BI166/BI15</f>
        <v>0</v>
      </c>
      <c r="BJ421" s="222">
        <f>BJ166/BJ15</f>
        <v>0</v>
      </c>
      <c r="BL421" s="222">
        <f>BL166/BL15</f>
        <v>0</v>
      </c>
      <c r="BM421" s="222">
        <f>BM166/BM15</f>
        <v>0</v>
      </c>
      <c r="BN421" s="222">
        <f>BN166/BN15</f>
        <v>0</v>
      </c>
      <c r="BO421" s="222">
        <f>BO166/BO15</f>
        <v>0</v>
      </c>
      <c r="BQ421" s="222">
        <f>BQ166/BQ15</f>
        <v>0</v>
      </c>
      <c r="BR421" s="222">
        <f>BR166/BR15</f>
        <v>0</v>
      </c>
      <c r="BS421" s="222">
        <f>BS166/BS15</f>
        <v>0</v>
      </c>
      <c r="BT421" s="222">
        <f>BT166/BT15</f>
        <v>0</v>
      </c>
      <c r="BV421" s="222">
        <f>BV166/BV15</f>
        <v>0</v>
      </c>
      <c r="BW421" s="222">
        <f>BW166/BW15</f>
        <v>0</v>
      </c>
      <c r="BX421" s="222">
        <f>BX166/BX15</f>
        <v>0</v>
      </c>
      <c r="BY421" s="222">
        <f>BY166/BY15</f>
        <v>0</v>
      </c>
      <c r="CA421" s="222">
        <f>CA166/CA15</f>
        <v>0</v>
      </c>
      <c r="CB421" s="222">
        <f>CB166/CB15</f>
        <v>0</v>
      </c>
      <c r="CC421" s="222">
        <f>CC166/CC15</f>
        <v>0</v>
      </c>
      <c r="CD421" s="222">
        <f>CD166/CD15</f>
        <v>0</v>
      </c>
      <c r="CF421" s="222">
        <f>CF166/CF15</f>
        <v>0</v>
      </c>
      <c r="CG421" s="222">
        <f>CG166/CG15</f>
        <v>0</v>
      </c>
      <c r="CH421" s="222">
        <f>CH166/CH15</f>
        <v>0</v>
      </c>
      <c r="CI421" s="222">
        <f>CI166/CI15</f>
        <v>0</v>
      </c>
      <c r="CK421" s="222">
        <f>CK166/CK15</f>
        <v>0</v>
      </c>
      <c r="CL421" s="222">
        <f>CL166/CL15</f>
        <v>0</v>
      </c>
      <c r="CM421" s="222">
        <f>CM166/CM15</f>
        <v>0</v>
      </c>
      <c r="CN421" s="222">
        <f>CN166/CN15</f>
        <v>0</v>
      </c>
      <c r="CP421" s="222">
        <f>CP166/CP15</f>
        <v>0</v>
      </c>
      <c r="CQ421" s="222">
        <f>CQ166/CQ15</f>
        <v>0</v>
      </c>
      <c r="CR421" s="222">
        <f>CR166/CR15</f>
        <v>0</v>
      </c>
      <c r="CS421" s="222">
        <f>CS166/CS15</f>
        <v>0</v>
      </c>
      <c r="CU421" s="222">
        <f>CU166/CU15</f>
        <v>0</v>
      </c>
      <c r="CV421" s="222">
        <f>CV166/CV15</f>
        <v>0</v>
      </c>
      <c r="CW421" s="222">
        <f>CW166/CW15</f>
        <v>0</v>
      </c>
      <c r="CX421" s="222">
        <f>CX166/CX15</f>
        <v>0</v>
      </c>
    </row>
    <row r="422" customFormat="1" s="233">
      <c r="A422" s="224" t="n"/>
      <c r="B422" s="224" t="n"/>
      <c r="C422" s="233" t="inlineStr">
        <is>
          <t>ETR</t>
        </is>
      </c>
      <c r="D422" s="236">
        <f>-D228/D227</f>
        <v>0.22810862334795</v>
      </c>
      <c r="E422" s="236">
        <f>-E228/E227</f>
        <v>0.347820762335995</v>
      </c>
      <c r="F422" s="236">
        <f>-F228/F227</f>
        <v>0.258551914065029</v>
      </c>
      <c r="G422" s="236">
        <f>-G228/G227</f>
        <v>0.291374849118512</v>
      </c>
      <c r="I422" s="222">
        <f>-I228/I227</f>
        <v>0.239517753823337</v>
      </c>
      <c r="J422" s="222">
        <f>-J228/J227</f>
        <v>0.248090900880711</v>
      </c>
      <c r="K422" s="222">
        <f>-K228/K227</f>
        <v>0.248642640406822</v>
      </c>
      <c r="L422" s="222">
        <f>-L228/L227</f>
        <v>0.323084648657285</v>
      </c>
      <c r="N422" s="222">
        <f>-N228/N227</f>
        <v>0.148470574136767</v>
      </c>
      <c r="O422" s="222">
        <f>-O228/O227</f>
        <v>0.259110116223428</v>
      </c>
      <c r="P422" s="222">
        <f>-P228/P227</f>
        <v>0.0656123239940096</v>
      </c>
      <c r="Q422" s="222">
        <f>-Q228/Q227</f>
        <v>-0.142731442478705</v>
      </c>
      <c r="S422" s="222">
        <f>-S228/S227</f>
        <v>0.213320278627057</v>
      </c>
      <c r="T422" s="222">
        <f>-T228/T227</f>
        <v>0.170025411441904</v>
      </c>
      <c r="U422" s="222">
        <f>-U228/U227</f>
        <v>0.169225210344294</v>
      </c>
      <c r="V422" s="222">
        <f>-V228/V227</f>
        <v>0.341949392389088</v>
      </c>
      <c r="X422" s="222">
        <f>-X228/X227</f>
        <v>0.22493014156106</v>
      </c>
      <c r="Y422" s="222">
        <f>-Y228/Y227</f>
        <v>0.239494546979866</v>
      </c>
      <c r="Z422" s="222">
        <f>-Z228/Z227</f>
        <v>-0.466447709423923</v>
      </c>
      <c r="AA422" s="222">
        <f>-AA228/AA227</f>
        <v>0.11004302445048</v>
      </c>
      <c r="AC422" s="222">
        <f>-AC228/AC227</f>
        <v>0.231462636025327</v>
      </c>
      <c r="AD422" s="222">
        <f>-AD228/AD227</f>
        <v>0.152172899483875</v>
      </c>
      <c r="AE422" s="222">
        <f>-AE228/AE227</f>
        <v>0.475836698649574</v>
      </c>
      <c r="AF422" s="222">
        <f>-AF228/AF227</f>
        <v>0.223358732745699</v>
      </c>
      <c r="AH422" s="222">
        <f>-AH228/AH227</f>
        <v>0.270529835294995</v>
      </c>
      <c r="AI422" s="222">
        <f>-AI228/AI227</f>
        <v>0.0744659214786613</v>
      </c>
      <c r="AJ422" s="222">
        <f>-AJ228/AJ227</f>
        <v>0</v>
      </c>
      <c r="AK422" s="222">
        <f>-AK228/AK227</f>
        <v>0</v>
      </c>
      <c r="AM422" s="222">
        <f>-AM228/AM227</f>
        <v>0</v>
      </c>
      <c r="AN422" s="222">
        <f>-AN228/AN227</f>
        <v>0</v>
      </c>
      <c r="AO422" s="222">
        <f>-AO228/AO227</f>
        <v>0</v>
      </c>
      <c r="AP422" s="222">
        <f>-AP228/AP227</f>
        <v>0</v>
      </c>
      <c r="AR422" s="222">
        <f>-AR228/AR227</f>
        <v>0</v>
      </c>
      <c r="AS422" s="222">
        <f>-AS228/AS227</f>
        <v>0</v>
      </c>
      <c r="AT422" s="222">
        <f>-AT228/AT227</f>
        <v>0</v>
      </c>
      <c r="AU422" s="222">
        <f>-AU228/AU227</f>
        <v>0</v>
      </c>
      <c r="AW422" s="222">
        <f>-AW228/AW227</f>
        <v>0</v>
      </c>
      <c r="AX422" s="222">
        <f>-AX228/AX227</f>
        <v>0</v>
      </c>
      <c r="AY422" s="222">
        <f>-AY228/AY227</f>
        <v>0</v>
      </c>
      <c r="AZ422" s="222">
        <f>-AZ228/AZ227</f>
        <v>0</v>
      </c>
      <c r="BB422" s="222">
        <f>-BB228/BB227</f>
        <v>0</v>
      </c>
      <c r="BC422" s="222">
        <f>-BC228/BC227</f>
        <v>0</v>
      </c>
      <c r="BD422" s="222">
        <f>-BD228/BD227</f>
        <v>0</v>
      </c>
      <c r="BE422" s="222">
        <f>-BE228/BE227</f>
        <v>0</v>
      </c>
      <c r="BG422" s="222">
        <f>-BG228/BG227</f>
        <v>0</v>
      </c>
      <c r="BH422" s="222">
        <f>-BH228/BH227</f>
        <v>0</v>
      </c>
      <c r="BI422" s="222">
        <f>-BI228/BI227</f>
        <v>0</v>
      </c>
      <c r="BJ422" s="222">
        <f>-BJ228/BJ227</f>
        <v>0</v>
      </c>
      <c r="BL422" s="222">
        <f>-BL228/BL227</f>
        <v>0</v>
      </c>
      <c r="BM422" s="222">
        <f>-BM228/BM227</f>
        <v>0</v>
      </c>
      <c r="BN422" s="222">
        <f>-BN228/BN227</f>
        <v>0</v>
      </c>
      <c r="BO422" s="222">
        <f>-BO228/BO227</f>
        <v>0</v>
      </c>
      <c r="BQ422" s="222">
        <f>-BQ228/BQ227</f>
        <v>0</v>
      </c>
      <c r="BR422" s="222">
        <f>-BR228/BR227</f>
        <v>0</v>
      </c>
      <c r="BS422" s="222">
        <f>-BS228/BS227</f>
        <v>0</v>
      </c>
      <c r="BT422" s="222">
        <f>-BT228/BT227</f>
        <v>0</v>
      </c>
      <c r="BV422" s="222">
        <f>-BV228/BV227</f>
        <v>0</v>
      </c>
      <c r="BW422" s="222">
        <f>-BW228/BW227</f>
        <v>0</v>
      </c>
      <c r="BX422" s="222">
        <f>-BX228/BX227</f>
        <v>0</v>
      </c>
      <c r="BY422" s="222">
        <f>-BY228/BY227</f>
        <v>0</v>
      </c>
      <c r="CA422" s="222">
        <f>-CA228/CA227</f>
        <v>0</v>
      </c>
      <c r="CB422" s="222">
        <f>-CB228/CB227</f>
        <v>0</v>
      </c>
      <c r="CC422" s="222">
        <f>-CC228/CC227</f>
        <v>0</v>
      </c>
      <c r="CD422" s="222">
        <f>-CD228/CD227</f>
        <v>0</v>
      </c>
      <c r="CF422" s="222">
        <f>-CF228/CF227</f>
        <v>0</v>
      </c>
      <c r="CG422" s="222">
        <f>-CG228/CG227</f>
        <v>0</v>
      </c>
      <c r="CH422" s="222">
        <f>-CH228/CH227</f>
        <v>0</v>
      </c>
      <c r="CI422" s="222">
        <f>-CI228/CI227</f>
        <v>0</v>
      </c>
      <c r="CK422" s="222">
        <f>-CK228/CK227</f>
        <v>0</v>
      </c>
      <c r="CL422" s="222">
        <f>-CL228/CL227</f>
        <v>0</v>
      </c>
      <c r="CM422" s="222">
        <f>-CM228/CM227</f>
        <v>0</v>
      </c>
      <c r="CN422" s="222">
        <f>-CN228/CN227</f>
        <v>0</v>
      </c>
      <c r="CP422" s="222">
        <f>-CP228/CP227</f>
        <v>0</v>
      </c>
      <c r="CQ422" s="222">
        <f>-CQ228/CQ227</f>
        <v>0</v>
      </c>
      <c r="CR422" s="222">
        <f>-CR228/CR227</f>
        <v>0</v>
      </c>
      <c r="CS422" s="222">
        <f>-CS228/CS227</f>
        <v>0</v>
      </c>
      <c r="CU422" s="222">
        <f>-CU228/CU227</f>
        <v>0</v>
      </c>
      <c r="CV422" s="222">
        <f>-CV228/CV227</f>
        <v>0</v>
      </c>
      <c r="CW422" s="222">
        <f>-CW228/CW227</f>
        <v>0</v>
      </c>
      <c r="CX422" s="222">
        <f>-CX228/CX227</f>
        <v>0</v>
      </c>
    </row>
    <row r="423" customFormat="1" s="233">
      <c r="A423" s="224" t="n"/>
      <c r="B423" s="224" t="n"/>
    </row>
    <row r="424" customFormat="1" s="233">
      <c r="A424" s="224" t="n"/>
      <c r="B424" s="224" t="n"/>
      <c r="C424" s="234" t="inlineStr">
        <is>
          <t>CAPITAL STRUCTURE</t>
        </is>
      </c>
    </row>
    <row r="425" customFormat="1" s="233">
      <c r="A425" s="224" t="n"/>
      <c r="B425" s="224" t="n"/>
      <c r="C425" s="233" t="inlineStr">
        <is>
          <t>MARKET DEBT / EQUITY</t>
        </is>
      </c>
    </row>
    <row r="426" customFormat="1" s="233">
      <c r="A426" s="224" t="n"/>
      <c r="B426" s="224" t="n"/>
      <c r="C426" s="233" t="inlineStr">
        <is>
          <t>NET DEBT / (NET DEBT + MARKET CAP)</t>
        </is>
      </c>
    </row>
    <row r="427" customFormat="1" s="233">
      <c r="A427" s="224" t="n"/>
      <c r="B427" s="224" t="n"/>
    </row>
    <row r="428" customFormat="1" s="233">
      <c r="A428" s="224" t="n"/>
      <c r="B428" s="224" t="n"/>
      <c r="C428" s="234" t="inlineStr">
        <is>
          <t>FINANCIAL RISK RATIOS</t>
        </is>
      </c>
    </row>
    <row r="429" customFormat="1" s="233">
      <c r="A429" s="224" t="n"/>
      <c r="B429" s="224" t="n"/>
      <c r="C429" s="233" t="inlineStr">
        <is>
          <t>EBITDA / TOTAL INTEREST</t>
        </is>
      </c>
      <c r="D429" s="219">
        <f>D166/-D171</f>
        <v>7.08236289266637</v>
      </c>
      <c r="E429" s="219">
        <f>E166/-E171</f>
        <v>7.26276038074217</v>
      </c>
      <c r="F429" s="219">
        <f>F166/-F171</f>
        <v>8.93268381270247</v>
      </c>
      <c r="G429" s="219">
        <f>G166/-G171</f>
        <v>10.217040121938</v>
      </c>
      <c r="I429" s="219">
        <f>I166/-I171</f>
        <v>6.08132391084539</v>
      </c>
      <c r="J429" s="219">
        <f>J166/-J171</f>
        <v>6.04337435902932</v>
      </c>
      <c r="K429" s="219">
        <f>K166/-K171</f>
        <v>3.79221063257066</v>
      </c>
      <c r="L429" s="219">
        <f>L166/-L171</f>
        <v>2.79550361586021</v>
      </c>
      <c r="N429" s="219">
        <f>N166/-N171</f>
        <v>3.42261546511171</v>
      </c>
      <c r="O429" s="219">
        <f>O166/-O171</f>
        <v>2.34765139400869</v>
      </c>
      <c r="P429" s="219">
        <f>P166/-P171</f>
        <v>2.52895801192511</v>
      </c>
      <c r="Q429" s="219">
        <f>Q166/-Q171</f>
        <v>1.81608275823687</v>
      </c>
      <c r="S429" s="219">
        <f>S166/-S171</f>
        <v>2.27121469353908</v>
      </c>
      <c r="T429" s="219">
        <f>T166/-T171</f>
        <v>2.15852201246842</v>
      </c>
      <c r="U429" s="219">
        <f>U166/-U171</f>
        <v>1.72220879234727</v>
      </c>
      <c r="V429" s="219">
        <f>V166/-V171</f>
        <v>2.25964989574353</v>
      </c>
      <c r="X429" s="219">
        <f>X166/-X171</f>
        <v>2.46525830469822</v>
      </c>
      <c r="Y429" s="219">
        <f>Y166/-Y171</f>
        <v>2.64166730824415</v>
      </c>
      <c r="Z429" s="219">
        <f>Z166/-Z171</f>
        <v>2.28072019650732</v>
      </c>
      <c r="AA429" s="219">
        <f>AA166/-AA171</f>
        <v>2.19358255526921</v>
      </c>
      <c r="AC429" s="219">
        <f>AC166/-AC171</f>
        <v>2.28808420659846</v>
      </c>
      <c r="AD429" s="219">
        <f>AD166/-AD171</f>
        <v>2.21877415252165</v>
      </c>
      <c r="AE429" s="219">
        <f>AE166/-AE171</f>
        <v>2.13013265342166</v>
      </c>
      <c r="AF429" s="219">
        <f>AF166/-AF171</f>
        <v>2.41077732174347</v>
      </c>
      <c r="AH429" s="219">
        <f>AH166/-AH171</f>
        <v>2.16957094581558</v>
      </c>
      <c r="AI429" s="219">
        <f>AI166/-AI171</f>
        <v>2.63915517928031</v>
      </c>
      <c r="AJ429" s="219" t="e">
        <f>AJ166/-AJ171</f>
        <v>#DIV/0!</v>
      </c>
      <c r="AK429" s="219" t="e">
        <f>AK166/-AK171</f>
        <v>#DIV/0!</v>
      </c>
      <c r="AM429" s="219" t="e">
        <f>AM166/-AM171</f>
        <v>#DIV/0!</v>
      </c>
      <c r="AN429" s="219" t="e">
        <f>AN166/-AN171</f>
        <v>#DIV/0!</v>
      </c>
      <c r="AO429" s="219" t="e">
        <f>AO166/-AO171</f>
        <v>#DIV/0!</v>
      </c>
      <c r="AP429" s="219" t="e">
        <f>AP166/-AP171</f>
        <v>#DIV/0!</v>
      </c>
      <c r="AR429" s="219" t="e">
        <f>AR166/-AR171</f>
        <v>#DIV/0!</v>
      </c>
      <c r="AS429" s="219" t="e">
        <f>AS166/-AS171</f>
        <v>#DIV/0!</v>
      </c>
      <c r="AT429" s="219" t="e">
        <f>AT166/-AT171</f>
        <v>#DIV/0!</v>
      </c>
      <c r="AU429" s="219" t="e">
        <f>AU166/-AU171</f>
        <v>#DIV/0!</v>
      </c>
      <c r="AW429" s="219" t="e">
        <f>AW166/-AW171</f>
        <v>#DIV/0!</v>
      </c>
      <c r="AX429" s="219" t="e">
        <f>AX166/-AX171</f>
        <v>#DIV/0!</v>
      </c>
      <c r="AY429" s="219" t="e">
        <f>AY166/-AY171</f>
        <v>#DIV/0!</v>
      </c>
      <c r="AZ429" s="219" t="e">
        <f>AZ166/-AZ171</f>
        <v>#DIV/0!</v>
      </c>
      <c r="BB429" s="219" t="e">
        <f>BB166/-BB171</f>
        <v>#DIV/0!</v>
      </c>
      <c r="BC429" s="219" t="e">
        <f>BC166/-BC171</f>
        <v>#DIV/0!</v>
      </c>
      <c r="BD429" s="219" t="e">
        <f>BD166/-BD171</f>
        <v>#DIV/0!</v>
      </c>
      <c r="BE429" s="219" t="e">
        <f>BE166/-BE171</f>
        <v>#DIV/0!</v>
      </c>
      <c r="BG429" s="219" t="e">
        <f>BG166/-BG171</f>
        <v>#DIV/0!</v>
      </c>
      <c r="BH429" s="219" t="e">
        <f>BH166/-BH171</f>
        <v>#DIV/0!</v>
      </c>
      <c r="BI429" s="219" t="e">
        <f>BI166/-BI171</f>
        <v>#DIV/0!</v>
      </c>
      <c r="BJ429" s="219" t="e">
        <f>BJ166/-BJ171</f>
        <v>#DIV/0!</v>
      </c>
      <c r="BL429" s="219" t="e">
        <f>BL166/-BL171</f>
        <v>#DIV/0!</v>
      </c>
      <c r="BM429" s="219" t="e">
        <f>BM166/-BM171</f>
        <v>#DIV/0!</v>
      </c>
      <c r="BN429" s="219" t="e">
        <f>BN166/-BN171</f>
        <v>#DIV/0!</v>
      </c>
      <c r="BO429" s="219" t="e">
        <f>BO166/-BO171</f>
        <v>#DIV/0!</v>
      </c>
      <c r="BQ429" s="219" t="e">
        <f>BQ166/-BQ171</f>
        <v>#DIV/0!</v>
      </c>
      <c r="BR429" s="219" t="e">
        <f>BR166/-BR171</f>
        <v>#DIV/0!</v>
      </c>
      <c r="BS429" s="219" t="e">
        <f>BS166/-BS171</f>
        <v>#DIV/0!</v>
      </c>
      <c r="BT429" s="219" t="e">
        <f>BT166/-BT171</f>
        <v>#DIV/0!</v>
      </c>
      <c r="BV429" s="219" t="e">
        <f>BV166/-BV171</f>
        <v>#DIV/0!</v>
      </c>
      <c r="BW429" s="219" t="e">
        <f>BW166/-BW171</f>
        <v>#DIV/0!</v>
      </c>
      <c r="BX429" s="219" t="e">
        <f>BX166/-BX171</f>
        <v>#DIV/0!</v>
      </c>
      <c r="BY429" s="219" t="e">
        <f>BY166/-BY171</f>
        <v>#DIV/0!</v>
      </c>
      <c r="CA429" s="219" t="e">
        <f>CA166/-CA171</f>
        <v>#DIV/0!</v>
      </c>
      <c r="CB429" s="219" t="e">
        <f>CB166/-CB171</f>
        <v>#DIV/0!</v>
      </c>
      <c r="CC429" s="219" t="e">
        <f>CC166/-CC171</f>
        <v>#DIV/0!</v>
      </c>
      <c r="CD429" s="219" t="e">
        <f>CD166/-CD171</f>
        <v>#DIV/0!</v>
      </c>
      <c r="CF429" s="219" t="e">
        <f>CF166/-CF171</f>
        <v>#DIV/0!</v>
      </c>
      <c r="CG429" s="219" t="e">
        <f>CG166/-CG171</f>
        <v>#DIV/0!</v>
      </c>
      <c r="CH429" s="219" t="e">
        <f>CH166/-CH171</f>
        <v>#DIV/0!</v>
      </c>
      <c r="CI429" s="219" t="e">
        <f>CI166/-CI171</f>
        <v>#DIV/0!</v>
      </c>
      <c r="CK429" s="219" t="e">
        <f>CK166/-CK171</f>
        <v>#DIV/0!</v>
      </c>
      <c r="CL429" s="219" t="e">
        <f>CL166/-CL171</f>
        <v>#DIV/0!</v>
      </c>
      <c r="CM429" s="219" t="e">
        <f>CM166/-CM171</f>
        <v>#DIV/0!</v>
      </c>
      <c r="CN429" s="219" t="e">
        <f>CN166/-CN171</f>
        <v>#DIV/0!</v>
      </c>
      <c r="CP429" s="219" t="e">
        <f>CP166/-CP171</f>
        <v>#DIV/0!</v>
      </c>
      <c r="CQ429" s="219" t="e">
        <f>CQ166/-CQ171</f>
        <v>#DIV/0!</v>
      </c>
      <c r="CR429" s="219" t="e">
        <f>CR166/-CR171</f>
        <v>#DIV/0!</v>
      </c>
      <c r="CS429" s="219" t="e">
        <f>CS166/-CS171</f>
        <v>#DIV/0!</v>
      </c>
      <c r="CU429" s="219" t="e">
        <f>CU166/-CU171</f>
        <v>#DIV/0!</v>
      </c>
      <c r="CV429" s="219" t="e">
        <f>CV166/-CV171</f>
        <v>#DIV/0!</v>
      </c>
      <c r="CW429" s="219" t="e">
        <f>CW166/-CW171</f>
        <v>#DIV/0!</v>
      </c>
      <c r="CX429" s="219" t="e">
        <f>CX166/-CX171</f>
        <v>#DIV/0!</v>
      </c>
    </row>
    <row r="430" customFormat="1" s="233">
      <c r="A430" s="224" t="n"/>
      <c r="B430" s="224" t="n"/>
      <c r="C430" s="233" t="inlineStr">
        <is>
          <t>(EBITDA - CAPEX) / TOTAL INTEREST</t>
        </is>
      </c>
      <c r="D430" s="219">
        <f>(D166-D265)/-D171</f>
        <v>7.08236289266637</v>
      </c>
      <c r="E430" s="219">
        <f>(E166-E265)/-E171</f>
        <v>5.76463995033798</v>
      </c>
      <c r="F430" s="219">
        <f>(F166-F265)/-F171</f>
        <v>8.29957298517719</v>
      </c>
      <c r="G430" s="219">
        <f>(G166-G265)/-G171</f>
        <v>10.2887627368851</v>
      </c>
      <c r="I430" s="219">
        <f>(I166-I265)/-I171</f>
        <v>5.45449399920868</v>
      </c>
      <c r="J430" s="219">
        <f>(J166-J265)/-J171</f>
        <v>6.66978154754569</v>
      </c>
      <c r="K430" s="219">
        <f>(K166-K265)/-K171</f>
        <v>3.54476783310902</v>
      </c>
      <c r="L430" s="219">
        <f>(L166-L265)/-L171</f>
        <v>2.35846772310378</v>
      </c>
      <c r="N430" s="219">
        <f>(N166-N265)/-N171</f>
        <v>2.38758956088325</v>
      </c>
      <c r="O430" s="219">
        <f>(O166-O265)/-O171</f>
        <v>2.4304101262819</v>
      </c>
      <c r="P430" s="219">
        <f>(P166-P265)/-P171</f>
        <v>1.48830421548597</v>
      </c>
      <c r="Q430" s="219">
        <f>(Q166-Q265)/-Q171</f>
        <v>0.937562611308992</v>
      </c>
      <c r="S430" s="219">
        <f>(S166-S265)/-S171</f>
        <v>2.03890504446051</v>
      </c>
      <c r="T430" s="219">
        <f>(T166-T265)/-T171</f>
        <v>1.90453846180802</v>
      </c>
      <c r="U430" s="219">
        <f>(U166-U265)/-U171</f>
        <v>1.09941177147725</v>
      </c>
      <c r="V430" s="219">
        <f>(V166-V265)/-V171</f>
        <v>1.87479348102684</v>
      </c>
      <c r="X430" s="219">
        <f>(X166-X265)/-X171</f>
        <v>2.19062152389392</v>
      </c>
      <c r="Y430" s="219">
        <f>(Y166-Y265)/-Y171</f>
        <v>1.98373426093773</v>
      </c>
      <c r="Z430" s="219">
        <f>(Z166-Z265)/-Z171</f>
        <v>2.23441072578875</v>
      </c>
      <c r="AA430" s="219">
        <f>(AA166-AA265)/-AA171</f>
        <v>1.30302253016193</v>
      </c>
      <c r="AC430" s="219">
        <f>(AC166-AC265)/-AC171</f>
        <v>2.60756449723769</v>
      </c>
      <c r="AD430" s="219">
        <f>(AD166-AD265)/-AD171</f>
        <v>2.29018898074321</v>
      </c>
      <c r="AE430" s="219">
        <f>(AE166-AE265)/-AE171</f>
        <v>2.08715114654815</v>
      </c>
      <c r="AF430" s="219">
        <f>(AF166-AF265)/-AF171</f>
        <v>1.78831130323507</v>
      </c>
      <c r="AH430" s="219">
        <f>(AH166-AH265)/-AH171</f>
        <v>2.45567505884818</v>
      </c>
      <c r="AI430" s="219">
        <f>(AI166-AI265)/-AI171</f>
        <v>2.30799727642955</v>
      </c>
      <c r="AJ430" s="219" t="e">
        <f>(AJ166-AJ265)/-AJ171</f>
        <v>#DIV/0!</v>
      </c>
      <c r="AK430" s="219" t="e">
        <f>(AK166-AK265)/-AK171</f>
        <v>#DIV/0!</v>
      </c>
      <c r="AM430" s="219" t="e">
        <f>(AM166-AM265)/-AM171</f>
        <v>#DIV/0!</v>
      </c>
      <c r="AN430" s="219" t="e">
        <f>(AN166-AN265)/-AN171</f>
        <v>#DIV/0!</v>
      </c>
      <c r="AO430" s="219" t="e">
        <f>(AO166-AO265)/-AO171</f>
        <v>#DIV/0!</v>
      </c>
      <c r="AP430" s="219" t="e">
        <f>(AP166-AP265)/-AP171</f>
        <v>#DIV/0!</v>
      </c>
      <c r="AR430" s="219" t="e">
        <f>(AR166-AR265)/-AR171</f>
        <v>#DIV/0!</v>
      </c>
      <c r="AS430" s="219" t="e">
        <f>(AS166-AS265)/-AS171</f>
        <v>#DIV/0!</v>
      </c>
      <c r="AT430" s="219" t="e">
        <f>(AT166-AT265)/-AT171</f>
        <v>#DIV/0!</v>
      </c>
      <c r="AU430" s="219" t="e">
        <f>(AU166-AU265)/-AU171</f>
        <v>#DIV/0!</v>
      </c>
      <c r="AW430" s="219" t="e">
        <f>(AW166-AW265)/-AW171</f>
        <v>#DIV/0!</v>
      </c>
      <c r="AX430" s="219" t="e">
        <f>(AX166-AX265)/-AX171</f>
        <v>#DIV/0!</v>
      </c>
      <c r="AY430" s="219" t="e">
        <f>(AY166-AY265)/-AY171</f>
        <v>#DIV/0!</v>
      </c>
      <c r="AZ430" s="219" t="e">
        <f>(AZ166-AZ265)/-AZ171</f>
        <v>#DIV/0!</v>
      </c>
      <c r="BB430" s="219" t="e">
        <f>(BB166-BB265)/-BB171</f>
        <v>#DIV/0!</v>
      </c>
      <c r="BC430" s="219" t="e">
        <f>(BC166-BC265)/-BC171</f>
        <v>#DIV/0!</v>
      </c>
      <c r="BD430" s="219" t="e">
        <f>(BD166-BD265)/-BD171</f>
        <v>#DIV/0!</v>
      </c>
      <c r="BE430" s="219" t="e">
        <f>(BE166-BE265)/-BE171</f>
        <v>#DIV/0!</v>
      </c>
      <c r="BG430" s="219" t="e">
        <f>(BG166-BG265)/-BG171</f>
        <v>#DIV/0!</v>
      </c>
      <c r="BH430" s="219" t="e">
        <f>(BH166-BH265)/-BH171</f>
        <v>#DIV/0!</v>
      </c>
      <c r="BI430" s="219" t="e">
        <f>(BI166-BI265)/-BI171</f>
        <v>#DIV/0!</v>
      </c>
      <c r="BJ430" s="219" t="e">
        <f>(BJ166-BJ265)/-BJ171</f>
        <v>#DIV/0!</v>
      </c>
      <c r="BL430" s="219" t="e">
        <f>(BL166-BL265)/-BL171</f>
        <v>#DIV/0!</v>
      </c>
      <c r="BM430" s="219" t="e">
        <f>(BM166-BM265)/-BM171</f>
        <v>#DIV/0!</v>
      </c>
      <c r="BN430" s="219" t="e">
        <f>(BN166-BN265)/-BN171</f>
        <v>#DIV/0!</v>
      </c>
      <c r="BO430" s="219" t="e">
        <f>(BO166-BO265)/-BO171</f>
        <v>#DIV/0!</v>
      </c>
      <c r="BQ430" s="219" t="e">
        <f>(BQ166-BQ265)/-BQ171</f>
        <v>#DIV/0!</v>
      </c>
      <c r="BR430" s="219" t="e">
        <f>(BR166-BR265)/-BR171</f>
        <v>#DIV/0!</v>
      </c>
      <c r="BS430" s="219" t="e">
        <f>(BS166-BS265)/-BS171</f>
        <v>#DIV/0!</v>
      </c>
      <c r="BT430" s="219" t="e">
        <f>(BT166-BT265)/-BT171</f>
        <v>#DIV/0!</v>
      </c>
      <c r="BV430" s="219" t="e">
        <f>(BV166-BV265)/-BV171</f>
        <v>#DIV/0!</v>
      </c>
      <c r="BW430" s="219" t="e">
        <f>(BW166-BW265)/-BW171</f>
        <v>#DIV/0!</v>
      </c>
      <c r="BX430" s="219" t="e">
        <f>(BX166-BX265)/-BX171</f>
        <v>#DIV/0!</v>
      </c>
      <c r="BY430" s="219" t="e">
        <f>(BY166-BY265)/-BY171</f>
        <v>#DIV/0!</v>
      </c>
      <c r="CA430" s="219" t="e">
        <f>(CA166-CA265)/-CA171</f>
        <v>#DIV/0!</v>
      </c>
      <c r="CB430" s="219" t="e">
        <f>(CB166-CB265)/-CB171</f>
        <v>#DIV/0!</v>
      </c>
      <c r="CC430" s="219" t="e">
        <f>(CC166-CC265)/-CC171</f>
        <v>#DIV/0!</v>
      </c>
      <c r="CD430" s="219" t="e">
        <f>(CD166-CD265)/-CD171</f>
        <v>#DIV/0!</v>
      </c>
      <c r="CF430" s="219" t="e">
        <f>(CF166-CF265)/-CF171</f>
        <v>#DIV/0!</v>
      </c>
      <c r="CG430" s="219" t="e">
        <f>(CG166-CG265)/-CG171</f>
        <v>#DIV/0!</v>
      </c>
      <c r="CH430" s="219" t="e">
        <f>(CH166-CH265)/-CH171</f>
        <v>#DIV/0!</v>
      </c>
      <c r="CI430" s="219" t="e">
        <f>(CI166-CI265)/-CI171</f>
        <v>#DIV/0!</v>
      </c>
      <c r="CK430" s="219" t="e">
        <f>(CK166-CK265)/-CK171</f>
        <v>#DIV/0!</v>
      </c>
      <c r="CL430" s="219" t="e">
        <f>(CL166-CL265)/-CL171</f>
        <v>#DIV/0!</v>
      </c>
      <c r="CM430" s="219" t="e">
        <f>(CM166-CM265)/-CM171</f>
        <v>#DIV/0!</v>
      </c>
      <c r="CN430" s="219" t="e">
        <f>(CN166-CN265)/-CN171</f>
        <v>#DIV/0!</v>
      </c>
      <c r="CP430" s="219" t="e">
        <f>(CP166-CP265)/-CP171</f>
        <v>#DIV/0!</v>
      </c>
      <c r="CQ430" s="219" t="e">
        <f>(CQ166-CQ265)/-CQ171</f>
        <v>#DIV/0!</v>
      </c>
      <c r="CR430" s="219" t="e">
        <f>(CR166-CR265)/-CR171</f>
        <v>#DIV/0!</v>
      </c>
      <c r="CS430" s="219" t="e">
        <f>(CS166-CS265)/-CS171</f>
        <v>#DIV/0!</v>
      </c>
      <c r="CU430" s="219" t="e">
        <f>(CU166-CU265)/-CU171</f>
        <v>#DIV/0!</v>
      </c>
      <c r="CV430" s="219" t="e">
        <f>(CV166-CV265)/-CV171</f>
        <v>#DIV/0!</v>
      </c>
      <c r="CW430" s="219" t="e">
        <f>(CW166-CW265)/-CW171</f>
        <v>#DIV/0!</v>
      </c>
      <c r="CX430" s="219" t="e">
        <f>(CX166-CX265)/-CX171</f>
        <v>#DIV/0!</v>
      </c>
    </row>
    <row r="431" customFormat="1" s="233">
      <c r="A431" s="224" t="n"/>
      <c r="B431" s="224" t="n"/>
      <c r="C431" s="233" t="inlineStr">
        <is>
          <t>TOTAL DEBT / EBITDA LTM</t>
        </is>
      </c>
      <c r="D431" s="219" t="str">
        <f>""</f>
        <v/>
      </c>
      <c r="E431" s="219" t="str">
        <f>""</f>
        <v/>
      </c>
      <c r="F431" s="219" t="str">
        <f>""</f>
        <v/>
      </c>
      <c r="G431" s="219">
        <f>IFERROR(SUM(G309,G310,G311,G314,G332,G335)/(G166+F166+E166+D166),"")</f>
        <v>2.60214966200909</v>
      </c>
      <c r="I431" s="219">
        <f>IFERROR(SUM(I309,I310,I311,I314,I332,I335)/(I166+G166+F166+E166),"")</f>
        <v>2.31260005613375</v>
      </c>
      <c r="J431" s="219">
        <f>IFERROR(SUM(J309,J310,J311,J314,J332,J335)/(J166+I166+G166+F166),"")</f>
        <v>1.99859124194926</v>
      </c>
      <c r="K431" s="219">
        <f>IFERROR(SUM(K309,K310,K311,K314,K332,K335)/(K166+J166+I166+G166),"")</f>
        <v>1.95242996139507</v>
      </c>
      <c r="L431" s="219">
        <f>IFERROR(SUM(L309,L310,L311,L314,L332,L335)/(L166+K166+J166+I166),"")</f>
        <v>2.57929065584827</v>
      </c>
      <c r="N431" s="219">
        <f>IFERROR(SUM(N309,N310,N311,N314,N332,N335)/(N166+L166+K166+J166),"")</f>
        <v>2.53410815363659</v>
      </c>
      <c r="O431" s="219">
        <f>IFERROR(SUM(O309,O310,O311,O314,O332,O335)/(O166+N166+L166+K166),"")</f>
        <v>2.92827638614169</v>
      </c>
      <c r="P431" s="219">
        <f>IFERROR(SUM(P309,P310,P311,P314,P332,P335)/(P166+O166+N166+L166),"")</f>
        <v>3.38719023082009</v>
      </c>
      <c r="Q431" s="219">
        <f>IFERROR(SUM(Q309,Q310,Q311,Q314,Q332,Q335)/(Q166+P166+O166+N166),"")</f>
        <v>3.88125084937355</v>
      </c>
      <c r="S431" s="219">
        <f>IFERROR(SUM(S309,S310,S311,S314,S332,S335)/(S166+Q166+P166+O166),"")</f>
        <v>4.3784826016369</v>
      </c>
      <c r="T431" s="219">
        <f>IFERROR(SUM(T309,T310,T311,T314,T332,T335)/(T166+S166+Q166+P166),"")</f>
        <v>4.80175079715215</v>
      </c>
      <c r="U431" s="219">
        <f>IFERROR(SUM(U309,U310,U311,U314,U332,U335)/(U166+T166+S166+Q166),"")</f>
        <v>4.84658017151382</v>
      </c>
      <c r="V431" s="219">
        <f>IFERROR(SUM(V309,V310,V311,V314,V332,V335)/(V166+U166+T166+S166),"")</f>
        <v>4.7847835951424</v>
      </c>
      <c r="X431" s="219">
        <f>IFERROR(SUM(X309,X310,X311,X314,X332,X335)/(X166+V166+U166+T166),"")</f>
        <v>4.79462794451189</v>
      </c>
      <c r="Y431" s="219">
        <f>IFERROR(SUM(Y309,Y310,Y311,Y314,Y332,Y335)/(Y166+X166+V166+U166),"")</f>
        <v>4.81057610545037</v>
      </c>
      <c r="Z431" s="219">
        <f>IFERROR(SUM(Z309,Z310,Z311,Z314,Z332,Z335)/(Z166+Y166+X166+V166),"")</f>
        <v>4.41482662223868</v>
      </c>
      <c r="AA431" s="219">
        <f>IFERROR(SUM(AA309,AA310,AA311,AA314,AA332,AA335)/(AA166+Z166+Y166+X166),"")</f>
        <v>4.35679316911425</v>
      </c>
      <c r="AC431" s="219">
        <f>IFERROR(SUM(AC309,AC310,AC311,AC314,AC332,AC335)/(AC166+AA166+Z166+Y166),"")</f>
        <v>4.19705078821445</v>
      </c>
      <c r="AD431" s="219">
        <f>IFERROR(SUM(AD309,AD310,AD311,AD314,AD332,AD335)/(AD166+AC166+AA166+Z166),"")</f>
        <v>4.3531822512516</v>
      </c>
      <c r="AE431" s="219">
        <f>IFERROR(SUM(AE309,AE310,AE311,AE314,AE332,AE335)/(AE166+AD166+AC166+AA166),"")</f>
        <v>4.22448742594686</v>
      </c>
      <c r="AF431" s="219">
        <f>IFERROR(SUM(AF309,AF310,AF311,AF314,AF332,AF335)/(AF166+AE166+AD166+AC166),"")</f>
        <v>4.20504795076419</v>
      </c>
      <c r="AH431" s="219">
        <f>IFERROR(SUM(AH309,AH310,AH311,AH314,AH332,AH335)/(AH166+AF166+AE166+AD166),"")</f>
        <v>5.01909002481362</v>
      </c>
      <c r="AI431" s="219">
        <f>IFERROR(SUM(AI309,AI310,AI311,AI314,AI332,AI335)/(AI166+AH166+AF166+AE166),"")</f>
        <v>4.58293471966582</v>
      </c>
      <c r="AJ431" s="219">
        <f>IFERROR(SUM(AJ309,AJ310,AJ311,AJ314,AJ332,AJ335)/(AJ166+AI166+AH166+AF166),"")</f>
        <v>5.75823058512067</v>
      </c>
      <c r="AK431" s="219">
        <f>IFERROR(SUM(AK309,AK310,AK311,AK314,AK332,AK335)/(AK166+AJ166+AI166+AH166),"")</f>
        <v>8.20973045789418</v>
      </c>
      <c r="AM431" s="219">
        <f>IFERROR(SUM(AM309,AM310,AM311,AM314,AM332,AM335)/(AM166+AK166+AJ166+AI166),"")</f>
        <v>14.5009589678585</v>
      </c>
      <c r="AN431" s="219" t="str">
        <f>IFERROR(SUM(AN309,AN310,AN311,AN314,AN332,AN335)/(AN166+AM166+AK166+AJ166),"")</f>
        <v/>
      </c>
      <c r="AO431" s="219" t="str">
        <f>IFERROR(SUM(AO309,AO310,AO311,AO314,AO332,AO335)/(AO166+AN166+AM166+AK166),"")</f>
        <v/>
      </c>
      <c r="AP431" s="219" t="str">
        <f>IFERROR(SUM(AP309,AP310,AP311,AP314,AP332,AP335)/(AP166+AO166+AN166+AM166),"")</f>
        <v/>
      </c>
      <c r="AR431" s="219" t="str">
        <f>IFERROR(SUM(AR309,AR310,AR311,AR314,AR332,AR335)/(AR166+AP166+AO166+AN166),"")</f>
        <v/>
      </c>
      <c r="AS431" s="219" t="str">
        <f>IFERROR(SUM(AS309,AS310,AS311,AS314,AS332,AS335)/(AS166+AR166+AP166+AO166),"")</f>
        <v/>
      </c>
      <c r="AT431" s="219" t="str">
        <f>IFERROR(SUM(AT309,AT310,AT311,AT314,AT332,AT335)/(AT166+AS166+AR166+AP166),"")</f>
        <v/>
      </c>
      <c r="AU431" s="219" t="str">
        <f>IFERROR(SUM(AU309,AU310,AU311,AU314,AU332,AU335)/(AU166+AT166+AS166+AR166),"")</f>
        <v/>
      </c>
      <c r="AW431" s="219" t="str">
        <f>IFERROR(SUM(AW309,AW310,AW311,AW314,AW332,AW335)/(AW166+AU166+AT166+AS166),"")</f>
        <v/>
      </c>
      <c r="AX431" s="219" t="str">
        <f>IFERROR(SUM(AX309,AX310,AX311,AX314,AX332,AX335)/(AX166+AW166+AU166+AT166),"")</f>
        <v/>
      </c>
      <c r="AY431" s="219" t="str">
        <f>IFERROR(SUM(AY309,AY310,AY311,AY314,AY332,AY335)/(AY166+AX166+AW166+AU166),"")</f>
        <v/>
      </c>
      <c r="AZ431" s="219" t="str">
        <f>IFERROR(SUM(AZ309,AZ310,AZ311,AZ314,AZ332,AZ335)/(AZ166+AY166+AX166+AW166),"")</f>
        <v/>
      </c>
      <c r="BB431" s="219" t="str">
        <f>IFERROR(SUM(BB309,BB310,BB311,BB314,BB332,BB335)/(BB166+AZ166+AY166+AX166),"")</f>
        <v/>
      </c>
      <c r="BC431" s="219" t="str">
        <f>IFERROR(SUM(BC309,BC310,BC311,BC314,BC332,BC335)/(BC166+BB166+AZ166+AY166),"")</f>
        <v/>
      </c>
      <c r="BD431" s="219" t="str">
        <f>IFERROR(SUM(BD309,BD310,BD311,BD314,BD332,BD335)/(BD166+BC166+BB166+AZ166),"")</f>
        <v/>
      </c>
      <c r="BE431" s="219" t="str">
        <f>IFERROR(SUM(BE309,BE310,BE311,BE314,BE332,BE335)/(BE166+BD166+BC166+BB166),"")</f>
        <v/>
      </c>
      <c r="BG431" s="219" t="str">
        <f>IFERROR(SUM(BG309,BG310,BG311,BG314,BG332,BG335)/(BG166+BE166+BD166+BC166),"")</f>
        <v/>
      </c>
      <c r="BH431" s="219" t="str">
        <f>IFERROR(SUM(BH309,BH310,BH311,BH314,BH332,BH335)/(BH166+BG166+BE166+BD166),"")</f>
        <v/>
      </c>
      <c r="BI431" s="219" t="str">
        <f>IFERROR(SUM(BI309,BI310,BI311,BI314,BI332,BI335)/(BI166+BH166+BG166+BE166),"")</f>
        <v/>
      </c>
      <c r="BJ431" s="219" t="str">
        <f>IFERROR(SUM(BJ309,BJ310,BJ311,BJ314,BJ332,BJ335)/(BJ166+BI166+BH166+BG166),"")</f>
        <v/>
      </c>
      <c r="BL431" s="219" t="str">
        <f>IFERROR(SUM(BL309,BL310,BL311,BL314,BL332,BL335)/(BL166+BJ166+BI166+BH166),"")</f>
        <v/>
      </c>
      <c r="BM431" s="219" t="str">
        <f>IFERROR(SUM(BM309,BM310,BM311,BM314,BM332,BM335)/(BM166+BL166+BJ166+BI166),"")</f>
        <v/>
      </c>
      <c r="BN431" s="219" t="str">
        <f>IFERROR(SUM(BN309,BN310,BN311,BN314,BN332,BN335)/(BN166+BM166+BL166+BJ166),"")</f>
        <v/>
      </c>
      <c r="BO431" s="219" t="str">
        <f>IFERROR(SUM(BO309,BO310,BO311,BO314,BO332,BO335)/(BO166+BN166+BM166+BL166),"")</f>
        <v/>
      </c>
      <c r="BQ431" s="219" t="str">
        <f>IFERROR(SUM(BQ309,BQ310,BQ311,BQ314,BQ332,BQ335)/(BQ166+BO166+BN166+BM166),"")</f>
        <v/>
      </c>
      <c r="BR431" s="219" t="str">
        <f>IFERROR(SUM(BR309,BR310,BR311,BR314,BR332,BR335)/(BR166+BQ166+BO166+BN166),"")</f>
        <v/>
      </c>
      <c r="BS431" s="219" t="str">
        <f>IFERROR(SUM(BS309,BS310,BS311,BS314,BS332,BS335)/(BS166+BR166+BQ166+BO166),"")</f>
        <v/>
      </c>
      <c r="BT431" s="219" t="str">
        <f>IFERROR(SUM(BT309,BT310,BT311,BT314,BT332,BT335)/(BT166+BS166+BR166+BQ166),"")</f>
        <v/>
      </c>
      <c r="BV431" s="219" t="str">
        <f>IFERROR(SUM(BV309,BV310,BV311,BV314,BV332,BV335)/(BV166+BT166+BS166+BR166),"")</f>
        <v/>
      </c>
      <c r="BW431" s="219" t="str">
        <f>IFERROR(SUM(BW309,BW310,BW311,BW314,BW332,BW335)/(BW166+BV166+BT166+BS166),"")</f>
        <v/>
      </c>
      <c r="BX431" s="219" t="str">
        <f>IFERROR(SUM(BX309,BX310,BX311,BX314,BX332,BX335)/(BX166+BW166+BV166+BT166),"")</f>
        <v/>
      </c>
      <c r="BY431" s="219" t="str">
        <f>IFERROR(SUM(BY309,BY310,BY311,BY314,BY332,BY335)/(BY166+BX166+BW166+BV166),"")</f>
        <v/>
      </c>
      <c r="CA431" s="219" t="str">
        <f>IFERROR(SUM(CA309,CA310,CA311,CA314,CA332,CA335)/(CA166+BY166+BX166+BW166),"")</f>
        <v/>
      </c>
      <c r="CB431" s="219" t="str">
        <f>IFERROR(SUM(CB309,CB310,CB311,CB314,CB332,CB335)/(CB166+CA166+BY166+BX166),"")</f>
        <v/>
      </c>
      <c r="CC431" s="219" t="str">
        <f>IFERROR(SUM(CC309,CC310,CC311,CC314,CC332,CC335)/(CC166+CB166+CA166+BY166),"")</f>
        <v/>
      </c>
      <c r="CD431" s="219" t="str">
        <f>IFERROR(SUM(CD309,CD310,CD311,CD314,CD332,CD335)/(CD166+CC166+CB166+CA166),"")</f>
        <v/>
      </c>
      <c r="CF431" s="219" t="str">
        <f>IFERROR(SUM(CF309,CF310,CF311,CF314,CF332,CF335)/(CF166+CD166+CC166+CB166),"")</f>
        <v/>
      </c>
      <c r="CG431" s="219" t="str">
        <f>IFERROR(SUM(CG309,CG310,CG311,CG314,CG332,CG335)/(CG166+CF166+CD166+CC166),"")</f>
        <v/>
      </c>
      <c r="CH431" s="219" t="str">
        <f>IFERROR(SUM(CH309,CH310,CH311,CH314,CH332,CH335)/(CH166+CG166+CF166+CD166),"")</f>
        <v/>
      </c>
      <c r="CI431" s="219" t="str">
        <f>IFERROR(SUM(CI309,CI310,CI311,CI314,CI332,CI335)/(CI166+CH166+CG166+CF166),"")</f>
        <v/>
      </c>
      <c r="CK431" s="219" t="str">
        <f>IFERROR(SUM(CK309,CK310,CK311,CK314,CK332,CK335)/(CK166+CI166+CH166+CG166),"")</f>
        <v/>
      </c>
      <c r="CL431" s="219" t="str">
        <f>IFERROR(SUM(CL309,CL310,CL311,CL314,CL332,CL335)/(CL166+CK166+CI166+CH166),"")</f>
        <v/>
      </c>
      <c r="CM431" s="219" t="str">
        <f>IFERROR(SUM(CM309,CM310,CM311,CM314,CM332,CM335)/(CM166+CL166+CK166+CI166),"")</f>
        <v/>
      </c>
      <c r="CN431" s="219" t="str">
        <f>IFERROR(SUM(CN309,CN310,CN311,CN314,CN332,CN335)/(CN166+CM166+CL166+CK166),"")</f>
        <v/>
      </c>
      <c r="CP431" s="219" t="str">
        <f>IFERROR(SUM(CP309,CP310,CP311,CP314,CP332,CP335)/(CP166+CN166+CM166+CL166),"")</f>
        <v/>
      </c>
      <c r="CQ431" s="219" t="str">
        <f>IFERROR(SUM(CQ309,CQ310,CQ311,CQ314,CQ332,CQ335)/(CQ166+CP166+CN166+CM166),"")</f>
        <v/>
      </c>
      <c r="CR431" s="219" t="str">
        <f>IFERROR(SUM(CR309,CR310,CR311,CR314,CR332,CR335)/(CR166+CQ166+CP166+CN166),"")</f>
        <v/>
      </c>
      <c r="CS431" s="219" t="str">
        <f>IFERROR(SUM(CS309,CS310,CS311,CS314,CS332,CS335)/(CS166+CR166+CQ166+CP166),"")</f>
        <v/>
      </c>
      <c r="CU431" s="219" t="str">
        <f>IFERROR(SUM(CU309,CU310,CU311,CU314,CU332,CU335)/(CU166+CS166+CR166+CQ166),"")</f>
        <v/>
      </c>
      <c r="CV431" s="219" t="str">
        <f>IFERROR(SUM(CV309,CV310,CV311,CV314,CV332,CV335)/(CV166+CU166+CS166+CR166),"")</f>
        <v/>
      </c>
      <c r="CW431" s="219" t="str">
        <f>IFERROR(SUM(CW309,CW310,CW311,CW314,CW332,CW335)/(CW166+CV166+CU166+CS166),"")</f>
        <v/>
      </c>
      <c r="CX431" s="219" t="str">
        <f>IFERROR(SUM(CX309,CX310,CX311,CX314,CX332,CX335)/(CX166+CW166+CV166+CU166),"")</f>
        <v/>
      </c>
    </row>
    <row r="432" customFormat="1" s="233">
      <c r="A432" s="224" t="n"/>
      <c r="B432" s="224" t="n"/>
      <c r="C432" s="233" t="inlineStr">
        <is>
          <t>TOTAL DEBT / TOTAL CAPITALIZATION</t>
        </is>
      </c>
      <c r="D432" s="221">
        <f>SUM(D309+D310+D311+D314+D332+D335)/(SUM(D309+D310+D311+D314+D332+D335)+D368)</f>
        <v>0.524712897990842</v>
      </c>
      <c r="E432" s="221">
        <f>SUM(E309+E310+E311+E314+E332+E335)/(SUM(E309+E310+E311+E314+E332+E335)+E368)</f>
        <v>0.515185176125422</v>
      </c>
      <c r="F432" s="221">
        <f>SUM(F309+F310+F311+F314+F332+F335)/(SUM(F309+F310+F311+F314+F332+F335)+F368)</f>
        <v>0.510772975129439</v>
      </c>
      <c r="G432" s="221">
        <f>SUM(G309+G310+G311+G314+G332+G335)/(SUM(G309+G310+G311+G314+G332+G335)+G368)</f>
        <v>0.50185087538152</v>
      </c>
      <c r="I432" s="221">
        <f>SUM(I309+I310+I311+I314+I332+I335)/(SUM(I309+I310+I311+I314+I332+I335)+I368)</f>
        <v>0.487840808188382</v>
      </c>
      <c r="J432" s="221">
        <f>SUM(J309+J310+J311+J314+J332+J335)/(SUM(J309+J310+J311+J314+J332+J335)+J368)</f>
        <v>0.482854543235184</v>
      </c>
      <c r="K432" s="221">
        <f>SUM(K309+K310+K311+K314+K332+K335)/(SUM(K309+K310+K311+K314+K332+K335)+K368)</f>
        <v>0.478770434873829</v>
      </c>
      <c r="L432" s="221">
        <f>SUM(L309+L310+L311+L314+L332+L335)/(SUM(L309+L310+L311+L314+L332+L335)+L368)</f>
        <v>0.493499224374543</v>
      </c>
      <c r="N432" s="221">
        <f>SUM(N309+N310+N311+N314+N332+N335)/(SUM(N309+N310+N311+N314+N332+N335)+N368)</f>
        <v>0.481877138723734</v>
      </c>
      <c r="O432" s="221">
        <f>SUM(O309+O310+O311+O314+O332+O335)/(SUM(O309+O310+O311+O314+O332+O335)+O368)</f>
        <v>0.497797842317153</v>
      </c>
      <c r="P432" s="221">
        <f>SUM(P309+P310+P311+P314+P332+P335)/(SUM(P309+P310+P311+P314+P332+P335)+P368)</f>
        <v>0.509120920606203</v>
      </c>
      <c r="Q432" s="221">
        <f>SUM(Q309+Q310+Q311+Q314+Q332+Q335)/(SUM(Q309+Q310+Q311+Q314+Q332+Q335)+Q368)</f>
        <v>0.529685520280019</v>
      </c>
      <c r="S432" s="221">
        <f>SUM(S309+S310+S311+S314+S332+S335)/(SUM(S309+S310+S311+S314+S332+S335)+S368)</f>
        <v>0.522849070217215</v>
      </c>
      <c r="T432" s="221">
        <f>SUM(T309+T310+T311+T314+T332+T335)/(SUM(T309+T310+T311+T314+T332+T335)+T368)</f>
        <v>0.518593091697302</v>
      </c>
      <c r="U432" s="221">
        <f>SUM(U309+U310+U311+U314+U332+U335)/(SUM(U309+U310+U311+U314+U332+U335)+U368)</f>
        <v>0.516860950903375</v>
      </c>
      <c r="V432" s="221">
        <f>SUM(V309+V310+V311+V314+V332+V335)/(SUM(V309+V310+V311+V314+V332+V335)+V368)</f>
        <v>0.526542602252381</v>
      </c>
      <c r="X432" s="221">
        <f>SUM(X309+X310+X311+X314+X332+X335)/(SUM(X309+X310+X311+X314+X332+X335)+X368)</f>
        <v>0.515929090449172</v>
      </c>
      <c r="Y432" s="221">
        <f>SUM(Y309+Y310+Y311+Y314+Y332+Y335)/(SUM(Y309+Y310+Y311+Y314+Y332+Y335)+Y368)</f>
        <v>0.525633562636929</v>
      </c>
      <c r="Z432" s="221">
        <f>SUM(Z309+Z310+Z311+Z314+Z332+Z335)/(SUM(Z309+Z310+Z311+Z314+Z332+Z335)+Z368)</f>
        <v>0.510511688881316</v>
      </c>
      <c r="AA432" s="221">
        <f>SUM(AA309+AA310+AA311+AA314+AA332+AA335)/(SUM(AA309+AA310+AA311+AA314+AA332+AA335)+AA368)</f>
        <v>0.520572479701882</v>
      </c>
      <c r="AC432" s="221">
        <f>SUM(AC309+AC310+AC311+AC314+AC332+AC335)/(SUM(AC309+AC310+AC311+AC314+AC332+AC335)+AC368)</f>
        <v>0.508992908249598</v>
      </c>
      <c r="AD432" s="221">
        <f>SUM(AD309+AD310+AD311+AD314+AD332+AD335)/(SUM(AD309+AD310+AD311+AD314+AD332+AD335)+AD368)</f>
        <v>0.517159577911202</v>
      </c>
      <c r="AE432" s="221">
        <f>SUM(AE309+AE310+AE311+AE314+AE332+AE335)/(SUM(AE309+AE310+AE311+AE314+AE332+AE335)+AE368)</f>
        <v>0.50236065489024</v>
      </c>
      <c r="AF432" s="221">
        <f>SUM(AF309+AF310+AF311+AF314+AF332+AF335)/(SUM(AF309+AF310+AF311+AF314+AF332+AF335)+AF368)</f>
        <v>0.500693208486328</v>
      </c>
      <c r="AH432" s="221">
        <f>SUM(AH309+AH310+AH311+AH314+AH332+AH335)/(SUM(AH309+AH310+AH311+AH314+AH332+AH335)+AH368)</f>
        <v>0.531782656723805</v>
      </c>
      <c r="AI432" s="221">
        <f>SUM(AI309+AI310+AI311+AI314+AI332+AI335)/(SUM(AI309+AI310+AI311+AI314+AI332+AI335)+AI368)</f>
        <v>0.526804620187593</v>
      </c>
      <c r="AJ432" s="221">
        <f>SUM(AJ309+AJ310+AJ311+AJ314+AJ332+AJ335)/(SUM(AJ309+AJ310+AJ311+AJ314+AJ332+AJ335)+AJ368)</f>
        <v>0.519782392582327</v>
      </c>
      <c r="AK432" s="221">
        <f>SUM(AK309+AK310+AK311+AK314+AK332+AK335)/(SUM(AK309+AK310+AK311+AK314+AK332+AK335)+AK368)</f>
        <v>0.516871454330176</v>
      </c>
      <c r="AM432" s="221">
        <f>SUM(AM309+AM310+AM311+AM314+AM332+AM335)/(SUM(AM309+AM310+AM311+AM314+AM332+AM335)+AM368)</f>
        <v>0.513731058140078</v>
      </c>
      <c r="AN432" s="221">
        <f>SUM(AN309+AN310+AN311+AN314+AN332+AN335)/(SUM(AN309+AN310+AN311+AN314+AN332+AN335)+AN368)</f>
        <v>0.505817996286426</v>
      </c>
      <c r="AO432" s="221">
        <f>SUM(AO309+AO310+AO311+AO314+AO332+AO335)/(SUM(AO309+AO310+AO311+AO314+AO332+AO335)+AO368)</f>
        <v>0.49783049399708</v>
      </c>
      <c r="AP432" s="221">
        <f>SUM(AP309+AP310+AP311+AP314+AP332+AP335)/(SUM(AP309+AP310+AP311+AP314+AP332+AP335)+AP368)</f>
        <v>0.49071358613517</v>
      </c>
      <c r="AR432" s="221">
        <f>SUM(AR309+AR310+AR311+AR314+AR332+AR335)/(SUM(AR309+AR310+AR311+AR314+AR332+AR335)+AR368)</f>
        <v>0.483565272845726</v>
      </c>
      <c r="AS432" s="221">
        <f>SUM(AS309+AS310+AS311+AS314+AS332+AS335)/(SUM(AS309+AS310+AS311+AS314+AS332+AS335)+AS368)</f>
        <v>0.465729142453263</v>
      </c>
      <c r="AT432" s="221">
        <f>SUM(AT309+AT310+AT311+AT314+AT332+AT335)/(SUM(AT309+AT310+AT311+AT314+AT332+AT335)+AT368)</f>
        <v>0.45512704770247</v>
      </c>
      <c r="AU432" s="221">
        <f>SUM(AU309+AU310+AU311+AU314+AU332+AU335)/(SUM(AU309+AU310+AU311+AU314+AU332+AU335)+AU368)</f>
        <v>0.439547462065701</v>
      </c>
      <c r="AW432" s="221">
        <f>SUM(AW309+AW310+AW311+AW314+AW332+AW335)/(SUM(AW309+AW310+AW311+AW314+AW332+AW335)+AW368)</f>
        <v>0.424820129716353</v>
      </c>
      <c r="AX432" s="221">
        <f>SUM(AX309+AX310+AX311+AX314+AX332+AX335)/(SUM(AX309+AX310+AX311+AX314+AX332+AX335)+AX368)</f>
        <v>0.38952610966911</v>
      </c>
      <c r="AY432" s="221">
        <f>SUM(AY309+AY310+AY311+AY314+AY332+AY335)/(SUM(AY309+AY310+AY311+AY314+AY332+AY335)+AY368)</f>
        <v>0.375095794269255</v>
      </c>
      <c r="AZ432" s="221">
        <f>SUM(AZ309+AZ310+AZ311+AZ314+AZ332+AZ335)/(SUM(AZ309+AZ310+AZ311+AZ314+AZ332+AZ335)+AZ368)</f>
        <v>0.347469421873816</v>
      </c>
      <c r="BB432" s="221">
        <f>SUM(BB309+BB310+BB311+BB314+BB332+BB335)/(SUM(BB309+BB310+BB311+BB314+BB332+BB335)+BB368)</f>
        <v>0.323529494177715</v>
      </c>
      <c r="BC432" s="221">
        <f>SUM(BC309+BC310+BC311+BC314+BC332+BC335)/(SUM(BC309+BC310+BC311+BC314+BC332+BC335)+BC368)</f>
        <v>0.272490088834326</v>
      </c>
      <c r="BD432" s="221">
        <f>SUM(BD309+BD310+BD311+BD314+BD332+BD335)/(SUM(BD309+BD310+BD311+BD314+BD332+BD335)+BD368)</f>
        <v>0.256232283567176</v>
      </c>
      <c r="BE432" s="221">
        <f>SUM(BE309+BE310+BE311+BE314+BE332+BE335)/(SUM(BE309+BE310+BE311+BE314+BE332+BE335)+BE368)</f>
        <v>0.223197363770145</v>
      </c>
      <c r="BG432" s="221">
        <f>SUM(BG309+BG310+BG311+BG314+BG332+BG335)/(SUM(BG309+BG310+BG311+BG314+BG332+BG335)+BG368)</f>
        <v>0.197668998869282</v>
      </c>
      <c r="BH432" s="221">
        <f>SUM(BH309+BH310+BH311+BH314+BH332+BH335)/(SUM(BH309+BH310+BH311+BH314+BH332+BH335)+BH368)</f>
        <v>0.150661021527026</v>
      </c>
      <c r="BI432" s="221">
        <f>SUM(BI309+BI310+BI311+BI314+BI332+BI335)/(SUM(BI309+BI310+BI311+BI314+BI332+BI335)+BI368)</f>
        <v>0.138199183032187</v>
      </c>
      <c r="BJ432" s="221">
        <f>SUM(BJ309+BJ310+BJ311+BJ314+BJ332+BJ335)/(SUM(BJ309+BJ310+BJ311+BJ314+BJ332+BJ335)+BJ368)</f>
        <v>0.113467860624742</v>
      </c>
      <c r="BL432" s="221">
        <f>SUM(BL309+BL310+BL311+BL314+BL332+BL335)/(SUM(BL309+BL310+BL311+BL314+BL332+BL335)+BL368)</f>
        <v>0.0962353178503594</v>
      </c>
      <c r="BM432" s="221">
        <f>SUM(BM309+BM310+BM311+BM314+BM332+BM335)/(SUM(BM309+BM310+BM311+BM314+BM332+BM335)+BM368)</f>
        <v>0.0680272566810557</v>
      </c>
      <c r="BN432" s="221">
        <f>SUM(BN309+BN310+BN311+BN314+BN332+BN335)/(SUM(BN309+BN310+BN311+BN314+BN332+BN335)+BN368)</f>
        <v>0.0613571814040647</v>
      </c>
      <c r="BO432" s="221">
        <f>SUM(BO309+BO310+BO311+BO314+BO332+BO335)/(SUM(BO309+BO310+BO311+BO314+BO332+BO335)+BO368)</f>
        <v>0.0485307645828597</v>
      </c>
      <c r="BQ432" s="221">
        <f>SUM(BQ309+BQ310+BQ311+BQ314+BQ332+BQ335)/(SUM(BQ309+BQ310+BQ311+BQ314+BQ332+BQ335)+BQ368)</f>
        <v>0.0401381499606257</v>
      </c>
      <c r="BR432" s="221">
        <f>SUM(BR309+BR310+BR311+BR314+BR332+BR335)/(SUM(BR309+BR310+BR311+BR314+BR332+BR335)+BR368)</f>
        <v>0.0272610019915687</v>
      </c>
      <c r="BS432" s="221">
        <f>SUM(BS309+BS310+BS311+BS314+BS332+BS335)/(SUM(BS309+BS310+BS311+BS314+BS332+BS335)+BS368)</f>
        <v>0.0243838219929174</v>
      </c>
      <c r="BT432" s="221">
        <f>SUM(BT309+BT310+BT311+BT314+BT332+BT335)/(SUM(BT309+BT310+BT311+BT314+BT332+BT335)+BT368)</f>
        <v>0.0189473019562615</v>
      </c>
      <c r="BV432" s="221">
        <f>SUM(BV309+BV310+BV311+BV314+BV332+BV335)/(SUM(BV309+BV310+BV311+BV314+BV332+BV335)+BV368)</f>
        <v>0.0154927981314315</v>
      </c>
      <c r="BW432" s="221">
        <f>SUM(BW309+BW310+BW311+BW314+BW332+BW335)/(SUM(BW309+BW310+BW311+BW314+BW332+BW335)+BW368)</f>
        <v>0.0103418324915676</v>
      </c>
      <c r="BX432" s="221">
        <f>SUM(BX309+BX310+BX311+BX314+BX332+BX335)/(SUM(BX309+BX310+BX311+BX314+BX332+BX335)+BX368)</f>
        <v>0.00921805861194832</v>
      </c>
      <c r="BY432" s="221">
        <f>SUM(BY309+BY310+BY311+BY314+BY332+BY335)/(SUM(BY309+BY310+BY311+BY314+BY332+BY335)+BY368)</f>
        <v>0.00711086152351969</v>
      </c>
      <c r="CA432" s="221">
        <f>SUM(CA309+CA310+CA311+CA314+CA332+CA335)/(SUM(CA309+CA310+CA311+CA314+CA332+CA335)+CA368)</f>
        <v>0.00578776884015271</v>
      </c>
      <c r="CB432" s="221">
        <f>SUM(CB309+CB310+CB311+CB314+CB332+CB335)/(SUM(CB309+CB310+CB311+CB314+CB332+CB335)+CB368)</f>
        <v>0.00383720739393064</v>
      </c>
      <c r="CC432" s="221">
        <f>SUM(CC309+CC310+CC311+CC314+CC332+CC335)/(SUM(CC309+CC310+CC311+CC314+CC332+CC335)+CC368)</f>
        <v>0.00341560035670865</v>
      </c>
      <c r="CD432" s="221">
        <f>SUM(CD309+CD310+CD311+CD314+CD332+CD335)/(SUM(CD309+CD310+CD311+CD314+CD332+CD335)+CD368)</f>
        <v>0.00262742333985665</v>
      </c>
      <c r="CF432" s="221">
        <f>SUM(CF309+CF310+CF311+CF314+CF332+CF335)/(SUM(CF309+CF310+CF311+CF314+CF332+CF335)+CF368)</f>
        <v>0.00213479646967695</v>
      </c>
      <c r="CG432" s="221">
        <f>SUM(CG309+CG310+CG311+CG314+CG332+CG335)/(SUM(CG309+CG310+CG311+CG314+CG332+CG335)+CG368)</f>
        <v>0.00141167991328697</v>
      </c>
      <c r="CH432" s="221">
        <f>SUM(CH309+CH310+CH311+CH314+CH332+CH335)/(SUM(CH309+CH310+CH311+CH314+CH332+CH335)+CH368)</f>
        <v>0.00125592879337097</v>
      </c>
      <c r="CI432" s="221">
        <f>SUM(CI309+CI310+CI311+CI314+CI332+CI335)/(SUM(CI309+CI310+CI311+CI314+CI332+CI335)+CI368)</f>
        <v>0.00096509323936849</v>
      </c>
      <c r="CK432" s="221">
        <f>SUM(CK309+CK310+CK311+CK314+CK332+CK335)/(SUM(CK309+CK310+CK311+CK314+CK332+CK335)+CK368)</f>
        <v>0.000783627737257463</v>
      </c>
      <c r="CL432" s="221">
        <f>SUM(CL309+CL310+CL311+CL314+CL332+CL335)/(SUM(CL309+CL310+CL311+CL314+CL332+CL335)+CL368)</f>
        <v>0.000517689315183417</v>
      </c>
      <c r="CM432" s="221">
        <f>SUM(CM309+CM310+CM311+CM314+CM332+CM335)/(SUM(CM309+CM310+CM311+CM314+CM332+CM335)+CM368)</f>
        <v>0.000460484191003831</v>
      </c>
      <c r="CN432" s="221">
        <f>SUM(CN309+CN310+CN311+CN314+CN332+CN335)/(SUM(CN309+CN310+CN311+CN314+CN332+CN335)+CN368)</f>
        <v>0.000353710569211366</v>
      </c>
      <c r="CP432" s="221">
        <f>SUM(CP309+CP310+CP311+CP314+CP332+CP335)/(SUM(CP309+CP310+CP311+CP314+CP332+CP335)+CP368)</f>
        <v>0.00028713236778048</v>
      </c>
      <c r="CQ432" s="221">
        <f>SUM(CQ309+CQ310+CQ311+CQ314+CQ332+CQ335)/(SUM(CQ309+CQ310+CQ311+CQ314+CQ332+CQ335)+CQ368)</f>
        <v>0.000189620503753547</v>
      </c>
      <c r="CR432" s="221">
        <f>SUM(CR309+CR310+CR311+CR314+CR332+CR335)/(SUM(CR309+CR310+CR311+CR314+CR332+CR335)+CR368)</f>
        <v>0.000168655246313498</v>
      </c>
      <c r="CS432" s="221">
        <f>SUM(CS309+CS310+CS311+CS314+CS332+CS335)/(SUM(CS309+CS310+CS311+CS314+CS332+CS335)+CS368)</f>
        <v>0.000129529804444612</v>
      </c>
      <c r="CU432" s="221">
        <f>SUM(CU309+CU310+CU311+CU314+CU332+CU335)/(SUM(CU309+CU310+CU311+CU314+CU332+CU335)+CU368)</f>
        <v>0.000105139120419214</v>
      </c>
      <c r="CV432" s="221">
        <f>SUM(CV309+CV310+CV311+CV314+CV332+CV335)/(SUM(CV309+CV310+CV311+CV314+CV332+CV335)+CV368)</f>
        <v>6.94239821603194e-05</v>
      </c>
      <c r="CW432" s="221">
        <f>SUM(CW309+CW310+CW311+CW314+CW332+CW335)/(SUM(CW309+CW310+CW311+CW314+CW332+CW335)+CW368)</f>
        <v>6.17465345079867e-05</v>
      </c>
      <c r="CX432" s="221">
        <f>SUM(CX309+CX310+CX311+CX314+CX332+CX335)/(SUM(CX309+CX310+CX311+CX314+CX332+CX335)+CX368)</f>
        <v>4.74197125701866e-05</v>
      </c>
    </row>
    <row r="433" customFormat="1" s="233">
      <c r="A433" s="224" t="n"/>
      <c r="B433" s="224" t="n"/>
      <c r="C433" s="233" t="inlineStr">
        <is>
          <t>NET DEBT / EBITDA LTM (com arrendamentos)</t>
        </is>
      </c>
      <c r="D433" s="219" t="str">
        <f>""</f>
        <v/>
      </c>
      <c r="E433" s="219" t="str">
        <f>""</f>
        <v/>
      </c>
      <c r="F433" s="219" t="str">
        <f>""</f>
        <v/>
      </c>
      <c r="G433" s="219">
        <f>IFERROR((SUM(G309,G310,G311,G314,G332,G335)-G241)/(G166+F166+E166+D166),"")</f>
        <v>2.00125326201868</v>
      </c>
      <c r="I433" s="219">
        <f>IFERROR((SUM(I309,I310,I311,I314,I332,I335)-I241)/(I166+G166+F166+E166),"")</f>
        <v>1.83478665512329</v>
      </c>
      <c r="J433" s="219">
        <f>IFERROR((SUM(J309,J310,J311,J314,J332,J335)-J241)/(J166+I166+G166+F166),"")</f>
        <v>1.63690054365371</v>
      </c>
      <c r="K433" s="219">
        <f>IFERROR((SUM(K309,K310,K311,K314,K332,K335)-K241)/(K166+J166+I166+G166),"")</f>
        <v>1.6435460737875</v>
      </c>
      <c r="L433" s="219">
        <f>IFERROR((SUM(L309,L310,L311,L314,L332,L335)-L241)/(L166+K166+J166+I166),"")</f>
        <v>2.08582231396513</v>
      </c>
      <c r="N433" s="219">
        <f>IFERROR((SUM(N309,N310,N311,N314,N332,N335)-N241)/(N166+L166+K166+J166),"")</f>
        <v>2.02636062753946</v>
      </c>
      <c r="O433" s="219">
        <f>IFERROR((SUM(O309,O310,O311,O314,O332,O335)-O241)/(O166+N166+L166+K166),"")</f>
        <v>2.30215095611478</v>
      </c>
      <c r="P433" s="219">
        <f>IFERROR((SUM(P309,P310,P311,P314,P332,P335)-P241)/(P166+O166+N166+L166),"")</f>
        <v>2.64461417245194</v>
      </c>
      <c r="Q433" s="219">
        <f>IFERROR((SUM(Q309,Q310,Q311,Q314,Q332,Q335)-Q241)/(Q166+P166+O166+N166),"")</f>
        <v>2.98797004622918</v>
      </c>
      <c r="S433" s="219">
        <f>IFERROR((SUM(S309,S310,S311,S314,S332,S335)-S241)/(S166+Q166+P166+O166),"")</f>
        <v>3.32093103698373</v>
      </c>
      <c r="T433" s="219">
        <f>IFERROR((SUM(T309,T310,T311,T314,T332,T335)-T241)/(T166+S166+Q166+P166),"")</f>
        <v>3.73525345555854</v>
      </c>
      <c r="U433" s="219">
        <f>IFERROR((SUM(U309,U310,U311,U314,U332,U335)-U241)/(U166+T166+S166+Q166),"")</f>
        <v>3.71369387022224</v>
      </c>
      <c r="V433" s="219">
        <f>IFERROR((SUM(V309,V310,V311,V314,V332,V335)-V241)/(V166+U166+T166+S166),"")</f>
        <v>3.63861038463204</v>
      </c>
      <c r="X433" s="219">
        <f>IFERROR((SUM(X309,X310,X311,X314,X332,X335)-X241)/(X166+V166+U166+T166),"")</f>
        <v>3.57673274080964</v>
      </c>
      <c r="Y433" s="219">
        <f>IFERROR((SUM(Y309,Y310,Y311,Y314,Y332,Y335)-Y241)/(Y166+X166+V166+U166),"")</f>
        <v>3.36238735804358</v>
      </c>
      <c r="Z433" s="219">
        <f>IFERROR((SUM(Z309,Z310,Z311,Z314,Z332,Z335)-Z241)/(Z166+Y166+X166+V166),"")</f>
        <v>3.15700939805358</v>
      </c>
      <c r="AA433" s="219">
        <f>IFERROR((SUM(AA309,AA310,AA311,AA314,AA332,AA335)-AA241)/(AA166+Z166+Y166+X166),"")</f>
        <v>3.14374862241887</v>
      </c>
      <c r="AC433" s="219">
        <f>IFERROR((SUM(AC309,AC310,AC311,AC314,AC332,AC335)-AC241)/(AC166+AA166+Z166+Y166),"")</f>
        <v>2.97471007526063</v>
      </c>
      <c r="AD433" s="219">
        <f>IFERROR((SUM(AD309,AD310,AD311,AD314,AD332,AD335)-AD241)/(AD166+AC166+AA166+Z166),"")</f>
        <v>3.09360530652357</v>
      </c>
      <c r="AE433" s="219">
        <f>IFERROR((SUM(AE309,AE310,AE311,AE314,AE332,AE335)-AE241)/(AE166+AD166+AC166+AA166),"")</f>
        <v>3.13288294846125</v>
      </c>
      <c r="AF433" s="219">
        <f>IFERROR((SUM(AF309,AF310,AF311,AF314,AF332,AF335)-AF241)/(AF166+AE166+AD166+AC166),"")</f>
        <v>3.12852445285581</v>
      </c>
      <c r="AH433" s="219">
        <f>IFERROR((SUM(AH309,AH310,AH311,AH314,AH332,AH335)-AH241)/(AH166+AF166+AE166+AD166),"")</f>
        <v>3.21209171533636</v>
      </c>
      <c r="AI433" s="219">
        <f>IFERROR((SUM(AI309,AI310,AI311,AI314,AI332,AI335)-AI241)/(AI166+AH166+AF166+AE166),"")</f>
        <v>2.9300430705837</v>
      </c>
      <c r="AJ433" s="219">
        <f>IFERROR((SUM(AJ309,AJ310,AJ311,AJ314,AJ332,AJ335)-AJ241)/(AJ166+AI166+AH166+AF166),"")</f>
        <v>3.50659595007158</v>
      </c>
      <c r="AK433" s="219">
        <f>IFERROR((SUM(AK309,AK310,AK311,AK314,AK332,AK335)-AK241)/(AK166+AJ166+AI166+AH166),"")</f>
        <v>4.91616536090157</v>
      </c>
      <c r="AM433" s="219" t="str">
        <f>IFERROR((SUM(AM309,AM310,AM311,AM314,AM332,AM335)-AM241)/(AM166+AK166+AJ166+AI166),"")</f>
        <v/>
      </c>
      <c r="AN433" s="219" t="str">
        <f>IFERROR((SUM(AN309,AN310,AN311,AN314,AN332,AN335)-AN241)/(AN166+AM166+AK166+AJ166),"")</f>
        <v/>
      </c>
      <c r="AO433" s="219" t="str">
        <f>IFERROR((SUM(AO309,AO310,AO311,AO314,AO332,AO335)-AO241)/(AO166+AN166+AM166+AK166),"")</f>
        <v/>
      </c>
      <c r="AP433" s="219" t="str">
        <f>IFERROR((SUM(AP309,AP310,AP311,AP314,AP332,AP335)-AP241)/(AP166+AO166+AN166+AM166),"")</f>
        <v/>
      </c>
      <c r="AR433" s="219" t="str">
        <f>IFERROR((SUM(AR309,AR310,AR311,AR314,AR332,AR335)-AR241)/(AR166+AP166+AO166+AN166),"")</f>
        <v/>
      </c>
      <c r="AS433" s="219" t="str">
        <f>IFERROR((SUM(AS309,AS310,AS311,AS314,AS332,AS335)-AS241)/(AS166+AR166+AP166+AO166),"")</f>
        <v/>
      </c>
      <c r="AT433" s="219" t="str">
        <f>IFERROR((SUM(AT309,AT310,AT311,AT314,AT332,AT335)-AT241)/(AT166+AS166+AR166+AP166),"")</f>
        <v/>
      </c>
      <c r="AU433" s="219" t="str">
        <f>IFERROR((SUM(AU309,AU310,AU311,AU314,AU332,AU335)-AU241)/(AU166+AT166+AS166+AR166),"")</f>
        <v/>
      </c>
      <c r="AW433" s="219" t="str">
        <f>IFERROR((SUM(AW309,AW310,AW311,AW314,AW332,AW335)-AW241)/(AW166+AU166+AT166+AS166),"")</f>
        <v/>
      </c>
      <c r="AX433" s="219" t="str">
        <f>IFERROR((SUM(AX309,AX310,AX311,AX314,AX332,AX335)-AX241)/(AX166+AW166+AU166+AT166),"")</f>
        <v/>
      </c>
      <c r="AY433" s="219" t="str">
        <f>IFERROR((SUM(AY309,AY310,AY311,AY314,AY332,AY335)-AY241)/(AY166+AX166+AW166+AU166),"")</f>
        <v/>
      </c>
      <c r="AZ433" s="219" t="str">
        <f>IFERROR((SUM(AZ309,AZ310,AZ311,AZ314,AZ332,AZ335)-AZ241)/(AZ166+AY166+AX166+AW166),"")</f>
        <v/>
      </c>
      <c r="BB433" s="219" t="str">
        <f>IFERROR((SUM(BB309,BB310,BB311,BB314,BB332,BB335)-BB241)/(BB166+AZ166+AY166+AX166),"")</f>
        <v/>
      </c>
      <c r="BC433" s="219" t="str">
        <f>IFERROR((SUM(BC309,BC310,BC311,BC314,BC332,BC335)-BC241)/(BC166+BB166+AZ166+AY166),"")</f>
        <v/>
      </c>
      <c r="BD433" s="219" t="str">
        <f>IFERROR((SUM(BD309,BD310,BD311,BD314,BD332,BD335)-BD241)/(BD166+BC166+BB166+AZ166),"")</f>
        <v/>
      </c>
      <c r="BE433" s="219" t="str">
        <f>IFERROR((SUM(BE309,BE310,BE311,BE314,BE332,BE335)-BE241)/(BE166+BD166+BC166+BB166),"")</f>
        <v/>
      </c>
      <c r="BG433" s="219" t="str">
        <f>IFERROR((SUM(BG309,BG310,BG311,BG314,BG332,BG335)-BG241)/(BG166+BE166+BD166+BC166),"")</f>
        <v/>
      </c>
      <c r="BH433" s="219" t="str">
        <f>IFERROR((SUM(BH309,BH310,BH311,BH314,BH332,BH335)-BH241)/(BH166+BG166+BE166+BD166),"")</f>
        <v/>
      </c>
      <c r="BI433" s="219" t="str">
        <f>IFERROR((SUM(BI309,BI310,BI311,BI314,BI332,BI335)-BI241)/(BI166+BH166+BG166+BE166),"")</f>
        <v/>
      </c>
      <c r="BJ433" s="219" t="str">
        <f>IFERROR((SUM(BJ309,BJ310,BJ311,BJ314,BJ332,BJ335)-BJ241)/(BJ166+BI166+BH166+BG166),"")</f>
        <v/>
      </c>
      <c r="BL433" s="219" t="str">
        <f>IFERROR((SUM(BL309,BL310,BL311,BL314,BL332,BL335)-BL241)/(BL166+BJ166+BI166+BH166),"")</f>
        <v/>
      </c>
      <c r="BM433" s="219" t="str">
        <f>IFERROR((SUM(BM309,BM310,BM311,BM314,BM332,BM335)-BM241)/(BM166+BL166+BJ166+BI166),"")</f>
        <v/>
      </c>
      <c r="BN433" s="219" t="str">
        <f>IFERROR((SUM(BN309,BN310,BN311,BN314,BN332,BN335)-BN241)/(BN166+BM166+BL166+BJ166),"")</f>
        <v/>
      </c>
      <c r="BO433" s="219" t="str">
        <f>IFERROR((SUM(BO309,BO310,BO311,BO314,BO332,BO335)-BO241)/(BO166+BN166+BM166+BL166),"")</f>
        <v/>
      </c>
      <c r="BQ433" s="219" t="str">
        <f>IFERROR((SUM(BQ309,BQ310,BQ311,BQ314,BQ332,BQ335)-BQ241)/(BQ166+BO166+BN166+BM166),"")</f>
        <v/>
      </c>
      <c r="BR433" s="219" t="str">
        <f>IFERROR((SUM(BR309,BR310,BR311,BR314,BR332,BR335)-BR241)/(BR166+BQ166+BO166+BN166),"")</f>
        <v/>
      </c>
      <c r="BS433" s="219" t="str">
        <f>IFERROR((SUM(BS309,BS310,BS311,BS314,BS332,BS335)-BS241)/(BS166+BR166+BQ166+BO166),"")</f>
        <v/>
      </c>
      <c r="BT433" s="219" t="str">
        <f>IFERROR((SUM(BT309,BT310,BT311,BT314,BT332,BT335)-BT241)/(BT166+BS166+BR166+BQ166),"")</f>
        <v/>
      </c>
      <c r="BV433" s="219" t="str">
        <f>IFERROR((SUM(BV309,BV310,BV311,BV314,BV332,BV335)-BV241)/(BV166+BT166+BS166+BR166),"")</f>
        <v/>
      </c>
      <c r="BW433" s="219" t="str">
        <f>IFERROR((SUM(BW309,BW310,BW311,BW314,BW332,BW335)-BW241)/(BW166+BV166+BT166+BS166),"")</f>
        <v/>
      </c>
      <c r="BX433" s="219" t="str">
        <f>IFERROR((SUM(BX309,BX310,BX311,BX314,BX332,BX335)-BX241)/(BX166+BW166+BV166+BT166),"")</f>
        <v/>
      </c>
      <c r="BY433" s="219" t="str">
        <f>IFERROR((SUM(BY309,BY310,BY311,BY314,BY332,BY335)-BY241)/(BY166+BX166+BW166+BV166),"")</f>
        <v/>
      </c>
      <c r="CA433" s="219" t="str">
        <f>IFERROR((SUM(CA309,CA310,CA311,CA314,CA332,CA335)-CA241)/(CA166+BY166+BX166+BW166),"")</f>
        <v/>
      </c>
      <c r="CB433" s="219" t="str">
        <f>IFERROR((SUM(CB309,CB310,CB311,CB314,CB332,CB335)-CB241)/(CB166+CA166+BY166+BX166),"")</f>
        <v/>
      </c>
      <c r="CC433" s="219" t="str">
        <f>IFERROR((SUM(CC309,CC310,CC311,CC314,CC332,CC335)-CC241)/(CC166+CB166+CA166+BY166),"")</f>
        <v/>
      </c>
      <c r="CD433" s="219" t="str">
        <f>IFERROR((SUM(CD309,CD310,CD311,CD314,CD332,CD335)-CD241)/(CD166+CC166+CB166+CA166),"")</f>
        <v/>
      </c>
      <c r="CF433" s="219" t="str">
        <f>IFERROR((SUM(CF309,CF310,CF311,CF314,CF332,CF335)-CF241)/(CF166+CD166+CC166+CB166),"")</f>
        <v/>
      </c>
      <c r="CG433" s="219" t="str">
        <f>IFERROR((SUM(CG309,CG310,CG311,CG314,CG332,CG335)-CG241)/(CG166+CF166+CD166+CC166),"")</f>
        <v/>
      </c>
      <c r="CH433" s="219" t="str">
        <f>IFERROR((SUM(CH309,CH310,CH311,CH314,CH332,CH335)-CH241)/(CH166+CG166+CF166+CD166),"")</f>
        <v/>
      </c>
      <c r="CI433" s="219" t="str">
        <f>IFERROR((SUM(CI309,CI310,CI311,CI314,CI332,CI335)-CI241)/(CI166+CH166+CG166+CF166),"")</f>
        <v/>
      </c>
      <c r="CK433" s="219" t="str">
        <f>IFERROR((SUM(CK309,CK310,CK311,CK314,CK332,CK335)-CK241)/(CK166+CI166+CH166+CG166),"")</f>
        <v/>
      </c>
      <c r="CL433" s="219" t="str">
        <f>IFERROR((SUM(CL309,CL310,CL311,CL314,CL332,CL335)-CL241)/(CL166+CK166+CI166+CH166),"")</f>
        <v/>
      </c>
      <c r="CM433" s="219" t="str">
        <f>IFERROR((SUM(CM309,CM310,CM311,CM314,CM332,CM335)-CM241)/(CM166+CL166+CK166+CI166),"")</f>
        <v/>
      </c>
      <c r="CN433" s="219" t="str">
        <f>IFERROR((SUM(CN309,CN310,CN311,CN314,CN332,CN335)-CN241)/(CN166+CM166+CL166+CK166),"")</f>
        <v/>
      </c>
      <c r="CP433" s="219" t="str">
        <f>IFERROR((SUM(CP309,CP310,CP311,CP314,CP332,CP335)-CP241)/(CP166+CN166+CM166+CL166),"")</f>
        <v/>
      </c>
      <c r="CQ433" s="219" t="str">
        <f>IFERROR((SUM(CQ309,CQ310,CQ311,CQ314,CQ332,CQ335)-CQ241)/(CQ166+CP166+CN166+CM166),"")</f>
        <v/>
      </c>
      <c r="CR433" s="219" t="str">
        <f>IFERROR((SUM(CR309,CR310,CR311,CR314,CR332,CR335)-CR241)/(CR166+CQ166+CP166+CN166),"")</f>
        <v/>
      </c>
      <c r="CS433" s="219" t="str">
        <f>IFERROR((SUM(CS309,CS310,CS311,CS314,CS332,CS335)-CS241)/(CS166+CR166+CQ166+CP166),"")</f>
        <v/>
      </c>
      <c r="CU433" s="219" t="str">
        <f>IFERROR((SUM(CU309,CU310,CU311,CU314,CU332,CU335)-CU241)/(CU166+CS166+CR166+CQ166),"")</f>
        <v/>
      </c>
      <c r="CV433" s="219" t="str">
        <f>IFERROR((SUM(CV309,CV310,CV311,CV314,CV332,CV335)-CV241)/(CV166+CU166+CS166+CR166),"")</f>
        <v/>
      </c>
      <c r="CW433" s="219" t="str">
        <f>IFERROR((SUM(CW309,CW310,CW311,CW314,CW332,CW335)-CW241)/(CW166+CV166+CU166+CS166),"")</f>
        <v/>
      </c>
      <c r="CX433" s="219" t="str">
        <f>IFERROR((SUM(CX309,CX310,CX311,CX314,CX332,CX335)-CX241)/(CX166+CW166+CV166+CU166),"")</f>
        <v/>
      </c>
    </row>
    <row r="434" customFormat="1" s="233">
      <c r="A434" s="224" t="n"/>
      <c r="B434" s="224" t="n"/>
      <c r="C434" s="237" t="inlineStr">
        <is>
          <t>NET DEBT (EX IFRS 16) / EBITDA LTM</t>
        </is>
      </c>
      <c r="D434" s="219" t="str">
        <f>""</f>
        <v/>
      </c>
      <c r="E434" s="219" t="str">
        <f>""</f>
        <v/>
      </c>
      <c r="F434" s="219" t="str">
        <f>""</f>
        <v/>
      </c>
      <c r="G434" s="219">
        <f>IFERROR((SUM(G309,G310,G314,G335)-G241)/(G166+F166+E166+D166),"")</f>
        <v>1.99094648138025</v>
      </c>
      <c r="I434" s="219">
        <f>IFERROR((SUM(I309,I310,I314,I335)-I241)/(I166+G166+F166+E166),"")</f>
        <v>1.82500114313777</v>
      </c>
      <c r="J434" s="219">
        <f>IFERROR((SUM(J309,J310,J314,J335)-J241)/(J166+I166+G166+F166),"")</f>
        <v>1.62767009167216</v>
      </c>
      <c r="K434" s="219">
        <f>IFERROR((SUM(K309,K310,K314,K335)-K241)/(K166+J166+I166+G166),"")</f>
        <v>1.63264534715506</v>
      </c>
      <c r="L434" s="219">
        <f>IFERROR((SUM(L309,L310,L314,L335)-L241)/(L166+K166+J166+I166),"")</f>
        <v>2.07345413762799</v>
      </c>
      <c r="N434" s="219">
        <f>IFERROR((SUM(N309,N310,N314,N335)-N241)/(N166+L166+K166+J166),"")</f>
        <v>2.01495536541567</v>
      </c>
      <c r="O434" s="219">
        <f>IFERROR((SUM(O309,O310,O314,O335)-O241)/(O166+N166+L166+K166),"")</f>
        <v>2.28925238937034</v>
      </c>
      <c r="P434" s="219">
        <f>IFERROR((SUM(P309,P310,P314,P335)-P241)/(P166+O166+N166+L166),"")</f>
        <v>2.63047105646498</v>
      </c>
      <c r="Q434" s="219">
        <f>IFERROR((SUM(Q309,Q310,Q314,Q335)-Q241)/(Q166+P166+O166+N166),"")</f>
        <v>2.9730861973351</v>
      </c>
      <c r="S434" s="219">
        <f>IFERROR((SUM(S309,S310,S314,S335)-S241)/(S166+Q166+P166+O166),"")</f>
        <v>3.30468438210752</v>
      </c>
      <c r="T434" s="219">
        <f>IFERROR((SUM(T309,T310,T314,T335)-T241)/(T166+S166+Q166+P166),"")</f>
        <v>3.7195137834088</v>
      </c>
      <c r="U434" s="219">
        <f>IFERROR((SUM(U309,U310,U314,U335)-U241)/(U166+T166+S166+Q166),"")</f>
        <v>3.69632518640586</v>
      </c>
      <c r="V434" s="219">
        <f>IFERROR((SUM(V309,V310,V314,V335)-V241)/(V166+U166+T166+S166),"")</f>
        <v>3.61995580542568</v>
      </c>
      <c r="X434" s="219">
        <f>IFERROR((SUM(X309,X310,X314,X335)-X241)/(X166+V166+U166+T166),"")</f>
        <v>3.55736786223519</v>
      </c>
      <c r="Y434" s="219">
        <f>IFERROR((SUM(Y309,Y310,Y314,Y335)-Y241)/(Y166+X166+V166+U166),"")</f>
        <v>3.34444482134171</v>
      </c>
      <c r="Z434" s="219">
        <f>IFERROR((SUM(Z309,Z310,Z314,Z335)-Z241)/(Z166+Y166+X166+V166),"")</f>
        <v>3.1405876265712</v>
      </c>
      <c r="AA434" s="219">
        <f>IFERROR((SUM(AA309,AA310,AA314,AA335)-AA241)/(AA166+Z166+Y166+X166),"")</f>
        <v>3.1278148859534</v>
      </c>
      <c r="AC434" s="219">
        <f>IFERROR((SUM(AC309,AC310,AC314,AC335)-AC241)/(AC166+AA166+Z166+Y166),"")</f>
        <v>2.96077786931362</v>
      </c>
      <c r="AD434" s="219">
        <f>IFERROR((SUM(AD309,AD310,AD314,AD335)-AD241)/(AD166+AC166+AA166+Z166),"")</f>
        <v>3.07911772843935</v>
      </c>
      <c r="AE434" s="219">
        <f>IFERROR((SUM(AE309,AE310,AE314,AE335)-AE241)/(AE166+AD166+AC166+AA166),"")</f>
        <v>3.11856764338836</v>
      </c>
      <c r="AF434" s="219">
        <f>IFERROR((SUM(AF309,AF310,AF314,AF335)-AF241)/(AF166+AE166+AD166+AC166),"")</f>
        <v>3.12049409192969</v>
      </c>
      <c r="AH434" s="219">
        <f>IFERROR((SUM(AH309,AH310,AH314,AH335)-AH241)/(AH166+AF166+AE166+AD166),"")</f>
        <v>3.20460836223204</v>
      </c>
      <c r="AI434" s="219">
        <f>IFERROR((SUM(AI309,AI310,AI314,AI335)-AI241)/(AI166+AH166+AF166+AE166),"")</f>
        <v>2.92291294745192</v>
      </c>
      <c r="AJ434" s="219">
        <f>IFERROR((SUM(AJ309,AJ310,AJ314,AJ335)-AJ241)/(AJ166+AI166+AH166+AF166),"")</f>
        <v>3.49763730335185</v>
      </c>
      <c r="AK434" s="219">
        <f>IFERROR((SUM(AK309,AK310,AK314,AK335)-AK241)/(AK166+AJ166+AI166+AH166),"")</f>
        <v>4.90339267426645</v>
      </c>
      <c r="AM434" s="219" t="str">
        <f>IFERROR((SUM(AM309,AM310,AM314,AM335)-AM241)/(AM166+AK166+AJ166+AI166),"")</f>
        <v/>
      </c>
      <c r="AN434" s="219" t="str">
        <f>IFERROR((SUM(AN309,AN310,AN314,AN335)-AN241)/(AN166+AM166+AK166+AJ166),"")</f>
        <v/>
      </c>
      <c r="AO434" s="219" t="str">
        <f>IFERROR((SUM(AO309,AO310,AO314,AO335)-AO241)/(AO166+AN166+AM166+AK166),"")</f>
        <v/>
      </c>
      <c r="AP434" s="219" t="str">
        <f>IFERROR((SUM(AP309,AP310,AP314,AP335)-AP241)/(AP166+AO166+AN166+AM166),"")</f>
        <v/>
      </c>
      <c r="AR434" s="219" t="str">
        <f>IFERROR((SUM(AR309,AR310,AR314,AR335)-AR241)/(AR166+AP166+AO166+AN166),"")</f>
        <v/>
      </c>
      <c r="AS434" s="219" t="str">
        <f>IFERROR((SUM(AS309,AS310,AS314,AS335)-AS241)/(AS166+AR166+AP166+AO166),"")</f>
        <v/>
      </c>
      <c r="AT434" s="219" t="str">
        <f>IFERROR((SUM(AT309,AT310,AT314,AT335)-AT241)/(AT166+AS166+AR166+AP166),"")</f>
        <v/>
      </c>
      <c r="AU434" s="219" t="str">
        <f>IFERROR((SUM(AU309,AU310,AU314,AU335)-AU241)/(AU166+AT166+AS166+AR166),"")</f>
        <v/>
      </c>
      <c r="AW434" s="219" t="str">
        <f>IFERROR((SUM(AW309,AW310,AW314,AW335)-AW241)/(AW166+AU166+AT166+AS166),"")</f>
        <v/>
      </c>
      <c r="AX434" s="219" t="str">
        <f>IFERROR((SUM(AX309,AX310,AX314,AX335)-AX241)/(AX166+AW166+AU166+AT166),"")</f>
        <v/>
      </c>
      <c r="AY434" s="219" t="str">
        <f>IFERROR((SUM(AY309,AY310,AY314,AY335)-AY241)/(AY166+AX166+AW166+AU166),"")</f>
        <v/>
      </c>
      <c r="AZ434" s="219" t="str">
        <f>IFERROR((SUM(AZ309,AZ310,AZ314,AZ335)-AZ241)/(AZ166+AY166+AX166+AW166),"")</f>
        <v/>
      </c>
      <c r="BB434" s="219" t="str">
        <f>IFERROR((SUM(BB309,BB310,BB314,BB335)-BB241)/(BB166+AZ166+AY166+AX166),"")</f>
        <v/>
      </c>
      <c r="BC434" s="219" t="str">
        <f>IFERROR((SUM(BC309,BC310,BC314,BC335)-BC241)/(BC166+BB166+AZ166+AY166),"")</f>
        <v/>
      </c>
      <c r="BD434" s="219" t="str">
        <f>IFERROR((SUM(BD309,BD310,BD314,BD335)-BD241)/(BD166+BC166+BB166+AZ166),"")</f>
        <v/>
      </c>
      <c r="BE434" s="219" t="str">
        <f>IFERROR((SUM(BE309,BE310,BE314,BE335)-BE241)/(BE166+BD166+BC166+BB166),"")</f>
        <v/>
      </c>
      <c r="BG434" s="219" t="str">
        <f>IFERROR((SUM(BG309,BG310,BG314,BG335)-BG241)/(BG166+BE166+BD166+BC166),"")</f>
        <v/>
      </c>
      <c r="BH434" s="219" t="str">
        <f>IFERROR((SUM(BH309,BH310,BH314,BH335)-BH241)/(BH166+BG166+BE166+BD166),"")</f>
        <v/>
      </c>
      <c r="BI434" s="219" t="str">
        <f>IFERROR((SUM(BI309,BI310,BI314,BI335)-BI241)/(BI166+BH166+BG166+BE166),"")</f>
        <v/>
      </c>
      <c r="BJ434" s="219" t="str">
        <f>IFERROR((SUM(BJ309,BJ310,BJ314,BJ335)-BJ241)/(BJ166+BI166+BH166+BG166),"")</f>
        <v/>
      </c>
      <c r="BL434" s="219" t="str">
        <f>IFERROR((SUM(BL309,BL310,BL314,BL335)-BL241)/(BL166+BJ166+BI166+BH166),"")</f>
        <v/>
      </c>
      <c r="BM434" s="219" t="str">
        <f>IFERROR((SUM(BM309,BM310,BM314,BM335)-BM241)/(BM166+BL166+BJ166+BI166),"")</f>
        <v/>
      </c>
      <c r="BN434" s="219" t="str">
        <f>IFERROR((SUM(BN309,BN310,BN314,BN335)-BN241)/(BN166+BM166+BL166+BJ166),"")</f>
        <v/>
      </c>
      <c r="BO434" s="219" t="str">
        <f>IFERROR((SUM(BO309,BO310,BO314,BO335)-BO241)/(BO166+BN166+BM166+BL166),"")</f>
        <v/>
      </c>
      <c r="BQ434" s="219" t="str">
        <f>IFERROR((SUM(BQ309,BQ310,BQ314,BQ335)-BQ241)/(BQ166+BO166+BN166+BM166),"")</f>
        <v/>
      </c>
      <c r="BR434" s="219" t="str">
        <f>IFERROR((SUM(BR309,BR310,BR314,BR335)-BR241)/(BR166+BQ166+BO166+BN166),"")</f>
        <v/>
      </c>
      <c r="BS434" s="219" t="str">
        <f>IFERROR((SUM(BS309,BS310,BS314,BS335)-BS241)/(BS166+BR166+BQ166+BO166),"")</f>
        <v/>
      </c>
      <c r="BT434" s="219" t="str">
        <f>IFERROR((SUM(BT309,BT310,BT314,BT335)-BT241)/(BT166+BS166+BR166+BQ166),"")</f>
        <v/>
      </c>
      <c r="BV434" s="219" t="str">
        <f>IFERROR((SUM(BV309,BV310,BV314,BV335)-BV241)/(BV166+BT166+BS166+BR166),"")</f>
        <v/>
      </c>
      <c r="BW434" s="219" t="str">
        <f>IFERROR((SUM(BW309,BW310,BW314,BW335)-BW241)/(BW166+BV166+BT166+BS166),"")</f>
        <v/>
      </c>
      <c r="BX434" s="219" t="str">
        <f>IFERROR((SUM(BX309,BX310,BX314,BX335)-BX241)/(BX166+BW166+BV166+BT166),"")</f>
        <v/>
      </c>
      <c r="BY434" s="219" t="str">
        <f>IFERROR((SUM(BY309,BY310,BY314,BY335)-BY241)/(BY166+BX166+BW166+BV166),"")</f>
        <v/>
      </c>
      <c r="CA434" s="219" t="str">
        <f>IFERROR((SUM(CA309,CA310,CA314,CA335)-CA241)/(CA166+BY166+BX166+BW166),"")</f>
        <v/>
      </c>
      <c r="CB434" s="219" t="str">
        <f>IFERROR((SUM(CB309,CB310,CB314,CB335)-CB241)/(CB166+CA166+BY166+BX166),"")</f>
        <v/>
      </c>
      <c r="CC434" s="219" t="str">
        <f>IFERROR((SUM(CC309,CC310,CC314,CC335)-CC241)/(CC166+CB166+CA166+BY166),"")</f>
        <v/>
      </c>
      <c r="CD434" s="219" t="str">
        <f>IFERROR((SUM(CD309,CD310,CD314,CD335)-CD241)/(CD166+CC166+CB166+CA166),"")</f>
        <v/>
      </c>
      <c r="CF434" s="219" t="str">
        <f>IFERROR((SUM(CF309,CF310,CF314,CF335)-CF241)/(CF166+CD166+CC166+CB166),"")</f>
        <v/>
      </c>
      <c r="CG434" s="219" t="str">
        <f>IFERROR((SUM(CG309,CG310,CG314,CG335)-CG241)/(CG166+CF166+CD166+CC166),"")</f>
        <v/>
      </c>
      <c r="CH434" s="219" t="str">
        <f>IFERROR((SUM(CH309,CH310,CH314,CH335)-CH241)/(CH166+CG166+CF166+CD166),"")</f>
        <v/>
      </c>
      <c r="CI434" s="219" t="str">
        <f>IFERROR((SUM(CI309,CI310,CI314,CI335)-CI241)/(CI166+CH166+CG166+CF166),"")</f>
        <v/>
      </c>
      <c r="CK434" s="219" t="str">
        <f>IFERROR((SUM(CK309,CK310,CK314,CK335)-CK241)/(CK166+CI166+CH166+CG166),"")</f>
        <v/>
      </c>
      <c r="CL434" s="219" t="str">
        <f>IFERROR((SUM(CL309,CL310,CL314,CL335)-CL241)/(CL166+CK166+CI166+CH166),"")</f>
        <v/>
      </c>
      <c r="CM434" s="219" t="str">
        <f>IFERROR((SUM(CM309,CM310,CM314,CM335)-CM241)/(CM166+CL166+CK166+CI166),"")</f>
        <v/>
      </c>
      <c r="CN434" s="219" t="str">
        <f>IFERROR((SUM(CN309,CN310,CN314,CN335)-CN241)/(CN166+CM166+CL166+CK166),"")</f>
        <v/>
      </c>
      <c r="CP434" s="219" t="str">
        <f>IFERROR((SUM(CP309,CP310,CP314,CP335)-CP241)/(CP166+CN166+CM166+CL166),"")</f>
        <v/>
      </c>
      <c r="CQ434" s="219" t="str">
        <f>IFERROR((SUM(CQ309,CQ310,CQ314,CQ335)-CQ241)/(CQ166+CP166+CN166+CM166),"")</f>
        <v/>
      </c>
      <c r="CR434" s="219" t="str">
        <f>IFERROR((SUM(CR309,CR310,CR314,CR335)-CR241)/(CR166+CQ166+CP166+CN166),"")</f>
        <v/>
      </c>
      <c r="CS434" s="219" t="str">
        <f>IFERROR((SUM(CS309,CS310,CS314,CS335)-CS241)/(CS166+CR166+CQ166+CP166),"")</f>
        <v/>
      </c>
      <c r="CU434" s="219" t="str">
        <f>IFERROR((SUM(CU309,CU310,CU314,CU335)-CU241)/(CU166+CS166+CR166+CQ166),"")</f>
        <v/>
      </c>
      <c r="CV434" s="219" t="str">
        <f>IFERROR((SUM(CV309,CV310,CV314,CV335)-CV241)/(CV166+CU166+CS166+CR166),"")</f>
        <v/>
      </c>
      <c r="CW434" s="219" t="str">
        <f>IFERROR((SUM(CW309,CW310,CW314,CW335)-CW241)/(CW166+CV166+CU166+CS166),"")</f>
        <v/>
      </c>
      <c r="CX434" s="219" t="str">
        <f>IFERROR((SUM(CX309,CX310,CX314,CX335)-CX241)/(CX166+CW166+CV166+CU166),"")</f>
        <v/>
      </c>
    </row>
    <row r="435" customFormat="1" s="233">
      <c r="A435" s="224" t="n"/>
      <c r="B435" s="224" t="n"/>
      <c r="C435" s="233" t="inlineStr">
        <is>
          <t>INTEREST COVERAGE</t>
        </is>
      </c>
      <c r="D435" s="219">
        <f>D170/-D171</f>
        <v>6.75833420238468</v>
      </c>
      <c r="E435" s="219">
        <f>E170/-E171</f>
        <v>6.4007966616085</v>
      </c>
      <c r="F435" s="219">
        <f>F170/-F171</f>
        <v>8.58352557180721</v>
      </c>
      <c r="G435" s="219">
        <f>G170/-G171</f>
        <v>10.0443405624032</v>
      </c>
      <c r="I435" s="219">
        <f>I170/-I171</f>
        <v>5.91956631643733</v>
      </c>
      <c r="J435" s="219">
        <f>J170/-J171</f>
        <v>5.88339557736925</v>
      </c>
      <c r="K435" s="219">
        <f>K170/-K171</f>
        <v>3.60546349259758</v>
      </c>
      <c r="L435" s="219">
        <f>L170/-L171</f>
        <v>2.6666439141103</v>
      </c>
      <c r="N435" s="219">
        <f>N170/-N171</f>
        <v>3.30615380427715</v>
      </c>
      <c r="O435" s="219">
        <f>O170/-O171</f>
        <v>2.2493440514296</v>
      </c>
      <c r="P435" s="219">
        <f>P170/-P171</f>
        <v>2.33746820664637</v>
      </c>
      <c r="Q435" s="219">
        <f>Q170/-Q171</f>
        <v>1.68432421527159</v>
      </c>
      <c r="S435" s="219">
        <f>S170/-S171</f>
        <v>2.17376017660935</v>
      </c>
      <c r="T435" s="219">
        <f>T170/-T171</f>
        <v>2.03115352132912</v>
      </c>
      <c r="U435" s="219">
        <f>U170/-U171</f>
        <v>1.56522122841148</v>
      </c>
      <c r="V435" s="219">
        <f>V170/-V171</f>
        <v>2.1006369329986</v>
      </c>
      <c r="X435" s="219">
        <f>X170/-X171</f>
        <v>2.33237073920412</v>
      </c>
      <c r="Y435" s="219">
        <f>Y170/-Y171</f>
        <v>2.48774120397265</v>
      </c>
      <c r="Z435" s="219">
        <f>Z170/-Z171</f>
        <v>2.11840698818549</v>
      </c>
      <c r="AA435" s="219">
        <f>AA170/-AA171</f>
        <v>2.05650948463688</v>
      </c>
      <c r="AC435" s="219">
        <f>AC170/-AC171</f>
        <v>2.18115975828436</v>
      </c>
      <c r="AD435" s="219">
        <f>AD170/-AD171</f>
        <v>2.07066151412872</v>
      </c>
      <c r="AE435" s="219">
        <f>AE170/-AE171</f>
        <v>1.97711720448408</v>
      </c>
      <c r="AF435" s="219">
        <f>AF170/-AF171</f>
        <v>2.25016307994819</v>
      </c>
      <c r="AH435" s="219">
        <f>AH170/-AH171</f>
        <v>2.01490085391871</v>
      </c>
      <c r="AI435" s="219">
        <f>AI170/-AI171</f>
        <v>2.50660208892714</v>
      </c>
      <c r="AJ435" s="219" t="e">
        <f>AJ170/-AJ171</f>
        <v>#DIV/0!</v>
      </c>
      <c r="AK435" s="219" t="e">
        <f>AK170/-AK171</f>
        <v>#DIV/0!</v>
      </c>
      <c r="AM435" s="219" t="e">
        <f>AM170/-AM171</f>
        <v>#DIV/0!</v>
      </c>
      <c r="AN435" s="219" t="e">
        <f>AN170/-AN171</f>
        <v>#DIV/0!</v>
      </c>
      <c r="AO435" s="219" t="e">
        <f>AO170/-AO171</f>
        <v>#DIV/0!</v>
      </c>
      <c r="AP435" s="219" t="e">
        <f>AP170/-AP171</f>
        <v>#DIV/0!</v>
      </c>
      <c r="AR435" s="219" t="e">
        <f>AR170/-AR171</f>
        <v>#DIV/0!</v>
      </c>
      <c r="AS435" s="219" t="e">
        <f>AS170/-AS171</f>
        <v>#DIV/0!</v>
      </c>
      <c r="AT435" s="219" t="e">
        <f>AT170/-AT171</f>
        <v>#DIV/0!</v>
      </c>
      <c r="AU435" s="219" t="e">
        <f>AU170/-AU171</f>
        <v>#DIV/0!</v>
      </c>
      <c r="AW435" s="219" t="e">
        <f>AW170/-AW171</f>
        <v>#DIV/0!</v>
      </c>
      <c r="AX435" s="219" t="e">
        <f>AX170/-AX171</f>
        <v>#DIV/0!</v>
      </c>
      <c r="AY435" s="219" t="e">
        <f>AY170/-AY171</f>
        <v>#DIV/0!</v>
      </c>
      <c r="AZ435" s="219" t="e">
        <f>AZ170/-AZ171</f>
        <v>#DIV/0!</v>
      </c>
      <c r="BB435" s="219" t="e">
        <f>BB170/-BB171</f>
        <v>#DIV/0!</v>
      </c>
      <c r="BC435" s="219" t="e">
        <f>BC170/-BC171</f>
        <v>#DIV/0!</v>
      </c>
      <c r="BD435" s="219" t="e">
        <f>BD170/-BD171</f>
        <v>#DIV/0!</v>
      </c>
      <c r="BE435" s="219" t="e">
        <f>BE170/-BE171</f>
        <v>#DIV/0!</v>
      </c>
      <c r="BG435" s="219" t="e">
        <f>BG170/-BG171</f>
        <v>#DIV/0!</v>
      </c>
      <c r="BH435" s="219" t="e">
        <f>BH170/-BH171</f>
        <v>#DIV/0!</v>
      </c>
      <c r="BI435" s="219" t="e">
        <f>BI170/-BI171</f>
        <v>#DIV/0!</v>
      </c>
      <c r="BJ435" s="219" t="e">
        <f>BJ170/-BJ171</f>
        <v>#DIV/0!</v>
      </c>
      <c r="BL435" s="219" t="e">
        <f>BL170/-BL171</f>
        <v>#DIV/0!</v>
      </c>
      <c r="BM435" s="219" t="e">
        <f>BM170/-BM171</f>
        <v>#DIV/0!</v>
      </c>
      <c r="BN435" s="219" t="e">
        <f>BN170/-BN171</f>
        <v>#DIV/0!</v>
      </c>
      <c r="BO435" s="219" t="e">
        <f>BO170/-BO171</f>
        <v>#DIV/0!</v>
      </c>
      <c r="BQ435" s="219" t="e">
        <f>BQ170/-BQ171</f>
        <v>#DIV/0!</v>
      </c>
      <c r="BR435" s="219" t="e">
        <f>BR170/-BR171</f>
        <v>#DIV/0!</v>
      </c>
      <c r="BS435" s="219" t="e">
        <f>BS170/-BS171</f>
        <v>#DIV/0!</v>
      </c>
      <c r="BT435" s="219" t="e">
        <f>BT170/-BT171</f>
        <v>#DIV/0!</v>
      </c>
      <c r="BV435" s="219" t="e">
        <f>BV170/-BV171</f>
        <v>#DIV/0!</v>
      </c>
      <c r="BW435" s="219" t="e">
        <f>BW170/-BW171</f>
        <v>#DIV/0!</v>
      </c>
      <c r="BX435" s="219" t="e">
        <f>BX170/-BX171</f>
        <v>#DIV/0!</v>
      </c>
      <c r="BY435" s="219" t="e">
        <f>BY170/-BY171</f>
        <v>#DIV/0!</v>
      </c>
      <c r="CA435" s="219" t="e">
        <f>CA170/-CA171</f>
        <v>#DIV/0!</v>
      </c>
      <c r="CB435" s="219" t="e">
        <f>CB170/-CB171</f>
        <v>#DIV/0!</v>
      </c>
      <c r="CC435" s="219" t="e">
        <f>CC170/-CC171</f>
        <v>#DIV/0!</v>
      </c>
      <c r="CD435" s="219" t="e">
        <f>CD170/-CD171</f>
        <v>#DIV/0!</v>
      </c>
      <c r="CF435" s="219" t="e">
        <f>CF170/-CF171</f>
        <v>#DIV/0!</v>
      </c>
      <c r="CG435" s="219" t="e">
        <f>CG170/-CG171</f>
        <v>#DIV/0!</v>
      </c>
      <c r="CH435" s="219" t="e">
        <f>CH170/-CH171</f>
        <v>#DIV/0!</v>
      </c>
      <c r="CI435" s="219" t="e">
        <f>CI170/-CI171</f>
        <v>#DIV/0!</v>
      </c>
      <c r="CK435" s="219" t="e">
        <f>CK170/-CK171</f>
        <v>#DIV/0!</v>
      </c>
      <c r="CL435" s="219" t="e">
        <f>CL170/-CL171</f>
        <v>#DIV/0!</v>
      </c>
      <c r="CM435" s="219" t="e">
        <f>CM170/-CM171</f>
        <v>#DIV/0!</v>
      </c>
      <c r="CN435" s="219" t="e">
        <f>CN170/-CN171</f>
        <v>#DIV/0!</v>
      </c>
      <c r="CP435" s="219" t="e">
        <f>CP170/-CP171</f>
        <v>#DIV/0!</v>
      </c>
      <c r="CQ435" s="219" t="e">
        <f>CQ170/-CQ171</f>
        <v>#DIV/0!</v>
      </c>
      <c r="CR435" s="219" t="e">
        <f>CR170/-CR171</f>
        <v>#DIV/0!</v>
      </c>
      <c r="CS435" s="219" t="e">
        <f>CS170/-CS171</f>
        <v>#DIV/0!</v>
      </c>
      <c r="CU435" s="219" t="e">
        <f>CU170/-CU171</f>
        <v>#DIV/0!</v>
      </c>
      <c r="CV435" s="219" t="e">
        <f>CV170/-CV171</f>
        <v>#DIV/0!</v>
      </c>
      <c r="CW435" s="219" t="e">
        <f>CW170/-CW171</f>
        <v>#DIV/0!</v>
      </c>
      <c r="CX435" s="219" t="e">
        <f>CX170/-CX171</f>
        <v>#DIV/0!</v>
      </c>
    </row>
    <row r="436" customFormat="1" s="233">
      <c r="A436" s="224" t="n"/>
      <c r="B436" s="224" t="n"/>
    </row>
    <row r="437" customFormat="1" s="233">
      <c r="A437" s="224" t="n"/>
      <c r="B437" s="224" t="n"/>
      <c r="C437" s="234" t="inlineStr">
        <is>
          <t>INTERNAL LIQUIDITY</t>
        </is>
      </c>
    </row>
    <row r="438" customFormat="1" s="233">
      <c r="A438" s="224" t="n"/>
      <c r="B438" s="224" t="n"/>
      <c r="C438" s="233" t="inlineStr">
        <is>
          <t>CURRENT RATIO</t>
        </is>
      </c>
      <c r="D438" s="219">
        <f>SUM(D241,D242,D246,D250,D251,D252)/SUM(D295,D299,D301,D302)</f>
        <v>4.0560211618467</v>
      </c>
      <c r="E438" s="219">
        <f>SUM(E241,E242,E246,E250,E251,E252)/SUM(E295,E299,E301,E302)</f>
        <v>3.85418437246753</v>
      </c>
      <c r="F438" s="219">
        <f>SUM(F241,F242,F246,F250,F251,F252)/SUM(F295,F299,F301,F302)</f>
        <v>3.90495663877033</v>
      </c>
      <c r="G438" s="219">
        <f>SUM(G241,G242,G246,G250,G251,G252)/SUM(G295,G299,G301,G302)</f>
        <v>2.80375480418656</v>
      </c>
      <c r="I438" s="219">
        <f>SUM(I241,I242,I246,I250,I251,I252)/SUM(I295,I299,I301,I302)</f>
        <v>3.01055821457301</v>
      </c>
      <c r="J438" s="219">
        <f>SUM(J241,J242,J246,J250,J251,J252)/SUM(J295,J299,J301,J302)</f>
        <v>3.62082753616097</v>
      </c>
      <c r="K438" s="219">
        <f>SUM(K241,K242,K246,K250,K251,K252)/SUM(K295,K299,K301,K302)</f>
        <v>4.14788936676077</v>
      </c>
      <c r="L438" s="219">
        <f>SUM(L241,L242,L246,L250,L251,L252)/SUM(L295,L299,L301,L302)</f>
        <v>3.83510939153669</v>
      </c>
      <c r="N438" s="219">
        <f>SUM(N241,N242,N246,N250,N251,N252)/SUM(N295,N299,N301,N302)</f>
        <v>2.87768815407213</v>
      </c>
      <c r="O438" s="219">
        <f>SUM(O241,O242,O246,O250,O251,O252)/SUM(O295,O299,O301,O302)</f>
        <v>4.83293024221711</v>
      </c>
      <c r="P438" s="219">
        <f>SUM(P241,P242,P246,P250,P251,P252)/SUM(P295,P299,P301,P302)</f>
        <v>4.46547925471628</v>
      </c>
      <c r="Q438" s="219">
        <f>SUM(Q241,Q242,Q246,Q250,Q251,Q252)/SUM(Q295,Q299,Q301,Q302)</f>
        <v>3.88000943777326</v>
      </c>
      <c r="S438" s="219">
        <f>SUM(S241,S242,S246,S250,S251,S252)/SUM(S295,S299,S301,S302)</f>
        <v>4.24177732020252</v>
      </c>
      <c r="T438" s="219">
        <f>SUM(T241,T242,T246,T250,T251,T252)/SUM(T295,T299,T301,T302)</f>
        <v>6.15240799726383</v>
      </c>
      <c r="U438" s="219">
        <f>SUM(U241,U242,U246,U250,U251,U252)/SUM(U295,U299,U301,U302)</f>
        <v>5.34858333161223</v>
      </c>
      <c r="V438" s="219">
        <f>SUM(V241,V242,V246,V250,V251,V252)/SUM(V295,V299,V301,V302)</f>
        <v>4.95747932740076</v>
      </c>
      <c r="X438" s="219">
        <f>SUM(X241,X242,X246,X250,X251,X252)/SUM(X295,X299,X301,X302)</f>
        <v>5.34693636450415</v>
      </c>
      <c r="Y438" s="219">
        <f>SUM(Y241,Y242,Y246,Y250,Y251,Y252)/SUM(Y295,Y299,Y301,Y302)</f>
        <v>5.55296409189418</v>
      </c>
      <c r="Z438" s="219">
        <f>SUM(Z241,Z242,Z246,Z250,Z251,Z252)/SUM(Z295,Z299,Z301,Z302)</f>
        <v>7.16449897488467</v>
      </c>
      <c r="AA438" s="219">
        <f>SUM(AA241,AA242,AA246,AA250,AA251,AA252)/SUM(AA295,AA299,AA301,AA302)</f>
        <v>5.9085070082053</v>
      </c>
      <c r="AC438" s="219">
        <f>SUM(AC241,AC242,AC246,AC250,AC251,AC252)/SUM(AC295,AC299,AC301,AC302)</f>
        <v>6.50923430493938</v>
      </c>
      <c r="AD438" s="219">
        <f>SUM(AD241,AD242,AD246,AD250,AD251,AD252)/SUM(AD295,AD299,AD301,AD302)</f>
        <v>6.25033589015301</v>
      </c>
      <c r="AE438" s="219">
        <f>SUM(AE241,AE242,AE246,AE250,AE251,AE252)/SUM(AE295,AE299,AE301,AE302)</f>
        <v>6.5220248494023</v>
      </c>
      <c r="AF438" s="219">
        <f>SUM(AF241,AF242,AF246,AF250,AF251,AF252)/SUM(AF295,AF299,AF301,AF302)</f>
        <v>5.85123628420776</v>
      </c>
      <c r="AH438" s="219">
        <f>SUM(AH241,AH242,AH246,AH250,AH251,AH252)/SUM(AH295,AH299,AH301,AH302)</f>
        <v>8.31639737824113</v>
      </c>
      <c r="AI438" s="219">
        <f>SUM(AI241,AI242,AI246,AI250,AI251,AI252)/SUM(AI295,AI299,AI301,AI302)</f>
        <v>7.75450390748782</v>
      </c>
      <c r="AJ438" s="219">
        <f>SUM(AJ241,AJ242,AJ246,AJ250,AJ251,AJ252)/SUM(AJ295,AJ299,AJ301,AJ302)</f>
        <v>15.2210262664763</v>
      </c>
      <c r="AK438" s="219">
        <f>SUM(AK241,AK242,AK246,AK250,AK251,AK252)/SUM(AK295,AK299,AK301,AK302)</f>
        <v>15.4746318885122</v>
      </c>
      <c r="AM438" s="219" t="e">
        <f>SUM(AM241,AM242,AM246,AM250,AM251,AM252)/SUM(AM295,AM299,AM301,AM302)</f>
        <v>#DIV/0!</v>
      </c>
      <c r="AN438" s="219" t="e">
        <f>SUM(AN241,AN242,AN246,AN250,AN251,AN252)/SUM(AN295,AN299,AN301,AN302)</f>
        <v>#DIV/0!</v>
      </c>
      <c r="AO438" s="219" t="e">
        <f>SUM(AO241,AO242,AO246,AO250,AO251,AO252)/SUM(AO295,AO299,AO301,AO302)</f>
        <v>#DIV/0!</v>
      </c>
      <c r="AP438" s="219" t="e">
        <f>SUM(AP241,AP242,AP246,AP250,AP251,AP252)/SUM(AP295,AP299,AP301,AP302)</f>
        <v>#DIV/0!</v>
      </c>
      <c r="AR438" s="219" t="e">
        <f>SUM(AR241,AR242,AR246,AR250,AR251,AR252)/SUM(AR295,AR299,AR301,AR302)</f>
        <v>#DIV/0!</v>
      </c>
      <c r="AS438" s="219" t="e">
        <f>SUM(AS241,AS242,AS246,AS250,AS251,AS252)/SUM(AS295,AS299,AS301,AS302)</f>
        <v>#DIV/0!</v>
      </c>
      <c r="AT438" s="219" t="e">
        <f>SUM(AT241,AT242,AT246,AT250,AT251,AT252)/SUM(AT295,AT299,AT301,AT302)</f>
        <v>#DIV/0!</v>
      </c>
      <c r="AU438" s="219" t="e">
        <f>SUM(AU241,AU242,AU246,AU250,AU251,AU252)/SUM(AU295,AU299,AU301,AU302)</f>
        <v>#DIV/0!</v>
      </c>
      <c r="AW438" s="219" t="e">
        <f>SUM(AW241,AW242,AW246,AW250,AW251,AW252)/SUM(AW295,AW299,AW301,AW302)</f>
        <v>#DIV/0!</v>
      </c>
      <c r="AX438" s="219" t="e">
        <f>SUM(AX241,AX242,AX246,AX250,AX251,AX252)/SUM(AX295,AX299,AX301,AX302)</f>
        <v>#DIV/0!</v>
      </c>
      <c r="AY438" s="219" t="e">
        <f>SUM(AY241,AY242,AY246,AY250,AY251,AY252)/SUM(AY295,AY299,AY301,AY302)</f>
        <v>#DIV/0!</v>
      </c>
      <c r="AZ438" s="219" t="e">
        <f>SUM(AZ241,AZ242,AZ246,AZ250,AZ251,AZ252)/SUM(AZ295,AZ299,AZ301,AZ302)</f>
        <v>#DIV/0!</v>
      </c>
      <c r="BB438" s="219" t="e">
        <f>SUM(BB241,BB242,BB246,BB250,BB251,BB252)/SUM(BB295,BB299,BB301,BB302)</f>
        <v>#DIV/0!</v>
      </c>
      <c r="BC438" s="219" t="e">
        <f>SUM(BC241,BC242,BC246,BC250,BC251,BC252)/SUM(BC295,BC299,BC301,BC302)</f>
        <v>#DIV/0!</v>
      </c>
      <c r="BD438" s="219" t="e">
        <f>SUM(BD241,BD242,BD246,BD250,BD251,BD252)/SUM(BD295,BD299,BD301,BD302)</f>
        <v>#DIV/0!</v>
      </c>
      <c r="BE438" s="219" t="e">
        <f>SUM(BE241,BE242,BE246,BE250,BE251,BE252)/SUM(BE295,BE299,BE301,BE302)</f>
        <v>#DIV/0!</v>
      </c>
      <c r="BG438" s="219" t="e">
        <f>SUM(BG241,BG242,BG246,BG250,BG251,BG252)/SUM(BG295,BG299,BG301,BG302)</f>
        <v>#DIV/0!</v>
      </c>
      <c r="BH438" s="219" t="e">
        <f>SUM(BH241,BH242,BH246,BH250,BH251,BH252)/SUM(BH295,BH299,BH301,BH302)</f>
        <v>#DIV/0!</v>
      </c>
      <c r="BI438" s="219" t="e">
        <f>SUM(BI241,BI242,BI246,BI250,BI251,BI252)/SUM(BI295,BI299,BI301,BI302)</f>
        <v>#DIV/0!</v>
      </c>
      <c r="BJ438" s="219" t="e">
        <f>SUM(BJ241,BJ242,BJ246,BJ250,BJ251,BJ252)/SUM(BJ295,BJ299,BJ301,BJ302)</f>
        <v>#DIV/0!</v>
      </c>
      <c r="BL438" s="219" t="e">
        <f>SUM(BL241,BL242,BL246,BL250,BL251,BL252)/SUM(BL295,BL299,BL301,BL302)</f>
        <v>#DIV/0!</v>
      </c>
      <c r="BM438" s="219" t="e">
        <f>SUM(BM241,BM242,BM246,BM250,BM251,BM252)/SUM(BM295,BM299,BM301,BM302)</f>
        <v>#DIV/0!</v>
      </c>
      <c r="BN438" s="219" t="e">
        <f>SUM(BN241,BN242,BN246,BN250,BN251,BN252)/SUM(BN295,BN299,BN301,BN302)</f>
        <v>#DIV/0!</v>
      </c>
      <c r="BO438" s="219" t="e">
        <f>SUM(BO241,BO242,BO246,BO250,BO251,BO252)/SUM(BO295,BO299,BO301,BO302)</f>
        <v>#DIV/0!</v>
      </c>
      <c r="BQ438" s="219" t="e">
        <f>SUM(BQ241,BQ242,BQ246,BQ250,BQ251,BQ252)/SUM(BQ295,BQ299,BQ301,BQ302)</f>
        <v>#DIV/0!</v>
      </c>
      <c r="BR438" s="219" t="e">
        <f>SUM(BR241,BR242,BR246,BR250,BR251,BR252)/SUM(BR295,BR299,BR301,BR302)</f>
        <v>#DIV/0!</v>
      </c>
      <c r="BS438" s="219" t="e">
        <f>SUM(BS241,BS242,BS246,BS250,BS251,BS252)/SUM(BS295,BS299,BS301,BS302)</f>
        <v>#DIV/0!</v>
      </c>
      <c r="BT438" s="219" t="e">
        <f>SUM(BT241,BT242,BT246,BT250,BT251,BT252)/SUM(BT295,BT299,BT301,BT302)</f>
        <v>#DIV/0!</v>
      </c>
      <c r="BV438" s="219" t="e">
        <f>SUM(BV241,BV242,BV246,BV250,BV251,BV252)/SUM(BV295,BV299,BV301,BV302)</f>
        <v>#DIV/0!</v>
      </c>
      <c r="BW438" s="219" t="e">
        <f>SUM(BW241,BW242,BW246,BW250,BW251,BW252)/SUM(BW295,BW299,BW301,BW302)</f>
        <v>#DIV/0!</v>
      </c>
      <c r="BX438" s="219" t="e">
        <f>SUM(BX241,BX242,BX246,BX250,BX251,BX252)/SUM(BX295,BX299,BX301,BX302)</f>
        <v>#DIV/0!</v>
      </c>
      <c r="BY438" s="219" t="e">
        <f>SUM(BY241,BY242,BY246,BY250,BY251,BY252)/SUM(BY295,BY299,BY301,BY302)</f>
        <v>#DIV/0!</v>
      </c>
      <c r="CA438" s="219" t="e">
        <f>SUM(CA241,CA242,CA246,CA250,CA251,CA252)/SUM(CA295,CA299,CA301,CA302)</f>
        <v>#DIV/0!</v>
      </c>
      <c r="CB438" s="219" t="e">
        <f>SUM(CB241,CB242,CB246,CB250,CB251,CB252)/SUM(CB295,CB299,CB301,CB302)</f>
        <v>#DIV/0!</v>
      </c>
      <c r="CC438" s="219" t="e">
        <f>SUM(CC241,CC242,CC246,CC250,CC251,CC252)/SUM(CC295,CC299,CC301,CC302)</f>
        <v>#DIV/0!</v>
      </c>
      <c r="CD438" s="219" t="e">
        <f>SUM(CD241,CD242,CD246,CD250,CD251,CD252)/SUM(CD295,CD299,CD301,CD302)</f>
        <v>#DIV/0!</v>
      </c>
      <c r="CF438" s="219" t="e">
        <f>SUM(CF241,CF242,CF246,CF250,CF251,CF252)/SUM(CF295,CF299,CF301,CF302)</f>
        <v>#DIV/0!</v>
      </c>
      <c r="CG438" s="219" t="e">
        <f>SUM(CG241,CG242,CG246,CG250,CG251,CG252)/SUM(CG295,CG299,CG301,CG302)</f>
        <v>#DIV/0!</v>
      </c>
      <c r="CH438" s="219" t="e">
        <f>SUM(CH241,CH242,CH246,CH250,CH251,CH252)/SUM(CH295,CH299,CH301,CH302)</f>
        <v>#DIV/0!</v>
      </c>
      <c r="CI438" s="219" t="e">
        <f>SUM(CI241,CI242,CI246,CI250,CI251,CI252)/SUM(CI295,CI299,CI301,CI302)</f>
        <v>#DIV/0!</v>
      </c>
      <c r="CK438" s="219" t="e">
        <f>SUM(CK241,CK242,CK246,CK250,CK251,CK252)/SUM(CK295,CK299,CK301,CK302)</f>
        <v>#DIV/0!</v>
      </c>
      <c r="CL438" s="219" t="e">
        <f>SUM(CL241,CL242,CL246,CL250,CL251,CL252)/SUM(CL295,CL299,CL301,CL302)</f>
        <v>#DIV/0!</v>
      </c>
      <c r="CM438" s="219" t="e">
        <f>SUM(CM241,CM242,CM246,CM250,CM251,CM252)/SUM(CM295,CM299,CM301,CM302)</f>
        <v>#DIV/0!</v>
      </c>
      <c r="CN438" s="219" t="e">
        <f>SUM(CN241,CN242,CN246,CN250,CN251,CN252)/SUM(CN295,CN299,CN301,CN302)</f>
        <v>#DIV/0!</v>
      </c>
      <c r="CP438" s="219" t="e">
        <f>SUM(CP241,CP242,CP246,CP250,CP251,CP252)/SUM(CP295,CP299,CP301,CP302)</f>
        <v>#DIV/0!</v>
      </c>
      <c r="CQ438" s="219" t="e">
        <f>SUM(CQ241,CQ242,CQ246,CQ250,CQ251,CQ252)/SUM(CQ295,CQ299,CQ301,CQ302)</f>
        <v>#DIV/0!</v>
      </c>
      <c r="CR438" s="219" t="e">
        <f>SUM(CR241,CR242,CR246,CR250,CR251,CR252)/SUM(CR295,CR299,CR301,CR302)</f>
        <v>#DIV/0!</v>
      </c>
      <c r="CS438" s="219" t="e">
        <f>SUM(CS241,CS242,CS246,CS250,CS251,CS252)/SUM(CS295,CS299,CS301,CS302)</f>
        <v>#DIV/0!</v>
      </c>
      <c r="CU438" s="219" t="e">
        <f>SUM(CU241,CU242,CU246,CU250,CU251,CU252)/SUM(CU295,CU299,CU301,CU302)</f>
        <v>#DIV/0!</v>
      </c>
      <c r="CV438" s="219" t="e">
        <f>SUM(CV241,CV242,CV246,CV250,CV251,CV252)/SUM(CV295,CV299,CV301,CV302)</f>
        <v>#DIV/0!</v>
      </c>
      <c r="CW438" s="219" t="e">
        <f>SUM(CW241,CW242,CW246,CW250,CW251,CW252)/SUM(CW295,CW299,CW301,CW302)</f>
        <v>#DIV/0!</v>
      </c>
      <c r="CX438" s="219" t="e">
        <f>SUM(CX241,CX242,CX246,CX250,CX251,CX252)/SUM(CX295,CX299,CX301,CX302)</f>
        <v>#DIV/0!</v>
      </c>
    </row>
    <row r="439" customFormat="1" s="233">
      <c r="A439" s="224" t="n"/>
      <c r="B439" s="224" t="n"/>
      <c r="C439" s="233" t="inlineStr">
        <is>
          <t>CASH RATIO</t>
        </is>
      </c>
      <c r="D439" s="219">
        <f>SUM(D241)/SUM(D295,D299,D301,D302)</f>
        <v>2.79025211235218</v>
      </c>
      <c r="E439" s="219">
        <f>SUM(E241)/SUM(E295,E299,E301,E302)</f>
        <v>2.47874361581546</v>
      </c>
      <c r="F439" s="219">
        <f>SUM(F241)/SUM(F295,F299,F301,F302)</f>
        <v>2.26769247605389</v>
      </c>
      <c r="G439" s="219">
        <f>SUM(G241)/SUM(G295,G299,G301,G302)</f>
        <v>1.42609776690991</v>
      </c>
      <c r="I439" s="219">
        <f>SUM(I241)/SUM(I295,I299,I301,I302)</f>
        <v>1.41137711235182</v>
      </c>
      <c r="J439" s="219">
        <f>SUM(J241)/SUM(J295,J299,J301,J302)</f>
        <v>1.55780354025276</v>
      </c>
      <c r="K439" s="219">
        <f>SUM(K241)/SUM(K295,K299,K301,K302)</f>
        <v>1.63606778458766</v>
      </c>
      <c r="L439" s="219">
        <f>SUM(L241)/SUM(L295,L299,L301,L302)</f>
        <v>1.67565365997536</v>
      </c>
      <c r="N439" s="219">
        <f>SUM(N241)/SUM(N295,N299,N301,N302)</f>
        <v>1.27348069991806</v>
      </c>
      <c r="O439" s="219">
        <f>SUM(O241)/SUM(O295,O299,O301,O302)</f>
        <v>2.2583064687553</v>
      </c>
      <c r="P439" s="219">
        <f>SUM(P241)/SUM(P295,P299,P301,P302)</f>
        <v>2.14052718548413</v>
      </c>
      <c r="Q439" s="219">
        <f>SUM(Q241)/SUM(Q295,Q299,Q301,Q302)</f>
        <v>1.92215410024774</v>
      </c>
      <c r="S439" s="219">
        <f>SUM(S241)/SUM(S295,S299,S301,S302)</f>
        <v>2.13053408173863</v>
      </c>
      <c r="T439" s="219">
        <f>SUM(T241)/SUM(T295,T299,T301,T302)</f>
        <v>3.01983261865485</v>
      </c>
      <c r="U439" s="219">
        <f>SUM(U241)/SUM(U295,U299,U301,U302)</f>
        <v>2.67135398072556</v>
      </c>
      <c r="V439" s="219">
        <f>SUM(V241)/SUM(V295,V299,V301,V302)</f>
        <v>2.56229017470134</v>
      </c>
      <c r="X439" s="219">
        <f>SUM(X241)/SUM(X295,X299,X301,X302)</f>
        <v>2.82625773457975</v>
      </c>
      <c r="Y439" s="219">
        <f>SUM(Y241)/SUM(Y295,Y299,Y301,Y302)</f>
        <v>3.21950964522075</v>
      </c>
      <c r="Z439" s="219">
        <f>SUM(Z241)/SUM(Z295,Z299,Z301,Z302)</f>
        <v>4.01476806765761</v>
      </c>
      <c r="AA439" s="219">
        <f>SUM(AA241)/SUM(AA295,AA299,AA301,AA302)</f>
        <v>3.29537574672834</v>
      </c>
      <c r="AC439" s="219">
        <f>SUM(AC241)/SUM(AC295,AC299,AC301,AC302)</f>
        <v>3.63113127639536</v>
      </c>
      <c r="AD439" s="219">
        <f>SUM(AD241)/SUM(AD295,AD299,AD301,AD302)</f>
        <v>3.43217990155888</v>
      </c>
      <c r="AE439" s="219">
        <f>SUM(AE241)/SUM(AE295,AE299,AE301,AE302)</f>
        <v>3.35675883336491</v>
      </c>
      <c r="AF439" s="219">
        <f>SUM(AF241)/SUM(AF295,AF299,AF301,AF302)</f>
        <v>2.95196032626237</v>
      </c>
      <c r="AH439" s="219">
        <f>SUM(AH241)/SUM(AH295,AH299,AH301,AH302)</f>
        <v>5.14905610006498</v>
      </c>
      <c r="AI439" s="219">
        <f>SUM(AI241)/SUM(AI295,AI299,AI301,AI302)</f>
        <v>4.63831971547997</v>
      </c>
      <c r="AJ439" s="219">
        <f>SUM(AJ241)/SUM(AJ295,AJ299,AJ301,AJ302)</f>
        <v>9.7708205065402</v>
      </c>
      <c r="AK439" s="219">
        <f>SUM(AK241)/SUM(AK295,AK299,AK301,AK302)</f>
        <v>10.0244261285761</v>
      </c>
      <c r="AM439" s="219" t="e">
        <f>SUM(AM241)/SUM(AM295,AM299,AM301,AM302)</f>
        <v>#DIV/0!</v>
      </c>
      <c r="AN439" s="219" t="e">
        <f>SUM(AN241)/SUM(AN295,AN299,AN301,AN302)</f>
        <v>#DIV/0!</v>
      </c>
      <c r="AO439" s="219" t="e">
        <f>SUM(AO241)/SUM(AO295,AO299,AO301,AO302)</f>
        <v>#DIV/0!</v>
      </c>
      <c r="AP439" s="219" t="e">
        <f>SUM(AP241)/SUM(AP295,AP299,AP301,AP302)</f>
        <v>#DIV/0!</v>
      </c>
      <c r="AR439" s="219" t="e">
        <f>SUM(AR241)/SUM(AR295,AR299,AR301,AR302)</f>
        <v>#DIV/0!</v>
      </c>
      <c r="AS439" s="219" t="e">
        <f>SUM(AS241)/SUM(AS295,AS299,AS301,AS302)</f>
        <v>#DIV/0!</v>
      </c>
      <c r="AT439" s="219" t="e">
        <f>SUM(AT241)/SUM(AT295,AT299,AT301,AT302)</f>
        <v>#DIV/0!</v>
      </c>
      <c r="AU439" s="219" t="e">
        <f>SUM(AU241)/SUM(AU295,AU299,AU301,AU302)</f>
        <v>#DIV/0!</v>
      </c>
      <c r="AW439" s="219" t="e">
        <f>SUM(AW241)/SUM(AW295,AW299,AW301,AW302)</f>
        <v>#DIV/0!</v>
      </c>
      <c r="AX439" s="219" t="e">
        <f>SUM(AX241)/SUM(AX295,AX299,AX301,AX302)</f>
        <v>#DIV/0!</v>
      </c>
      <c r="AY439" s="219" t="e">
        <f>SUM(AY241)/SUM(AY295,AY299,AY301,AY302)</f>
        <v>#DIV/0!</v>
      </c>
      <c r="AZ439" s="219" t="e">
        <f>SUM(AZ241)/SUM(AZ295,AZ299,AZ301,AZ302)</f>
        <v>#DIV/0!</v>
      </c>
      <c r="BB439" s="219" t="e">
        <f>SUM(BB241)/SUM(BB295,BB299,BB301,BB302)</f>
        <v>#DIV/0!</v>
      </c>
      <c r="BC439" s="219" t="e">
        <f>SUM(BC241)/SUM(BC295,BC299,BC301,BC302)</f>
        <v>#DIV/0!</v>
      </c>
      <c r="BD439" s="219" t="e">
        <f>SUM(BD241)/SUM(BD295,BD299,BD301,BD302)</f>
        <v>#DIV/0!</v>
      </c>
      <c r="BE439" s="219" t="e">
        <f>SUM(BE241)/SUM(BE295,BE299,BE301,BE302)</f>
        <v>#DIV/0!</v>
      </c>
      <c r="BG439" s="219" t="e">
        <f>SUM(BG241)/SUM(BG295,BG299,BG301,BG302)</f>
        <v>#DIV/0!</v>
      </c>
      <c r="BH439" s="219" t="e">
        <f>SUM(BH241)/SUM(BH295,BH299,BH301,BH302)</f>
        <v>#DIV/0!</v>
      </c>
      <c r="BI439" s="219" t="e">
        <f>SUM(BI241)/SUM(BI295,BI299,BI301,BI302)</f>
        <v>#DIV/0!</v>
      </c>
      <c r="BJ439" s="219" t="e">
        <f>SUM(BJ241)/SUM(BJ295,BJ299,BJ301,BJ302)</f>
        <v>#DIV/0!</v>
      </c>
      <c r="BL439" s="219" t="e">
        <f>SUM(BL241)/SUM(BL295,BL299,BL301,BL302)</f>
        <v>#DIV/0!</v>
      </c>
      <c r="BM439" s="219" t="e">
        <f>SUM(BM241)/SUM(BM295,BM299,BM301,BM302)</f>
        <v>#DIV/0!</v>
      </c>
      <c r="BN439" s="219" t="e">
        <f>SUM(BN241)/SUM(BN295,BN299,BN301,BN302)</f>
        <v>#DIV/0!</v>
      </c>
      <c r="BO439" s="219" t="e">
        <f>SUM(BO241)/SUM(BO295,BO299,BO301,BO302)</f>
        <v>#DIV/0!</v>
      </c>
      <c r="BQ439" s="219" t="e">
        <f>SUM(BQ241)/SUM(BQ295,BQ299,BQ301,BQ302)</f>
        <v>#DIV/0!</v>
      </c>
      <c r="BR439" s="219" t="e">
        <f>SUM(BR241)/SUM(BR295,BR299,BR301,BR302)</f>
        <v>#DIV/0!</v>
      </c>
      <c r="BS439" s="219" t="e">
        <f>SUM(BS241)/SUM(BS295,BS299,BS301,BS302)</f>
        <v>#DIV/0!</v>
      </c>
      <c r="BT439" s="219" t="e">
        <f>SUM(BT241)/SUM(BT295,BT299,BT301,BT302)</f>
        <v>#DIV/0!</v>
      </c>
      <c r="BV439" s="219" t="e">
        <f>SUM(BV241)/SUM(BV295,BV299,BV301,BV302)</f>
        <v>#DIV/0!</v>
      </c>
      <c r="BW439" s="219" t="e">
        <f>SUM(BW241)/SUM(BW295,BW299,BW301,BW302)</f>
        <v>#DIV/0!</v>
      </c>
      <c r="BX439" s="219" t="e">
        <f>SUM(BX241)/SUM(BX295,BX299,BX301,BX302)</f>
        <v>#DIV/0!</v>
      </c>
      <c r="BY439" s="219" t="e">
        <f>SUM(BY241)/SUM(BY295,BY299,BY301,BY302)</f>
        <v>#DIV/0!</v>
      </c>
      <c r="CA439" s="219" t="e">
        <f>SUM(CA241)/SUM(CA295,CA299,CA301,CA302)</f>
        <v>#DIV/0!</v>
      </c>
      <c r="CB439" s="219" t="e">
        <f>SUM(CB241)/SUM(CB295,CB299,CB301,CB302)</f>
        <v>#DIV/0!</v>
      </c>
      <c r="CC439" s="219" t="e">
        <f>SUM(CC241)/SUM(CC295,CC299,CC301,CC302)</f>
        <v>#DIV/0!</v>
      </c>
      <c r="CD439" s="219" t="e">
        <f>SUM(CD241)/SUM(CD295,CD299,CD301,CD302)</f>
        <v>#DIV/0!</v>
      </c>
      <c r="CF439" s="219" t="e">
        <f>SUM(CF241)/SUM(CF295,CF299,CF301,CF302)</f>
        <v>#DIV/0!</v>
      </c>
      <c r="CG439" s="219" t="e">
        <f>SUM(CG241)/SUM(CG295,CG299,CG301,CG302)</f>
        <v>#DIV/0!</v>
      </c>
      <c r="CH439" s="219" t="e">
        <f>SUM(CH241)/SUM(CH295,CH299,CH301,CH302)</f>
        <v>#DIV/0!</v>
      </c>
      <c r="CI439" s="219" t="e">
        <f>SUM(CI241)/SUM(CI295,CI299,CI301,CI302)</f>
        <v>#DIV/0!</v>
      </c>
      <c r="CK439" s="219" t="e">
        <f>SUM(CK241)/SUM(CK295,CK299,CK301,CK302)</f>
        <v>#DIV/0!</v>
      </c>
      <c r="CL439" s="219" t="e">
        <f>SUM(CL241)/SUM(CL295,CL299,CL301,CL302)</f>
        <v>#DIV/0!</v>
      </c>
      <c r="CM439" s="219" t="e">
        <f>SUM(CM241)/SUM(CM295,CM299,CM301,CM302)</f>
        <v>#DIV/0!</v>
      </c>
      <c r="CN439" s="219" t="e">
        <f>SUM(CN241)/SUM(CN295,CN299,CN301,CN302)</f>
        <v>#DIV/0!</v>
      </c>
      <c r="CP439" s="219" t="e">
        <f>SUM(CP241)/SUM(CP295,CP299,CP301,CP302)</f>
        <v>#DIV/0!</v>
      </c>
      <c r="CQ439" s="219" t="e">
        <f>SUM(CQ241)/SUM(CQ295,CQ299,CQ301,CQ302)</f>
        <v>#DIV/0!</v>
      </c>
      <c r="CR439" s="219" t="e">
        <f>SUM(CR241)/SUM(CR295,CR299,CR301,CR302)</f>
        <v>#DIV/0!</v>
      </c>
      <c r="CS439" s="219" t="e">
        <f>SUM(CS241)/SUM(CS295,CS299,CS301,CS302)</f>
        <v>#DIV/0!</v>
      </c>
      <c r="CU439" s="219" t="e">
        <f>SUM(CU241)/SUM(CU295,CU299,CU301,CU302)</f>
        <v>#DIV/0!</v>
      </c>
      <c r="CV439" s="219" t="e">
        <f>SUM(CV241)/SUM(CV295,CV299,CV301,CV302)</f>
        <v>#DIV/0!</v>
      </c>
      <c r="CW439" s="219" t="e">
        <f>SUM(CW241)/SUM(CW295,CW299,CW301,CW302)</f>
        <v>#DIV/0!</v>
      </c>
      <c r="CX439" s="219" t="e">
        <f>SUM(CX241)/SUM(CX295,CX299,CX301,CX302)</f>
        <v>#DIV/0!</v>
      </c>
    </row>
    <row r="440" customFormat="1" s="233">
      <c r="A440" s="224" t="n"/>
      <c r="B440" s="224" t="n"/>
    </row>
    <row r="441" customFormat="1" s="233">
      <c r="A441" s="224" t="n"/>
      <c r="B441" s="224" t="n"/>
      <c r="C441" s="234" t="inlineStr">
        <is>
          <t>OPERATING EFFICIENCY</t>
        </is>
      </c>
    </row>
    <row r="442" customFormat="1" s="238">
      <c r="A442" s="222" t="n"/>
      <c r="B442" s="222" t="n"/>
      <c r="C442" s="238" t="inlineStr">
        <is>
          <t>RETURN ON CAPITAL (ROIC)</t>
        </is>
      </c>
      <c r="D442" s="238">
        <f>D444/D447</f>
        <v>0.0317119978346892</v>
      </c>
      <c r="E442" s="238">
        <f>E444/E447</f>
        <v>0.0161422517356575</v>
      </c>
      <c r="F442" s="238">
        <f>F444/F447</f>
        <v>0.0320185785924745</v>
      </c>
      <c r="G442" s="238">
        <f>G444/G447</f>
        <v>0.0671430857281381</v>
      </c>
      <c r="H442" s="238">
        <f>H444/H447</f>
        <v>0.13571071650279</v>
      </c>
      <c r="I442" s="222">
        <f>I444/I447</f>
        <v>0.0434628548206403</v>
      </c>
      <c r="J442" s="222">
        <f>J444/J447</f>
        <v>0.0417135398649142</v>
      </c>
      <c r="K442" s="222">
        <f>K444/K447</f>
        <v>0.0313800602437909</v>
      </c>
      <c r="L442" s="222">
        <f>L444/L447</f>
        <v>0.0239862978456357</v>
      </c>
      <c r="M442" s="222">
        <f>M444/M447</f>
        <v>0.133456661317706</v>
      </c>
      <c r="N442" s="222">
        <f>N444/N447</f>
        <v>0.043835809973012</v>
      </c>
      <c r="O442" s="222">
        <f>O444/O447</f>
        <v>0.0281143787415373</v>
      </c>
      <c r="P442" s="222">
        <f>P444/P447</f>
        <v>0.0191416793090595</v>
      </c>
      <c r="Q442" s="222">
        <f>Q444/Q447</f>
        <v>0.0252796900774465</v>
      </c>
      <c r="R442" s="222">
        <f>R444/R447</f>
        <v>0.114382114976945</v>
      </c>
      <c r="S442" s="222">
        <f>S444/S447</f>
        <v>0.0274159544501448</v>
      </c>
      <c r="T442" s="222">
        <f>T444/T447</f>
        <v>0.0213455329970472</v>
      </c>
      <c r="U442" s="222">
        <f>U444/U447</f>
        <v>0.0151678467005656</v>
      </c>
      <c r="V442" s="222">
        <f>V444/V447</f>
        <v>0.0163385864804282</v>
      </c>
      <c r="W442" s="222">
        <f>W444/W447</f>
        <v>0.080198185673047</v>
      </c>
      <c r="X442" s="222">
        <f>X444/X447</f>
        <v>0.0258737075920878</v>
      </c>
      <c r="Y442" s="222">
        <f>Y444/Y447</f>
        <v>0.0237610292512235</v>
      </c>
      <c r="Z442" s="222">
        <f>Z444/Z447</f>
        <v>0.037954880239257</v>
      </c>
      <c r="AA442" s="222">
        <f>AA444/AA447</f>
        <v>0.0259089457238035</v>
      </c>
      <c r="AB442" s="222">
        <f>AB444/AB447</f>
        <v>0.111870399719837</v>
      </c>
      <c r="AC442" s="222">
        <f>AC444/AC447</f>
        <v>0.027247004350782</v>
      </c>
      <c r="AD442" s="222">
        <f>AD444/AD447</f>
        <v>0.0226536161983236</v>
      </c>
      <c r="AE442" s="222">
        <f>AE444/AE447</f>
        <v>0.0134233235937476</v>
      </c>
      <c r="AF442" s="222">
        <f>AF444/AF447</f>
        <v>0.0228771511346483</v>
      </c>
      <c r="AG442" s="222">
        <f>AG444/AG447</f>
        <v>0.0847832180932502</v>
      </c>
      <c r="AH442" s="222">
        <f>AH444/AH447</f>
        <v>0.0215980316692664</v>
      </c>
      <c r="AI442" s="222">
        <f>AI444/AI447</f>
        <v>0.0355199506432671</v>
      </c>
      <c r="AJ442" s="222">
        <f>AJ444/AJ447</f>
        <v>0</v>
      </c>
      <c r="AK442" s="222">
        <f>AK444/AK447</f>
        <v>0</v>
      </c>
      <c r="AL442" s="222">
        <f>AL444/AL447</f>
        <v>0.0597283270730908</v>
      </c>
      <c r="AM442" s="222" t="e">
        <f>AM444/AM447</f>
        <v>#DIV/0!</v>
      </c>
      <c r="AN442" s="222">
        <f>AN444/AN447</f>
        <v>0</v>
      </c>
      <c r="AO442" s="222" t="e">
        <f>AO444/AO447</f>
        <v>#DIV/0!</v>
      </c>
      <c r="AP442" s="222" t="e">
        <f>AP444/AP447</f>
        <v>#DIV/0!</v>
      </c>
      <c r="AQ442" s="222" t="e">
        <f>AQ444/AQ447</f>
        <v>#DIV/0!</v>
      </c>
      <c r="AR442" s="222" t="e">
        <f>AR444/AR447</f>
        <v>#DIV/0!</v>
      </c>
      <c r="AS442" s="222" t="e">
        <f>AS444/AS447</f>
        <v>#DIV/0!</v>
      </c>
      <c r="AT442" s="222" t="e">
        <f>AT444/AT447</f>
        <v>#DIV/0!</v>
      </c>
      <c r="AU442" s="222" t="e">
        <f>AU444/AU447</f>
        <v>#DIV/0!</v>
      </c>
      <c r="AV442" s="222" t="e">
        <f>AV444/AV447</f>
        <v>#DIV/0!</v>
      </c>
      <c r="AW442" s="222" t="e">
        <f>AW444/AW447</f>
        <v>#DIV/0!</v>
      </c>
      <c r="AX442" s="222" t="e">
        <f>AX444/AX447</f>
        <v>#DIV/0!</v>
      </c>
      <c r="AY442" s="222" t="e">
        <f>AY444/AY447</f>
        <v>#DIV/0!</v>
      </c>
      <c r="AZ442" s="222" t="e">
        <f>AZ444/AZ447</f>
        <v>#DIV/0!</v>
      </c>
      <c r="BA442" s="222" t="e">
        <f>BA444/BA447</f>
        <v>#DIV/0!</v>
      </c>
      <c r="BB442" s="222" t="e">
        <f>BB444/BB447</f>
        <v>#DIV/0!</v>
      </c>
      <c r="BC442" s="222" t="e">
        <f>BC444/BC447</f>
        <v>#DIV/0!</v>
      </c>
      <c r="BD442" s="222" t="e">
        <f>BD444/BD447</f>
        <v>#DIV/0!</v>
      </c>
      <c r="BE442" s="222" t="e">
        <f>BE444/BE447</f>
        <v>#DIV/0!</v>
      </c>
      <c r="BF442" s="222" t="e">
        <f>BF444/BF447</f>
        <v>#DIV/0!</v>
      </c>
      <c r="BG442" s="222" t="e">
        <f>BG444/BG447</f>
        <v>#DIV/0!</v>
      </c>
      <c r="BH442" s="222" t="e">
        <f>BH444/BH447</f>
        <v>#DIV/0!</v>
      </c>
      <c r="BI442" s="222" t="e">
        <f>BI444/BI447</f>
        <v>#DIV/0!</v>
      </c>
      <c r="BJ442" s="222" t="e">
        <f>BJ444/BJ447</f>
        <v>#DIV/0!</v>
      </c>
      <c r="BK442" s="222" t="e">
        <f>BK444/BK447</f>
        <v>#DIV/0!</v>
      </c>
      <c r="BL442" s="222" t="e">
        <f>BL444/BL447</f>
        <v>#DIV/0!</v>
      </c>
      <c r="BM442" s="222" t="e">
        <f>BM444/BM447</f>
        <v>#DIV/0!</v>
      </c>
      <c r="BN442" s="222" t="e">
        <f>BN444/BN447</f>
        <v>#DIV/0!</v>
      </c>
      <c r="BO442" s="222" t="e">
        <f>BO444/BO447</f>
        <v>#DIV/0!</v>
      </c>
      <c r="BP442" s="222" t="e">
        <f>BP444/BP447</f>
        <v>#DIV/0!</v>
      </c>
      <c r="BQ442" s="222" t="e">
        <f>BQ444/BQ447</f>
        <v>#DIV/0!</v>
      </c>
      <c r="BR442" s="222" t="e">
        <f>BR444/BR447</f>
        <v>#DIV/0!</v>
      </c>
      <c r="BS442" s="222" t="e">
        <f>BS444/BS447</f>
        <v>#DIV/0!</v>
      </c>
      <c r="BT442" s="222" t="e">
        <f>BT444/BT447</f>
        <v>#DIV/0!</v>
      </c>
      <c r="BU442" s="222" t="e">
        <f>BU444/BU447</f>
        <v>#DIV/0!</v>
      </c>
      <c r="BV442" s="222" t="e">
        <f>BV444/BV447</f>
        <v>#DIV/0!</v>
      </c>
      <c r="BW442" s="222" t="e">
        <f>BW444/BW447</f>
        <v>#DIV/0!</v>
      </c>
      <c r="BX442" s="222" t="e">
        <f>BX444/BX447</f>
        <v>#DIV/0!</v>
      </c>
      <c r="BY442" s="222" t="e">
        <f>BY444/BY447</f>
        <v>#DIV/0!</v>
      </c>
      <c r="BZ442" s="222" t="e">
        <f>BZ444/BZ447</f>
        <v>#DIV/0!</v>
      </c>
      <c r="CA442" s="222" t="e">
        <f>CA444/CA447</f>
        <v>#DIV/0!</v>
      </c>
      <c r="CB442" s="222" t="e">
        <f>CB444/CB447</f>
        <v>#DIV/0!</v>
      </c>
      <c r="CC442" s="222" t="e">
        <f>CC444/CC447</f>
        <v>#DIV/0!</v>
      </c>
      <c r="CD442" s="222" t="e">
        <f>CD444/CD447</f>
        <v>#DIV/0!</v>
      </c>
      <c r="CE442" s="222" t="e">
        <f>CE444/CE447</f>
        <v>#DIV/0!</v>
      </c>
      <c r="CF442" s="222" t="e">
        <f>CF444/CF447</f>
        <v>#DIV/0!</v>
      </c>
      <c r="CG442" s="222" t="e">
        <f>CG444/CG447</f>
        <v>#DIV/0!</v>
      </c>
      <c r="CH442" s="222" t="e">
        <f>CH444/CH447</f>
        <v>#DIV/0!</v>
      </c>
      <c r="CI442" s="222" t="e">
        <f>CI444/CI447</f>
        <v>#DIV/0!</v>
      </c>
      <c r="CJ442" s="222" t="e">
        <f>CJ444/CJ447</f>
        <v>#DIV/0!</v>
      </c>
      <c r="CK442" s="222" t="e">
        <f>CK444/CK447</f>
        <v>#DIV/0!</v>
      </c>
      <c r="CL442" s="222" t="e">
        <f>CL444/CL447</f>
        <v>#DIV/0!</v>
      </c>
      <c r="CM442" s="222" t="e">
        <f>CM444/CM447</f>
        <v>#DIV/0!</v>
      </c>
      <c r="CN442" s="222" t="e">
        <f>CN444/CN447</f>
        <v>#DIV/0!</v>
      </c>
      <c r="CO442" s="222" t="e">
        <f>CO444/CO447</f>
        <v>#DIV/0!</v>
      </c>
      <c r="CP442" s="222" t="e">
        <f>CP444/CP447</f>
        <v>#DIV/0!</v>
      </c>
      <c r="CQ442" s="222" t="e">
        <f>CQ444/CQ447</f>
        <v>#DIV/0!</v>
      </c>
      <c r="CR442" s="222" t="e">
        <f>CR444/CR447</f>
        <v>#DIV/0!</v>
      </c>
      <c r="CS442" s="222" t="e">
        <f>CS444/CS447</f>
        <v>#DIV/0!</v>
      </c>
      <c r="CT442" s="222" t="e">
        <f>CT444/CT447</f>
        <v>#DIV/0!</v>
      </c>
      <c r="CU442" s="222" t="e">
        <f>CU444/CU447</f>
        <v>#DIV/0!</v>
      </c>
      <c r="CV442" s="222" t="e">
        <f>CV444/CV447</f>
        <v>#DIV/0!</v>
      </c>
      <c r="CW442" s="222" t="e">
        <f>CW444/CW447</f>
        <v>#DIV/0!</v>
      </c>
      <c r="CX442" s="222" t="e">
        <f>CX444/CX447</f>
        <v>#DIV/0!</v>
      </c>
      <c r="CY442" s="222" t="e">
        <f>CY444/CY447</f>
        <v>#DIV/0!</v>
      </c>
    </row>
    <row r="443" customFormat="1" s="238">
      <c r="A443" s="222" t="n"/>
      <c r="B443" s="222" t="n"/>
      <c r="C443" s="238" t="inlineStr">
        <is>
          <t>RETURN ON CAPITAL (ROIC) - EX GOODWILL</t>
        </is>
      </c>
      <c r="D443" s="238">
        <f>D444/D448</f>
        <v>0.0317119978346892</v>
      </c>
      <c r="E443" s="238">
        <f>E444/E448</f>
        <v>0.0161422517356575</v>
      </c>
      <c r="F443" s="238">
        <f>F444/F448</f>
        <v>0.0320185785924745</v>
      </c>
      <c r="G443" s="238">
        <f>G444/G448</f>
        <v>0.0671430857281381</v>
      </c>
      <c r="H443" s="238">
        <f>H444/H448</f>
        <v>0.13571071650279</v>
      </c>
      <c r="I443" s="222">
        <f>I444/I448</f>
        <v>0.0434628548206403</v>
      </c>
      <c r="J443" s="222">
        <f>J444/J448</f>
        <v>0.0417135398649142</v>
      </c>
      <c r="K443" s="222">
        <f>K444/K448</f>
        <v>0.0313800602437909</v>
      </c>
      <c r="L443" s="222">
        <f>L444/L448</f>
        <v>0.0239862978456357</v>
      </c>
      <c r="M443" s="222">
        <f>M444/M448</f>
        <v>0.133456661317706</v>
      </c>
      <c r="N443" s="222">
        <f>N444/N448</f>
        <v>0.043835809973012</v>
      </c>
      <c r="O443" s="222">
        <f>O444/O448</f>
        <v>0.0281143787415373</v>
      </c>
      <c r="P443" s="222">
        <f>P444/P448</f>
        <v>0.0191416793090595</v>
      </c>
      <c r="Q443" s="222">
        <f>Q444/Q448</f>
        <v>0.0252796900774465</v>
      </c>
      <c r="R443" s="222">
        <f>R444/R448</f>
        <v>0.114382114976945</v>
      </c>
      <c r="S443" s="222">
        <f>S444/S448</f>
        <v>0.0274159544501448</v>
      </c>
      <c r="T443" s="222">
        <f>T444/T448</f>
        <v>0.0213455329970472</v>
      </c>
      <c r="U443" s="222">
        <f>U444/U448</f>
        <v>0.0151678467005656</v>
      </c>
      <c r="V443" s="222">
        <f>V444/V448</f>
        <v>0.0163385864804282</v>
      </c>
      <c r="W443" s="222">
        <f>W444/W448</f>
        <v>0.080198185673047</v>
      </c>
      <c r="X443" s="222">
        <f>X444/X448</f>
        <v>0.0258737075920878</v>
      </c>
      <c r="Y443" s="222">
        <f>Y444/Y448</f>
        <v>0.0237610292512235</v>
      </c>
      <c r="Z443" s="222">
        <f>Z444/Z448</f>
        <v>0.037954880239257</v>
      </c>
      <c r="AA443" s="222">
        <f>AA444/AA448</f>
        <v>0.0259089457238035</v>
      </c>
      <c r="AB443" s="222">
        <f>AB444/AB448</f>
        <v>0.111870399719837</v>
      </c>
      <c r="AC443" s="222">
        <f>AC444/AC448</f>
        <v>0.027247004350782</v>
      </c>
      <c r="AD443" s="222">
        <f>AD444/AD448</f>
        <v>0.0226536161983236</v>
      </c>
      <c r="AE443" s="222">
        <f>AE444/AE448</f>
        <v>0.0134233235937476</v>
      </c>
      <c r="AF443" s="222">
        <f>AF444/AF448</f>
        <v>0.0228771511346483</v>
      </c>
      <c r="AG443" s="222">
        <f>AG444/AG448</f>
        <v>0.0847832180932502</v>
      </c>
      <c r="AH443" s="222">
        <f>AH444/AH448</f>
        <v>0.0215980316692664</v>
      </c>
      <c r="AI443" s="222">
        <f>AI444/AI448</f>
        <v>0.0355199506432671</v>
      </c>
      <c r="AJ443" s="222">
        <f>AJ444/AJ448</f>
        <v>0</v>
      </c>
      <c r="AK443" s="222">
        <f>AK444/AK448</f>
        <v>0</v>
      </c>
      <c r="AL443" s="222">
        <f>AL444/AL448</f>
        <v>0.0597283270730908</v>
      </c>
      <c r="AM443" s="222" t="e">
        <f>AM444/AM448</f>
        <v>#DIV/0!</v>
      </c>
      <c r="AN443" s="222">
        <f>AN444/AN448</f>
        <v>0</v>
      </c>
      <c r="AO443" s="222" t="e">
        <f>AO444/AO448</f>
        <v>#DIV/0!</v>
      </c>
      <c r="AP443" s="222" t="e">
        <f>AP444/AP448</f>
        <v>#DIV/0!</v>
      </c>
      <c r="AQ443" s="222" t="e">
        <f>AQ444/AQ448</f>
        <v>#DIV/0!</v>
      </c>
      <c r="AR443" s="222" t="e">
        <f>AR444/AR448</f>
        <v>#DIV/0!</v>
      </c>
      <c r="AS443" s="222" t="e">
        <f>AS444/AS448</f>
        <v>#DIV/0!</v>
      </c>
      <c r="AT443" s="222" t="e">
        <f>AT444/AT448</f>
        <v>#DIV/0!</v>
      </c>
      <c r="AU443" s="222" t="e">
        <f>AU444/AU448</f>
        <v>#DIV/0!</v>
      </c>
      <c r="AV443" s="222" t="e">
        <f>AV444/AV448</f>
        <v>#DIV/0!</v>
      </c>
      <c r="AW443" s="222" t="e">
        <f>AW444/AW448</f>
        <v>#DIV/0!</v>
      </c>
      <c r="AX443" s="222" t="e">
        <f>AX444/AX448</f>
        <v>#DIV/0!</v>
      </c>
      <c r="AY443" s="222" t="e">
        <f>AY444/AY448</f>
        <v>#DIV/0!</v>
      </c>
      <c r="AZ443" s="222" t="e">
        <f>AZ444/AZ448</f>
        <v>#DIV/0!</v>
      </c>
      <c r="BA443" s="222" t="e">
        <f>BA444/BA448</f>
        <v>#DIV/0!</v>
      </c>
      <c r="BB443" s="222" t="e">
        <f>BB444/BB448</f>
        <v>#DIV/0!</v>
      </c>
      <c r="BC443" s="222" t="e">
        <f>BC444/BC448</f>
        <v>#DIV/0!</v>
      </c>
      <c r="BD443" s="222" t="e">
        <f>BD444/BD448</f>
        <v>#DIV/0!</v>
      </c>
      <c r="BE443" s="222" t="e">
        <f>BE444/BE448</f>
        <v>#DIV/0!</v>
      </c>
      <c r="BF443" s="222" t="e">
        <f>BF444/BF448</f>
        <v>#DIV/0!</v>
      </c>
      <c r="BG443" s="222" t="e">
        <f>BG444/BG448</f>
        <v>#DIV/0!</v>
      </c>
      <c r="BH443" s="222" t="e">
        <f>BH444/BH448</f>
        <v>#DIV/0!</v>
      </c>
      <c r="BI443" s="222" t="e">
        <f>BI444/BI448</f>
        <v>#DIV/0!</v>
      </c>
      <c r="BJ443" s="222" t="e">
        <f>BJ444/BJ448</f>
        <v>#DIV/0!</v>
      </c>
      <c r="BK443" s="222" t="e">
        <f>BK444/BK448</f>
        <v>#DIV/0!</v>
      </c>
      <c r="BL443" s="222" t="e">
        <f>BL444/BL448</f>
        <v>#DIV/0!</v>
      </c>
      <c r="BM443" s="222" t="e">
        <f>BM444/BM448</f>
        <v>#DIV/0!</v>
      </c>
      <c r="BN443" s="222" t="e">
        <f>BN444/BN448</f>
        <v>#DIV/0!</v>
      </c>
      <c r="BO443" s="222" t="e">
        <f>BO444/BO448</f>
        <v>#DIV/0!</v>
      </c>
      <c r="BP443" s="222" t="e">
        <f>BP444/BP448</f>
        <v>#DIV/0!</v>
      </c>
      <c r="BQ443" s="222" t="e">
        <f>BQ444/BQ448</f>
        <v>#DIV/0!</v>
      </c>
      <c r="BR443" s="222" t="e">
        <f>BR444/BR448</f>
        <v>#DIV/0!</v>
      </c>
      <c r="BS443" s="222" t="e">
        <f>BS444/BS448</f>
        <v>#DIV/0!</v>
      </c>
      <c r="BT443" s="222" t="e">
        <f>BT444/BT448</f>
        <v>#DIV/0!</v>
      </c>
      <c r="BU443" s="222" t="e">
        <f>BU444/BU448</f>
        <v>#DIV/0!</v>
      </c>
      <c r="BV443" s="222" t="e">
        <f>BV444/BV448</f>
        <v>#DIV/0!</v>
      </c>
      <c r="BW443" s="222" t="e">
        <f>BW444/BW448</f>
        <v>#DIV/0!</v>
      </c>
      <c r="BX443" s="222" t="e">
        <f>BX444/BX448</f>
        <v>#DIV/0!</v>
      </c>
      <c r="BY443" s="222" t="e">
        <f>BY444/BY448</f>
        <v>#DIV/0!</v>
      </c>
      <c r="BZ443" s="222" t="e">
        <f>BZ444/BZ448</f>
        <v>#DIV/0!</v>
      </c>
      <c r="CA443" s="222" t="e">
        <f>CA444/CA448</f>
        <v>#DIV/0!</v>
      </c>
      <c r="CB443" s="222" t="e">
        <f>CB444/CB448</f>
        <v>#DIV/0!</v>
      </c>
      <c r="CC443" s="222" t="e">
        <f>CC444/CC448</f>
        <v>#DIV/0!</v>
      </c>
      <c r="CD443" s="222" t="e">
        <f>CD444/CD448</f>
        <v>#DIV/0!</v>
      </c>
      <c r="CE443" s="222" t="e">
        <f>CE444/CE448</f>
        <v>#DIV/0!</v>
      </c>
      <c r="CF443" s="222" t="e">
        <f>CF444/CF448</f>
        <v>#DIV/0!</v>
      </c>
      <c r="CG443" s="222" t="e">
        <f>CG444/CG448</f>
        <v>#DIV/0!</v>
      </c>
      <c r="CH443" s="222" t="e">
        <f>CH444/CH448</f>
        <v>#DIV/0!</v>
      </c>
      <c r="CI443" s="222" t="e">
        <f>CI444/CI448</f>
        <v>#DIV/0!</v>
      </c>
      <c r="CJ443" s="222" t="e">
        <f>CJ444/CJ448</f>
        <v>#DIV/0!</v>
      </c>
      <c r="CK443" s="222" t="e">
        <f>CK444/CK448</f>
        <v>#DIV/0!</v>
      </c>
      <c r="CL443" s="222" t="e">
        <f>CL444/CL448</f>
        <v>#DIV/0!</v>
      </c>
      <c r="CM443" s="222" t="e">
        <f>CM444/CM448</f>
        <v>#DIV/0!</v>
      </c>
      <c r="CN443" s="222" t="e">
        <f>CN444/CN448</f>
        <v>#DIV/0!</v>
      </c>
      <c r="CO443" s="222" t="e">
        <f>CO444/CO448</f>
        <v>#DIV/0!</v>
      </c>
      <c r="CP443" s="222" t="e">
        <f>CP444/CP448</f>
        <v>#DIV/0!</v>
      </c>
      <c r="CQ443" s="222" t="e">
        <f>CQ444/CQ448</f>
        <v>#DIV/0!</v>
      </c>
      <c r="CR443" s="222" t="e">
        <f>CR444/CR448</f>
        <v>#DIV/0!</v>
      </c>
      <c r="CS443" s="222" t="e">
        <f>CS444/CS448</f>
        <v>#DIV/0!</v>
      </c>
      <c r="CT443" s="222" t="e">
        <f>CT444/CT448</f>
        <v>#DIV/0!</v>
      </c>
      <c r="CU443" s="222" t="e">
        <f>CU444/CU448</f>
        <v>#DIV/0!</v>
      </c>
      <c r="CV443" s="222" t="e">
        <f>CV444/CV448</f>
        <v>#DIV/0!</v>
      </c>
      <c r="CW443" s="222" t="e">
        <f>CW444/CW448</f>
        <v>#DIV/0!</v>
      </c>
      <c r="CX443" s="222" t="e">
        <f>CX444/CX448</f>
        <v>#DIV/0!</v>
      </c>
      <c r="CY443" s="222" t="e">
        <f>CY444/CY448</f>
        <v>#DIV/0!</v>
      </c>
    </row>
    <row r="444" customFormat="1" s="233">
      <c r="A444" s="224" t="n"/>
      <c r="B444" s="224" t="n"/>
      <c r="C444" s="233" t="inlineStr">
        <is>
          <t>NOPLAT</t>
        </is>
      </c>
      <c r="D444" s="233">
        <f>D445*(1-D446)</f>
        <v>450.206417323685</v>
      </c>
      <c r="E444" s="233">
        <f>E445*(1-E446)</f>
        <v>242.085672124691</v>
      </c>
      <c r="F444" s="233">
        <f>F445*(1-F446)</f>
        <v>518.659989417489</v>
      </c>
      <c r="G444" s="233">
        <f>G445*(1-G446)</f>
        <v>1186.10315517179</v>
      </c>
      <c r="H444" s="233">
        <f>H445*(1-H446)</f>
        <v>2397.37133450103</v>
      </c>
      <c r="I444" s="223">
        <f>I445*(1-I446)</f>
        <v>819.205924744179</v>
      </c>
      <c r="J444" s="224">
        <f>J445*(1-J446)</f>
        <v>825.614236651358</v>
      </c>
      <c r="K444" s="224">
        <f>K445*(1-K446)</f>
        <v>644.089826150858</v>
      </c>
      <c r="L444" s="224">
        <f>L445*(1-L446)</f>
        <v>502.460050079319</v>
      </c>
      <c r="M444" s="224">
        <f>M445*(1-M446)</f>
        <v>2795.62278266774</v>
      </c>
      <c r="N444" s="223">
        <f>N445*(1-N446)</f>
        <v>930.849391882393</v>
      </c>
      <c r="O444" s="224">
        <f>O445*(1-O446)</f>
        <v>618.00588765339</v>
      </c>
      <c r="P444" s="224">
        <f>P445*(1-P446)</f>
        <v>419.050447384463</v>
      </c>
      <c r="Q444" s="224">
        <f>Q445*(1-Q446)</f>
        <v>553.336847271366</v>
      </c>
      <c r="R444" s="224">
        <f>R445*(1-R446)</f>
        <v>2503.66356120955</v>
      </c>
      <c r="S444" s="223">
        <f>S445*(1-S446)</f>
        <v>610.396596009087</v>
      </c>
      <c r="T444" s="224">
        <f>T445*(1-T446)</f>
        <v>481.063231223335</v>
      </c>
      <c r="U444" s="224">
        <f>U445*(1-U446)</f>
        <v>338.887159871987</v>
      </c>
      <c r="V444" s="224">
        <f>V445*(1-V446)</f>
        <v>363.956604209266</v>
      </c>
      <c r="W444" s="224">
        <f>W445*(1-W446)</f>
        <v>1786.48620284693</v>
      </c>
      <c r="X444" s="223">
        <f>X445*(1-X446)</f>
        <v>583.431510730336</v>
      </c>
      <c r="Y444" s="224">
        <f>Y445*(1-Y446)</f>
        <v>540.629637453859</v>
      </c>
      <c r="Z444" s="224">
        <f>Z445*(1-Z446)</f>
        <v>877.701215939825</v>
      </c>
      <c r="AA444" s="224">
        <f>AA445*(1-AA446)</f>
        <v>606.489659611438</v>
      </c>
      <c r="AB444" s="224">
        <f>AB445*(1-AB446)</f>
        <v>2618.71869932341</v>
      </c>
      <c r="AC444" s="223">
        <f>AC445*(1-AC446)</f>
        <v>646.89864976631</v>
      </c>
      <c r="AD444" s="224">
        <f>AD445*(1-AD446)</f>
        <v>538.334600089518</v>
      </c>
      <c r="AE444" s="224">
        <f>AE445*(1-AE446)</f>
        <v>322.727344641457</v>
      </c>
      <c r="AF444" s="224">
        <f>AF445*(1-AF446)</f>
        <v>559.912531855583</v>
      </c>
      <c r="AG444" s="224">
        <f>AG445*(1-AG446)</f>
        <v>2075.04798224456</v>
      </c>
      <c r="AH444" s="223">
        <f>AH445*(1-AH446)</f>
        <v>533.244149339688</v>
      </c>
      <c r="AI444" s="224">
        <f>AI445*(1-AI446)</f>
        <v>902.911249040042</v>
      </c>
      <c r="AJ444" s="224">
        <f>AJ445*(1-AJ446)</f>
        <v>0</v>
      </c>
      <c r="AK444" s="224">
        <f>AK445*(1-AK446)</f>
        <v>0</v>
      </c>
      <c r="AL444" s="224">
        <f>AL445*(1-AL446)</f>
        <v>1494.89365048895</v>
      </c>
      <c r="AM444" s="223">
        <f>AM445*(1-AM446)</f>
        <v>0</v>
      </c>
      <c r="AN444" s="224">
        <f>AN445*(1-AN446)</f>
        <v>0</v>
      </c>
      <c r="AO444" s="224">
        <f>AO445*(1-AO446)</f>
        <v>0</v>
      </c>
      <c r="AP444" s="224">
        <f>AP445*(1-AP446)</f>
        <v>0</v>
      </c>
      <c r="AQ444" s="224">
        <f>AQ445*(1-AQ446)</f>
        <v>0</v>
      </c>
      <c r="AR444" s="223">
        <f>AR445*(1-AR446)</f>
        <v>0</v>
      </c>
      <c r="AS444" s="224">
        <f>AS445*(1-AS446)</f>
        <v>0</v>
      </c>
      <c r="AT444" s="224">
        <f>AT445*(1-AT446)</f>
        <v>0</v>
      </c>
      <c r="AU444" s="224">
        <f>AU445*(1-AU446)</f>
        <v>0</v>
      </c>
      <c r="AV444" s="224">
        <f>AV445*(1-AV446)</f>
        <v>0</v>
      </c>
      <c r="AW444" s="223">
        <f>AW445*(1-AW446)</f>
        <v>0</v>
      </c>
      <c r="AX444" s="224">
        <f>AX445*(1-AX446)</f>
        <v>0</v>
      </c>
      <c r="AY444" s="224">
        <f>AY445*(1-AY446)</f>
        <v>0</v>
      </c>
      <c r="AZ444" s="224">
        <f>AZ445*(1-AZ446)</f>
        <v>0</v>
      </c>
      <c r="BA444" s="224">
        <f>BA445*(1-BA446)</f>
        <v>0</v>
      </c>
      <c r="BB444" s="223">
        <f>BB445*(1-BB446)</f>
        <v>0</v>
      </c>
      <c r="BC444" s="224">
        <f>BC445*(1-BC446)</f>
        <v>0</v>
      </c>
      <c r="BD444" s="224">
        <f>BD445*(1-BD446)</f>
        <v>0</v>
      </c>
      <c r="BE444" s="224">
        <f>BE445*(1-BE446)</f>
        <v>0</v>
      </c>
      <c r="BF444" s="224">
        <f>BF445*(1-BF446)</f>
        <v>0</v>
      </c>
      <c r="BG444" s="223">
        <f>BG445*(1-BG446)</f>
        <v>0</v>
      </c>
      <c r="BH444" s="224">
        <f>BH445*(1-BH446)</f>
        <v>0</v>
      </c>
      <c r="BI444" s="224">
        <f>BI445*(1-BI446)</f>
        <v>0</v>
      </c>
      <c r="BJ444" s="224">
        <f>BJ445*(1-BJ446)</f>
        <v>0</v>
      </c>
      <c r="BK444" s="224">
        <f>BK445*(1-BK446)</f>
        <v>0</v>
      </c>
      <c r="BL444" s="223">
        <f>BL445*(1-BL446)</f>
        <v>0</v>
      </c>
      <c r="BM444" s="224">
        <f>BM445*(1-BM446)</f>
        <v>0</v>
      </c>
      <c r="BN444" s="224">
        <f>BN445*(1-BN446)</f>
        <v>0</v>
      </c>
      <c r="BO444" s="224">
        <f>BO445*(1-BO446)</f>
        <v>0</v>
      </c>
      <c r="BP444" s="224">
        <f>BP445*(1-BP446)</f>
        <v>0</v>
      </c>
      <c r="BQ444" s="223">
        <f>BQ445*(1-BQ446)</f>
        <v>0</v>
      </c>
      <c r="BR444" s="224">
        <f>BR445*(1-BR446)</f>
        <v>0</v>
      </c>
      <c r="BS444" s="224">
        <f>BS445*(1-BS446)</f>
        <v>0</v>
      </c>
      <c r="BT444" s="224">
        <f>BT445*(1-BT446)</f>
        <v>0</v>
      </c>
      <c r="BU444" s="224">
        <f>BU445*(1-BU446)</f>
        <v>0</v>
      </c>
      <c r="BV444" s="223">
        <f>BV445*(1-BV446)</f>
        <v>0</v>
      </c>
      <c r="BW444" s="224">
        <f>BW445*(1-BW446)</f>
        <v>0</v>
      </c>
      <c r="BX444" s="224">
        <f>BX445*(1-BX446)</f>
        <v>0</v>
      </c>
      <c r="BY444" s="224">
        <f>BY445*(1-BY446)</f>
        <v>0</v>
      </c>
      <c r="BZ444" s="224">
        <f>BZ445*(1-BZ446)</f>
        <v>0</v>
      </c>
      <c r="CA444" s="223">
        <f>CA445*(1-CA446)</f>
        <v>0</v>
      </c>
      <c r="CB444" s="224">
        <f>CB445*(1-CB446)</f>
        <v>0</v>
      </c>
      <c r="CC444" s="224">
        <f>CC445*(1-CC446)</f>
        <v>0</v>
      </c>
      <c r="CD444" s="224">
        <f>CD445*(1-CD446)</f>
        <v>0</v>
      </c>
      <c r="CE444" s="224">
        <f>CE445*(1-CE446)</f>
        <v>0</v>
      </c>
      <c r="CF444" s="223">
        <f>CF445*(1-CF446)</f>
        <v>0</v>
      </c>
      <c r="CG444" s="224">
        <f>CG445*(1-CG446)</f>
        <v>0</v>
      </c>
      <c r="CH444" s="224">
        <f>CH445*(1-CH446)</f>
        <v>0</v>
      </c>
      <c r="CI444" s="224">
        <f>CI445*(1-CI446)</f>
        <v>0</v>
      </c>
      <c r="CJ444" s="224">
        <f>CJ445*(1-CJ446)</f>
        <v>0</v>
      </c>
      <c r="CK444" s="223">
        <f>CK445*(1-CK446)</f>
        <v>0</v>
      </c>
      <c r="CL444" s="224">
        <f>CL445*(1-CL446)</f>
        <v>0</v>
      </c>
      <c r="CM444" s="224">
        <f>CM445*(1-CM446)</f>
        <v>0</v>
      </c>
      <c r="CN444" s="224">
        <f>CN445*(1-CN446)</f>
        <v>0</v>
      </c>
      <c r="CO444" s="224">
        <f>CO445*(1-CO446)</f>
        <v>0</v>
      </c>
      <c r="CP444" s="223">
        <f>CP445*(1-CP446)</f>
        <v>0</v>
      </c>
      <c r="CQ444" s="224">
        <f>CQ445*(1-CQ446)</f>
        <v>0</v>
      </c>
      <c r="CR444" s="224">
        <f>CR445*(1-CR446)</f>
        <v>0</v>
      </c>
      <c r="CS444" s="224">
        <f>CS445*(1-CS446)</f>
        <v>0</v>
      </c>
      <c r="CT444" s="224">
        <f>CT445*(1-CT446)</f>
        <v>0</v>
      </c>
      <c r="CU444" s="223">
        <f>CU445*(1-CU446)</f>
        <v>0</v>
      </c>
      <c r="CV444" s="224">
        <f>CV445*(1-CV446)</f>
        <v>0</v>
      </c>
      <c r="CW444" s="224">
        <f>CW445*(1-CW446)</f>
        <v>0</v>
      </c>
      <c r="CX444" s="224">
        <f>CX445*(1-CX446)</f>
        <v>0</v>
      </c>
      <c r="CY444" s="224">
        <f>CY445*(1-CY446)</f>
        <v>0</v>
      </c>
    </row>
    <row r="445" customFormat="1" s="233">
      <c r="A445" s="224" t="n"/>
      <c r="B445" s="224" t="n"/>
      <c r="C445" s="233" t="inlineStr">
        <is>
          <t>EBIT</t>
        </is>
      </c>
      <c r="D445" s="239">
        <f>D170</f>
        <v>583.251</v>
      </c>
      <c r="E445" s="239">
        <f>E170</f>
        <v>371.195</v>
      </c>
      <c r="F445" s="239">
        <f>F170</f>
        <v>699.523</v>
      </c>
      <c r="G445" s="239">
        <f>G170</f>
        <v>1673.809</v>
      </c>
      <c r="H445" s="239">
        <f>H170</f>
        <v>3327.778</v>
      </c>
      <c r="I445" s="36">
        <f>I170</f>
        <v>1077.219</v>
      </c>
      <c r="J445" s="36">
        <f>J170</f>
        <v>1098.024</v>
      </c>
      <c r="K445" s="36">
        <f>K170</f>
        <v>857.235</v>
      </c>
      <c r="L445" s="36">
        <f>L170</f>
        <v>742.279</v>
      </c>
      <c r="M445" s="36">
        <f>M170</f>
        <v>3774.757</v>
      </c>
      <c r="N445" s="36">
        <f>N170</f>
        <v>1093.15</v>
      </c>
      <c r="O445" s="36">
        <f>O170</f>
        <v>834.14</v>
      </c>
      <c r="P445" s="36">
        <f>P170</f>
        <v>448.476</v>
      </c>
      <c r="Q445" s="36">
        <f>Q170</f>
        <v>484.223</v>
      </c>
      <c r="R445" s="36">
        <f>R170</f>
        <v>2859.989</v>
      </c>
      <c r="S445" s="36">
        <f>S170</f>
        <v>775.915</v>
      </c>
      <c r="T445" s="36">
        <f>T170</f>
        <v>579.612</v>
      </c>
      <c r="U445" s="36">
        <f>U170</f>
        <v>407.917</v>
      </c>
      <c r="V445" s="36">
        <f>V170</f>
        <v>553.083</v>
      </c>
      <c r="W445" s="36">
        <f>W170</f>
        <v>2316.527</v>
      </c>
      <c r="X445" s="36">
        <f>X170</f>
        <v>752.747</v>
      </c>
      <c r="Y445" s="36">
        <f>Y170</f>
        <v>710.882</v>
      </c>
      <c r="Z445" s="36">
        <f>Z170</f>
        <v>598.522</v>
      </c>
      <c r="AA445" s="36">
        <f>AA170</f>
        <v>681.482</v>
      </c>
      <c r="AB445" s="36">
        <f>AB170</f>
        <v>2743.633</v>
      </c>
      <c r="AC445" s="36">
        <f>AC170</f>
        <v>841.727</v>
      </c>
      <c r="AD445" s="36">
        <f>AD170</f>
        <v>634.958</v>
      </c>
      <c r="AE445" s="36">
        <f>AE170</f>
        <v>615.7</v>
      </c>
      <c r="AF445" s="36">
        <f>AF170</f>
        <v>720.941</v>
      </c>
      <c r="AG445" s="36">
        <f>AG170</f>
        <v>2813.326</v>
      </c>
      <c r="AH445" s="36">
        <f>AH170</f>
        <v>731.002</v>
      </c>
      <c r="AI445" s="36">
        <f>AI170</f>
        <v>975.557</v>
      </c>
      <c r="AJ445" s="36">
        <f>AJ170</f>
        <v>0</v>
      </c>
      <c r="AK445" s="36">
        <f>AK170</f>
        <v>0</v>
      </c>
      <c r="AL445" s="36">
        <f>AL170</f>
        <v>1706.559</v>
      </c>
      <c r="AM445" s="36">
        <f>AM170</f>
        <v>0</v>
      </c>
      <c r="AN445" s="36">
        <f>AN170</f>
        <v>0</v>
      </c>
      <c r="AO445" s="36">
        <f>AO170</f>
        <v>0</v>
      </c>
      <c r="AP445" s="36">
        <f>AP170</f>
        <v>0</v>
      </c>
      <c r="AQ445" s="36">
        <f>AQ170</f>
        <v>0</v>
      </c>
      <c r="AR445" s="36">
        <f>AR170</f>
        <v>0</v>
      </c>
      <c r="AS445" s="36">
        <f>AS170</f>
        <v>0</v>
      </c>
      <c r="AT445" s="36">
        <f>AT170</f>
        <v>0</v>
      </c>
      <c r="AU445" s="36">
        <f>AU170</f>
        <v>0</v>
      </c>
      <c r="AV445" s="36">
        <f>AV170</f>
        <v>0</v>
      </c>
      <c r="AW445" s="36">
        <f>AW170</f>
        <v>0</v>
      </c>
      <c r="AX445" s="36">
        <f>AX170</f>
        <v>0</v>
      </c>
      <c r="AY445" s="36">
        <f>AY170</f>
        <v>0</v>
      </c>
      <c r="AZ445" s="36">
        <f>AZ170</f>
        <v>0</v>
      </c>
      <c r="BA445" s="36">
        <f>BA170</f>
        <v>0</v>
      </c>
      <c r="BB445" s="36">
        <f>BB170</f>
        <v>0</v>
      </c>
      <c r="BC445" s="36">
        <f>BC170</f>
        <v>0</v>
      </c>
      <c r="BD445" s="36">
        <f>BD170</f>
        <v>0</v>
      </c>
      <c r="BE445" s="36">
        <f>BE170</f>
        <v>0</v>
      </c>
      <c r="BF445" s="36">
        <f>BF170</f>
        <v>0</v>
      </c>
      <c r="BG445" s="36">
        <f>BG170</f>
        <v>0</v>
      </c>
      <c r="BH445" s="36">
        <f>BH170</f>
        <v>0</v>
      </c>
      <c r="BI445" s="36">
        <f>BI170</f>
        <v>0</v>
      </c>
      <c r="BJ445" s="36">
        <f>BJ170</f>
        <v>0</v>
      </c>
      <c r="BK445" s="36">
        <f>BK170</f>
        <v>0</v>
      </c>
      <c r="BL445" s="36">
        <f>BL170</f>
        <v>0</v>
      </c>
      <c r="BM445" s="36">
        <f>BM170</f>
        <v>0</v>
      </c>
      <c r="BN445" s="36">
        <f>BN170</f>
        <v>0</v>
      </c>
      <c r="BO445" s="36">
        <f>BO170</f>
        <v>0</v>
      </c>
      <c r="BP445" s="36">
        <f>BP170</f>
        <v>0</v>
      </c>
      <c r="BQ445" s="36">
        <f>BQ170</f>
        <v>0</v>
      </c>
      <c r="BR445" s="36">
        <f>BR170</f>
        <v>0</v>
      </c>
      <c r="BS445" s="36">
        <f>BS170</f>
        <v>0</v>
      </c>
      <c r="BT445" s="36">
        <f>BT170</f>
        <v>0</v>
      </c>
      <c r="BU445" s="36">
        <f>BU170</f>
        <v>0</v>
      </c>
      <c r="BV445" s="36">
        <f>BV170</f>
        <v>0</v>
      </c>
      <c r="BW445" s="36">
        <f>BW170</f>
        <v>0</v>
      </c>
      <c r="BX445" s="36">
        <f>BX170</f>
        <v>0</v>
      </c>
      <c r="BY445" s="36">
        <f>BY170</f>
        <v>0</v>
      </c>
      <c r="BZ445" s="36">
        <f>BZ170</f>
        <v>0</v>
      </c>
      <c r="CA445" s="36">
        <f>CA170</f>
        <v>0</v>
      </c>
      <c r="CB445" s="36">
        <f>CB170</f>
        <v>0</v>
      </c>
      <c r="CC445" s="36">
        <f>CC170</f>
        <v>0</v>
      </c>
      <c r="CD445" s="36">
        <f>CD170</f>
        <v>0</v>
      </c>
      <c r="CE445" s="36">
        <f>CE170</f>
        <v>0</v>
      </c>
      <c r="CF445" s="36">
        <f>CF170</f>
        <v>0</v>
      </c>
      <c r="CG445" s="36">
        <f>CG170</f>
        <v>0</v>
      </c>
      <c r="CH445" s="36">
        <f>CH170</f>
        <v>0</v>
      </c>
      <c r="CI445" s="36">
        <f>CI170</f>
        <v>0</v>
      </c>
      <c r="CJ445" s="36">
        <f>CJ170</f>
        <v>0</v>
      </c>
      <c r="CK445" s="36">
        <f>CK170</f>
        <v>0</v>
      </c>
      <c r="CL445" s="36">
        <f>CL170</f>
        <v>0</v>
      </c>
      <c r="CM445" s="36">
        <f>CM170</f>
        <v>0</v>
      </c>
      <c r="CN445" s="36">
        <f>CN170</f>
        <v>0</v>
      </c>
      <c r="CO445" s="36">
        <f>CO170</f>
        <v>0</v>
      </c>
      <c r="CP445" s="36">
        <f>CP170</f>
        <v>0</v>
      </c>
      <c r="CQ445" s="36">
        <f>CQ170</f>
        <v>0</v>
      </c>
      <c r="CR445" s="36">
        <f>CR170</f>
        <v>0</v>
      </c>
      <c r="CS445" s="36">
        <f>CS170</f>
        <v>0</v>
      </c>
      <c r="CT445" s="36">
        <f>CT170</f>
        <v>0</v>
      </c>
      <c r="CU445" s="36">
        <f>CU170</f>
        <v>0</v>
      </c>
      <c r="CV445" s="36">
        <f>CV170</f>
        <v>0</v>
      </c>
      <c r="CW445" s="36">
        <f>CW170</f>
        <v>0</v>
      </c>
      <c r="CX445" s="36">
        <f>CX170</f>
        <v>0</v>
      </c>
      <c r="CY445" s="36">
        <f>CY170</f>
        <v>0</v>
      </c>
    </row>
    <row r="446" customFormat="1" s="233">
      <c r="A446" s="224" t="n"/>
      <c r="B446" s="224" t="n"/>
      <c r="C446" s="233" t="inlineStr">
        <is>
          <t>ETR</t>
        </is>
      </c>
      <c r="D446" s="240">
        <f>D229</f>
        <v>0.22810862334795</v>
      </c>
      <c r="E446" s="240">
        <f>E229</f>
        <v>0.347820762335995</v>
      </c>
      <c r="F446" s="240">
        <f>F229</f>
        <v>0.258551914065029</v>
      </c>
      <c r="G446" s="240">
        <f>G229</f>
        <v>0.291374849118512</v>
      </c>
      <c r="H446" s="240">
        <f>H229</f>
        <v>0.279587960945402</v>
      </c>
      <c r="I446" s="225">
        <f>I229</f>
        <v>0.239517753823337</v>
      </c>
      <c r="J446" s="225">
        <f>J229</f>
        <v>0.248090900880711</v>
      </c>
      <c r="K446" s="225">
        <f>K229</f>
        <v>0.248642640406822</v>
      </c>
      <c r="L446" s="225">
        <f>L229</f>
        <v>0.323084648657285</v>
      </c>
      <c r="M446" s="225">
        <f>M229</f>
        <v>0.259389999762172</v>
      </c>
      <c r="N446" s="225">
        <f>N229</f>
        <v>0.148470574136767</v>
      </c>
      <c r="O446" s="225">
        <f>O229</f>
        <v>0.259110116223428</v>
      </c>
      <c r="P446" s="225">
        <f>P229</f>
        <v>0.0656123239940096</v>
      </c>
      <c r="Q446" s="225">
        <f>Q229</f>
        <v>-0.142731442478705</v>
      </c>
      <c r="R446" s="225">
        <f>R229</f>
        <v>0.124589793453909</v>
      </c>
      <c r="S446" s="225">
        <f>S229</f>
        <v>0.213320278627057</v>
      </c>
      <c r="T446" s="225">
        <f>T229</f>
        <v>0.170025411441904</v>
      </c>
      <c r="U446" s="225">
        <f>U229</f>
        <v>0.169225210344294</v>
      </c>
      <c r="V446" s="225">
        <f>V229</f>
        <v>0.341949392389088</v>
      </c>
      <c r="W446" s="225">
        <f>W229</f>
        <v>0.22880838304629</v>
      </c>
      <c r="X446" s="225">
        <f>X229</f>
        <v>0.22493014156106</v>
      </c>
      <c r="Y446" s="225">
        <f>Y229</f>
        <v>0.239494546979866</v>
      </c>
      <c r="Z446" s="225">
        <f>Z229</f>
        <v>-0.466447709423923</v>
      </c>
      <c r="AA446" s="225">
        <f>AA229</f>
        <v>0.11004302445048</v>
      </c>
      <c r="AB446" s="225">
        <f>AB229</f>
        <v>0.0455287936384318</v>
      </c>
      <c r="AC446" s="225">
        <f>AC229</f>
        <v>0.231462636025327</v>
      </c>
      <c r="AD446" s="225">
        <f>AD229</f>
        <v>0.152172899483875</v>
      </c>
      <c r="AE446" s="225">
        <f>AE229</f>
        <v>0.475836698649574</v>
      </c>
      <c r="AF446" s="225">
        <f>AF229</f>
        <v>0.223358732745699</v>
      </c>
      <c r="AG446" s="225">
        <f>AG229</f>
        <v>0.262421780396386</v>
      </c>
      <c r="AH446" s="225">
        <f>AH229</f>
        <v>0.270529835294995</v>
      </c>
      <c r="AI446" s="225">
        <f>AI229</f>
        <v>0.0744659214786613</v>
      </c>
      <c r="AJ446" s="225">
        <f>AJ229</f>
        <v>0</v>
      </c>
      <c r="AK446" s="225">
        <f>AK229</f>
        <v>0</v>
      </c>
      <c r="AL446" s="225">
        <f>AL229</f>
        <v>0.124030490308894</v>
      </c>
      <c r="AM446" s="225">
        <f>AM229</f>
        <v>0</v>
      </c>
      <c r="AN446" s="225">
        <f>AN229</f>
        <v>0</v>
      </c>
      <c r="AO446" s="225">
        <f>AO229</f>
        <v>0</v>
      </c>
      <c r="AP446" s="225">
        <f>AP229</f>
        <v>0</v>
      </c>
      <c r="AQ446" s="225">
        <f>AQ229</f>
        <v>0</v>
      </c>
      <c r="AR446" s="225">
        <f>AR229</f>
        <v>0</v>
      </c>
      <c r="AS446" s="225">
        <f>AS229</f>
        <v>0</v>
      </c>
      <c r="AT446" s="225">
        <f>AT229</f>
        <v>0</v>
      </c>
      <c r="AU446" s="225">
        <f>AU229</f>
        <v>0</v>
      </c>
      <c r="AV446" s="225">
        <f>AV229</f>
        <v>0</v>
      </c>
      <c r="AW446" s="225">
        <f>AW229</f>
        <v>0</v>
      </c>
      <c r="AX446" s="225">
        <f>AX229</f>
        <v>0</v>
      </c>
      <c r="AY446" s="225">
        <f>AY229</f>
        <v>0</v>
      </c>
      <c r="AZ446" s="225">
        <f>AZ229</f>
        <v>0</v>
      </c>
      <c r="BA446" s="225">
        <f>BA229</f>
        <v>0</v>
      </c>
      <c r="BB446" s="225">
        <f>BB229</f>
        <v>0</v>
      </c>
      <c r="BC446" s="225">
        <f>BC229</f>
        <v>0</v>
      </c>
      <c r="BD446" s="225">
        <f>BD229</f>
        <v>0</v>
      </c>
      <c r="BE446" s="225">
        <f>BE229</f>
        <v>0</v>
      </c>
      <c r="BF446" s="225">
        <f>BF229</f>
        <v>0</v>
      </c>
      <c r="BG446" s="225">
        <f>BG229</f>
        <v>0</v>
      </c>
      <c r="BH446" s="225">
        <f>BH229</f>
        <v>0</v>
      </c>
      <c r="BI446" s="225">
        <f>BI229</f>
        <v>0</v>
      </c>
      <c r="BJ446" s="225">
        <f>BJ229</f>
        <v>0</v>
      </c>
      <c r="BK446" s="225">
        <f>BK229</f>
        <v>0</v>
      </c>
      <c r="BL446" s="225">
        <f>BL229</f>
        <v>0</v>
      </c>
      <c r="BM446" s="225">
        <f>BM229</f>
        <v>0</v>
      </c>
      <c r="BN446" s="225">
        <f>BN229</f>
        <v>0</v>
      </c>
      <c r="BO446" s="225">
        <f>BO229</f>
        <v>0</v>
      </c>
      <c r="BP446" s="225">
        <f>BP229</f>
        <v>0</v>
      </c>
      <c r="BQ446" s="225">
        <f>BQ229</f>
        <v>0</v>
      </c>
      <c r="BR446" s="225">
        <f>BR229</f>
        <v>0</v>
      </c>
      <c r="BS446" s="225">
        <f>BS229</f>
        <v>0</v>
      </c>
      <c r="BT446" s="225">
        <f>BT229</f>
        <v>0</v>
      </c>
      <c r="BU446" s="225">
        <f>BU229</f>
        <v>0</v>
      </c>
      <c r="BV446" s="225">
        <f>BV229</f>
        <v>0</v>
      </c>
      <c r="BW446" s="225">
        <f>BW229</f>
        <v>0</v>
      </c>
      <c r="BX446" s="225">
        <f>BX229</f>
        <v>0</v>
      </c>
      <c r="BY446" s="225">
        <f>BY229</f>
        <v>0</v>
      </c>
      <c r="BZ446" s="225">
        <f>BZ229</f>
        <v>0</v>
      </c>
      <c r="CA446" s="225">
        <f>CA229</f>
        <v>0</v>
      </c>
      <c r="CB446" s="225">
        <f>CB229</f>
        <v>0</v>
      </c>
      <c r="CC446" s="225">
        <f>CC229</f>
        <v>0</v>
      </c>
      <c r="CD446" s="225">
        <f>CD229</f>
        <v>0</v>
      </c>
      <c r="CE446" s="225">
        <f>CE229</f>
        <v>0</v>
      </c>
      <c r="CF446" s="225">
        <f>CF229</f>
        <v>0</v>
      </c>
      <c r="CG446" s="225">
        <f>CG229</f>
        <v>0</v>
      </c>
      <c r="CH446" s="225">
        <f>CH229</f>
        <v>0</v>
      </c>
      <c r="CI446" s="225">
        <f>CI229</f>
        <v>0</v>
      </c>
      <c r="CJ446" s="225">
        <f>CJ229</f>
        <v>0</v>
      </c>
      <c r="CK446" s="225">
        <f>CK229</f>
        <v>0</v>
      </c>
      <c r="CL446" s="225">
        <f>CL229</f>
        <v>0</v>
      </c>
      <c r="CM446" s="225">
        <f>CM229</f>
        <v>0</v>
      </c>
      <c r="CN446" s="225">
        <f>CN229</f>
        <v>0</v>
      </c>
      <c r="CO446" s="225">
        <f>CO229</f>
        <v>0</v>
      </c>
      <c r="CP446" s="225">
        <f>CP229</f>
        <v>0</v>
      </c>
      <c r="CQ446" s="225">
        <f>CQ229</f>
        <v>0</v>
      </c>
      <c r="CR446" s="225">
        <f>CR229</f>
        <v>0</v>
      </c>
      <c r="CS446" s="225">
        <f>CS229</f>
        <v>0</v>
      </c>
      <c r="CT446" s="225">
        <f>CT229</f>
        <v>0</v>
      </c>
      <c r="CU446" s="225">
        <f>CU229</f>
        <v>0</v>
      </c>
      <c r="CV446" s="225">
        <f>CV229</f>
        <v>0</v>
      </c>
      <c r="CW446" s="225">
        <f>CW229</f>
        <v>0</v>
      </c>
      <c r="CX446" s="225">
        <f>CX229</f>
        <v>0</v>
      </c>
      <c r="CY446" s="225">
        <f>CY229</f>
        <v>0</v>
      </c>
    </row>
    <row r="447" customFormat="1" s="233">
      <c r="A447" s="224" t="n"/>
      <c r="B447" s="224" t="n"/>
      <c r="C447" s="233" t="inlineStr">
        <is>
          <t>INVESTED CAPITAL</t>
        </is>
      </c>
      <c r="D447" s="239">
        <f>D450-D451+D452</f>
        <v>14196.722</v>
      </c>
      <c r="E447" s="239">
        <f>E450-E451+E452</f>
        <v>14997.02</v>
      </c>
      <c r="F447" s="239">
        <f>F450-F451+F452</f>
        <v>16198.72</v>
      </c>
      <c r="G447" s="239">
        <f>G450-G451+G452</f>
        <v>17665.306</v>
      </c>
      <c r="H447" s="239">
        <f>H450-H451+H452</f>
        <v>17665.306</v>
      </c>
      <c r="I447" s="36">
        <f>I450-I451+I452</f>
        <v>18848.415</v>
      </c>
      <c r="J447" s="36">
        <f>J450-J451+J452</f>
        <v>19792.476</v>
      </c>
      <c r="K447" s="36">
        <f>K450-K451+K452</f>
        <v>20525.449</v>
      </c>
      <c r="L447" s="36">
        <f>L450-L451+L452</f>
        <v>20947.795</v>
      </c>
      <c r="M447" s="36">
        <f>M450-M451+M452</f>
        <v>20947.795</v>
      </c>
      <c r="N447" s="36">
        <f>N450-N451+N452</f>
        <v>21234.908</v>
      </c>
      <c r="O447" s="36">
        <f>O450-O451+O452</f>
        <v>21981.844</v>
      </c>
      <c r="P447" s="36">
        <f>P450-P451+P452</f>
        <v>21892.042</v>
      </c>
      <c r="Q447" s="36">
        <f>Q450-Q451+Q452</f>
        <v>21888.593</v>
      </c>
      <c r="R447" s="36">
        <f>R450-R451+R452</f>
        <v>21888.593</v>
      </c>
      <c r="S447" s="36">
        <f>S450-S451+S452</f>
        <v>22264.284</v>
      </c>
      <c r="T447" s="36">
        <f>T450-T451+T452</f>
        <v>22536.951</v>
      </c>
      <c r="U447" s="36">
        <f>U450-U451+U452</f>
        <v>22342.47</v>
      </c>
      <c r="V447" s="36">
        <f>V450-V451+V452</f>
        <v>22275.893</v>
      </c>
      <c r="W447" s="36">
        <f>W450-W451+W452</f>
        <v>22275.893</v>
      </c>
      <c r="X447" s="36">
        <f>X450-X451+X452</f>
        <v>22549.204</v>
      </c>
      <c r="Y447" s="36">
        <f>Y450-Y451+Y452</f>
        <v>22752.787</v>
      </c>
      <c r="Z447" s="36">
        <f>Z450-Z451+Z452</f>
        <v>23124.858</v>
      </c>
      <c r="AA447" s="36">
        <f>AA450-AA451+AA452</f>
        <v>23408.504</v>
      </c>
      <c r="AB447" s="36">
        <f>AB450-AB451+AB452</f>
        <v>23408.504</v>
      </c>
      <c r="AC447" s="36">
        <f>AC450-AC451+AC452</f>
        <v>23742.01</v>
      </c>
      <c r="AD447" s="36">
        <f>AD450-AD451+AD452</f>
        <v>23763.738</v>
      </c>
      <c r="AE447" s="36">
        <f>AE450-AE451+AE452</f>
        <v>24042.283</v>
      </c>
      <c r="AF447" s="36">
        <f>AF450-AF451+AF452</f>
        <v>24474.749</v>
      </c>
      <c r="AG447" s="36">
        <f>AG450-AG451+AG452</f>
        <v>24474.749</v>
      </c>
      <c r="AH447" s="36">
        <f>AH450-AH451+AH452</f>
        <v>24689.479</v>
      </c>
      <c r="AI447" s="36">
        <f>AI450-AI451+AI452</f>
        <v>25419.834</v>
      </c>
      <c r="AJ447" s="36">
        <f>AJ450-AJ451+AJ452</f>
        <v>25028.219</v>
      </c>
      <c r="AK447" s="36">
        <f>AK450-AK451+AK452</f>
        <v>25028.219</v>
      </c>
      <c r="AL447" s="36">
        <f>AL450-AL451+AL452</f>
        <v>25028.219</v>
      </c>
      <c r="AM447" s="36" t="e">
        <f>AM450-AM451+AM452</f>
        <v>#DIV/0!</v>
      </c>
      <c r="AN447" s="36">
        <f>AN450-AN451+AN452</f>
        <v>25028.219</v>
      </c>
      <c r="AO447" s="36" t="e">
        <f>AO450-AO451+AO452</f>
        <v>#DIV/0!</v>
      </c>
      <c r="AP447" s="36" t="e">
        <f>AP450-AP451+AP452</f>
        <v>#DIV/0!</v>
      </c>
      <c r="AQ447" s="36" t="e">
        <f>AQ450-AQ451+AQ452</f>
        <v>#DIV/0!</v>
      </c>
      <c r="AR447" s="36" t="e">
        <f>AR450-AR451+AR452</f>
        <v>#DIV/0!</v>
      </c>
      <c r="AS447" s="36" t="e">
        <f>AS450-AS451+AS452</f>
        <v>#DIV/0!</v>
      </c>
      <c r="AT447" s="36" t="e">
        <f>AT450-AT451+AT452</f>
        <v>#DIV/0!</v>
      </c>
      <c r="AU447" s="36" t="e">
        <f>AU450-AU451+AU452</f>
        <v>#DIV/0!</v>
      </c>
      <c r="AV447" s="36" t="e">
        <f>AV450-AV451+AV452</f>
        <v>#DIV/0!</v>
      </c>
      <c r="AW447" s="36" t="e">
        <f>AW450-AW451+AW452</f>
        <v>#DIV/0!</v>
      </c>
      <c r="AX447" s="36" t="e">
        <f>AX450-AX451+AX452</f>
        <v>#DIV/0!</v>
      </c>
      <c r="AY447" s="36" t="e">
        <f>AY450-AY451+AY452</f>
        <v>#DIV/0!</v>
      </c>
      <c r="AZ447" s="36" t="e">
        <f>AZ450-AZ451+AZ452</f>
        <v>#DIV/0!</v>
      </c>
      <c r="BA447" s="36" t="e">
        <f>BA450-BA451+BA452</f>
        <v>#DIV/0!</v>
      </c>
      <c r="BB447" s="36" t="e">
        <f>BB450-BB451+BB452</f>
        <v>#DIV/0!</v>
      </c>
      <c r="BC447" s="36" t="e">
        <f>BC450-BC451+BC452</f>
        <v>#DIV/0!</v>
      </c>
      <c r="BD447" s="36" t="e">
        <f>BD450-BD451+BD452</f>
        <v>#DIV/0!</v>
      </c>
      <c r="BE447" s="36" t="e">
        <f>BE450-BE451+BE452</f>
        <v>#DIV/0!</v>
      </c>
      <c r="BF447" s="36" t="e">
        <f>BF450-BF451+BF452</f>
        <v>#DIV/0!</v>
      </c>
      <c r="BG447" s="36" t="e">
        <f>BG450-BG451+BG452</f>
        <v>#DIV/0!</v>
      </c>
      <c r="BH447" s="36" t="e">
        <f>BH450-BH451+BH452</f>
        <v>#DIV/0!</v>
      </c>
      <c r="BI447" s="36" t="e">
        <f>BI450-BI451+BI452</f>
        <v>#DIV/0!</v>
      </c>
      <c r="BJ447" s="36" t="e">
        <f>BJ450-BJ451+BJ452</f>
        <v>#DIV/0!</v>
      </c>
      <c r="BK447" s="36" t="e">
        <f>BK450-BK451+BK452</f>
        <v>#DIV/0!</v>
      </c>
      <c r="BL447" s="36" t="e">
        <f>BL450-BL451+BL452</f>
        <v>#DIV/0!</v>
      </c>
      <c r="BM447" s="36" t="e">
        <f>BM450-BM451+BM452</f>
        <v>#DIV/0!</v>
      </c>
      <c r="BN447" s="36" t="e">
        <f>BN450-BN451+BN452</f>
        <v>#DIV/0!</v>
      </c>
      <c r="BO447" s="36" t="e">
        <f>BO450-BO451+BO452</f>
        <v>#DIV/0!</v>
      </c>
      <c r="BP447" s="36" t="e">
        <f>BP450-BP451+BP452</f>
        <v>#DIV/0!</v>
      </c>
      <c r="BQ447" s="36" t="e">
        <f>BQ450-BQ451+BQ452</f>
        <v>#DIV/0!</v>
      </c>
      <c r="BR447" s="36" t="e">
        <f>BR450-BR451+BR452</f>
        <v>#DIV/0!</v>
      </c>
      <c r="BS447" s="36" t="e">
        <f>BS450-BS451+BS452</f>
        <v>#DIV/0!</v>
      </c>
      <c r="BT447" s="36" t="e">
        <f>BT450-BT451+BT452</f>
        <v>#DIV/0!</v>
      </c>
      <c r="BU447" s="36" t="e">
        <f>BU450-BU451+BU452</f>
        <v>#DIV/0!</v>
      </c>
      <c r="BV447" s="36" t="e">
        <f>BV450-BV451+BV452</f>
        <v>#DIV/0!</v>
      </c>
      <c r="BW447" s="36" t="e">
        <f>BW450-BW451+BW452</f>
        <v>#DIV/0!</v>
      </c>
      <c r="BX447" s="36" t="e">
        <f>BX450-BX451+BX452</f>
        <v>#DIV/0!</v>
      </c>
      <c r="BY447" s="36" t="e">
        <f>BY450-BY451+BY452</f>
        <v>#DIV/0!</v>
      </c>
      <c r="BZ447" s="36" t="e">
        <f>BZ450-BZ451+BZ452</f>
        <v>#DIV/0!</v>
      </c>
      <c r="CA447" s="36" t="e">
        <f>CA450-CA451+CA452</f>
        <v>#DIV/0!</v>
      </c>
      <c r="CB447" s="36" t="e">
        <f>CB450-CB451+CB452</f>
        <v>#DIV/0!</v>
      </c>
      <c r="CC447" s="36" t="e">
        <f>CC450-CC451+CC452</f>
        <v>#DIV/0!</v>
      </c>
      <c r="CD447" s="36" t="e">
        <f>CD450-CD451+CD452</f>
        <v>#DIV/0!</v>
      </c>
      <c r="CE447" s="36" t="e">
        <f>CE450-CE451+CE452</f>
        <v>#DIV/0!</v>
      </c>
      <c r="CF447" s="36" t="e">
        <f>CF450-CF451+CF452</f>
        <v>#DIV/0!</v>
      </c>
      <c r="CG447" s="36" t="e">
        <f>CG450-CG451+CG452</f>
        <v>#DIV/0!</v>
      </c>
      <c r="CH447" s="36" t="e">
        <f>CH450-CH451+CH452</f>
        <v>#DIV/0!</v>
      </c>
      <c r="CI447" s="36" t="e">
        <f>CI450-CI451+CI452</f>
        <v>#DIV/0!</v>
      </c>
      <c r="CJ447" s="36" t="e">
        <f>CJ450-CJ451+CJ452</f>
        <v>#DIV/0!</v>
      </c>
      <c r="CK447" s="36" t="e">
        <f>CK450-CK451+CK452</f>
        <v>#DIV/0!</v>
      </c>
      <c r="CL447" s="36" t="e">
        <f>CL450-CL451+CL452</f>
        <v>#DIV/0!</v>
      </c>
      <c r="CM447" s="36" t="e">
        <f>CM450-CM451+CM452</f>
        <v>#DIV/0!</v>
      </c>
      <c r="CN447" s="36" t="e">
        <f>CN450-CN451+CN452</f>
        <v>#DIV/0!</v>
      </c>
      <c r="CO447" s="36" t="e">
        <f>CO450-CO451+CO452</f>
        <v>#DIV/0!</v>
      </c>
      <c r="CP447" s="36" t="e">
        <f>CP450-CP451+CP452</f>
        <v>#DIV/0!</v>
      </c>
      <c r="CQ447" s="36" t="e">
        <f>CQ450-CQ451+CQ452</f>
        <v>#DIV/0!</v>
      </c>
      <c r="CR447" s="36" t="e">
        <f>CR450-CR451+CR452</f>
        <v>#DIV/0!</v>
      </c>
      <c r="CS447" s="36" t="e">
        <f>CS450-CS451+CS452</f>
        <v>#DIV/0!</v>
      </c>
      <c r="CT447" s="36" t="e">
        <f>CT450-CT451+CT452</f>
        <v>#DIV/0!</v>
      </c>
      <c r="CU447" s="36" t="e">
        <f>CU450-CU451+CU452</f>
        <v>#DIV/0!</v>
      </c>
      <c r="CV447" s="36" t="e">
        <f>CV450-CV451+CV452</f>
        <v>#DIV/0!</v>
      </c>
      <c r="CW447" s="36" t="e">
        <f>CW450-CW451+CW452</f>
        <v>#DIV/0!</v>
      </c>
      <c r="CX447" s="36" t="e">
        <f>CX450-CX451+CX452</f>
        <v>#DIV/0!</v>
      </c>
      <c r="CY447" s="36" t="e">
        <f>CY450-CY451+CY452</f>
        <v>#DIV/0!</v>
      </c>
    </row>
    <row r="448" customFormat="1" s="233">
      <c r="A448" s="224" t="n"/>
      <c r="B448" s="224" t="n"/>
      <c r="C448" s="233" t="inlineStr">
        <is>
          <t>INVESTED CAPITAL - EX GOODWILL</t>
        </is>
      </c>
      <c r="D448" s="241">
        <f>D447-D276</f>
        <v>14196.722</v>
      </c>
      <c r="E448" s="241">
        <f>E447-E276</f>
        <v>14997.02</v>
      </c>
      <c r="F448" s="241">
        <f>F447-F276</f>
        <v>16198.72</v>
      </c>
      <c r="G448" s="241">
        <f>G447-G276</f>
        <v>17665.306</v>
      </c>
      <c r="H448" s="241">
        <f>H447-H276</f>
        <v>17665.306</v>
      </c>
      <c r="I448" s="226">
        <f>I447-I276</f>
        <v>18848.415</v>
      </c>
      <c r="J448" s="226">
        <f>J447-J276</f>
        <v>19792.476</v>
      </c>
      <c r="K448" s="226">
        <f>K447-K276</f>
        <v>20525.449</v>
      </c>
      <c r="L448" s="226">
        <f>L447-L276</f>
        <v>20947.795</v>
      </c>
      <c r="M448" s="226">
        <f>M447-M276</f>
        <v>20947.795</v>
      </c>
      <c r="N448" s="226">
        <f>N447-N276</f>
        <v>21234.908</v>
      </c>
      <c r="O448" s="226">
        <f>O447-O276</f>
        <v>21981.844</v>
      </c>
      <c r="P448" s="226">
        <f>P447-P276</f>
        <v>21892.042</v>
      </c>
      <c r="Q448" s="226">
        <f>Q447-Q276</f>
        <v>21888.593</v>
      </c>
      <c r="R448" s="226">
        <f>R447-R276</f>
        <v>21888.593</v>
      </c>
      <c r="S448" s="226">
        <f>S447-S276</f>
        <v>22264.284</v>
      </c>
      <c r="T448" s="226">
        <f>T447-T276</f>
        <v>22536.951</v>
      </c>
      <c r="U448" s="226">
        <f>U447-U276</f>
        <v>22342.47</v>
      </c>
      <c r="V448" s="226">
        <f>V447-V276</f>
        <v>22275.893</v>
      </c>
      <c r="W448" s="226">
        <f>W447-W276</f>
        <v>22275.893</v>
      </c>
      <c r="X448" s="226">
        <f>X447-X276</f>
        <v>22549.204</v>
      </c>
      <c r="Y448" s="226">
        <f>Y447-Y276</f>
        <v>22752.787</v>
      </c>
      <c r="Z448" s="226">
        <f>Z447-Z276</f>
        <v>23124.858</v>
      </c>
      <c r="AA448" s="226">
        <f>AA447-AA276</f>
        <v>23408.504</v>
      </c>
      <c r="AB448" s="226">
        <f>AB447-AB276</f>
        <v>23408.504</v>
      </c>
      <c r="AC448" s="226">
        <f>AC447-AC276</f>
        <v>23742.01</v>
      </c>
      <c r="AD448" s="226">
        <f>AD447-AD276</f>
        <v>23763.738</v>
      </c>
      <c r="AE448" s="226">
        <f>AE447-AE276</f>
        <v>24042.283</v>
      </c>
      <c r="AF448" s="226">
        <f>AF447-AF276</f>
        <v>24474.749</v>
      </c>
      <c r="AG448" s="226">
        <f>AG447-AG276</f>
        <v>24474.749</v>
      </c>
      <c r="AH448" s="226">
        <f>AH447-AH276</f>
        <v>24689.479</v>
      </c>
      <c r="AI448" s="226">
        <f>AI447-AI276</f>
        <v>25419.834</v>
      </c>
      <c r="AJ448" s="226">
        <f>AJ447-AJ276</f>
        <v>25028.219</v>
      </c>
      <c r="AK448" s="226">
        <f>AK447-AK276</f>
        <v>25028.219</v>
      </c>
      <c r="AL448" s="226">
        <f>AL447-AL276</f>
        <v>25028.219</v>
      </c>
      <c r="AM448" s="226" t="e">
        <f>AM447-AM276</f>
        <v>#DIV/0!</v>
      </c>
      <c r="AN448" s="226">
        <f>AN447-AN276</f>
        <v>25028.219</v>
      </c>
      <c r="AO448" s="226" t="e">
        <f>AO447-AO276</f>
        <v>#DIV/0!</v>
      </c>
      <c r="AP448" s="226" t="e">
        <f>AP447-AP276</f>
        <v>#DIV/0!</v>
      </c>
      <c r="AQ448" s="226" t="e">
        <f>AQ447-AQ276</f>
        <v>#DIV/0!</v>
      </c>
      <c r="AR448" s="226" t="e">
        <f>AR447-AR276</f>
        <v>#DIV/0!</v>
      </c>
      <c r="AS448" s="226" t="e">
        <f>AS447-AS276</f>
        <v>#DIV/0!</v>
      </c>
      <c r="AT448" s="226" t="e">
        <f>AT447-AT276</f>
        <v>#DIV/0!</v>
      </c>
      <c r="AU448" s="226" t="e">
        <f>AU447-AU276</f>
        <v>#DIV/0!</v>
      </c>
      <c r="AV448" s="226" t="e">
        <f>AV447-AV276</f>
        <v>#DIV/0!</v>
      </c>
      <c r="AW448" s="226" t="e">
        <f>AW447-AW276</f>
        <v>#DIV/0!</v>
      </c>
      <c r="AX448" s="226" t="e">
        <f>AX447-AX276</f>
        <v>#DIV/0!</v>
      </c>
      <c r="AY448" s="226" t="e">
        <f>AY447-AY276</f>
        <v>#DIV/0!</v>
      </c>
      <c r="AZ448" s="226" t="e">
        <f>AZ447-AZ276</f>
        <v>#DIV/0!</v>
      </c>
      <c r="BA448" s="226" t="e">
        <f>BA447-BA276</f>
        <v>#DIV/0!</v>
      </c>
      <c r="BB448" s="226" t="e">
        <f>BB447-BB276</f>
        <v>#DIV/0!</v>
      </c>
      <c r="BC448" s="226" t="e">
        <f>BC447-BC276</f>
        <v>#DIV/0!</v>
      </c>
      <c r="BD448" s="226" t="e">
        <f>BD447-BD276</f>
        <v>#DIV/0!</v>
      </c>
      <c r="BE448" s="226" t="e">
        <f>BE447-BE276</f>
        <v>#DIV/0!</v>
      </c>
      <c r="BF448" s="226" t="e">
        <f>BF447-BF276</f>
        <v>#DIV/0!</v>
      </c>
      <c r="BG448" s="226" t="e">
        <f>BG447-BG276</f>
        <v>#DIV/0!</v>
      </c>
      <c r="BH448" s="226" t="e">
        <f>BH447-BH276</f>
        <v>#DIV/0!</v>
      </c>
      <c r="BI448" s="226" t="e">
        <f>BI447-BI276</f>
        <v>#DIV/0!</v>
      </c>
      <c r="BJ448" s="226" t="e">
        <f>BJ447-BJ276</f>
        <v>#DIV/0!</v>
      </c>
      <c r="BK448" s="226" t="e">
        <f>BK447-BK276</f>
        <v>#DIV/0!</v>
      </c>
      <c r="BL448" s="226" t="e">
        <f>BL447-BL276</f>
        <v>#DIV/0!</v>
      </c>
      <c r="BM448" s="226" t="e">
        <f>BM447-BM276</f>
        <v>#DIV/0!</v>
      </c>
      <c r="BN448" s="226" t="e">
        <f>BN447-BN276</f>
        <v>#DIV/0!</v>
      </c>
      <c r="BO448" s="226" t="e">
        <f>BO447-BO276</f>
        <v>#DIV/0!</v>
      </c>
      <c r="BP448" s="226" t="e">
        <f>BP447-BP276</f>
        <v>#DIV/0!</v>
      </c>
      <c r="BQ448" s="226" t="e">
        <f>BQ447-BQ276</f>
        <v>#DIV/0!</v>
      </c>
      <c r="BR448" s="226" t="e">
        <f>BR447-BR276</f>
        <v>#DIV/0!</v>
      </c>
      <c r="BS448" s="226" t="e">
        <f>BS447-BS276</f>
        <v>#DIV/0!</v>
      </c>
      <c r="BT448" s="226" t="e">
        <f>BT447-BT276</f>
        <v>#DIV/0!</v>
      </c>
      <c r="BU448" s="226" t="e">
        <f>BU447-BU276</f>
        <v>#DIV/0!</v>
      </c>
      <c r="BV448" s="226" t="e">
        <f>BV447-BV276</f>
        <v>#DIV/0!</v>
      </c>
      <c r="BW448" s="226" t="e">
        <f>BW447-BW276</f>
        <v>#DIV/0!</v>
      </c>
      <c r="BX448" s="226" t="e">
        <f>BX447-BX276</f>
        <v>#DIV/0!</v>
      </c>
      <c r="BY448" s="226" t="e">
        <f>BY447-BY276</f>
        <v>#DIV/0!</v>
      </c>
      <c r="BZ448" s="226" t="e">
        <f>BZ447-BZ276</f>
        <v>#DIV/0!</v>
      </c>
      <c r="CA448" s="226" t="e">
        <f>CA447-CA276</f>
        <v>#DIV/0!</v>
      </c>
      <c r="CB448" s="226" t="e">
        <f>CB447-CB276</f>
        <v>#DIV/0!</v>
      </c>
      <c r="CC448" s="226" t="e">
        <f>CC447-CC276</f>
        <v>#DIV/0!</v>
      </c>
      <c r="CD448" s="226" t="e">
        <f>CD447-CD276</f>
        <v>#DIV/0!</v>
      </c>
      <c r="CE448" s="226" t="e">
        <f>CE447-CE276</f>
        <v>#DIV/0!</v>
      </c>
      <c r="CF448" s="226" t="e">
        <f>CF447-CF276</f>
        <v>#DIV/0!</v>
      </c>
      <c r="CG448" s="226" t="e">
        <f>CG447-CG276</f>
        <v>#DIV/0!</v>
      </c>
      <c r="CH448" s="226" t="e">
        <f>CH447-CH276</f>
        <v>#DIV/0!</v>
      </c>
      <c r="CI448" s="226" t="e">
        <f>CI447-CI276</f>
        <v>#DIV/0!</v>
      </c>
      <c r="CJ448" s="226" t="e">
        <f>CJ447-CJ276</f>
        <v>#DIV/0!</v>
      </c>
      <c r="CK448" s="226" t="e">
        <f>CK447-CK276</f>
        <v>#DIV/0!</v>
      </c>
      <c r="CL448" s="226" t="e">
        <f>CL447-CL276</f>
        <v>#DIV/0!</v>
      </c>
      <c r="CM448" s="226" t="e">
        <f>CM447-CM276</f>
        <v>#DIV/0!</v>
      </c>
      <c r="CN448" s="226" t="e">
        <f>CN447-CN276</f>
        <v>#DIV/0!</v>
      </c>
      <c r="CO448" s="226" t="e">
        <f>CO447-CO276</f>
        <v>#DIV/0!</v>
      </c>
      <c r="CP448" s="226" t="e">
        <f>CP447-CP276</f>
        <v>#DIV/0!</v>
      </c>
      <c r="CQ448" s="226" t="e">
        <f>CQ447-CQ276</f>
        <v>#DIV/0!</v>
      </c>
      <c r="CR448" s="226" t="e">
        <f>CR447-CR276</f>
        <v>#DIV/0!</v>
      </c>
      <c r="CS448" s="226" t="e">
        <f>CS447-CS276</f>
        <v>#DIV/0!</v>
      </c>
      <c r="CT448" s="226" t="e">
        <f>CT447-CT276</f>
        <v>#DIV/0!</v>
      </c>
      <c r="CU448" s="226" t="e">
        <f>CU447-CU276</f>
        <v>#DIV/0!</v>
      </c>
      <c r="CV448" s="226" t="e">
        <f>CV447-CV276</f>
        <v>#DIV/0!</v>
      </c>
      <c r="CW448" s="226" t="e">
        <f>CW447-CW276</f>
        <v>#DIV/0!</v>
      </c>
      <c r="CX448" s="226" t="e">
        <f>CX447-CX276</f>
        <v>#DIV/0!</v>
      </c>
      <c r="CY448" s="226" t="e">
        <f>CY447-CY276</f>
        <v>#DIV/0!</v>
      </c>
    </row>
    <row r="449" customFormat="1" s="233">
      <c r="A449" s="224" t="n"/>
      <c r="B449" s="224" t="n"/>
      <c r="C449" s="233" t="inlineStr">
        <is>
          <t>OPERATING WORKING CAPITAL</t>
        </is>
      </c>
      <c r="D449" s="242">
        <f>D450-D451</f>
        <v>325.928</v>
      </c>
      <c r="E449" s="242">
        <f>E450-E451</f>
        <v>418.345</v>
      </c>
      <c r="F449" s="242">
        <f>F450-F451</f>
        <v>663.847</v>
      </c>
      <c r="G449" s="242">
        <f>G450-G451</f>
        <v>551.056</v>
      </c>
      <c r="H449" s="242">
        <f>H450-H451</f>
        <v>551.056</v>
      </c>
      <c r="I449" s="36">
        <f>I450-I451</f>
        <v>802.959</v>
      </c>
      <c r="J449" s="36">
        <f>J450-J451</f>
        <v>1151.407</v>
      </c>
      <c r="K449" s="36">
        <f>K450-K451</f>
        <v>1381.111</v>
      </c>
      <c r="L449" s="36">
        <f>L450-L451</f>
        <v>1336.551</v>
      </c>
      <c r="M449" s="36">
        <f>M450-M451</f>
        <v>1336.551</v>
      </c>
      <c r="N449" s="36">
        <f>N450-N451</f>
        <v>948.993</v>
      </c>
      <c r="O449" s="36">
        <f>O450-O451</f>
        <v>1607.472</v>
      </c>
      <c r="P449" s="36">
        <f>P450-P451</f>
        <v>1501.017</v>
      </c>
      <c r="Q449" s="36">
        <f>Q450-Q451</f>
        <v>1339.69</v>
      </c>
      <c r="R449" s="36">
        <f>R450-R451</f>
        <v>1339.69</v>
      </c>
      <c r="S449" s="36">
        <f>S450-S451</f>
        <v>1483.033</v>
      </c>
      <c r="T449" s="36">
        <f>T450-T451</f>
        <v>1833.149</v>
      </c>
      <c r="U449" s="36">
        <f>U450-U451</f>
        <v>1705.385</v>
      </c>
      <c r="V449" s="36">
        <f>V450-V451</f>
        <v>1541.804</v>
      </c>
      <c r="W449" s="36">
        <f>W450-W451</f>
        <v>1541.804</v>
      </c>
      <c r="X449" s="36">
        <f>X450-X451</f>
        <v>1608.989</v>
      </c>
      <c r="Y449" s="36">
        <f>Y450-Y451</f>
        <v>1556.076</v>
      </c>
      <c r="Z449" s="36">
        <f>Z450-Z451</f>
        <v>1878.968</v>
      </c>
      <c r="AA449" s="36">
        <f>AA450-AA451</f>
        <v>1734.963</v>
      </c>
      <c r="AB449" s="36">
        <f>AB450-AB451</f>
        <v>1734.963</v>
      </c>
      <c r="AC449" s="36">
        <f>AC450-AC451</f>
        <v>1902.447</v>
      </c>
      <c r="AD449" s="36">
        <f>AD450-AD451</f>
        <v>1958.134</v>
      </c>
      <c r="AE449" s="36">
        <f>AE450-AE451</f>
        <v>2079.751</v>
      </c>
      <c r="AF449" s="36">
        <f>AF450-AF451</f>
        <v>2077.278</v>
      </c>
      <c r="AG449" s="36">
        <f>AG450-AG451</f>
        <v>2077.278</v>
      </c>
      <c r="AH449" s="36">
        <f>AH450-AH451</f>
        <v>2208.213</v>
      </c>
      <c r="AI449" s="36">
        <f>AI450-AI451</f>
        <v>2450.882</v>
      </c>
      <c r="AJ449" s="36">
        <f>AJ450-AJ451</f>
        <v>2652.692</v>
      </c>
      <c r="AK449" s="36">
        <f>AK450-AK451</f>
        <v>2652.692</v>
      </c>
      <c r="AL449" s="36">
        <f>AL450-AL451</f>
        <v>2652.692</v>
      </c>
      <c r="AM449" s="36" t="e">
        <f>AM450-AM451</f>
        <v>#DIV/0!</v>
      </c>
      <c r="AN449" s="36">
        <f>AN450-AN451</f>
        <v>2652.692</v>
      </c>
      <c r="AO449" s="36" t="e">
        <f>AO450-AO451</f>
        <v>#DIV/0!</v>
      </c>
      <c r="AP449" s="36" t="e">
        <f>AP450-AP451</f>
        <v>#DIV/0!</v>
      </c>
      <c r="AQ449" s="36" t="e">
        <f>AQ450-AQ451</f>
        <v>#DIV/0!</v>
      </c>
      <c r="AR449" s="36" t="e">
        <f>AR450-AR451</f>
        <v>#DIV/0!</v>
      </c>
      <c r="AS449" s="36" t="e">
        <f>AS450-AS451</f>
        <v>#DIV/0!</v>
      </c>
      <c r="AT449" s="36" t="e">
        <f>AT450-AT451</f>
        <v>#DIV/0!</v>
      </c>
      <c r="AU449" s="36" t="e">
        <f>AU450-AU451</f>
        <v>#DIV/0!</v>
      </c>
      <c r="AV449" s="36" t="e">
        <f>AV450-AV451</f>
        <v>#DIV/0!</v>
      </c>
      <c r="AW449" s="36" t="e">
        <f>AW450-AW451</f>
        <v>#DIV/0!</v>
      </c>
      <c r="AX449" s="36" t="e">
        <f>AX450-AX451</f>
        <v>#DIV/0!</v>
      </c>
      <c r="AY449" s="36" t="e">
        <f>AY450-AY451</f>
        <v>#DIV/0!</v>
      </c>
      <c r="AZ449" s="36" t="e">
        <f>AZ450-AZ451</f>
        <v>#DIV/0!</v>
      </c>
      <c r="BA449" s="36" t="e">
        <f>BA450-BA451</f>
        <v>#DIV/0!</v>
      </c>
      <c r="BB449" s="36" t="e">
        <f>BB450-BB451</f>
        <v>#DIV/0!</v>
      </c>
      <c r="BC449" s="36" t="e">
        <f>BC450-BC451</f>
        <v>#DIV/0!</v>
      </c>
      <c r="BD449" s="36" t="e">
        <f>BD450-BD451</f>
        <v>#DIV/0!</v>
      </c>
      <c r="BE449" s="36" t="e">
        <f>BE450-BE451</f>
        <v>#DIV/0!</v>
      </c>
      <c r="BF449" s="36" t="e">
        <f>BF450-BF451</f>
        <v>#DIV/0!</v>
      </c>
      <c r="BG449" s="36" t="e">
        <f>BG450-BG451</f>
        <v>#DIV/0!</v>
      </c>
      <c r="BH449" s="36" t="e">
        <f>BH450-BH451</f>
        <v>#DIV/0!</v>
      </c>
      <c r="BI449" s="36" t="e">
        <f>BI450-BI451</f>
        <v>#DIV/0!</v>
      </c>
      <c r="BJ449" s="36" t="e">
        <f>BJ450-BJ451</f>
        <v>#DIV/0!</v>
      </c>
      <c r="BK449" s="36" t="e">
        <f>BK450-BK451</f>
        <v>#DIV/0!</v>
      </c>
      <c r="BL449" s="36" t="e">
        <f>BL450-BL451</f>
        <v>#DIV/0!</v>
      </c>
      <c r="BM449" s="36" t="e">
        <f>BM450-BM451</f>
        <v>#DIV/0!</v>
      </c>
      <c r="BN449" s="36" t="e">
        <f>BN450-BN451</f>
        <v>#DIV/0!</v>
      </c>
      <c r="BO449" s="36" t="e">
        <f>BO450-BO451</f>
        <v>#DIV/0!</v>
      </c>
      <c r="BP449" s="36" t="e">
        <f>BP450-BP451</f>
        <v>#DIV/0!</v>
      </c>
      <c r="BQ449" s="36" t="e">
        <f>BQ450-BQ451</f>
        <v>#DIV/0!</v>
      </c>
      <c r="BR449" s="36" t="e">
        <f>BR450-BR451</f>
        <v>#DIV/0!</v>
      </c>
      <c r="BS449" s="36" t="e">
        <f>BS450-BS451</f>
        <v>#DIV/0!</v>
      </c>
      <c r="BT449" s="36" t="e">
        <f>BT450-BT451</f>
        <v>#DIV/0!</v>
      </c>
      <c r="BU449" s="36" t="e">
        <f>BU450-BU451</f>
        <v>#DIV/0!</v>
      </c>
      <c r="BV449" s="36" t="e">
        <f>BV450-BV451</f>
        <v>#DIV/0!</v>
      </c>
      <c r="BW449" s="36" t="e">
        <f>BW450-BW451</f>
        <v>#DIV/0!</v>
      </c>
      <c r="BX449" s="36" t="e">
        <f>BX450-BX451</f>
        <v>#DIV/0!</v>
      </c>
      <c r="BY449" s="36" t="e">
        <f>BY450-BY451</f>
        <v>#DIV/0!</v>
      </c>
      <c r="BZ449" s="36" t="e">
        <f>BZ450-BZ451</f>
        <v>#DIV/0!</v>
      </c>
      <c r="CA449" s="36" t="e">
        <f>CA450-CA451</f>
        <v>#DIV/0!</v>
      </c>
      <c r="CB449" s="36" t="e">
        <f>CB450-CB451</f>
        <v>#DIV/0!</v>
      </c>
      <c r="CC449" s="36" t="e">
        <f>CC450-CC451</f>
        <v>#DIV/0!</v>
      </c>
      <c r="CD449" s="36" t="e">
        <f>CD450-CD451</f>
        <v>#DIV/0!</v>
      </c>
      <c r="CE449" s="36" t="e">
        <f>CE450-CE451</f>
        <v>#DIV/0!</v>
      </c>
      <c r="CF449" s="36" t="e">
        <f>CF450-CF451</f>
        <v>#DIV/0!</v>
      </c>
      <c r="CG449" s="36" t="e">
        <f>CG450-CG451</f>
        <v>#DIV/0!</v>
      </c>
      <c r="CH449" s="36" t="e">
        <f>CH450-CH451</f>
        <v>#DIV/0!</v>
      </c>
      <c r="CI449" s="36" t="e">
        <f>CI450-CI451</f>
        <v>#DIV/0!</v>
      </c>
      <c r="CJ449" s="36" t="e">
        <f>CJ450-CJ451</f>
        <v>#DIV/0!</v>
      </c>
      <c r="CK449" s="36" t="e">
        <f>CK450-CK451</f>
        <v>#DIV/0!</v>
      </c>
      <c r="CL449" s="36" t="e">
        <f>CL450-CL451</f>
        <v>#DIV/0!</v>
      </c>
      <c r="CM449" s="36" t="e">
        <f>CM450-CM451</f>
        <v>#DIV/0!</v>
      </c>
      <c r="CN449" s="36" t="e">
        <f>CN450-CN451</f>
        <v>#DIV/0!</v>
      </c>
      <c r="CO449" s="36" t="e">
        <f>CO450-CO451</f>
        <v>#DIV/0!</v>
      </c>
      <c r="CP449" s="36" t="e">
        <f>CP450-CP451</f>
        <v>#DIV/0!</v>
      </c>
      <c r="CQ449" s="36" t="e">
        <f>CQ450-CQ451</f>
        <v>#DIV/0!</v>
      </c>
      <c r="CR449" s="36" t="e">
        <f>CR450-CR451</f>
        <v>#DIV/0!</v>
      </c>
      <c r="CS449" s="36" t="e">
        <f>CS450-CS451</f>
        <v>#DIV/0!</v>
      </c>
      <c r="CT449" s="36" t="e">
        <f>CT450-CT451</f>
        <v>#DIV/0!</v>
      </c>
      <c r="CU449" s="36" t="e">
        <f>CU450-CU451</f>
        <v>#DIV/0!</v>
      </c>
      <c r="CV449" s="36" t="e">
        <f>CV450-CV451</f>
        <v>#DIV/0!</v>
      </c>
      <c r="CW449" s="36" t="e">
        <f>CW450-CW451</f>
        <v>#DIV/0!</v>
      </c>
      <c r="CX449" s="36" t="e">
        <f>CX450-CX451</f>
        <v>#DIV/0!</v>
      </c>
      <c r="CY449" s="36" t="e">
        <f>CY450-CY451</f>
        <v>#DIV/0!</v>
      </c>
    </row>
    <row r="450" customFormat="1" s="233">
      <c r="A450" s="224" t="n"/>
      <c r="B450" s="224" t="n"/>
      <c r="C450" s="233" t="inlineStr">
        <is>
          <t>CURRENT ASSETS</t>
        </is>
      </c>
      <c r="D450" s="241">
        <f>D242+D246+D250+D251+D252</f>
        <v>1552.286</v>
      </c>
      <c r="E450" s="241">
        <f>E242+E246+E250+E251+E252</f>
        <v>1532.622</v>
      </c>
      <c r="F450" s="241">
        <f>F242+F246+F250+F251+F252</f>
        <v>1705.561</v>
      </c>
      <c r="G450" s="241">
        <f>G242+G246+G250+G251+G252</f>
        <v>2010.2</v>
      </c>
      <c r="H450" s="241">
        <f>H242+H246+H250+H251+H252</f>
        <v>2010.2</v>
      </c>
      <c r="I450" s="226">
        <f>I242+I246+I250+I251+I252</f>
        <v>2143.053</v>
      </c>
      <c r="J450" s="226">
        <f>J242+J246+J250+J251+J252</f>
        <v>2234.55</v>
      </c>
      <c r="K450" s="226">
        <f>K242+K246+K250+K251+K252</f>
        <v>2294.652</v>
      </c>
      <c r="L450" s="226">
        <f>L242+L246+L250+L251+L252</f>
        <v>2489.291</v>
      </c>
      <c r="M450" s="226">
        <f>M242+M246+M250+M251+M252</f>
        <v>2489.291</v>
      </c>
      <c r="N450" s="226">
        <f>N242+N246+N250+N251+N252</f>
        <v>2519.634</v>
      </c>
      <c r="O450" s="226">
        <f>O242+O246+O250+O251+O252</f>
        <v>2628.333</v>
      </c>
      <c r="P450" s="226">
        <f>P242+P246+P250+P251+P252</f>
        <v>2633.901</v>
      </c>
      <c r="Q450" s="226">
        <f>Q242+Q246+Q250+Q251+Q252</f>
        <v>2738.325</v>
      </c>
      <c r="R450" s="226">
        <f>R242+R246+R250+R251+R252</f>
        <v>2738.325</v>
      </c>
      <c r="S450" s="226">
        <f>S242+S246+S250+S251+S252</f>
        <v>2817.604</v>
      </c>
      <c r="T450" s="226">
        <f>T242+T246+T250+T251+T252</f>
        <v>2692.743</v>
      </c>
      <c r="U450" s="226">
        <f>U242+U246+U250+U251+U252</f>
        <v>2722.172</v>
      </c>
      <c r="V450" s="226">
        <f>V242+V246+V250+V251+V252</f>
        <v>2646.89</v>
      </c>
      <c r="W450" s="226">
        <f>W242+W246+W250+W251+W252</f>
        <v>2646.89</v>
      </c>
      <c r="X450" s="226">
        <f>X242+X246+X250+X251+X252</f>
        <v>2667.062</v>
      </c>
      <c r="Y450" s="226">
        <f>Y242+Y246+Y250+Y251+Y252</f>
        <v>2723.027</v>
      </c>
      <c r="Z450" s="226">
        <f>Z242+Z246+Z250+Z251+Z252</f>
        <v>2753.016</v>
      </c>
      <c r="AA450" s="226">
        <f>AA242+AA246+AA250+AA251+AA252</f>
        <v>2810.488</v>
      </c>
      <c r="AB450" s="226">
        <f>AB242+AB246+AB250+AB251+AB252</f>
        <v>2810.488</v>
      </c>
      <c r="AC450" s="226">
        <f>AC242+AC246+AC250+AC251+AC252</f>
        <v>2915.409</v>
      </c>
      <c r="AD450" s="226">
        <f>AD242+AD246+AD250+AD251+AD252</f>
        <v>3035.123</v>
      </c>
      <c r="AE450" s="226">
        <f>AE242+AE246+AE250+AE251+AE252</f>
        <v>3040.257</v>
      </c>
      <c r="AF450" s="226">
        <f>AF242+AF246+AF250+AF251+AF252</f>
        <v>3170.999</v>
      </c>
      <c r="AG450" s="226">
        <f>AG242+AG246+AG250+AG251+AG252</f>
        <v>3170.999</v>
      </c>
      <c r="AH450" s="226">
        <f>AH242+AH246+AH250+AH251+AH252</f>
        <v>3227.071</v>
      </c>
      <c r="AI450" s="226">
        <f>AI242+AI246+AI250+AI251+AI252</f>
        <v>3609.043</v>
      </c>
      <c r="AJ450" s="226">
        <f>AJ242+AJ246+AJ250+AJ251+AJ252</f>
        <v>3248.775</v>
      </c>
      <c r="AK450" s="226">
        <f>AK242+AK246+AK250+AK251+AK252</f>
        <v>3248.775</v>
      </c>
      <c r="AL450" s="226">
        <f>AL242+AL246+AL250+AL251+AL252</f>
        <v>3248.775</v>
      </c>
      <c r="AM450" s="226">
        <f>AM242+AM246+AM250+AM251+AM252</f>
        <v>3248.775</v>
      </c>
      <c r="AN450" s="226">
        <f>AN242+AN246+AN250+AN251+AN252</f>
        <v>3248.775</v>
      </c>
      <c r="AO450" s="226">
        <f>AO242+AO246+AO250+AO251+AO252</f>
        <v>3248.775</v>
      </c>
      <c r="AP450" s="226">
        <f>AP242+AP246+AP250+AP251+AP252</f>
        <v>3248.775</v>
      </c>
      <c r="AQ450" s="226">
        <f>AQ242+AQ246+AQ250+AQ251+AQ252</f>
        <v>3248.775</v>
      </c>
      <c r="AR450" s="226">
        <f>AR242+AR246+AR250+AR251+AR252</f>
        <v>3248.775</v>
      </c>
      <c r="AS450" s="226">
        <f>AS242+AS246+AS250+AS251+AS252</f>
        <v>3248.775</v>
      </c>
      <c r="AT450" s="226">
        <f>AT242+AT246+AT250+AT251+AT252</f>
        <v>3248.775</v>
      </c>
      <c r="AU450" s="226">
        <f>AU242+AU246+AU250+AU251+AU252</f>
        <v>3248.775</v>
      </c>
      <c r="AV450" s="226">
        <f>AV242+AV246+AV250+AV251+AV252</f>
        <v>3248.775</v>
      </c>
      <c r="AW450" s="226">
        <f>AW242+AW246+AW250+AW251+AW252</f>
        <v>3248.775</v>
      </c>
      <c r="AX450" s="226">
        <f>AX242+AX246+AX250+AX251+AX252</f>
        <v>3248.775</v>
      </c>
      <c r="AY450" s="226">
        <f>AY242+AY246+AY250+AY251+AY252</f>
        <v>3248.775</v>
      </c>
      <c r="AZ450" s="226">
        <f>AZ242+AZ246+AZ250+AZ251+AZ252</f>
        <v>3248.775</v>
      </c>
      <c r="BA450" s="226">
        <f>BA242+BA246+BA250+BA251+BA252</f>
        <v>3248.775</v>
      </c>
      <c r="BB450" s="226">
        <f>BB242+BB246+BB250+BB251+BB252</f>
        <v>3248.775</v>
      </c>
      <c r="BC450" s="226">
        <f>BC242+BC246+BC250+BC251+BC252</f>
        <v>3248.775</v>
      </c>
      <c r="BD450" s="226">
        <f>BD242+BD246+BD250+BD251+BD252</f>
        <v>3248.775</v>
      </c>
      <c r="BE450" s="226">
        <f>BE242+BE246+BE250+BE251+BE252</f>
        <v>3248.775</v>
      </c>
      <c r="BF450" s="226">
        <f>BF242+BF246+BF250+BF251+BF252</f>
        <v>3248.775</v>
      </c>
      <c r="BG450" s="226">
        <f>BG242+BG246+BG250+BG251+BG252</f>
        <v>3248.775</v>
      </c>
      <c r="BH450" s="226">
        <f>BH242+BH246+BH250+BH251+BH252</f>
        <v>3248.775</v>
      </c>
      <c r="BI450" s="226">
        <f>BI242+BI246+BI250+BI251+BI252</f>
        <v>3248.775</v>
      </c>
      <c r="BJ450" s="226">
        <f>BJ242+BJ246+BJ250+BJ251+BJ252</f>
        <v>3248.775</v>
      </c>
      <c r="BK450" s="226">
        <f>BK242+BK246+BK250+BK251+BK252</f>
        <v>3248.775</v>
      </c>
      <c r="BL450" s="226">
        <f>BL242+BL246+BL250+BL251+BL252</f>
        <v>3248.775</v>
      </c>
      <c r="BM450" s="226">
        <f>BM242+BM246+BM250+BM251+BM252</f>
        <v>3248.775</v>
      </c>
      <c r="BN450" s="226">
        <f>BN242+BN246+BN250+BN251+BN252</f>
        <v>3248.775</v>
      </c>
      <c r="BO450" s="226">
        <f>BO242+BO246+BO250+BO251+BO252</f>
        <v>3248.775</v>
      </c>
      <c r="BP450" s="226">
        <f>BP242+BP246+BP250+BP251+BP252</f>
        <v>3248.775</v>
      </c>
      <c r="BQ450" s="226">
        <f>BQ242+BQ246+BQ250+BQ251+BQ252</f>
        <v>3248.775</v>
      </c>
      <c r="BR450" s="226">
        <f>BR242+BR246+BR250+BR251+BR252</f>
        <v>3248.775</v>
      </c>
      <c r="BS450" s="226">
        <f>BS242+BS246+BS250+BS251+BS252</f>
        <v>3248.775</v>
      </c>
      <c r="BT450" s="226">
        <f>BT242+BT246+BT250+BT251+BT252</f>
        <v>3248.775</v>
      </c>
      <c r="BU450" s="226">
        <f>BU242+BU246+BU250+BU251+BU252</f>
        <v>3248.775</v>
      </c>
      <c r="BV450" s="226">
        <f>BV242+BV246+BV250+BV251+BV252</f>
        <v>3248.775</v>
      </c>
      <c r="BW450" s="226">
        <f>BW242+BW246+BW250+BW251+BW252</f>
        <v>3248.775</v>
      </c>
      <c r="BX450" s="226">
        <f>BX242+BX246+BX250+BX251+BX252</f>
        <v>3248.775</v>
      </c>
      <c r="BY450" s="226">
        <f>BY242+BY246+BY250+BY251+BY252</f>
        <v>3248.775</v>
      </c>
      <c r="BZ450" s="226">
        <f>BZ242+BZ246+BZ250+BZ251+BZ252</f>
        <v>3248.775</v>
      </c>
      <c r="CA450" s="226">
        <f>CA242+CA246+CA250+CA251+CA252</f>
        <v>3248.775</v>
      </c>
      <c r="CB450" s="226">
        <f>CB242+CB246+CB250+CB251+CB252</f>
        <v>3248.775</v>
      </c>
      <c r="CC450" s="226">
        <f>CC242+CC246+CC250+CC251+CC252</f>
        <v>3248.775</v>
      </c>
      <c r="CD450" s="226">
        <f>CD242+CD246+CD250+CD251+CD252</f>
        <v>3248.775</v>
      </c>
      <c r="CE450" s="226">
        <f>CE242+CE246+CE250+CE251+CE252</f>
        <v>3248.775</v>
      </c>
      <c r="CF450" s="226">
        <f>CF242+CF246+CF250+CF251+CF252</f>
        <v>3248.775</v>
      </c>
      <c r="CG450" s="226">
        <f>CG242+CG246+CG250+CG251+CG252</f>
        <v>3248.775</v>
      </c>
      <c r="CH450" s="226">
        <f>CH242+CH246+CH250+CH251+CH252</f>
        <v>3248.775</v>
      </c>
      <c r="CI450" s="226">
        <f>CI242+CI246+CI250+CI251+CI252</f>
        <v>3248.775</v>
      </c>
      <c r="CJ450" s="226">
        <f>CJ242+CJ246+CJ250+CJ251+CJ252</f>
        <v>3248.775</v>
      </c>
      <c r="CK450" s="226">
        <f>CK242+CK246+CK250+CK251+CK252</f>
        <v>3248.775</v>
      </c>
      <c r="CL450" s="226">
        <f>CL242+CL246+CL250+CL251+CL252</f>
        <v>3248.775</v>
      </c>
      <c r="CM450" s="226">
        <f>CM242+CM246+CM250+CM251+CM252</f>
        <v>3248.775</v>
      </c>
      <c r="CN450" s="226">
        <f>CN242+CN246+CN250+CN251+CN252</f>
        <v>3248.775</v>
      </c>
      <c r="CO450" s="226">
        <f>CO242+CO246+CO250+CO251+CO252</f>
        <v>3248.775</v>
      </c>
      <c r="CP450" s="226">
        <f>CP242+CP246+CP250+CP251+CP252</f>
        <v>3248.775</v>
      </c>
      <c r="CQ450" s="226">
        <f>CQ242+CQ246+CQ250+CQ251+CQ252</f>
        <v>3248.775</v>
      </c>
      <c r="CR450" s="226">
        <f>CR242+CR246+CR250+CR251+CR252</f>
        <v>3248.775</v>
      </c>
      <c r="CS450" s="226">
        <f>CS242+CS246+CS250+CS251+CS252</f>
        <v>3248.775</v>
      </c>
      <c r="CT450" s="226">
        <f>CT242+CT246+CT250+CT251+CT252</f>
        <v>3248.775</v>
      </c>
      <c r="CU450" s="226">
        <f>CU242+CU246+CU250+CU251+CU252</f>
        <v>3248.775</v>
      </c>
      <c r="CV450" s="226">
        <f>CV242+CV246+CV250+CV251+CV252</f>
        <v>3248.775</v>
      </c>
      <c r="CW450" s="226">
        <f>CW242+CW246+CW250+CW251+CW252</f>
        <v>3248.775</v>
      </c>
      <c r="CX450" s="226">
        <f>CX242+CX246+CX250+CX251+CX252</f>
        <v>3248.775</v>
      </c>
      <c r="CY450" s="226">
        <f>CY242+CY246+CY250+CY251+CY252</f>
        <v>3248.775</v>
      </c>
    </row>
    <row r="451" customFormat="1" s="233">
      <c r="A451" s="224" t="n"/>
      <c r="B451" s="224" t="n"/>
      <c r="C451" s="233" t="inlineStr">
        <is>
          <t>CURRENT LIABILITIES</t>
        </is>
      </c>
      <c r="D451" s="241">
        <f>D295+D299+D301+D302</f>
        <v>1226.358</v>
      </c>
      <c r="E451" s="241">
        <f>E295+E299+E301+E302</f>
        <v>1114.277</v>
      </c>
      <c r="F451" s="241">
        <f>F295+F299+F301+F302</f>
        <v>1041.714</v>
      </c>
      <c r="G451" s="241">
        <f>G295+G299+G301+G302</f>
        <v>1459.144</v>
      </c>
      <c r="H451" s="241">
        <f>H295+H299+H301+H302</f>
        <v>1459.144</v>
      </c>
      <c r="I451" s="226">
        <f>I295+I299+I301+I302</f>
        <v>1340.094</v>
      </c>
      <c r="J451" s="226">
        <f>J295+J299+J301+J302</f>
        <v>1083.143</v>
      </c>
      <c r="K451" s="226">
        <f>K295+K299+K301+K302</f>
        <v>913.541</v>
      </c>
      <c r="L451" s="226">
        <f>L295+L299+L301+L302</f>
        <v>1152.74</v>
      </c>
      <c r="M451" s="226">
        <f>M295+M299+M301+M302</f>
        <v>1152.74</v>
      </c>
      <c r="N451" s="226">
        <f>N295+N299+N301+N302</f>
        <v>1570.641</v>
      </c>
      <c r="O451" s="226">
        <f>O295+O299+O301+O302</f>
        <v>1020.861</v>
      </c>
      <c r="P451" s="226">
        <f>P295+P299+P301+P302</f>
        <v>1132.884</v>
      </c>
      <c r="Q451" s="226">
        <f>Q295+Q299+Q301+Q302</f>
        <v>1398.635</v>
      </c>
      <c r="R451" s="226">
        <f>R295+R299+R301+R302</f>
        <v>1398.635</v>
      </c>
      <c r="S451" s="226">
        <f>S295+S299+S301+S302</f>
        <v>1334.571</v>
      </c>
      <c r="T451" s="226">
        <f>T295+T299+T301+T302</f>
        <v>859.594</v>
      </c>
      <c r="U451" s="226">
        <f>U295+U299+U301+U302</f>
        <v>1016.787</v>
      </c>
      <c r="V451" s="226">
        <f>V295+V299+V301+V302</f>
        <v>1105.086</v>
      </c>
      <c r="W451" s="226">
        <f>W295+W299+W301+W302</f>
        <v>1105.086</v>
      </c>
      <c r="X451" s="226">
        <f>X295+X299+X301+X302</f>
        <v>1058.073</v>
      </c>
      <c r="Y451" s="226">
        <f>Y295+Y299+Y301+Y302</f>
        <v>1166.951</v>
      </c>
      <c r="Z451" s="226">
        <f>Z295+Z299+Z301+Z302</f>
        <v>874.048</v>
      </c>
      <c r="AA451" s="226">
        <f>AA295+AA299+AA301+AA302</f>
        <v>1075.525</v>
      </c>
      <c r="AB451" s="226">
        <f>AB295+AB299+AB301+AB302</f>
        <v>1075.525</v>
      </c>
      <c r="AC451" s="226">
        <f>AC295+AC299+AC301+AC302</f>
        <v>1012.962</v>
      </c>
      <c r="AD451" s="226">
        <f>AD295+AD299+AD301+AD302</f>
        <v>1076.989</v>
      </c>
      <c r="AE451" s="226">
        <f>AE295+AE299+AE301+AE302</f>
        <v>960.506</v>
      </c>
      <c r="AF451" s="226">
        <f>AF295+AF299+AF301+AF302</f>
        <v>1093.721</v>
      </c>
      <c r="AG451" s="226">
        <f>AG295+AG299+AG301+AG302</f>
        <v>1093.721</v>
      </c>
      <c r="AH451" s="226">
        <f>AH295+AH299+AH301+AH302</f>
        <v>1018.858</v>
      </c>
      <c r="AI451" s="226">
        <f>AI295+AI299+AI301+AI302</f>
        <v>1158.161</v>
      </c>
      <c r="AJ451" s="226">
        <f>AJ295+AJ299+AJ301+AJ302</f>
        <v>596.083</v>
      </c>
      <c r="AK451" s="226">
        <f>AK295+AK299+AK301+AK302</f>
        <v>596.083</v>
      </c>
      <c r="AL451" s="226">
        <f>AL295+AL299+AL301+AL302</f>
        <v>596.083</v>
      </c>
      <c r="AM451" s="226" t="e">
        <f>AM295+AM299+AM301+AM302</f>
        <v>#DIV/0!</v>
      </c>
      <c r="AN451" s="226">
        <f>AN295+AN299+AN301+AN302</f>
        <v>596.083</v>
      </c>
      <c r="AO451" s="226" t="e">
        <f>AO295+AO299+AO301+AO302</f>
        <v>#DIV/0!</v>
      </c>
      <c r="AP451" s="226" t="e">
        <f>AP295+AP299+AP301+AP302</f>
        <v>#DIV/0!</v>
      </c>
      <c r="AQ451" s="226" t="e">
        <f>AQ295+AQ299+AQ301+AQ302</f>
        <v>#DIV/0!</v>
      </c>
      <c r="AR451" s="226" t="e">
        <f>AR295+AR299+AR301+AR302</f>
        <v>#DIV/0!</v>
      </c>
      <c r="AS451" s="226" t="e">
        <f>AS295+AS299+AS301+AS302</f>
        <v>#DIV/0!</v>
      </c>
      <c r="AT451" s="226" t="e">
        <f>AT295+AT299+AT301+AT302</f>
        <v>#DIV/0!</v>
      </c>
      <c r="AU451" s="226" t="e">
        <f>AU295+AU299+AU301+AU302</f>
        <v>#DIV/0!</v>
      </c>
      <c r="AV451" s="226" t="e">
        <f>AV295+AV299+AV301+AV302</f>
        <v>#DIV/0!</v>
      </c>
      <c r="AW451" s="226" t="e">
        <f>AW295+AW299+AW301+AW302</f>
        <v>#DIV/0!</v>
      </c>
      <c r="AX451" s="226" t="e">
        <f>AX295+AX299+AX301+AX302</f>
        <v>#DIV/0!</v>
      </c>
      <c r="AY451" s="226" t="e">
        <f>AY295+AY299+AY301+AY302</f>
        <v>#DIV/0!</v>
      </c>
      <c r="AZ451" s="226" t="e">
        <f>AZ295+AZ299+AZ301+AZ302</f>
        <v>#DIV/0!</v>
      </c>
      <c r="BA451" s="226" t="e">
        <f>BA295+BA299+BA301+BA302</f>
        <v>#DIV/0!</v>
      </c>
      <c r="BB451" s="226" t="e">
        <f>BB295+BB299+BB301+BB302</f>
        <v>#DIV/0!</v>
      </c>
      <c r="BC451" s="226" t="e">
        <f>BC295+BC299+BC301+BC302</f>
        <v>#DIV/0!</v>
      </c>
      <c r="BD451" s="226" t="e">
        <f>BD295+BD299+BD301+BD302</f>
        <v>#DIV/0!</v>
      </c>
      <c r="BE451" s="226" t="e">
        <f>BE295+BE299+BE301+BE302</f>
        <v>#DIV/0!</v>
      </c>
      <c r="BF451" s="226" t="e">
        <f>BF295+BF299+BF301+BF302</f>
        <v>#DIV/0!</v>
      </c>
      <c r="BG451" s="226" t="e">
        <f>BG295+BG299+BG301+BG302</f>
        <v>#DIV/0!</v>
      </c>
      <c r="BH451" s="226" t="e">
        <f>BH295+BH299+BH301+BH302</f>
        <v>#DIV/0!</v>
      </c>
      <c r="BI451" s="226" t="e">
        <f>BI295+BI299+BI301+BI302</f>
        <v>#DIV/0!</v>
      </c>
      <c r="BJ451" s="226" t="e">
        <f>BJ295+BJ299+BJ301+BJ302</f>
        <v>#DIV/0!</v>
      </c>
      <c r="BK451" s="226" t="e">
        <f>BK295+BK299+BK301+BK302</f>
        <v>#DIV/0!</v>
      </c>
      <c r="BL451" s="226" t="e">
        <f>BL295+BL299+BL301+BL302</f>
        <v>#DIV/0!</v>
      </c>
      <c r="BM451" s="226" t="e">
        <f>BM295+BM299+BM301+BM302</f>
        <v>#DIV/0!</v>
      </c>
      <c r="BN451" s="226" t="e">
        <f>BN295+BN299+BN301+BN302</f>
        <v>#DIV/0!</v>
      </c>
      <c r="BO451" s="226" t="e">
        <f>BO295+BO299+BO301+BO302</f>
        <v>#DIV/0!</v>
      </c>
      <c r="BP451" s="226" t="e">
        <f>BP295+BP299+BP301+BP302</f>
        <v>#DIV/0!</v>
      </c>
      <c r="BQ451" s="226" t="e">
        <f>BQ295+BQ299+BQ301+BQ302</f>
        <v>#DIV/0!</v>
      </c>
      <c r="BR451" s="226" t="e">
        <f>BR295+BR299+BR301+BR302</f>
        <v>#DIV/0!</v>
      </c>
      <c r="BS451" s="226" t="e">
        <f>BS295+BS299+BS301+BS302</f>
        <v>#DIV/0!</v>
      </c>
      <c r="BT451" s="226" t="e">
        <f>BT295+BT299+BT301+BT302</f>
        <v>#DIV/0!</v>
      </c>
      <c r="BU451" s="226" t="e">
        <f>BU295+BU299+BU301+BU302</f>
        <v>#DIV/0!</v>
      </c>
      <c r="BV451" s="226" t="e">
        <f>BV295+BV299+BV301+BV302</f>
        <v>#DIV/0!</v>
      </c>
      <c r="BW451" s="226" t="e">
        <f>BW295+BW299+BW301+BW302</f>
        <v>#DIV/0!</v>
      </c>
      <c r="BX451" s="226" t="e">
        <f>BX295+BX299+BX301+BX302</f>
        <v>#DIV/0!</v>
      </c>
      <c r="BY451" s="226" t="e">
        <f>BY295+BY299+BY301+BY302</f>
        <v>#DIV/0!</v>
      </c>
      <c r="BZ451" s="226" t="e">
        <f>BZ295+BZ299+BZ301+BZ302</f>
        <v>#DIV/0!</v>
      </c>
      <c r="CA451" s="226" t="e">
        <f>CA295+CA299+CA301+CA302</f>
        <v>#DIV/0!</v>
      </c>
      <c r="CB451" s="226" t="e">
        <f>CB295+CB299+CB301+CB302</f>
        <v>#DIV/0!</v>
      </c>
      <c r="CC451" s="226" t="e">
        <f>CC295+CC299+CC301+CC302</f>
        <v>#DIV/0!</v>
      </c>
      <c r="CD451" s="226" t="e">
        <f>CD295+CD299+CD301+CD302</f>
        <v>#DIV/0!</v>
      </c>
      <c r="CE451" s="226" t="e">
        <f>CE295+CE299+CE301+CE302</f>
        <v>#DIV/0!</v>
      </c>
      <c r="CF451" s="226" t="e">
        <f>CF295+CF299+CF301+CF302</f>
        <v>#DIV/0!</v>
      </c>
      <c r="CG451" s="226" t="e">
        <f>CG295+CG299+CG301+CG302</f>
        <v>#DIV/0!</v>
      </c>
      <c r="CH451" s="226" t="e">
        <f>CH295+CH299+CH301+CH302</f>
        <v>#DIV/0!</v>
      </c>
      <c r="CI451" s="226" t="e">
        <f>CI295+CI299+CI301+CI302</f>
        <v>#DIV/0!</v>
      </c>
      <c r="CJ451" s="226" t="e">
        <f>CJ295+CJ299+CJ301+CJ302</f>
        <v>#DIV/0!</v>
      </c>
      <c r="CK451" s="226" t="e">
        <f>CK295+CK299+CK301+CK302</f>
        <v>#DIV/0!</v>
      </c>
      <c r="CL451" s="226" t="e">
        <f>CL295+CL299+CL301+CL302</f>
        <v>#DIV/0!</v>
      </c>
      <c r="CM451" s="226" t="e">
        <f>CM295+CM299+CM301+CM302</f>
        <v>#DIV/0!</v>
      </c>
      <c r="CN451" s="226" t="e">
        <f>CN295+CN299+CN301+CN302</f>
        <v>#DIV/0!</v>
      </c>
      <c r="CO451" s="226" t="e">
        <f>CO295+CO299+CO301+CO302</f>
        <v>#DIV/0!</v>
      </c>
      <c r="CP451" s="226" t="e">
        <f>CP295+CP299+CP301+CP302</f>
        <v>#DIV/0!</v>
      </c>
      <c r="CQ451" s="226" t="e">
        <f>CQ295+CQ299+CQ301+CQ302</f>
        <v>#DIV/0!</v>
      </c>
      <c r="CR451" s="226" t="e">
        <f>CR295+CR299+CR301+CR302</f>
        <v>#DIV/0!</v>
      </c>
      <c r="CS451" s="226" t="e">
        <f>CS295+CS299+CS301+CS302</f>
        <v>#DIV/0!</v>
      </c>
      <c r="CT451" s="226" t="e">
        <f>CT295+CT299+CT301+CT302</f>
        <v>#DIV/0!</v>
      </c>
      <c r="CU451" s="226" t="e">
        <f>CU295+CU299+CU301+CU302</f>
        <v>#DIV/0!</v>
      </c>
      <c r="CV451" s="226" t="e">
        <f>CV295+CV299+CV301+CV302</f>
        <v>#DIV/0!</v>
      </c>
      <c r="CW451" s="226" t="e">
        <f>CW295+CW299+CW301+CW302</f>
        <v>#DIV/0!</v>
      </c>
      <c r="CX451" s="226" t="e">
        <f>CX295+CX299+CX301+CX302</f>
        <v>#DIV/0!</v>
      </c>
      <c r="CY451" s="226" t="e">
        <f>CY295+CY299+CY301+CY302</f>
        <v>#DIV/0!</v>
      </c>
    </row>
    <row r="452" customFormat="1" s="233">
      <c r="A452" s="224" t="n"/>
      <c r="B452" s="224" t="n"/>
      <c r="C452" s="233" t="inlineStr">
        <is>
          <t>FIXED ASSETS</t>
        </is>
      </c>
      <c r="D452" s="241">
        <f>D263+D273+D276+D277+D286-D337</f>
        <v>13870.794</v>
      </c>
      <c r="E452" s="241">
        <f>E263+E273+E276+E277+E286-E337</f>
        <v>14578.675</v>
      </c>
      <c r="F452" s="241">
        <f>F263+F273+F276+F277+F286-F337</f>
        <v>15534.873</v>
      </c>
      <c r="G452" s="241">
        <f>G263+G273+G276+G277+G286-G337</f>
        <v>17114.25</v>
      </c>
      <c r="H452" s="241">
        <f>H263+H273+H276+H277+H286-H337</f>
        <v>17114.25</v>
      </c>
      <c r="I452" s="226">
        <f>I263+I273+I276+I277+I286-I337</f>
        <v>18045.456</v>
      </c>
      <c r="J452" s="226">
        <f>J263+J273+J276+J277+J286-J337</f>
        <v>18641.069</v>
      </c>
      <c r="K452" s="226">
        <f>K263+K273+K276+K277+K286-K337</f>
        <v>19144.338</v>
      </c>
      <c r="L452" s="226">
        <f>L263+L273+L276+L277+L286-L337</f>
        <v>19611.244</v>
      </c>
      <c r="M452" s="226">
        <f>M263+M273+M276+M277+M286-M337</f>
        <v>19611.244</v>
      </c>
      <c r="N452" s="226">
        <f>N263+N273+N276+N277+N286-N337</f>
        <v>20285.915</v>
      </c>
      <c r="O452" s="226">
        <f>O263+O273+O276+O277+O286-O337</f>
        <v>20374.372</v>
      </c>
      <c r="P452" s="226">
        <f>P263+P273+P276+P277+P286-P337</f>
        <v>20391.025</v>
      </c>
      <c r="Q452" s="226">
        <f>Q263+Q273+Q276+Q277+Q286-Q337</f>
        <v>20548.903</v>
      </c>
      <c r="R452" s="226">
        <f>R263+R273+R276+R277+R286-R337</f>
        <v>20548.903</v>
      </c>
      <c r="S452" s="226">
        <f>S263+S273+S276+S277+S286-S337</f>
        <v>20781.251</v>
      </c>
      <c r="T452" s="226">
        <f>T263+T273+T276+T277+T286-T337</f>
        <v>20703.802</v>
      </c>
      <c r="U452" s="226">
        <f>U263+U273+U276+U277+U286-U337</f>
        <v>20637.085</v>
      </c>
      <c r="V452" s="226">
        <f>V263+V273+V276+V277+V286-V337</f>
        <v>20734.089</v>
      </c>
      <c r="W452" s="226">
        <f>W263+W273+W276+W277+W286-W337</f>
        <v>20734.089</v>
      </c>
      <c r="X452" s="226">
        <f>X263+X273+X276+X277+X286-X337</f>
        <v>20940.215</v>
      </c>
      <c r="Y452" s="226">
        <f>Y263+Y273+Y276+Y277+Y286-Y337</f>
        <v>21196.711</v>
      </c>
      <c r="Z452" s="226">
        <f>Z263+Z273+Z276+Z277+Z286-Z337</f>
        <v>21245.89</v>
      </c>
      <c r="AA452" s="226">
        <f>AA263+AA273+AA276+AA277+AA286-AA337</f>
        <v>21673.541</v>
      </c>
      <c r="AB452" s="226">
        <f>AB263+AB273+AB276+AB277+AB286-AB337</f>
        <v>21673.541</v>
      </c>
      <c r="AC452" s="226">
        <f>AC263+AC273+AC276+AC277+AC286-AC337</f>
        <v>21839.563</v>
      </c>
      <c r="AD452" s="226">
        <f>AD263+AD273+AD276+AD277+AD286-AD337</f>
        <v>21805.604</v>
      </c>
      <c r="AE452" s="226">
        <f>AE263+AE273+AE276+AE277+AE286-AE337</f>
        <v>21962.532</v>
      </c>
      <c r="AF452" s="226">
        <f>AF263+AF273+AF276+AF277+AF286-AF337</f>
        <v>22397.471</v>
      </c>
      <c r="AG452" s="226">
        <f>AG263+AG273+AG276+AG277+AG286-AG337</f>
        <v>22397.471</v>
      </c>
      <c r="AH452" s="226">
        <f>AH263+AH273+AH276+AH277+AH286-AH337</f>
        <v>22481.266</v>
      </c>
      <c r="AI452" s="226">
        <f>AI263+AI273+AI276+AI277+AI286-AI337</f>
        <v>22968.952</v>
      </c>
      <c r="AJ452" s="226">
        <f>AJ263+AJ273+AJ276+AJ277+AJ286-AJ337</f>
        <v>22375.527</v>
      </c>
      <c r="AK452" s="226">
        <f>AK263+AK273+AK276+AK277+AK286-AK337</f>
        <v>22375.527</v>
      </c>
      <c r="AL452" s="226">
        <f>AL263+AL273+AL276+AL277+AL286-AL337</f>
        <v>22375.527</v>
      </c>
      <c r="AM452" s="226">
        <f>AM263+AM273+AM276+AM277+AM286-AM337</f>
        <v>22375.527</v>
      </c>
      <c r="AN452" s="226">
        <f>AN263+AN273+AN276+AN277+AN286-AN337</f>
        <v>22375.527</v>
      </c>
      <c r="AO452" s="226">
        <f>AO263+AO273+AO276+AO277+AO286-AO337</f>
        <v>22375.527</v>
      </c>
      <c r="AP452" s="226">
        <f>AP263+AP273+AP276+AP277+AP286-AP337</f>
        <v>22375.527</v>
      </c>
      <c r="AQ452" s="226">
        <f>AQ263+AQ273+AQ276+AQ277+AQ286-AQ337</f>
        <v>22375.527</v>
      </c>
      <c r="AR452" s="226">
        <f>AR263+AR273+AR276+AR277+AR286-AR337</f>
        <v>22375.527</v>
      </c>
      <c r="AS452" s="226">
        <f>AS263+AS273+AS276+AS277+AS286-AS337</f>
        <v>22375.527</v>
      </c>
      <c r="AT452" s="226">
        <f>AT263+AT273+AT276+AT277+AT286-AT337</f>
        <v>22375.527</v>
      </c>
      <c r="AU452" s="226">
        <f>AU263+AU273+AU276+AU277+AU286-AU337</f>
        <v>22375.527</v>
      </c>
      <c r="AV452" s="226">
        <f>AV263+AV273+AV276+AV277+AV286-AV337</f>
        <v>22375.527</v>
      </c>
      <c r="AW452" s="226">
        <f>AW263+AW273+AW276+AW277+AW286-AW337</f>
        <v>22375.527</v>
      </c>
      <c r="AX452" s="226">
        <f>AX263+AX273+AX276+AX277+AX286-AX337</f>
        <v>22375.527</v>
      </c>
      <c r="AY452" s="226">
        <f>AY263+AY273+AY276+AY277+AY286-AY337</f>
        <v>22375.527</v>
      </c>
      <c r="AZ452" s="226">
        <f>AZ263+AZ273+AZ276+AZ277+AZ286-AZ337</f>
        <v>22375.527</v>
      </c>
      <c r="BA452" s="226">
        <f>BA263+BA273+BA276+BA277+BA286-BA337</f>
        <v>22375.527</v>
      </c>
      <c r="BB452" s="226">
        <f>BB263+BB273+BB276+BB277+BB286-BB337</f>
        <v>22375.527</v>
      </c>
      <c r="BC452" s="226">
        <f>BC263+BC273+BC276+BC277+BC286-BC337</f>
        <v>22375.527</v>
      </c>
      <c r="BD452" s="226">
        <f>BD263+BD273+BD276+BD277+BD286-BD337</f>
        <v>22375.527</v>
      </c>
      <c r="BE452" s="226">
        <f>BE263+BE273+BE276+BE277+BE286-BE337</f>
        <v>22375.527</v>
      </c>
      <c r="BF452" s="226">
        <f>BF263+BF273+BF276+BF277+BF286-BF337</f>
        <v>22375.527</v>
      </c>
      <c r="BG452" s="226">
        <f>BG263+BG273+BG276+BG277+BG286-BG337</f>
        <v>22375.527</v>
      </c>
      <c r="BH452" s="226">
        <f>BH263+BH273+BH276+BH277+BH286-BH337</f>
        <v>22375.527</v>
      </c>
      <c r="BI452" s="226">
        <f>BI263+BI273+BI276+BI277+BI286-BI337</f>
        <v>22375.527</v>
      </c>
      <c r="BJ452" s="226">
        <f>BJ263+BJ273+BJ276+BJ277+BJ286-BJ337</f>
        <v>22375.527</v>
      </c>
      <c r="BK452" s="226">
        <f>BK263+BK273+BK276+BK277+BK286-BK337</f>
        <v>22375.527</v>
      </c>
      <c r="BL452" s="226">
        <f>BL263+BL273+BL276+BL277+BL286-BL337</f>
        <v>22375.527</v>
      </c>
      <c r="BM452" s="226">
        <f>BM263+BM273+BM276+BM277+BM286-BM337</f>
        <v>22375.527</v>
      </c>
      <c r="BN452" s="226">
        <f>BN263+BN273+BN276+BN277+BN286-BN337</f>
        <v>22375.527</v>
      </c>
      <c r="BO452" s="226">
        <f>BO263+BO273+BO276+BO277+BO286-BO337</f>
        <v>22375.527</v>
      </c>
      <c r="BP452" s="226">
        <f>BP263+BP273+BP276+BP277+BP286-BP337</f>
        <v>22375.527</v>
      </c>
      <c r="BQ452" s="226">
        <f>BQ263+BQ273+BQ276+BQ277+BQ286-BQ337</f>
        <v>22375.527</v>
      </c>
      <c r="BR452" s="226">
        <f>BR263+BR273+BR276+BR277+BR286-BR337</f>
        <v>22375.527</v>
      </c>
      <c r="BS452" s="226">
        <f>BS263+BS273+BS276+BS277+BS286-BS337</f>
        <v>22375.527</v>
      </c>
      <c r="BT452" s="226">
        <f>BT263+BT273+BT276+BT277+BT286-BT337</f>
        <v>22375.527</v>
      </c>
      <c r="BU452" s="226">
        <f>BU263+BU273+BU276+BU277+BU286-BU337</f>
        <v>22375.527</v>
      </c>
      <c r="BV452" s="226">
        <f>BV263+BV273+BV276+BV277+BV286-BV337</f>
        <v>22375.527</v>
      </c>
      <c r="BW452" s="226">
        <f>BW263+BW273+BW276+BW277+BW286-BW337</f>
        <v>22375.527</v>
      </c>
      <c r="BX452" s="226">
        <f>BX263+BX273+BX276+BX277+BX286-BX337</f>
        <v>22375.527</v>
      </c>
      <c r="BY452" s="226">
        <f>BY263+BY273+BY276+BY277+BY286-BY337</f>
        <v>22375.527</v>
      </c>
      <c r="BZ452" s="226">
        <f>BZ263+BZ273+BZ276+BZ277+BZ286-BZ337</f>
        <v>22375.527</v>
      </c>
      <c r="CA452" s="226">
        <f>CA263+CA273+CA276+CA277+CA286-CA337</f>
        <v>22375.527</v>
      </c>
      <c r="CB452" s="226">
        <f>CB263+CB273+CB276+CB277+CB286-CB337</f>
        <v>22375.527</v>
      </c>
      <c r="CC452" s="226">
        <f>CC263+CC273+CC276+CC277+CC286-CC337</f>
        <v>22375.527</v>
      </c>
      <c r="CD452" s="226">
        <f>CD263+CD273+CD276+CD277+CD286-CD337</f>
        <v>22375.527</v>
      </c>
      <c r="CE452" s="226">
        <f>CE263+CE273+CE276+CE277+CE286-CE337</f>
        <v>22375.527</v>
      </c>
      <c r="CF452" s="226">
        <f>CF263+CF273+CF276+CF277+CF286-CF337</f>
        <v>22375.527</v>
      </c>
      <c r="CG452" s="226">
        <f>CG263+CG273+CG276+CG277+CG286-CG337</f>
        <v>22375.527</v>
      </c>
      <c r="CH452" s="226">
        <f>CH263+CH273+CH276+CH277+CH286-CH337</f>
        <v>22375.527</v>
      </c>
      <c r="CI452" s="226">
        <f>CI263+CI273+CI276+CI277+CI286-CI337</f>
        <v>22375.527</v>
      </c>
      <c r="CJ452" s="226">
        <f>CJ263+CJ273+CJ276+CJ277+CJ286-CJ337</f>
        <v>22375.527</v>
      </c>
      <c r="CK452" s="226">
        <f>CK263+CK273+CK276+CK277+CK286-CK337</f>
        <v>22375.527</v>
      </c>
      <c r="CL452" s="226">
        <f>CL263+CL273+CL276+CL277+CL286-CL337</f>
        <v>22375.527</v>
      </c>
      <c r="CM452" s="226">
        <f>CM263+CM273+CM276+CM277+CM286-CM337</f>
        <v>22375.527</v>
      </c>
      <c r="CN452" s="226">
        <f>CN263+CN273+CN276+CN277+CN286-CN337</f>
        <v>22375.527</v>
      </c>
      <c r="CO452" s="226">
        <f>CO263+CO273+CO276+CO277+CO286-CO337</f>
        <v>22375.527</v>
      </c>
      <c r="CP452" s="226">
        <f>CP263+CP273+CP276+CP277+CP286-CP337</f>
        <v>22375.527</v>
      </c>
      <c r="CQ452" s="226">
        <f>CQ263+CQ273+CQ276+CQ277+CQ286-CQ337</f>
        <v>22375.527</v>
      </c>
      <c r="CR452" s="226">
        <f>CR263+CR273+CR276+CR277+CR286-CR337</f>
        <v>22375.527</v>
      </c>
      <c r="CS452" s="226">
        <f>CS263+CS273+CS276+CS277+CS286-CS337</f>
        <v>22375.527</v>
      </c>
      <c r="CT452" s="226">
        <f>CT263+CT273+CT276+CT277+CT286-CT337</f>
        <v>22375.527</v>
      </c>
      <c r="CU452" s="226">
        <f>CU263+CU273+CU276+CU277+CU286-CU337</f>
        <v>22375.527</v>
      </c>
      <c r="CV452" s="226">
        <f>CV263+CV273+CV276+CV277+CV286-CV337</f>
        <v>22375.527</v>
      </c>
      <c r="CW452" s="226">
        <f>CW263+CW273+CW276+CW277+CW286-CW337</f>
        <v>22375.527</v>
      </c>
      <c r="CX452" s="226">
        <f>CX263+CX273+CX276+CX277+CX286-CX337</f>
        <v>22375.527</v>
      </c>
      <c r="CY452" s="226">
        <f>CY263+CY273+CY276+CY277+CY286-CY337</f>
        <v>22375.527</v>
      </c>
    </row>
    <row r="453" customFormat="1" s="233">
      <c r="A453" s="224" t="n"/>
      <c r="B453" s="224" t="n"/>
    </row>
    <row r="454" customFormat="1" s="233">
      <c r="A454" s="224" t="n"/>
      <c r="B454" s="224" t="n"/>
    </row>
    <row r="455" customFormat="1" s="233">
      <c r="A455" s="224" t="n"/>
      <c r="B455" s="224" t="n"/>
    </row>
    <row r="456" customFormat="1" s="233">
      <c r="A456" s="224" t="n"/>
      <c r="B456" s="224" t="n"/>
    </row>
    <row r="457" customFormat="1" s="233">
      <c r="A457" s="224" t="n"/>
      <c r="B457" s="224" t="n"/>
    </row>
    <row r="458" customFormat="1" s="233">
      <c r="A458" s="224" t="n"/>
      <c r="B458" s="224" t="n"/>
    </row>
    <row r="459" customFormat="1" s="233">
      <c r="A459" s="224" t="n"/>
      <c r="B459" s="224" t="n"/>
    </row>
    <row r="460" customFormat="1" s="233">
      <c r="A460" s="224" t="n"/>
      <c r="B460" s="224" t="n"/>
      <c r="C460" s="234" t="inlineStr">
        <is>
          <t>DUPONT ANALYSIS</t>
        </is>
      </c>
    </row>
    <row r="461" customFormat="1" s="233">
      <c r="A461" s="224" t="n"/>
      <c r="B461" s="224" t="n"/>
      <c r="C461" s="233" t="inlineStr">
        <is>
          <t>NET PROFIT MARGIN</t>
        </is>
      </c>
      <c r="D461" s="238">
        <f>D234/D15</f>
        <v>0.147214253607653</v>
      </c>
      <c r="E461" s="238">
        <f>E234/E15</f>
        <v>0.0702148833078865</v>
      </c>
      <c r="F461" s="238">
        <f>F234/F15</f>
        <v>0.121512241144273</v>
      </c>
      <c r="G461" s="238">
        <f>G234/G15</f>
        <v>0.211852826770439</v>
      </c>
      <c r="I461" s="222">
        <f>I234/I15</f>
        <v>0.201948954525643</v>
      </c>
      <c r="J461" s="222">
        <f>J234/J15</f>
        <v>0.248548956317995</v>
      </c>
      <c r="K461" s="222">
        <f>K234/K15</f>
        <v>0.205811320496175</v>
      </c>
      <c r="L461" s="222">
        <f>L234/L15</f>
        <v>0.194446340721722</v>
      </c>
      <c r="N461" s="222">
        <f>N234/N15</f>
        <v>0.336565613969325</v>
      </c>
      <c r="O461" s="222">
        <f>O234/O15</f>
        <v>0.154084381417222</v>
      </c>
      <c r="P461" s="222">
        <f>P234/P15</f>
        <v>0.177238037014735</v>
      </c>
      <c r="Q461" s="222">
        <f>Q234/Q15</f>
        <v>0.261923620006391</v>
      </c>
      <c r="S461" s="222">
        <f>S234/S15</f>
        <v>0.229791523281444</v>
      </c>
      <c r="T461" s="222">
        <f>T234/T15</f>
        <v>0.284796886776491</v>
      </c>
      <c r="U461" s="222">
        <f>U234/U15</f>
        <v>0.15410111918047</v>
      </c>
      <c r="V461" s="222">
        <f>V234/V15</f>
        <v>0.160727155968943</v>
      </c>
      <c r="X461" s="222">
        <f>X234/X15</f>
        <v>0.255830452517975</v>
      </c>
      <c r="Y461" s="222">
        <f>Y234/Y15</f>
        <v>0.24858130297832</v>
      </c>
      <c r="Z461" s="222">
        <f>Z234/Z15</f>
        <v>0.391736945206969</v>
      </c>
      <c r="AA461" s="222">
        <f>AA234/AA15</f>
        <v>0.205038680328672</v>
      </c>
      <c r="AC461" s="222">
        <f>AC234/AC15</f>
        <v>0.244152513910328</v>
      </c>
      <c r="AD461" s="222">
        <f>AD234/AD15</f>
        <v>0.138345397941059</v>
      </c>
      <c r="AE461" s="222">
        <f>AE234/AE15</f>
        <v>0.508006929962329</v>
      </c>
      <c r="AF461" s="222">
        <f>AF234/AF15</f>
        <v>0.242790198846913</v>
      </c>
      <c r="AH461" s="222">
        <f>AH234/AH15</f>
        <v>0.157742496824316</v>
      </c>
      <c r="AI461" s="222">
        <f>AI234/AI15</f>
        <v>0.256025219921526</v>
      </c>
      <c r="AJ461" s="222">
        <f>AJ234/AJ15</f>
        <v>0.35165406657788</v>
      </c>
      <c r="AK461" s="222">
        <f>AK234/AK15</f>
        <v>0.0106938544711123</v>
      </c>
      <c r="AM461" s="222">
        <f>AM234/AM15</f>
        <v>0.0289702023279058</v>
      </c>
      <c r="AN461" s="222">
        <f>AN234/AN15</f>
        <v>0.0969240176121577</v>
      </c>
      <c r="AO461" s="222">
        <f>AO234/AO15</f>
        <v>0.44558225281906</v>
      </c>
      <c r="AP461" s="222">
        <f>AP234/AP15</f>
        <v>0.244901642147743</v>
      </c>
      <c r="AR461" s="222">
        <f>AR234/AR15</f>
        <v>0.246022132227917</v>
      </c>
      <c r="AS461" s="222">
        <f>AS234/AS15</f>
        <v>0.543095401235801</v>
      </c>
      <c r="AT461" s="222">
        <f>AT234/AT15</f>
        <v>0.728487895921848</v>
      </c>
      <c r="AU461" s="222">
        <f>AU234/AU15</f>
        <v>0.868837004655144</v>
      </c>
      <c r="AW461" s="222">
        <f>AW234/AW15</f>
        <v>0.824253863582968</v>
      </c>
      <c r="AX461" s="222">
        <f>AX234/AX15</f>
        <v>1.77039854727353</v>
      </c>
      <c r="AY461" s="222">
        <f>AY234/AY15</f>
        <v>1.48215555460979</v>
      </c>
      <c r="AZ461" s="222">
        <f>AZ234/AZ15</f>
        <v>2.58512330502321</v>
      </c>
      <c r="BB461" s="222">
        <f>BB234/BB15</f>
        <v>2.41482118609309</v>
      </c>
      <c r="BC461" s="222">
        <f>BC234/BC15</f>
        <v>5.11734760659626</v>
      </c>
      <c r="BD461" s="222">
        <f>BD234/BD15</f>
        <v>3.55530215819123</v>
      </c>
      <c r="BE461" s="222">
        <f>BE234/BE15</f>
        <v>7.26556663077414</v>
      </c>
      <c r="BG461" s="222">
        <f>BG234/BG15</f>
        <v>6.75241929382344</v>
      </c>
      <c r="BH461" s="222">
        <f>BH234/BH15</f>
        <v>14.2658520173172</v>
      </c>
      <c r="BI461" s="222">
        <f>BI234/BI15</f>
        <v>9.20893068273001</v>
      </c>
      <c r="BJ461" s="222">
        <f>BJ234/BJ15</f>
        <v>20.0590258830121</v>
      </c>
      <c r="BL461" s="222">
        <f>BL234/BL15</f>
        <v>18.6087501543044</v>
      </c>
      <c r="BM461" s="222">
        <f>BM234/BM15</f>
        <v>39.2567589574045</v>
      </c>
      <c r="BN461" s="222">
        <f>BN234/BN15</f>
        <v>24.6624809389705</v>
      </c>
      <c r="BO461" s="222">
        <f>BO234/BO15</f>
        <v>55.0068310389899</v>
      </c>
      <c r="BQ461" s="222">
        <f>BQ234/BQ15</f>
        <v>50.996608090727</v>
      </c>
      <c r="BR461" s="222">
        <f>BR234/BR15</f>
        <v>107.535581659021</v>
      </c>
      <c r="BS461" s="222">
        <f>BS234/BS15</f>
        <v>66.8768385005289</v>
      </c>
      <c r="BT461" s="222">
        <f>BT234/BT15</f>
        <v>150.489359855422</v>
      </c>
      <c r="BV461" s="222">
        <f>BV234/BV15</f>
        <v>139.484985684534</v>
      </c>
      <c r="BW461" s="222">
        <f>BW234/BW15</f>
        <v>294.075040942429</v>
      </c>
      <c r="BX461" s="222">
        <f>BX234/BX15</f>
        <v>182.212654136127</v>
      </c>
      <c r="BY461" s="222">
        <f>BY234/BY15</f>
        <v>411.35002780024</v>
      </c>
      <c r="CA461" s="222">
        <f>CA234/CA15</f>
        <v>381.237456744994</v>
      </c>
      <c r="CB461" s="222">
        <f>CB234/CB15</f>
        <v>803.711604912477</v>
      </c>
      <c r="CC461" s="222">
        <f>CC234/CC15</f>
        <v>497.313000530439</v>
      </c>
      <c r="CD461" s="222">
        <f>CD234/CD15</f>
        <v>1124.03642132274</v>
      </c>
      <c r="CF461" s="222">
        <f>CF234/CF15</f>
        <v>1041.71915405353</v>
      </c>
      <c r="CG461" s="222">
        <f>CG234/CG15</f>
        <v>2196.06365141939</v>
      </c>
      <c r="CH461" s="222">
        <f>CH234/CH15</f>
        <v>1358.18532459026</v>
      </c>
      <c r="CI461" s="222">
        <f>CI234/CI15</f>
        <v>3071.13054425738</v>
      </c>
      <c r="CK461" s="222">
        <f>CK234/CK15</f>
        <v>2846.18749079151</v>
      </c>
      <c r="CL461" s="222">
        <f>CL234/CL15</f>
        <v>6000.04087237331</v>
      </c>
      <c r="CM461" s="222">
        <f>CM234/CM15</f>
        <v>3710.13066549852</v>
      </c>
      <c r="CN461" s="222">
        <f>CN234/CN15</f>
        <v>8390.69157717166</v>
      </c>
      <c r="CP461" s="222">
        <f>CP234/CP15</f>
        <v>7776.08755888455</v>
      </c>
      <c r="CQ461" s="222">
        <f>CQ234/CQ15</f>
        <v>16392.699407295</v>
      </c>
      <c r="CR461" s="222">
        <f>CR234/CR15</f>
        <v>10135.7659954347</v>
      </c>
      <c r="CS461" s="222">
        <f>CS234/CS15</f>
        <v>22924.0018888695</v>
      </c>
      <c r="CU461" s="222">
        <f>CU234/CU15</f>
        <v>21244.8243685466</v>
      </c>
      <c r="CV461" s="222">
        <f>CV234/CV15</f>
        <v>44785.9709190461</v>
      </c>
      <c r="CW461" s="222">
        <f>CW234/CW15</f>
        <v>27690.9273371236</v>
      </c>
      <c r="CX461" s="222">
        <f>CX234/CX15</f>
        <v>62629.7445780937</v>
      </c>
    </row>
    <row r="462" customFormat="1" s="233">
      <c r="A462" s="224" t="n"/>
      <c r="B462" s="224" t="n"/>
      <c r="C462" s="233" t="inlineStr">
        <is>
          <t>ASSET TURNOVER</t>
        </is>
      </c>
      <c r="D462" s="238">
        <f>D234/D294</f>
        <v>0.0089932069909962</v>
      </c>
      <c r="E462" s="238">
        <f>E234/E294</f>
        <v>0.00360515654025762</v>
      </c>
      <c r="F462" s="238">
        <f>F234/F294</f>
        <v>0.008699909949446</v>
      </c>
      <c r="G462" s="238">
        <f>G234/G294</f>
        <v>0.0225728423037928</v>
      </c>
      <c r="I462" s="222">
        <f>I234/I294</f>
        <v>0.0137425194825845</v>
      </c>
      <c r="J462" s="222">
        <f>J234/J294</f>
        <v>0.0137972065332365</v>
      </c>
      <c r="K462" s="222">
        <f>K234/K294</f>
        <v>0.00980791159672618</v>
      </c>
      <c r="L462" s="222">
        <f>L234/L294</f>
        <v>0.0085186106419634</v>
      </c>
      <c r="N462" s="222">
        <f>N234/N294</f>
        <v>0.0162259769012905</v>
      </c>
      <c r="O462" s="222">
        <f>O234/O294</f>
        <v>0.00661880235079116</v>
      </c>
      <c r="P462" s="222">
        <f>P234/P294</f>
        <v>0.00422419384052679</v>
      </c>
      <c r="Q462" s="222">
        <f>Q234/Q294</f>
        <v>0.00686635121323986</v>
      </c>
      <c r="S462" s="222">
        <f>S234/S294</f>
        <v>0.00806263434302006</v>
      </c>
      <c r="T462" s="222">
        <f>T234/T294</f>
        <v>0.00790360129190405</v>
      </c>
      <c r="U462" s="222">
        <f>U234/U294</f>
        <v>0.00353716413343511</v>
      </c>
      <c r="V462" s="222">
        <f>V234/V294</f>
        <v>0.00496418616897314</v>
      </c>
      <c r="X462" s="222">
        <f>X234/X294</f>
        <v>0.00882284246316857</v>
      </c>
      <c r="Y462" s="222">
        <f>Y234/Y294</f>
        <v>0.00787901905332059</v>
      </c>
      <c r="Z462" s="222">
        <f>Z234/Z294</f>
        <v>0.0121239221535102</v>
      </c>
      <c r="AA462" s="222">
        <f>AA234/AA294</f>
        <v>0.00750502557330247</v>
      </c>
      <c r="AC462" s="222">
        <f>AC234/AC294</f>
        <v>0.00958427016788488</v>
      </c>
      <c r="AD462" s="222">
        <f>AD234/AD294</f>
        <v>0.00464189372935325</v>
      </c>
      <c r="AE462" s="222">
        <f>AE234/AE294</f>
        <v>0.0155471588733855</v>
      </c>
      <c r="AF462" s="222">
        <f>AF234/AF294</f>
        <v>0.00879747835824995</v>
      </c>
      <c r="AH462" s="222">
        <f>AH234/AH294</f>
        <v>0.00576751913018426</v>
      </c>
      <c r="AI462" s="222">
        <f>AI234/AI294</f>
        <v>0.0117527978361984</v>
      </c>
      <c r="AJ462" s="222">
        <f>AJ234/AJ294</f>
        <v>0.00960523787102924</v>
      </c>
      <c r="AK462" s="222">
        <f>AK234/AK294</f>
        <v>0.000351224115108709</v>
      </c>
      <c r="AM462" s="222" t="e">
        <f>AM234/AM294</f>
        <v>#DIV/0!</v>
      </c>
      <c r="AN462" s="222" t="e">
        <f>AN234/AN294</f>
        <v>#DIV/0!</v>
      </c>
      <c r="AO462" s="222" t="e">
        <f>AO234/AO294</f>
        <v>#DIV/0!</v>
      </c>
      <c r="AP462" s="222" t="e">
        <f>AP234/AP294</f>
        <v>#DIV/0!</v>
      </c>
      <c r="AR462" s="222" t="e">
        <f>AR234/AR294</f>
        <v>#DIV/0!</v>
      </c>
      <c r="AS462" s="222" t="e">
        <f>AS234/AS294</f>
        <v>#DIV/0!</v>
      </c>
      <c r="AT462" s="222" t="e">
        <f>AT234/AT294</f>
        <v>#DIV/0!</v>
      </c>
      <c r="AU462" s="222" t="e">
        <f>AU234/AU294</f>
        <v>#DIV/0!</v>
      </c>
      <c r="AW462" s="222" t="e">
        <f>AW234/AW294</f>
        <v>#DIV/0!</v>
      </c>
      <c r="AX462" s="222" t="e">
        <f>AX234/AX294</f>
        <v>#DIV/0!</v>
      </c>
      <c r="AY462" s="222" t="e">
        <f>AY234/AY294</f>
        <v>#DIV/0!</v>
      </c>
      <c r="AZ462" s="222" t="e">
        <f>AZ234/AZ294</f>
        <v>#DIV/0!</v>
      </c>
      <c r="BB462" s="222" t="e">
        <f>BB234/BB294</f>
        <v>#DIV/0!</v>
      </c>
      <c r="BC462" s="222" t="e">
        <f>BC234/BC294</f>
        <v>#DIV/0!</v>
      </c>
      <c r="BD462" s="222" t="e">
        <f>BD234/BD294</f>
        <v>#DIV/0!</v>
      </c>
      <c r="BE462" s="222" t="e">
        <f>BE234/BE294</f>
        <v>#DIV/0!</v>
      </c>
      <c r="BG462" s="222" t="e">
        <f>BG234/BG294</f>
        <v>#DIV/0!</v>
      </c>
      <c r="BH462" s="222" t="e">
        <f>BH234/BH294</f>
        <v>#DIV/0!</v>
      </c>
      <c r="BI462" s="222" t="e">
        <f>BI234/BI294</f>
        <v>#DIV/0!</v>
      </c>
      <c r="BJ462" s="222" t="e">
        <f>BJ234/BJ294</f>
        <v>#DIV/0!</v>
      </c>
      <c r="BL462" s="222" t="e">
        <f>BL234/BL294</f>
        <v>#DIV/0!</v>
      </c>
      <c r="BM462" s="222" t="e">
        <f>BM234/BM294</f>
        <v>#DIV/0!</v>
      </c>
      <c r="BN462" s="222" t="e">
        <f>BN234/BN294</f>
        <v>#DIV/0!</v>
      </c>
      <c r="BO462" s="222" t="e">
        <f>BO234/BO294</f>
        <v>#DIV/0!</v>
      </c>
      <c r="BQ462" s="222" t="e">
        <f>BQ234/BQ294</f>
        <v>#DIV/0!</v>
      </c>
      <c r="BR462" s="222" t="e">
        <f>BR234/BR294</f>
        <v>#DIV/0!</v>
      </c>
      <c r="BS462" s="222" t="e">
        <f>BS234/BS294</f>
        <v>#DIV/0!</v>
      </c>
      <c r="BT462" s="222" t="e">
        <f>BT234/BT294</f>
        <v>#DIV/0!</v>
      </c>
      <c r="BV462" s="222" t="e">
        <f>BV234/BV294</f>
        <v>#DIV/0!</v>
      </c>
      <c r="BW462" s="222" t="e">
        <f>BW234/BW294</f>
        <v>#DIV/0!</v>
      </c>
      <c r="BX462" s="222" t="e">
        <f>BX234/BX294</f>
        <v>#DIV/0!</v>
      </c>
      <c r="BY462" s="222" t="e">
        <f>BY234/BY294</f>
        <v>#DIV/0!</v>
      </c>
      <c r="CA462" s="222" t="e">
        <f>CA234/CA294</f>
        <v>#DIV/0!</v>
      </c>
      <c r="CB462" s="222" t="e">
        <f>CB234/CB294</f>
        <v>#DIV/0!</v>
      </c>
      <c r="CC462" s="222" t="e">
        <f>CC234/CC294</f>
        <v>#DIV/0!</v>
      </c>
      <c r="CD462" s="222" t="e">
        <f>CD234/CD294</f>
        <v>#DIV/0!</v>
      </c>
      <c r="CF462" s="222" t="e">
        <f>CF234/CF294</f>
        <v>#DIV/0!</v>
      </c>
      <c r="CG462" s="222" t="e">
        <f>CG234/CG294</f>
        <v>#DIV/0!</v>
      </c>
      <c r="CH462" s="222" t="e">
        <f>CH234/CH294</f>
        <v>#DIV/0!</v>
      </c>
      <c r="CI462" s="222" t="e">
        <f>CI234/CI294</f>
        <v>#DIV/0!</v>
      </c>
      <c r="CK462" s="222" t="e">
        <f>CK234/CK294</f>
        <v>#DIV/0!</v>
      </c>
      <c r="CL462" s="222" t="e">
        <f>CL234/CL294</f>
        <v>#DIV/0!</v>
      </c>
      <c r="CM462" s="222" t="e">
        <f>CM234/CM294</f>
        <v>#DIV/0!</v>
      </c>
      <c r="CN462" s="222" t="e">
        <f>CN234/CN294</f>
        <v>#DIV/0!</v>
      </c>
      <c r="CP462" s="222" t="e">
        <f>CP234/CP294</f>
        <v>#DIV/0!</v>
      </c>
      <c r="CQ462" s="222" t="e">
        <f>CQ234/CQ294</f>
        <v>#DIV/0!</v>
      </c>
      <c r="CR462" s="222" t="e">
        <f>CR234/CR294</f>
        <v>#DIV/0!</v>
      </c>
      <c r="CS462" s="222" t="e">
        <f>CS234/CS294</f>
        <v>#DIV/0!</v>
      </c>
      <c r="CU462" s="222" t="e">
        <f>CU234/CU294</f>
        <v>#DIV/0!</v>
      </c>
      <c r="CV462" s="222" t="e">
        <f>CV234/CV294</f>
        <v>#DIV/0!</v>
      </c>
      <c r="CW462" s="222" t="e">
        <f>CW234/CW294</f>
        <v>#DIV/0!</v>
      </c>
      <c r="CX462" s="222" t="e">
        <f>CX234/CX294</f>
        <v>#DIV/0!</v>
      </c>
    </row>
    <row r="463" customFormat="1" s="233">
      <c r="A463" s="224" t="n"/>
      <c r="B463" s="224" t="n"/>
      <c r="C463" s="233" t="inlineStr">
        <is>
          <t>EQUITY MULTIPLIER</t>
        </is>
      </c>
      <c r="D463" s="238">
        <f>D294/D368</f>
        <v>2.5468910075818</v>
      </c>
      <c r="E463" s="238">
        <f>E294/E368</f>
        <v>2.49797842571729</v>
      </c>
      <c r="F463" s="238">
        <f>F294/F368</f>
        <v>2.47784136917752</v>
      </c>
      <c r="G463" s="238">
        <f>G294/G368</f>
        <v>2.52401539238967</v>
      </c>
      <c r="I463" s="222">
        <f>I294/I368</f>
        <v>2.44876864764288</v>
      </c>
      <c r="J463" s="222">
        <f>J294/J368</f>
        <v>2.41221752676234</v>
      </c>
      <c r="K463" s="222">
        <f>K294/K368</f>
        <v>2.38229138764424</v>
      </c>
      <c r="L463" s="222">
        <f>L294/L368</f>
        <v>2.48466096688924</v>
      </c>
      <c r="N463" s="222">
        <f>N294/N368</f>
        <v>2.4745839723737</v>
      </c>
      <c r="O463" s="222">
        <f>O294/O368</f>
        <v>2.50026830818383</v>
      </c>
      <c r="P463" s="222">
        <f>P294/P368</f>
        <v>2.56768064330414</v>
      </c>
      <c r="Q463" s="222">
        <f>Q294/Q368</f>
        <v>2.69328819348262</v>
      </c>
      <c r="S463" s="222">
        <f>S294/S368</f>
        <v>2.66353111857033</v>
      </c>
      <c r="T463" s="222">
        <f>T294/T368</f>
        <v>2.59113468990024</v>
      </c>
      <c r="U463" s="222">
        <f>U294/U368</f>
        <v>2.60290059508498</v>
      </c>
      <c r="V463" s="222">
        <f>V294/V368</f>
        <v>2.67538271054372</v>
      </c>
      <c r="X463" s="222">
        <f>X294/X368</f>
        <v>2.61604321772947</v>
      </c>
      <c r="Y463" s="222">
        <f>Y294/Y368</f>
        <v>2.67152541897338</v>
      </c>
      <c r="Z463" s="222">
        <f>Z294/Z368</f>
        <v>2.54059912181955</v>
      </c>
      <c r="AA463" s="222">
        <f>AA294/AA368</f>
        <v>2.61773601286237</v>
      </c>
      <c r="AC463" s="222">
        <f>AC294/AC368</f>
        <v>2.55873335255098</v>
      </c>
      <c r="AD463" s="222">
        <f>AD294/AD368</f>
        <v>2.61656643451038</v>
      </c>
      <c r="AE463" s="222">
        <f>AE294/AE368</f>
        <v>2.54668966831798</v>
      </c>
      <c r="AF463" s="222">
        <f>AF294/AF368</f>
        <v>2.55351490882132</v>
      </c>
      <c r="AH463" s="222">
        <f>AH294/AH368</f>
        <v>2.67670943824943</v>
      </c>
      <c r="AI463" s="222">
        <f>AI294/AI368</f>
        <v>2.64963029048317</v>
      </c>
      <c r="AJ463" s="222">
        <f>AJ294/AJ368</f>
        <v>2.56299379653372</v>
      </c>
      <c r="AK463" s="222">
        <f>AK294/AK368</f>
        <v>2.54487597468166</v>
      </c>
      <c r="AM463" s="222" t="e">
        <f>AM294/AM368</f>
        <v>#DIV/0!</v>
      </c>
      <c r="AN463" s="222" t="e">
        <f>AN294/AN368</f>
        <v>#DIV/0!</v>
      </c>
      <c r="AO463" s="222" t="e">
        <f>AO294/AO368</f>
        <v>#DIV/0!</v>
      </c>
      <c r="AP463" s="222" t="e">
        <f>AP294/AP368</f>
        <v>#DIV/0!</v>
      </c>
      <c r="AR463" s="222" t="e">
        <f>AR294/AR368</f>
        <v>#DIV/0!</v>
      </c>
      <c r="AS463" s="222" t="e">
        <f>AS294/AS368</f>
        <v>#DIV/0!</v>
      </c>
      <c r="AT463" s="222" t="e">
        <f>AT294/AT368</f>
        <v>#DIV/0!</v>
      </c>
      <c r="AU463" s="222" t="e">
        <f>AU294/AU368</f>
        <v>#DIV/0!</v>
      </c>
      <c r="AW463" s="222" t="e">
        <f>AW294/AW368</f>
        <v>#DIV/0!</v>
      </c>
      <c r="AX463" s="222" t="e">
        <f>AX294/AX368</f>
        <v>#DIV/0!</v>
      </c>
      <c r="AY463" s="222" t="e">
        <f>AY294/AY368</f>
        <v>#DIV/0!</v>
      </c>
      <c r="AZ463" s="222" t="e">
        <f>AZ294/AZ368</f>
        <v>#DIV/0!</v>
      </c>
      <c r="BB463" s="222" t="e">
        <f>BB294/BB368</f>
        <v>#DIV/0!</v>
      </c>
      <c r="BC463" s="222" t="e">
        <f>BC294/BC368</f>
        <v>#DIV/0!</v>
      </c>
      <c r="BD463" s="222" t="e">
        <f>BD294/BD368</f>
        <v>#DIV/0!</v>
      </c>
      <c r="BE463" s="222" t="e">
        <f>BE294/BE368</f>
        <v>#DIV/0!</v>
      </c>
      <c r="BG463" s="222" t="e">
        <f>BG294/BG368</f>
        <v>#DIV/0!</v>
      </c>
      <c r="BH463" s="222" t="e">
        <f>BH294/BH368</f>
        <v>#DIV/0!</v>
      </c>
      <c r="BI463" s="222" t="e">
        <f>BI294/BI368</f>
        <v>#DIV/0!</v>
      </c>
      <c r="BJ463" s="222" t="e">
        <f>BJ294/BJ368</f>
        <v>#DIV/0!</v>
      </c>
      <c r="BL463" s="222" t="e">
        <f>BL294/BL368</f>
        <v>#DIV/0!</v>
      </c>
      <c r="BM463" s="222" t="e">
        <f>BM294/BM368</f>
        <v>#DIV/0!</v>
      </c>
      <c r="BN463" s="222" t="e">
        <f>BN294/BN368</f>
        <v>#DIV/0!</v>
      </c>
      <c r="BO463" s="222" t="e">
        <f>BO294/BO368</f>
        <v>#DIV/0!</v>
      </c>
      <c r="BQ463" s="222" t="e">
        <f>BQ294/BQ368</f>
        <v>#DIV/0!</v>
      </c>
      <c r="BR463" s="222" t="e">
        <f>BR294/BR368</f>
        <v>#DIV/0!</v>
      </c>
      <c r="BS463" s="222" t="e">
        <f>BS294/BS368</f>
        <v>#DIV/0!</v>
      </c>
      <c r="BT463" s="222" t="e">
        <f>BT294/BT368</f>
        <v>#DIV/0!</v>
      </c>
      <c r="BV463" s="222" t="e">
        <f>BV294/BV368</f>
        <v>#DIV/0!</v>
      </c>
      <c r="BW463" s="222" t="e">
        <f>BW294/BW368</f>
        <v>#DIV/0!</v>
      </c>
      <c r="BX463" s="222" t="e">
        <f>BX294/BX368</f>
        <v>#DIV/0!</v>
      </c>
      <c r="BY463" s="222" t="e">
        <f>BY294/BY368</f>
        <v>#DIV/0!</v>
      </c>
      <c r="CA463" s="222" t="e">
        <f>CA294/CA368</f>
        <v>#DIV/0!</v>
      </c>
      <c r="CB463" s="222" t="e">
        <f>CB294/CB368</f>
        <v>#DIV/0!</v>
      </c>
      <c r="CC463" s="222" t="e">
        <f>CC294/CC368</f>
        <v>#DIV/0!</v>
      </c>
      <c r="CD463" s="222" t="e">
        <f>CD294/CD368</f>
        <v>#DIV/0!</v>
      </c>
      <c r="CF463" s="222" t="e">
        <f>CF294/CF368</f>
        <v>#DIV/0!</v>
      </c>
      <c r="CG463" s="222" t="e">
        <f>CG294/CG368</f>
        <v>#DIV/0!</v>
      </c>
      <c r="CH463" s="222" t="e">
        <f>CH294/CH368</f>
        <v>#DIV/0!</v>
      </c>
      <c r="CI463" s="222" t="e">
        <f>CI294/CI368</f>
        <v>#DIV/0!</v>
      </c>
      <c r="CK463" s="222" t="e">
        <f>CK294/CK368</f>
        <v>#DIV/0!</v>
      </c>
      <c r="CL463" s="222" t="e">
        <f>CL294/CL368</f>
        <v>#DIV/0!</v>
      </c>
      <c r="CM463" s="222" t="e">
        <f>CM294/CM368</f>
        <v>#DIV/0!</v>
      </c>
      <c r="CN463" s="222" t="e">
        <f>CN294/CN368</f>
        <v>#DIV/0!</v>
      </c>
      <c r="CP463" s="222" t="e">
        <f>CP294/CP368</f>
        <v>#DIV/0!</v>
      </c>
      <c r="CQ463" s="222" t="e">
        <f>CQ294/CQ368</f>
        <v>#DIV/0!</v>
      </c>
      <c r="CR463" s="222" t="e">
        <f>CR294/CR368</f>
        <v>#DIV/0!</v>
      </c>
      <c r="CS463" s="222" t="e">
        <f>CS294/CS368</f>
        <v>#DIV/0!</v>
      </c>
      <c r="CU463" s="222" t="e">
        <f>CU294/CU368</f>
        <v>#DIV/0!</v>
      </c>
      <c r="CV463" s="222" t="e">
        <f>CV294/CV368</f>
        <v>#DIV/0!</v>
      </c>
      <c r="CW463" s="222" t="e">
        <f>CW294/CW368</f>
        <v>#DIV/0!</v>
      </c>
      <c r="CX463" s="222" t="e">
        <f>CX294/CX368</f>
        <v>#DIV/0!</v>
      </c>
    </row>
    <row r="464" customFormat="1" s="233">
      <c r="A464" s="224" t="n"/>
      <c r="B464" s="224" t="n"/>
      <c r="C464" s="233" t="inlineStr">
        <is>
          <t>ROE - DUPONT</t>
        </is>
      </c>
      <c r="D464" s="238">
        <f>PRODUCT(D461:D463)</f>
        <v>0.00337190096662635</v>
      </c>
      <c r="E464" s="238">
        <f>PRODUCT(E461:E463)</f>
        <v>0.000632327381940585</v>
      </c>
      <c r="F464" s="238">
        <f>PRODUCT(F461:F463)</f>
        <v>0.00261943899118173</v>
      </c>
      <c r="G464" s="238">
        <f>PRODUCT(G461:G463)</f>
        <v>0.0120701456248233</v>
      </c>
      <c r="I464" s="222">
        <f>PRODUCT(I461:I463)</f>
        <v>0.00679603687630428</v>
      </c>
      <c r="J464" s="222">
        <f>PRODUCT(J461:J463)</f>
        <v>0.00827217241731749</v>
      </c>
      <c r="K464" s="222">
        <f>PRODUCT(K461:K463)</f>
        <v>0.00480884393165874</v>
      </c>
      <c r="L464" s="222">
        <f>PRODUCT(L461:L463)</f>
        <v>0.00411562389965749</v>
      </c>
      <c r="N464" s="222">
        <f>PRODUCT(N461:N463)</f>
        <v>0.0135139650772211</v>
      </c>
      <c r="O464" s="222">
        <f>PRODUCT(O461:O463)</f>
        <v>0.00254990880005348</v>
      </c>
      <c r="P464" s="222">
        <f>PRODUCT(P461:P463)</f>
        <v>0.00192239123424196</v>
      </c>
      <c r="Q464" s="222">
        <f>PRODUCT(Q461:Q463)</f>
        <v>0.00484376991558268</v>
      </c>
      <c r="S464" s="222">
        <f>PRODUCT(S461:S463)</f>
        <v>0.00493479076448446</v>
      </c>
      <c r="T464" s="222">
        <f>PRODUCT(T461:T463)</f>
        <v>0.00583243959681832</v>
      </c>
      <c r="U464" s="222">
        <f>PRODUCT(U461:U463)</f>
        <v>0.00141879153351653</v>
      </c>
      <c r="V464" s="222">
        <f>PRODUCT(V461:V463)</f>
        <v>0.00213463308531714</v>
      </c>
      <c r="X464" s="222">
        <f>PRODUCT(X461:X463)</f>
        <v>0.00590480660505533</v>
      </c>
      <c r="Y464" s="222">
        <f>PRODUCT(Y461:Y463)</f>
        <v>0.00523238776622854</v>
      </c>
      <c r="Z464" s="222">
        <f>PRODUCT(Z461:Z463)</f>
        <v>0.0120662915621088</v>
      </c>
      <c r="AA464" s="222">
        <f>PRODUCT(AA461:AA463)</f>
        <v>0.00402822594327483</v>
      </c>
      <c r="AC464" s="222">
        <f>PRODUCT(AC461:AC463)</f>
        <v>0.00598749657304737</v>
      </c>
      <c r="AD464" s="222">
        <f>PRODUCT(AD461:AD463)</f>
        <v>0.00168031876118985</v>
      </c>
      <c r="AE464" s="222">
        <f>PRODUCT(AE461:AE463)</f>
        <v>0.0201139191317363</v>
      </c>
      <c r="AF464" s="222">
        <f>PRODUCT(AF461:AF463)</f>
        <v>0.00545415851556514</v>
      </c>
      <c r="AH464" s="222">
        <f>PRODUCT(AH461:AH463)</f>
        <v>0.00243522438974007</v>
      </c>
      <c r="AI464" s="222">
        <f>PRODUCT(AI461:AI463)</f>
        <v>0.00797277106375747</v>
      </c>
      <c r="AJ464" s="222">
        <f>PRODUCT(AJ461:AJ463)</f>
        <v>0.00865707786125125</v>
      </c>
      <c r="AK464" s="222">
        <f>PRODUCT(AK461:AK463)</f>
        <v>9.55840038351027e-06</v>
      </c>
      <c r="AM464" s="222" t="e">
        <f>PRODUCT(AM461:AM463)</f>
        <v>#DIV/0!</v>
      </c>
      <c r="AN464" s="222" t="e">
        <f>PRODUCT(AN461:AN463)</f>
        <v>#DIV/0!</v>
      </c>
      <c r="AO464" s="222" t="e">
        <f>PRODUCT(AO461:AO463)</f>
        <v>#DIV/0!</v>
      </c>
      <c r="AP464" s="222" t="e">
        <f>PRODUCT(AP461:AP463)</f>
        <v>#DIV/0!</v>
      </c>
      <c r="AR464" s="222" t="e">
        <f>PRODUCT(AR461:AR463)</f>
        <v>#DIV/0!</v>
      </c>
      <c r="AS464" s="222" t="e">
        <f>PRODUCT(AS461:AS463)</f>
        <v>#DIV/0!</v>
      </c>
      <c r="AT464" s="222" t="e">
        <f>PRODUCT(AT461:AT463)</f>
        <v>#DIV/0!</v>
      </c>
      <c r="AU464" s="222" t="e">
        <f>PRODUCT(AU461:AU463)</f>
        <v>#DIV/0!</v>
      </c>
      <c r="AW464" s="222" t="e">
        <f>PRODUCT(AW461:AW463)</f>
        <v>#DIV/0!</v>
      </c>
      <c r="AX464" s="222" t="e">
        <f>PRODUCT(AX461:AX463)</f>
        <v>#DIV/0!</v>
      </c>
      <c r="AY464" s="222" t="e">
        <f>PRODUCT(AY461:AY463)</f>
        <v>#DIV/0!</v>
      </c>
      <c r="AZ464" s="222" t="e">
        <f>PRODUCT(AZ461:AZ463)</f>
        <v>#DIV/0!</v>
      </c>
      <c r="BB464" s="222" t="e">
        <f>PRODUCT(BB461:BB463)</f>
        <v>#DIV/0!</v>
      </c>
      <c r="BC464" s="222" t="e">
        <f>PRODUCT(BC461:BC463)</f>
        <v>#DIV/0!</v>
      </c>
      <c r="BD464" s="222" t="e">
        <f>PRODUCT(BD461:BD463)</f>
        <v>#DIV/0!</v>
      </c>
      <c r="BE464" s="222" t="e">
        <f>PRODUCT(BE461:BE463)</f>
        <v>#DIV/0!</v>
      </c>
      <c r="BG464" s="222" t="e">
        <f>PRODUCT(BG461:BG463)</f>
        <v>#DIV/0!</v>
      </c>
      <c r="BH464" s="222" t="e">
        <f>PRODUCT(BH461:BH463)</f>
        <v>#DIV/0!</v>
      </c>
      <c r="BI464" s="222" t="e">
        <f>PRODUCT(BI461:BI463)</f>
        <v>#DIV/0!</v>
      </c>
      <c r="BJ464" s="222" t="e">
        <f>PRODUCT(BJ461:BJ463)</f>
        <v>#DIV/0!</v>
      </c>
      <c r="BL464" s="222" t="e">
        <f>PRODUCT(BL461:BL463)</f>
        <v>#DIV/0!</v>
      </c>
      <c r="BM464" s="222" t="e">
        <f>PRODUCT(BM461:BM463)</f>
        <v>#DIV/0!</v>
      </c>
      <c r="BN464" s="222" t="e">
        <f>PRODUCT(BN461:BN463)</f>
        <v>#DIV/0!</v>
      </c>
      <c r="BO464" s="222" t="e">
        <f>PRODUCT(BO461:BO463)</f>
        <v>#DIV/0!</v>
      </c>
      <c r="BQ464" s="222" t="e">
        <f>PRODUCT(BQ461:BQ463)</f>
        <v>#DIV/0!</v>
      </c>
      <c r="BR464" s="222" t="e">
        <f>PRODUCT(BR461:BR463)</f>
        <v>#DIV/0!</v>
      </c>
      <c r="BS464" s="222" t="e">
        <f>PRODUCT(BS461:BS463)</f>
        <v>#DIV/0!</v>
      </c>
      <c r="BT464" s="222" t="e">
        <f>PRODUCT(BT461:BT463)</f>
        <v>#DIV/0!</v>
      </c>
      <c r="BV464" s="222" t="e">
        <f>PRODUCT(BV461:BV463)</f>
        <v>#DIV/0!</v>
      </c>
      <c r="BW464" s="222" t="e">
        <f>PRODUCT(BW461:BW463)</f>
        <v>#DIV/0!</v>
      </c>
      <c r="BX464" s="222" t="e">
        <f>PRODUCT(BX461:BX463)</f>
        <v>#DIV/0!</v>
      </c>
      <c r="BY464" s="222" t="e">
        <f>PRODUCT(BY461:BY463)</f>
        <v>#DIV/0!</v>
      </c>
      <c r="CA464" s="222" t="e">
        <f>PRODUCT(CA461:CA463)</f>
        <v>#DIV/0!</v>
      </c>
      <c r="CB464" s="222" t="e">
        <f>PRODUCT(CB461:CB463)</f>
        <v>#DIV/0!</v>
      </c>
      <c r="CC464" s="222" t="e">
        <f>PRODUCT(CC461:CC463)</f>
        <v>#DIV/0!</v>
      </c>
      <c r="CD464" s="222" t="e">
        <f>PRODUCT(CD461:CD463)</f>
        <v>#DIV/0!</v>
      </c>
      <c r="CF464" s="222" t="e">
        <f>PRODUCT(CF461:CF463)</f>
        <v>#DIV/0!</v>
      </c>
      <c r="CG464" s="222" t="e">
        <f>PRODUCT(CG461:CG463)</f>
        <v>#DIV/0!</v>
      </c>
      <c r="CH464" s="222" t="e">
        <f>PRODUCT(CH461:CH463)</f>
        <v>#DIV/0!</v>
      </c>
      <c r="CI464" s="222" t="e">
        <f>PRODUCT(CI461:CI463)</f>
        <v>#DIV/0!</v>
      </c>
      <c r="CK464" s="222" t="e">
        <f>PRODUCT(CK461:CK463)</f>
        <v>#DIV/0!</v>
      </c>
      <c r="CL464" s="222" t="e">
        <f>PRODUCT(CL461:CL463)</f>
        <v>#DIV/0!</v>
      </c>
      <c r="CM464" s="222" t="e">
        <f>PRODUCT(CM461:CM463)</f>
        <v>#DIV/0!</v>
      </c>
      <c r="CN464" s="222" t="e">
        <f>PRODUCT(CN461:CN463)</f>
        <v>#DIV/0!</v>
      </c>
      <c r="CP464" s="222" t="e">
        <f>PRODUCT(CP461:CP463)</f>
        <v>#DIV/0!</v>
      </c>
      <c r="CQ464" s="222" t="e">
        <f>PRODUCT(CQ461:CQ463)</f>
        <v>#DIV/0!</v>
      </c>
      <c r="CR464" s="222" t="e">
        <f>PRODUCT(CR461:CR463)</f>
        <v>#DIV/0!</v>
      </c>
      <c r="CS464" s="222" t="e">
        <f>PRODUCT(CS461:CS463)</f>
        <v>#DIV/0!</v>
      </c>
      <c r="CU464" s="222" t="e">
        <f>PRODUCT(CU461:CU463)</f>
        <v>#DIV/0!</v>
      </c>
      <c r="CV464" s="222" t="e">
        <f>PRODUCT(CV461:CV463)</f>
        <v>#DIV/0!</v>
      </c>
      <c r="CW464" s="222" t="e">
        <f>PRODUCT(CW461:CW463)</f>
        <v>#DIV/0!</v>
      </c>
      <c r="CX464" s="222" t="e">
        <f>PRODUCT(CX461:CX463)</f>
        <v>#DIV/0!</v>
      </c>
    </row>
    <row r="465" customFormat="1" s="233">
      <c r="A465" s="224" t="n"/>
      <c r="B465" s="224" t="n"/>
      <c r="C465" s="233" t="inlineStr">
        <is>
          <t>ROE</t>
        </is>
      </c>
      <c r="D465" s="238">
        <f>D234/D368</f>
        <v>0.0229047180146901</v>
      </c>
      <c r="E465" s="238">
        <f>E234/E368</f>
        <v>0.00900560325889714</v>
      </c>
      <c r="F465" s="238">
        <f>F234/F368</f>
        <v>0.0215569967808564</v>
      </c>
      <c r="G465" s="238">
        <f>G234/G368</f>
        <v>0.0569742014247575</v>
      </c>
      <c r="I465" s="222">
        <f>I234/I368</f>
        <v>0.0336522508485743</v>
      </c>
      <c r="J465" s="222">
        <f>J234/J368</f>
        <v>0.0332818634198328</v>
      </c>
      <c r="K465" s="222">
        <f>K234/K368</f>
        <v>0.0233653033276569</v>
      </c>
      <c r="L465" s="222">
        <f>L234/L368</f>
        <v>0.0211658593542137</v>
      </c>
      <c r="N465" s="222">
        <f>N234/N368</f>
        <v>0.0401525423760395</v>
      </c>
      <c r="O465" s="222">
        <f>O234/O368</f>
        <v>0.0165487817558157</v>
      </c>
      <c r="P465" s="222">
        <f>P234/P368</f>
        <v>0.0108463807578852</v>
      </c>
      <c r="Q465" s="222">
        <f>Q234/Q368</f>
        <v>0.018493062654924</v>
      </c>
      <c r="S465" s="222">
        <f>S234/S368</f>
        <v>0.0214750774702878</v>
      </c>
      <c r="T465" s="222">
        <f>T234/T368</f>
        <v>0.0204792954825929</v>
      </c>
      <c r="U465" s="222">
        <f>U234/U368</f>
        <v>0.00920688662783151</v>
      </c>
      <c r="V465" s="222">
        <f>V234/V368</f>
        <v>0.013281097848391</v>
      </c>
      <c r="X465" s="222">
        <f>X234/X368</f>
        <v>0.0230809371868677</v>
      </c>
      <c r="Y465" s="222">
        <f>Y234/Y368</f>
        <v>0.0210489996775215</v>
      </c>
      <c r="Z465" s="222">
        <f>Z234/Z368</f>
        <v>0.0308020259762166</v>
      </c>
      <c r="AA465" s="222">
        <f>AA234/AA368</f>
        <v>0.0196461757206869</v>
      </c>
      <c r="AC465" s="222">
        <f>AC234/AC368</f>
        <v>0.0245235917384264</v>
      </c>
      <c r="AD465" s="222">
        <f>AD234/AD368</f>
        <v>0.0121458233247899</v>
      </c>
      <c r="AE465" s="222">
        <f>AE234/AE368</f>
        <v>0.039593788874549</v>
      </c>
      <c r="AF465" s="222">
        <f>AF234/AF368</f>
        <v>0.0224644921478241</v>
      </c>
      <c r="AH465" s="222">
        <f>AH234/AH368</f>
        <v>0.0154379728910484</v>
      </c>
      <c r="AI465" s="222">
        <f>AI234/AI368</f>
        <v>0.0311405691447163</v>
      </c>
      <c r="AJ465" s="222">
        <f>AJ234/AJ368</f>
        <v>0.0246181650776787</v>
      </c>
      <c r="AK465" s="222">
        <f>AK234/AK368</f>
        <v>0.000893821812268977</v>
      </c>
      <c r="AM465" s="222">
        <f>AM234/AM368</f>
        <v>0.00258015222018566</v>
      </c>
      <c r="AN465" s="222">
        <f>AN234/AN368</f>
        <v>0.0108386071926246</v>
      </c>
      <c r="AO465" s="222">
        <f>AO234/AO368</f>
        <v>0.0285703522285484</v>
      </c>
      <c r="AP465" s="222">
        <f>AP234/AP368</f>
        <v>0.0184354829256592</v>
      </c>
      <c r="AR465" s="222">
        <f>AR234/AR368</f>
        <v>0.0194199610423941</v>
      </c>
      <c r="AS465" s="222">
        <f>AS234/AS368</f>
        <v>0.0517228887203883</v>
      </c>
      <c r="AT465" s="222">
        <f>AT234/AT368</f>
        <v>0.039356483519836</v>
      </c>
      <c r="AU465" s="222">
        <f>AU234/AU368</f>
        <v>0.0532355905642163</v>
      </c>
      <c r="AW465" s="222">
        <f>AW234/AW368</f>
        <v>0.0513212127186668</v>
      </c>
      <c r="AX465" s="222">
        <f>AX234/AX368</f>
        <v>0.123417072967194</v>
      </c>
      <c r="AY465" s="222">
        <f>AY234/AY368</f>
        <v>0.0575412224769913</v>
      </c>
      <c r="AZ465" s="222">
        <f>AZ234/AZ368</f>
        <v>0.10754588965975</v>
      </c>
      <c r="BB465" s="222">
        <f>BB234/BB368</f>
        <v>0.0973608821199665</v>
      </c>
      <c r="BC465" s="222">
        <f>BC234/BC368</f>
        <v>0.209407114676191</v>
      </c>
      <c r="BD465" s="222">
        <f>BD234/BD368</f>
        <v>0.0792190429107476</v>
      </c>
      <c r="BE465" s="222">
        <f>BE234/BE368</f>
        <v>0.163096518221266</v>
      </c>
      <c r="BG465" s="222">
        <f>BG234/BG368</f>
        <v>0.140242259959359</v>
      </c>
      <c r="BH465" s="222">
        <f>BH234/BH368</f>
        <v>0.276472720023133</v>
      </c>
      <c r="BI465" s="222">
        <f>BI234/BI368</f>
        <v>0.0955134053963698</v>
      </c>
      <c r="BJ465" s="222">
        <f>BJ234/BJ368</f>
        <v>0.200578810077037</v>
      </c>
      <c r="BL465" s="222">
        <f>BL234/BL368</f>
        <v>0.16704398205412</v>
      </c>
      <c r="BM465" s="222">
        <f>BM234/BM368</f>
        <v>0.313060955355861</v>
      </c>
      <c r="BN465" s="222">
        <f>BN234/BN368</f>
        <v>0.104269755001257</v>
      </c>
      <c r="BO465" s="222">
        <f>BO234/BO368</f>
        <v>0.21919762222274</v>
      </c>
      <c r="BQ465" s="222">
        <f>BQ234/BQ368</f>
        <v>0.179772981588173</v>
      </c>
      <c r="BR465" s="222">
        <f>BR234/BR368</f>
        <v>0.329255011438867</v>
      </c>
      <c r="BS465" s="222">
        <f>BS234/BS368</f>
        <v>0.108107312596525</v>
      </c>
      <c r="BT465" s="222">
        <f>BT234/BT368</f>
        <v>0.227068904451259</v>
      </c>
      <c r="BV465" s="222">
        <f>BV234/BV368</f>
        <v>0.185043117630058</v>
      </c>
      <c r="BW465" s="222">
        <f>BW234/BW368</f>
        <v>0.335741611361427</v>
      </c>
      <c r="BX465" s="222">
        <f>BX234/BX368</f>
        <v>0.109646927981069</v>
      </c>
      <c r="BY465" s="222">
        <f>BY234/BY368</f>
        <v>0.230159985944576</v>
      </c>
      <c r="CA465" s="222">
        <f>CA234/CA368</f>
        <v>0.18709498618425</v>
      </c>
      <c r="CB465" s="222">
        <f>CB234/CB368</f>
        <v>0.338236065448651</v>
      </c>
      <c r="CC465" s="222">
        <f>CC234/CC368</f>
        <v>0.110240031716681</v>
      </c>
      <c r="CD465" s="222">
        <f>CD234/CD368</f>
        <v>0.231339527452586</v>
      </c>
      <c r="CF465" s="222">
        <f>CF234/CF368</f>
        <v>0.187875330191673</v>
      </c>
      <c r="CG465" s="222">
        <f>CG234/CG368</f>
        <v>0.339179343444203</v>
      </c>
      <c r="CH465" s="222">
        <f>CH234/CH368</f>
        <v>0.110465430075477</v>
      </c>
      <c r="CI465" s="222">
        <f>CI234/CI368</f>
        <v>0.231784141021486</v>
      </c>
      <c r="CK465" s="222">
        <f>CK234/CK368</f>
        <v>0.188169085406102</v>
      </c>
      <c r="CL465" s="222">
        <f>CL234/CL368</f>
        <v>0.339533801895438</v>
      </c>
      <c r="CM465" s="222">
        <f>CM234/CM368</f>
        <v>0.110550449589178</v>
      </c>
      <c r="CN465" s="222">
        <f>CN234/CN368</f>
        <v>0.231951009220718</v>
      </c>
      <c r="CP465" s="222">
        <f>CP234/CP368</f>
        <v>0.188279277157144</v>
      </c>
      <c r="CQ465" s="222">
        <f>CQ234/CQ368</f>
        <v>0.339666603548649</v>
      </c>
      <c r="CR465" s="222">
        <f>CR234/CR368</f>
        <v>0.110582456738479</v>
      </c>
      <c r="CS465" s="222">
        <f>CS234/CS368</f>
        <v>0.232013487956969</v>
      </c>
      <c r="CU465" s="222">
        <f>CU234/CU368</f>
        <v>0.188320525893563</v>
      </c>
      <c r="CV465" s="222">
        <f>CV234/CV368</f>
        <v>0.339716299554608</v>
      </c>
      <c r="CW465" s="222">
        <f>CW234/CW368</f>
        <v>0.110594481372993</v>
      </c>
      <c r="CX465" s="222">
        <f>CX234/CX368</f>
        <v>0.232036861306035</v>
      </c>
    </row>
    <row r="467">
      <c r="C467" s="53" t="inlineStr">
        <is>
          <t>Scenario Analysis</t>
        </is>
      </c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  <c r="CO467" s="53" t="n"/>
      <c r="CP467" s="53" t="n"/>
      <c r="CQ467" s="53" t="n"/>
      <c r="CR467" s="53" t="n"/>
      <c r="CS467" s="53" t="n"/>
      <c r="CT467" s="53" t="n"/>
      <c r="CU467" s="53" t="n"/>
      <c r="CV467" s="53" t="n"/>
      <c r="CW467" s="53" t="n"/>
      <c r="CX467" s="53" t="n"/>
      <c r="CY467" s="53" t="n"/>
    </row>
    <row r="470">
      <c r="C470" s="4" t="inlineStr">
        <is>
          <t>Bull case</t>
        </is>
      </c>
    </row>
    <row r="471">
      <c r="C471" s="4" t="inlineStr">
        <is>
          <t>Base case</t>
        </is>
      </c>
    </row>
    <row r="472">
      <c r="C472" s="4" t="inlineStr">
        <is>
          <t>Bear case</t>
        </is>
      </c>
    </row>
    <row r="475">
      <c r="C475" s="4" t="inlineStr">
        <is>
          <t>Bull case</t>
        </is>
      </c>
    </row>
    <row r="476">
      <c r="C476" s="4" t="inlineStr">
        <is>
          <t>Base case</t>
        </is>
      </c>
    </row>
    <row r="477">
      <c r="C477" s="4" t="inlineStr">
        <is>
          <t>Bear case</t>
        </is>
      </c>
    </row>
    <row r="480">
      <c r="C480" s="4" t="inlineStr">
        <is>
          <t>% Gross Margin</t>
        </is>
      </c>
    </row>
    <row r="481">
      <c r="C481" s="4" t="inlineStr">
        <is>
          <t>Bull case</t>
        </is>
      </c>
    </row>
    <row r="482">
      <c r="C482" s="4" t="inlineStr">
        <is>
          <t>Base case</t>
        </is>
      </c>
    </row>
    <row r="483">
      <c r="C483" s="4" t="inlineStr">
        <is>
          <t>Bear case</t>
        </is>
      </c>
    </row>
    <row r="486">
      <c r="C486" s="4" t="inlineStr">
        <is>
          <t>Capital expenditures</t>
        </is>
      </c>
    </row>
    <row r="487">
      <c r="C487" s="4" t="inlineStr">
        <is>
          <t>Bull case</t>
        </is>
      </c>
    </row>
    <row r="488">
      <c r="C488" s="4" t="inlineStr">
        <is>
          <t>Base case</t>
        </is>
      </c>
    </row>
    <row r="489">
      <c r="C489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412:G412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412:L412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412:Q412">
    <cfRule type="cellIs" priority="44" operator="notEqual" dxfId="0">
      <formula>0</formula>
    </cfRule>
  </conditionalFormatting>
  <conditionalFormatting sqref="S412:V412">
    <cfRule type="cellIs" priority="43" operator="notEqual" dxfId="0">
      <formula>0</formula>
    </cfRule>
  </conditionalFormatting>
  <conditionalFormatting sqref="X412:AA412">
    <cfRule type="cellIs" priority="42" operator="notEqual" dxfId="0">
      <formula>0</formula>
    </cfRule>
  </conditionalFormatting>
  <conditionalFormatting sqref="AC412:AF412">
    <cfRule type="cellIs" priority="41" operator="notEqual" dxfId="0">
      <formula>0</formula>
    </cfRule>
  </conditionalFormatting>
  <conditionalFormatting sqref="AH412:AK412">
    <cfRule type="cellIs" priority="14" operator="notEqual" dxfId="0">
      <formula>0</formula>
    </cfRule>
  </conditionalFormatting>
  <conditionalFormatting sqref="AM412:AP412">
    <cfRule type="cellIs" priority="13" operator="notEqual" dxfId="0">
      <formula>0</formula>
    </cfRule>
  </conditionalFormatting>
  <conditionalFormatting sqref="AR412:AU412">
    <cfRule type="cellIs" priority="12" operator="notEqual" dxfId="0">
      <formula>0</formula>
    </cfRule>
  </conditionalFormatting>
  <conditionalFormatting sqref="AW412:AZ412">
    <cfRule type="cellIs" priority="11" operator="notEqual" dxfId="0">
      <formula>0</formula>
    </cfRule>
  </conditionalFormatting>
  <conditionalFormatting sqref="BB412:BE412">
    <cfRule type="cellIs" priority="10" operator="notEqual" dxfId="0">
      <formula>0</formula>
    </cfRule>
  </conditionalFormatting>
  <conditionalFormatting sqref="BG412:BJ412">
    <cfRule type="cellIs" priority="9" operator="notEqual" dxfId="0">
      <formula>0</formula>
    </cfRule>
  </conditionalFormatting>
  <conditionalFormatting sqref="BL412:BO412">
    <cfRule type="cellIs" priority="8" operator="notEqual" dxfId="0">
      <formula>0</formula>
    </cfRule>
  </conditionalFormatting>
  <conditionalFormatting sqref="BQ412:BT412">
    <cfRule type="cellIs" priority="7" operator="notEqual" dxfId="0">
      <formula>0</formula>
    </cfRule>
  </conditionalFormatting>
  <conditionalFormatting sqref="BV412:BY412">
    <cfRule type="cellIs" priority="6" operator="notEqual" dxfId="0">
      <formula>0</formula>
    </cfRule>
  </conditionalFormatting>
  <conditionalFormatting sqref="CA412:CD412">
    <cfRule type="cellIs" priority="5" operator="notEqual" dxfId="0">
      <formula>0</formula>
    </cfRule>
  </conditionalFormatting>
  <conditionalFormatting sqref="CF412:CI412">
    <cfRule type="cellIs" priority="4" operator="notEqual" dxfId="0">
      <formula>0</formula>
    </cfRule>
  </conditionalFormatting>
  <conditionalFormatting sqref="CK412:CN412">
    <cfRule type="cellIs" priority="3" operator="notEqual" dxfId="0">
      <formula>0</formula>
    </cfRule>
  </conditionalFormatting>
  <conditionalFormatting sqref="CP412:CS412">
    <cfRule type="cellIs" priority="2" operator="notEqual" dxfId="0">
      <formula>0</formula>
    </cfRule>
  </conditionalFormatting>
  <conditionalFormatting sqref="CU412:CX412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59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3311.381</v>
      </c>
      <c r="E18" s="83">
        <f>Model!AB15</f>
        <v>4002.104</v>
      </c>
      <c r="F18" s="83">
        <f>Model!AG15</f>
        <v>4397.883</v>
      </c>
      <c r="G18" s="83">
        <f>Model!AL15</f>
        <v>5009.932</v>
      </c>
      <c r="H18" s="83">
        <f>Model!AQ15</f>
        <v>5009.932</v>
      </c>
      <c r="I18" s="83">
        <f>Model!AV15</f>
        <v>5009.932</v>
      </c>
      <c r="J18" s="83">
        <f>Model!BA15</f>
        <v>5009.932</v>
      </c>
      <c r="K18" s="83">
        <f>Model!BF15</f>
        <v>5009.932</v>
      </c>
      <c r="L18" s="83">
        <f>Model!BK15</f>
        <v>5009.932</v>
      </c>
      <c r="M18" s="83">
        <f>Model!BP15</f>
        <v>5009.932</v>
      </c>
      <c r="N18" s="83">
        <f>Model!BU15</f>
        <v>5009.932</v>
      </c>
      <c r="O18" s="83">
        <f>Model!BZ15</f>
        <v>5009.932</v>
      </c>
      <c r="P18" s="83">
        <f>Model!CE15</f>
        <v>5009.932</v>
      </c>
      <c r="Q18" s="83">
        <f>Model!CJ15</f>
        <v>5009.932</v>
      </c>
      <c r="R18" s="83">
        <f>Model!CO15</f>
        <v>5009.932</v>
      </c>
      <c r="S18" s="83" t="n"/>
      <c r="T18" s="83" t="n"/>
      <c r="U18" s="83" t="n"/>
      <c r="V18" s="84" t="n"/>
      <c r="X18" s="85">
        <f>((L18/F18)^(1/6))-1</f>
        <v>0.0219540285244728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0.208590615214619</v>
      </c>
      <c r="F19" s="87">
        <f>F18/E18-1</f>
        <v>0.0988927324227455</v>
      </c>
      <c r="G19" s="87">
        <f>G18/F18-1</f>
        <v>0.139169004723409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Model!W166</f>
        <v>2470.439</v>
      </c>
      <c r="E20" s="83">
        <f>Model!AB166</f>
        <v>2921.788</v>
      </c>
      <c r="F20" s="83">
        <f>Model!AG166</f>
        <v>2999.118</v>
      </c>
      <c r="G20" s="83">
        <f>Model!AL166</f>
        <v>1814.262</v>
      </c>
      <c r="H20" s="83">
        <f>Model!AQ166</f>
        <v>0</v>
      </c>
      <c r="I20" s="83">
        <f>Model!BA166</f>
        <v>0</v>
      </c>
      <c r="J20" s="83">
        <f>Model!BA166</f>
        <v>0</v>
      </c>
      <c r="K20" s="83">
        <f>Model!BF166</f>
        <v>0</v>
      </c>
      <c r="L20" s="83">
        <f>Model!BK166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0.746044928082875</v>
      </c>
      <c r="E21" s="92">
        <f>E20/E18</f>
        <v>0.730062986868907</v>
      </c>
      <c r="F21" s="92">
        <f>F20/F18</f>
        <v>0.68194583621256</v>
      </c>
      <c r="G21" s="92">
        <f>G20/G18</f>
        <v>0.362133058891817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Model!W170</f>
        <v>2316.527</v>
      </c>
      <c r="E22" s="83">
        <f>Model!AB170</f>
        <v>2743.633</v>
      </c>
      <c r="F22" s="83">
        <f>Model!AG170</f>
        <v>2813.326</v>
      </c>
      <c r="G22" s="83">
        <f>Model!AL170</f>
        <v>1706.559</v>
      </c>
      <c r="H22" s="83">
        <f>Model!AQ170</f>
        <v>0</v>
      </c>
      <c r="I22" s="83">
        <f>Model!AV170</f>
        <v>0</v>
      </c>
      <c r="J22" s="83">
        <f>Model!BA170</f>
        <v>0</v>
      </c>
      <c r="K22" s="83">
        <f>Model!BF170</f>
        <v>0</v>
      </c>
      <c r="L22" s="83">
        <f>Model!BK170</f>
        <v>0</v>
      </c>
      <c r="M22" s="83">
        <f>Model!BP170</f>
        <v>0</v>
      </c>
      <c r="N22" s="83">
        <f>Model!BU170</f>
        <v>0</v>
      </c>
      <c r="O22" s="83">
        <f>Model!BZ170</f>
        <v>0</v>
      </c>
      <c r="P22" s="83">
        <f>Model!CE170</f>
        <v>0</v>
      </c>
      <c r="Q22" s="83">
        <f>Model!CJ170</f>
        <v>0</v>
      </c>
      <c r="R22" s="83">
        <f>Model!CO170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0.699565226713568</v>
      </c>
      <c r="E23" s="92">
        <f>E22/E18</f>
        <v>0.685547651935082</v>
      </c>
      <c r="F23" s="92">
        <f>F22/F18</f>
        <v>0.639700055685884</v>
      </c>
      <c r="G23" s="92">
        <f>G22/G18</f>
        <v>0.34063516231358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Model!W229</f>
        <v>0.22880838304629</v>
      </c>
      <c r="E24" s="95">
        <f>Model!AB229</f>
        <v>0.0455287936384318</v>
      </c>
      <c r="F24" s="95">
        <f>Model!AG229</f>
        <v>0.262421780396386</v>
      </c>
      <c r="G24" s="95">
        <f>Model!AL229</f>
        <v>0.124030490308894</v>
      </c>
      <c r="H24" s="95">
        <f>Model!AQ229</f>
        <v>0</v>
      </c>
      <c r="I24" s="95">
        <f>Model!AV229</f>
        <v>0</v>
      </c>
      <c r="J24" s="95">
        <f>Model!BA229</f>
        <v>0</v>
      </c>
      <c r="K24" s="95">
        <f>Model!BF229</f>
        <v>0</v>
      </c>
      <c r="L24" s="95">
        <f>Model!BK229</f>
        <v>0</v>
      </c>
      <c r="M24" s="95">
        <f>Model!BP229</f>
        <v>0</v>
      </c>
      <c r="N24" s="95">
        <f>Model!BU229</f>
        <v>0</v>
      </c>
      <c r="O24" s="95">
        <f>Model!BZ229</f>
        <v>0</v>
      </c>
      <c r="P24" s="95">
        <f>Model!CE229</f>
        <v>0</v>
      </c>
      <c r="Q24" s="95">
        <f>Model!CJ229</f>
        <v>0</v>
      </c>
      <c r="R24" s="95">
        <f>Model!CO229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1786.48620284693</v>
      </c>
      <c r="E25" s="97">
        <f>E22*(1-E24)</f>
        <v>2618.71869932341</v>
      </c>
      <c r="F25" s="97">
        <f>F22*(1-F24)</f>
        <v>2075.04798224456</v>
      </c>
      <c r="G25" s="97">
        <f>G22*(1-G24)</f>
        <v>1494.89365048895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Model!W167</f>
        <v>-153.912</v>
      </c>
      <c r="E26" s="100">
        <f>Model!AB167</f>
        <v>-178.155</v>
      </c>
      <c r="F26" s="100">
        <f>Model!AG167</f>
        <v>-185.792</v>
      </c>
      <c r="G26" s="100">
        <f>Model!AL167</f>
        <v>-107.703</v>
      </c>
      <c r="H26" s="100">
        <f>Model!AQ167</f>
        <v>0</v>
      </c>
      <c r="I26" s="100">
        <f>Model!AV167</f>
        <v>0</v>
      </c>
      <c r="J26" s="100">
        <f>Model!BA167</f>
        <v>0</v>
      </c>
      <c r="K26" s="100">
        <f>Model!BF167</f>
        <v>0</v>
      </c>
      <c r="L26" s="101">
        <f>Model!BK167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66.3979999999997</v>
      </c>
      <c r="E27" s="103">
        <f>SUM(E28:E39)</f>
        <v>-638.607</v>
      </c>
      <c r="F27" s="103">
        <f>SUM(F28:F39)</f>
        <v>-650.507000000002</v>
      </c>
      <c r="G27" s="103">
        <f>SUM(G28:G39)</f>
        <v>-1025.388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Model!W377</f>
        <v>159.577</v>
      </c>
      <c r="E28" s="106">
        <f>Model!AB377</f>
        <v>4.779</v>
      </c>
      <c r="F28" s="106">
        <f>Model!AG377</f>
        <v>97.125</v>
      </c>
      <c r="G28" s="106">
        <f>Model!AL377</f>
        <v>186.798</v>
      </c>
      <c r="H28" s="106">
        <f>Model!AQ377</f>
        <v>0</v>
      </c>
      <c r="I28" s="106">
        <f>Model!AV377</f>
        <v>0</v>
      </c>
      <c r="J28" s="106">
        <f>Model!BA377</f>
        <v>0</v>
      </c>
      <c r="K28" s="106">
        <f>Model!BF377</f>
        <v>0</v>
      </c>
      <c r="L28" s="107">
        <f>Model!BK377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Model!W378</f>
        <v>-1.077</v>
      </c>
      <c r="E29" s="106">
        <f>Model!AB378</f>
        <v>0.512000000000001</v>
      </c>
      <c r="F29" s="106">
        <f>Model!AG378</f>
        <v>-0.706</v>
      </c>
      <c r="G29" s="106">
        <f>Model!AL378</f>
        <v>10.472</v>
      </c>
      <c r="H29" s="106">
        <f>Model!AQ378</f>
        <v>0</v>
      </c>
      <c r="I29" s="106">
        <f>Model!AV378</f>
        <v>0</v>
      </c>
      <c r="J29" s="106">
        <f>Model!BA378</f>
        <v>0</v>
      </c>
      <c r="K29" s="106">
        <f>Model!BF378</f>
        <v>0</v>
      </c>
      <c r="L29" s="107">
        <f>Model!BK378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Model!W379</f>
        <v>-5.52800000000001</v>
      </c>
      <c r="E30" s="106">
        <f>Model!AB379</f>
        <v>-51.808</v>
      </c>
      <c r="F30" s="106">
        <f>Model!AG379</f>
        <v>-63.178</v>
      </c>
      <c r="G30" s="106">
        <f>Model!AL379</f>
        <v>0.197000000000003</v>
      </c>
      <c r="H30" s="106">
        <f>Model!AQ379</f>
        <v>0</v>
      </c>
      <c r="I30" s="106">
        <f>Model!AV379</f>
        <v>0</v>
      </c>
      <c r="J30" s="106">
        <f>Model!BA379</f>
        <v>0</v>
      </c>
      <c r="K30" s="106">
        <f>Model!BF379</f>
        <v>0</v>
      </c>
      <c r="L30" s="107">
        <f>Model!BK379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Model!W380</f>
        <v>1.461</v>
      </c>
      <c r="E31" s="106">
        <f>Model!AB380</f>
        <v>2.18</v>
      </c>
      <c r="F31" s="106">
        <f>Model!AG380</f>
        <v>-0.939</v>
      </c>
      <c r="G31" s="106">
        <f>Model!AL380</f>
        <v>-1.861</v>
      </c>
      <c r="H31" s="106">
        <f>Model!AQ380</f>
        <v>0</v>
      </c>
      <c r="I31" s="106">
        <f>Model!AV380</f>
        <v>0</v>
      </c>
      <c r="J31" s="106">
        <f>Model!BA380</f>
        <v>0</v>
      </c>
      <c r="K31" s="106">
        <f>Model!BF380</f>
        <v>0</v>
      </c>
      <c r="L31" s="107">
        <f>Model!BK380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Model!W381</f>
        <v>-62.9980000000001</v>
      </c>
      <c r="E32" s="106">
        <f>Model!AB381</f>
        <v>-119.261</v>
      </c>
      <c r="F32" s="106">
        <f>Model!AG381</f>
        <v>-392.813</v>
      </c>
      <c r="G32" s="106">
        <f>Model!AL381</f>
        <v>-273.382</v>
      </c>
      <c r="H32" s="106">
        <f>Model!AQ381</f>
        <v>0</v>
      </c>
      <c r="I32" s="106">
        <f>Model!AV381</f>
        <v>0</v>
      </c>
      <c r="J32" s="106">
        <f>Model!BA381</f>
        <v>0</v>
      </c>
      <c r="K32" s="106">
        <f>Model!BF381</f>
        <v>0</v>
      </c>
      <c r="L32" s="107">
        <f>Model!BK381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Model!W382</f>
        <v>-47.499</v>
      </c>
      <c r="E33" s="106">
        <f>Model!AB382</f>
        <v>3.751</v>
      </c>
      <c r="F33" s="106">
        <f>Model!AG382</f>
        <v>-4.637</v>
      </c>
      <c r="G33" s="106">
        <f>Model!AL382</f>
        <v>-190.734</v>
      </c>
      <c r="H33" s="106">
        <f>Model!AQ382</f>
        <v>0</v>
      </c>
      <c r="I33" s="106">
        <f>Model!AV382</f>
        <v>0</v>
      </c>
      <c r="J33" s="106">
        <f>Model!BA382</f>
        <v>0</v>
      </c>
      <c r="K33" s="106">
        <f>Model!BF382</f>
        <v>0</v>
      </c>
      <c r="L33" s="107">
        <f>Model!BK382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Model!W383</f>
        <v>0.329000000000001</v>
      </c>
      <c r="E34" s="106">
        <f>Model!AB383</f>
        <v>1.684</v>
      </c>
      <c r="F34" s="106">
        <f>Model!AG383</f>
        <v>-0.00600000000000023</v>
      </c>
      <c r="G34" s="106">
        <f>Model!AL383</f>
        <v>-47.332</v>
      </c>
      <c r="H34" s="106" t="e">
        <f>Model!AQ383</f>
        <v>#DIV/0!</v>
      </c>
      <c r="I34" s="106" t="e">
        <f>Model!AV383</f>
        <v>#DIV/0!</v>
      </c>
      <c r="J34" s="106" t="e">
        <f>Model!BA383</f>
        <v>#DIV/0!</v>
      </c>
      <c r="K34" s="106" t="e">
        <f>Model!BF383</f>
        <v>#DIV/0!</v>
      </c>
      <c r="L34" s="107" t="e">
        <f>Model!BK383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Model!W384</f>
        <v>-35.572</v>
      </c>
      <c r="E35" s="106">
        <f>Model!AB384</f>
        <v>-2.92599999999999</v>
      </c>
      <c r="F35" s="106">
        <f>Model!AG384</f>
        <v>1.45699999999999</v>
      </c>
      <c r="G35" s="106">
        <f>Model!AL384</f>
        <v>-160.407</v>
      </c>
      <c r="H35" s="106" t="e">
        <f>Model!AQ384</f>
        <v>#DIV/0!</v>
      </c>
      <c r="I35" s="106" t="e">
        <f>Model!AV384</f>
        <v>#DIV/0!</v>
      </c>
      <c r="J35" s="106" t="e">
        <f>Model!BA384</f>
        <v>#DIV/0!</v>
      </c>
      <c r="K35" s="106" t="e">
        <f>Model!BF384</f>
        <v>#DIV/0!</v>
      </c>
      <c r="L35" s="107" t="e">
        <f>Model!BK384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Model!W385</f>
        <v>-210.807</v>
      </c>
      <c r="E36" s="106">
        <f>Model!AB385</f>
        <v>-32.0700000000001</v>
      </c>
      <c r="F36" s="106">
        <f>Model!AG385</f>
        <v>21.3820000000001</v>
      </c>
      <c r="G36" s="106">
        <f>Model!AL385</f>
        <v>-99.1650000000001</v>
      </c>
      <c r="H36" s="106">
        <f>Model!AQ385</f>
        <v>0</v>
      </c>
      <c r="I36" s="106">
        <f>Model!AV385</f>
        <v>0</v>
      </c>
      <c r="J36" s="106">
        <f>Model!BA385</f>
        <v>0</v>
      </c>
      <c r="K36" s="106">
        <f>Model!BF385</f>
        <v>0</v>
      </c>
      <c r="L36" s="107">
        <f>Model!BK385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Model!W386</f>
        <v>190.254</v>
      </c>
      <c r="E37" s="106">
        <f>Model!AB386</f>
        <v>-9.5010000000002</v>
      </c>
      <c r="F37" s="106">
        <f>Model!AG386</f>
        <v>451.735</v>
      </c>
      <c r="G37" s="106">
        <f>Model!AL386</f>
        <v>57.694</v>
      </c>
      <c r="H37" s="106">
        <f>Model!AQ386</f>
        <v>0</v>
      </c>
      <c r="I37" s="106">
        <f>Model!AV386</f>
        <v>0</v>
      </c>
      <c r="J37" s="106">
        <f>Model!BA386</f>
        <v>0</v>
      </c>
      <c r="K37" s="106">
        <f>Model!BF386</f>
        <v>0</v>
      </c>
      <c r="L37" s="107">
        <f>Model!BK386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(Model!W286-Model!R286)*-1</f>
        <v>-130.572</v>
      </c>
      <c r="E38" s="106">
        <f>(Model!AB286-Model!W286)*-1</f>
        <v>-724.141</v>
      </c>
      <c r="F38" s="106">
        <f>(Model!AG286-Model!AB286)*-1</f>
        <v>-980.456000000002</v>
      </c>
      <c r="G38" s="106">
        <f>(Model!AL286-Model!AG286)*-1</f>
        <v>-634.774000000001</v>
      </c>
      <c r="H38" s="106">
        <f>(Model!AQ286-Model!AL286)*-1</f>
        <v>0</v>
      </c>
      <c r="I38" s="106">
        <f>(Model!AV286-Model!AQ286)*-1</f>
        <v>0</v>
      </c>
      <c r="J38" s="106">
        <f>(Model!BA286-Model!AV286)*-1</f>
        <v>0</v>
      </c>
      <c r="K38" s="106">
        <f>(Model!BF286-Model!BA286)*-1</f>
        <v>0</v>
      </c>
      <c r="L38" s="107">
        <f>(Model!BK286-Model!BF286)*-1</f>
        <v>0</v>
      </c>
      <c r="M38">
        <f>(Model!BP286-Model!BK286)*-1</f>
        <v>0</v>
      </c>
      <c r="N38">
        <f>(Model!BU286-Model!BP286)*-1</f>
        <v>0</v>
      </c>
      <c r="O38">
        <f>(Model!BZ286-Model!BU286)*-1</f>
        <v>0</v>
      </c>
      <c r="P38">
        <f>(Model!CE286-Model!BZ286)*-1</f>
        <v>0</v>
      </c>
      <c r="Q38">
        <f>(Model!CJ286-Model!CE286)*-1</f>
        <v>0</v>
      </c>
      <c r="R38">
        <f>(Model!CO286-Model!CJ286)*-1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Model!W337-Model!R337</f>
        <v>208.83</v>
      </c>
      <c r="E39" s="106">
        <f>Model!AB337-Model!W337</f>
        <v>288.194</v>
      </c>
      <c r="F39" s="106">
        <f>Model!AG337-Model!AB337</f>
        <v>220.529</v>
      </c>
      <c r="G39" s="106">
        <f>Model!AL337-Model!AG337</f>
        <v>127.106</v>
      </c>
      <c r="H39" s="106">
        <f>Model!AQ337-Model!AL337</f>
        <v>0</v>
      </c>
      <c r="I39" s="106">
        <f>Model!AV337-Model!AQ337</f>
        <v>0</v>
      </c>
      <c r="J39" s="106">
        <f>Model!BA337-Model!AV337</f>
        <v>0</v>
      </c>
      <c r="K39" s="106">
        <f>Model!BF337-Model!BA337</f>
        <v>0</v>
      </c>
      <c r="L39" s="107">
        <f>Model!BK337-Model!BF337</f>
        <v>0</v>
      </c>
      <c r="M39">
        <f>Model!BP337-Model!BK337</f>
        <v>0</v>
      </c>
      <c r="N39">
        <f>Model!BU337-Model!BP337</f>
        <v>0</v>
      </c>
      <c r="O39">
        <f>Model!BZ337-Model!BU337</f>
        <v>0</v>
      </c>
      <c r="P39">
        <f>Model!CE337-Model!BZ337</f>
        <v>0</v>
      </c>
      <c r="Q39">
        <f>Model!CJ337-Model!CE337</f>
        <v>0</v>
      </c>
      <c r="R39">
        <f>Model!CO337-Model!CJ337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-87.5140000000004</v>
      </c>
      <c r="E44" s="103">
        <f>SUM(E27+E40+E41+E42+E26)</f>
        <v>-816.762</v>
      </c>
      <c r="F44" s="103">
        <f>SUM(F27+F40+F41+F42+F26)</f>
        <v>-836.299000000002</v>
      </c>
      <c r="G44" s="103">
        <f>SUM(G27+G40+G41+G42+G26)</f>
        <v>-1133.091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Model!W447</f>
        <v>22275.893</v>
      </c>
      <c r="E46" s="106">
        <f>Model!AB447</f>
        <v>23408.504</v>
      </c>
      <c r="F46" s="106">
        <f>Model!AG447</f>
        <v>24474.749</v>
      </c>
      <c r="G46" s="106">
        <f>Model!AL447</f>
        <v>25028.219</v>
      </c>
      <c r="H46" s="106" t="e">
        <f>Model!AQ447</f>
        <v>#DIV/0!</v>
      </c>
      <c r="I46" s="106" t="e">
        <f>Model!AV447</f>
        <v>#DIV/0!</v>
      </c>
      <c r="J46" s="106" t="e">
        <f>Model!BA447</f>
        <v>#DIV/0!</v>
      </c>
      <c r="K46" s="106" t="e">
        <f>Model!BF447</f>
        <v>#DIV/0!</v>
      </c>
      <c r="L46" s="106" t="e">
        <f>Model!BK447</f>
        <v>#DIV/0!</v>
      </c>
      <c r="M46" s="115" t="e">
        <f>Model!BP447</f>
        <v>#DIV/0!</v>
      </c>
      <c r="N46" s="115" t="e">
        <f>Model!BU447</f>
        <v>#DIV/0!</v>
      </c>
      <c r="O46" s="115" t="e">
        <f>Model!BZ447</f>
        <v>#DIV/0!</v>
      </c>
      <c r="P46" s="115" t="e">
        <f>Model!CE447</f>
        <v>#DIV/0!</v>
      </c>
      <c r="Q46" s="115" t="e">
        <f>Model!CJ447</f>
        <v>#DIV/0!</v>
      </c>
      <c r="R46" s="115" t="e">
        <f>Model!CO447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Model!W448</f>
        <v>22275.893</v>
      </c>
      <c r="E47" s="106">
        <f>Model!AB448</f>
        <v>23408.504</v>
      </c>
      <c r="F47" s="106">
        <f>Model!AG448</f>
        <v>24474.749</v>
      </c>
      <c r="G47" s="106">
        <f>Model!AL448</f>
        <v>25028.219</v>
      </c>
      <c r="H47" s="106" t="e">
        <f>Model!AQ448</f>
        <v>#DIV/0!</v>
      </c>
      <c r="I47" s="106" t="e">
        <f>Model!AV448</f>
        <v>#DIV/0!</v>
      </c>
      <c r="J47" s="106" t="e">
        <f>Model!BA448</f>
        <v>#DIV/0!</v>
      </c>
      <c r="K47" s="106" t="e">
        <f>Model!BF448</f>
        <v>#DIV/0!</v>
      </c>
      <c r="L47" s="106" t="e">
        <f>Model!BK448</f>
        <v>#DIV/0!</v>
      </c>
      <c r="M47" t="e">
        <f>Model!BP448</f>
        <v>#DIV/0!</v>
      </c>
      <c r="N47" t="e">
        <f>Model!BU448</f>
        <v>#DIV/0!</v>
      </c>
      <c r="O47" t="e">
        <f>Model!BZ448</f>
        <v>#DIV/0!</v>
      </c>
      <c r="P47" t="e">
        <f>Model!CE448</f>
        <v>#DIV/0!</v>
      </c>
      <c r="Q47" t="e">
        <f>Model!CJ448</f>
        <v>#DIV/0!</v>
      </c>
      <c r="R47" t="e">
        <f>Model!CO448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6.72707036731805</v>
      </c>
      <c r="E48" s="92">
        <f>E46/E18</f>
        <v>5.84904940001559</v>
      </c>
      <c r="F48" s="92">
        <f>F46/F18</f>
        <v>5.56512053640354</v>
      </c>
      <c r="G48" s="92">
        <f>G46/G18</f>
        <v>4.99572030119371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0.0603961221270185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0.148653120213856</v>
      </c>
      <c r="E51" s="124">
        <f>E18/E46</f>
        <v>0.170967952501364</v>
      </c>
      <c r="F51" s="124">
        <f>F18/F46</f>
        <v>0.179690627266494</v>
      </c>
      <c r="G51" s="124">
        <f>G18/G46</f>
        <v>0.200171334604352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1698.97220284693</v>
      </c>
      <c r="E53" s="125">
        <f>E25+E44</f>
        <v>1801.95669932341</v>
      </c>
      <c r="F53" s="125">
        <f>F25+F44</f>
        <v>1238.74898224455</v>
      </c>
      <c r="G53" s="126">
        <f>(G25+G44)*stub_year_fraction</f>
        <v>94.1678131409579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0.262421780396386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2026-10-12T10:49:35Z</dcterms:modified>
  <cp:lastModifiedBy>Lucas Nascimento</cp:lastModifiedBy>
</cp:coreProperties>
</file>